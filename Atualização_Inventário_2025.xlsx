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energisa.sharepoint.com/sites/EscritrioDigitalGTD/Documentos Compartilhados/03. Projetos/01. Gestão de Ativos/08. PCB/03. Material de Apoio/Inventário EPP/"/>
    </mc:Choice>
  </mc:AlternateContent>
  <xr:revisionPtr revIDLastSave="6093" documentId="13_ncr:1_{D843FF9E-ACEA-485A-9EE5-BE6DB8FE034D}" xr6:coauthVersionLast="47" xr6:coauthVersionMax="47" xr10:uidLastSave="{AF360E6B-6611-466B-9A8C-1CD05C94D38D}"/>
  <bookViews>
    <workbookView xWindow="-120" yWindow="-120" windowWidth="29040" windowHeight="15720" firstSheet="10" activeTab="11" xr2:uid="{C31DB256-D935-479C-9293-95B9864C35F6}"/>
  </bookViews>
  <sheets>
    <sheet name="Planilha1" sheetId="1" r:id="rId1"/>
    <sheet name="Planilha2" sheetId="12" r:id="rId2"/>
    <sheet name="EMS" sheetId="5" r:id="rId3"/>
    <sheet name="EAC" sheetId="11" r:id="rId4"/>
    <sheet name="EMT" sheetId="6" r:id="rId5"/>
    <sheet name="ESE" sheetId="7" r:id="rId6"/>
    <sheet name="ESS" sheetId="8" r:id="rId7"/>
    <sheet name="ETO" sheetId="9" r:id="rId8"/>
    <sheet name="ERO" sheetId="10" r:id="rId9"/>
    <sheet name="EMR" sheetId="4" r:id="rId10"/>
    <sheet name="EPB" sheetId="2" r:id="rId11"/>
    <sheet name="Planilha3" sheetId="13" r:id="rId12"/>
  </sheets>
  <definedNames>
    <definedName name="_xlnm._FilterDatabase" localSheetId="9" hidden="1">EMR!$B$18:$L$49</definedName>
    <definedName name="_xlnm._FilterDatabase" localSheetId="8" hidden="1">ERO!$B$461:$L$1386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17" i="13" l="1"/>
  <c r="B688" i="13"/>
  <c r="B459" i="13"/>
  <c r="B230" i="13"/>
  <c r="B918" i="13" s="1"/>
  <c r="A2" i="13"/>
  <c r="A3" i="13" s="1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517" i="13" s="1"/>
  <c r="A518" i="13" s="1"/>
  <c r="A519" i="13" s="1"/>
  <c r="A520" i="13" s="1"/>
  <c r="A521" i="13" s="1"/>
  <c r="A522" i="13" s="1"/>
  <c r="A523" i="13" s="1"/>
  <c r="A524" i="13" s="1"/>
  <c r="A525" i="13" s="1"/>
  <c r="A526" i="13" s="1"/>
  <c r="A527" i="13" s="1"/>
  <c r="A528" i="13" s="1"/>
  <c r="A529" i="13" s="1"/>
  <c r="A530" i="13" s="1"/>
  <c r="A531" i="13" s="1"/>
  <c r="A532" i="13" s="1"/>
  <c r="A533" i="13" s="1"/>
  <c r="A534" i="13" s="1"/>
  <c r="A535" i="13" s="1"/>
  <c r="A536" i="13" s="1"/>
  <c r="A537" i="13" s="1"/>
  <c r="A538" i="13" s="1"/>
  <c r="A539" i="13" s="1"/>
  <c r="A540" i="13" s="1"/>
  <c r="A541" i="13" s="1"/>
  <c r="A542" i="13" s="1"/>
  <c r="A543" i="13" s="1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A559" i="13" s="1"/>
  <c r="A560" i="13" s="1"/>
  <c r="A561" i="13" s="1"/>
  <c r="A562" i="13" s="1"/>
  <c r="A563" i="13" s="1"/>
  <c r="A564" i="13" s="1"/>
  <c r="A565" i="13" s="1"/>
  <c r="A566" i="13" s="1"/>
  <c r="A567" i="13" s="1"/>
  <c r="A568" i="13" s="1"/>
  <c r="A569" i="13" s="1"/>
  <c r="A570" i="13" s="1"/>
  <c r="A571" i="13" s="1"/>
  <c r="A572" i="13" s="1"/>
  <c r="A573" i="13" s="1"/>
  <c r="A574" i="13" s="1"/>
  <c r="A575" i="13" s="1"/>
  <c r="A576" i="13" s="1"/>
  <c r="A577" i="13" s="1"/>
  <c r="A578" i="13" s="1"/>
  <c r="A579" i="13" s="1"/>
  <c r="A580" i="13" s="1"/>
  <c r="A581" i="13" s="1"/>
  <c r="A582" i="13" s="1"/>
  <c r="A583" i="13" s="1"/>
  <c r="A584" i="13" s="1"/>
  <c r="A585" i="13" s="1"/>
  <c r="A586" i="13" s="1"/>
  <c r="A587" i="13" s="1"/>
  <c r="A588" i="13" s="1"/>
  <c r="A589" i="13" s="1"/>
  <c r="A590" i="13" s="1"/>
  <c r="A591" i="13" s="1"/>
  <c r="A592" i="13" s="1"/>
  <c r="A593" i="13" s="1"/>
  <c r="A594" i="13" s="1"/>
  <c r="A595" i="13" s="1"/>
  <c r="A596" i="13" s="1"/>
  <c r="A597" i="13" s="1"/>
  <c r="A598" i="13" s="1"/>
  <c r="A599" i="13" s="1"/>
  <c r="A600" i="13" s="1"/>
  <c r="A601" i="13" s="1"/>
  <c r="A602" i="13" s="1"/>
  <c r="A603" i="13" s="1"/>
  <c r="A604" i="13" s="1"/>
  <c r="A605" i="13" s="1"/>
  <c r="A606" i="13" s="1"/>
  <c r="A607" i="13" s="1"/>
  <c r="A608" i="13" s="1"/>
  <c r="A609" i="13" s="1"/>
  <c r="A610" i="13" s="1"/>
  <c r="A611" i="13" s="1"/>
  <c r="A612" i="13" s="1"/>
  <c r="A613" i="13" s="1"/>
  <c r="A614" i="13" s="1"/>
  <c r="A615" i="13" s="1"/>
  <c r="A616" i="13" s="1"/>
  <c r="A617" i="13" s="1"/>
  <c r="A618" i="13" s="1"/>
  <c r="A619" i="13" s="1"/>
  <c r="A620" i="13" s="1"/>
  <c r="A621" i="13" s="1"/>
  <c r="A622" i="13" s="1"/>
  <c r="A623" i="13" s="1"/>
  <c r="A624" i="13" s="1"/>
  <c r="A625" i="13" s="1"/>
  <c r="A626" i="13" s="1"/>
  <c r="A627" i="13" s="1"/>
  <c r="A628" i="13" s="1"/>
  <c r="A629" i="13" s="1"/>
  <c r="A630" i="13" s="1"/>
  <c r="A631" i="13" s="1"/>
  <c r="A632" i="13" s="1"/>
  <c r="A633" i="13" s="1"/>
  <c r="A634" i="13" s="1"/>
  <c r="A635" i="13" s="1"/>
  <c r="A636" i="13" s="1"/>
  <c r="A637" i="13" s="1"/>
  <c r="A638" i="13" s="1"/>
  <c r="A639" i="13" s="1"/>
  <c r="A640" i="13" s="1"/>
  <c r="A641" i="13" s="1"/>
  <c r="A642" i="13" s="1"/>
  <c r="A643" i="13" s="1"/>
  <c r="A644" i="13" s="1"/>
  <c r="A645" i="13" s="1"/>
  <c r="A646" i="13" s="1"/>
  <c r="A647" i="13" s="1"/>
  <c r="A648" i="13" s="1"/>
  <c r="A649" i="13" s="1"/>
  <c r="A650" i="13" s="1"/>
  <c r="A651" i="13" s="1"/>
  <c r="A652" i="13" s="1"/>
  <c r="A653" i="13" s="1"/>
  <c r="A654" i="13" s="1"/>
  <c r="A655" i="13" s="1"/>
  <c r="A656" i="13" s="1"/>
  <c r="A657" i="13" s="1"/>
  <c r="A658" i="13" s="1"/>
  <c r="A659" i="13" s="1"/>
  <c r="A660" i="13" s="1"/>
  <c r="A661" i="13" s="1"/>
  <c r="A662" i="13" s="1"/>
  <c r="A663" i="13" s="1"/>
  <c r="A664" i="13" s="1"/>
  <c r="A665" i="13" s="1"/>
  <c r="A666" i="13" s="1"/>
  <c r="A667" i="13" s="1"/>
  <c r="A668" i="13" s="1"/>
  <c r="A669" i="13" s="1"/>
  <c r="A670" i="13" s="1"/>
  <c r="A671" i="13" s="1"/>
  <c r="A672" i="13" s="1"/>
  <c r="A673" i="13" s="1"/>
  <c r="A674" i="13" s="1"/>
  <c r="A675" i="13" s="1"/>
  <c r="A676" i="13" s="1"/>
  <c r="A677" i="13" s="1"/>
  <c r="A678" i="13" s="1"/>
  <c r="A679" i="13" s="1"/>
  <c r="A680" i="13" s="1"/>
  <c r="A681" i="13" s="1"/>
  <c r="A682" i="13" s="1"/>
  <c r="A683" i="13" s="1"/>
  <c r="A684" i="13" s="1"/>
  <c r="A685" i="13" s="1"/>
  <c r="A686" i="13" s="1"/>
  <c r="A687" i="13" s="1"/>
  <c r="A689" i="13" s="1"/>
  <c r="A690" i="13" s="1"/>
  <c r="A691" i="13" s="1"/>
  <c r="A692" i="13" s="1"/>
  <c r="A693" i="13" s="1"/>
  <c r="A694" i="13" s="1"/>
  <c r="A695" i="13" s="1"/>
  <c r="A696" i="13" s="1"/>
  <c r="A697" i="13" s="1"/>
  <c r="A698" i="13" s="1"/>
  <c r="A699" i="13" s="1"/>
  <c r="A700" i="13" s="1"/>
  <c r="A701" i="13" s="1"/>
  <c r="A702" i="13" s="1"/>
  <c r="A703" i="13" s="1"/>
  <c r="A704" i="13" s="1"/>
  <c r="A705" i="13" s="1"/>
  <c r="A706" i="13" s="1"/>
  <c r="A707" i="13" s="1"/>
  <c r="A708" i="13" s="1"/>
  <c r="A709" i="13" s="1"/>
  <c r="A710" i="13" s="1"/>
  <c r="A711" i="13" s="1"/>
  <c r="A712" i="13" s="1"/>
  <c r="A713" i="13" s="1"/>
  <c r="A714" i="13" s="1"/>
  <c r="A715" i="13" s="1"/>
  <c r="A716" i="13" s="1"/>
  <c r="A717" i="13" s="1"/>
  <c r="A718" i="13" s="1"/>
  <c r="A719" i="13" s="1"/>
  <c r="A720" i="13" s="1"/>
  <c r="A721" i="13" s="1"/>
  <c r="A722" i="13" s="1"/>
  <c r="A723" i="13" s="1"/>
  <c r="A724" i="13" s="1"/>
  <c r="A725" i="13" s="1"/>
  <c r="A726" i="13" s="1"/>
  <c r="A727" i="13" s="1"/>
  <c r="A728" i="13" s="1"/>
  <c r="A729" i="13" s="1"/>
  <c r="A730" i="13" s="1"/>
  <c r="A731" i="13" s="1"/>
  <c r="A732" i="13" s="1"/>
  <c r="A733" i="13" s="1"/>
  <c r="A734" i="13" s="1"/>
  <c r="A735" i="13" s="1"/>
  <c r="A736" i="13" s="1"/>
  <c r="A737" i="13" s="1"/>
  <c r="A738" i="13" s="1"/>
  <c r="A739" i="13" s="1"/>
  <c r="A740" i="13" s="1"/>
  <c r="A741" i="13" s="1"/>
  <c r="A742" i="13" s="1"/>
  <c r="A743" i="13" s="1"/>
  <c r="A744" i="13" s="1"/>
  <c r="A745" i="13" s="1"/>
  <c r="A746" i="13" s="1"/>
  <c r="A747" i="13" s="1"/>
  <c r="A748" i="13" s="1"/>
  <c r="A749" i="13" s="1"/>
  <c r="A750" i="13" s="1"/>
  <c r="A751" i="13" s="1"/>
  <c r="A752" i="13" s="1"/>
  <c r="A753" i="13" s="1"/>
  <c r="A754" i="13" s="1"/>
  <c r="A755" i="13" s="1"/>
  <c r="A756" i="13" s="1"/>
  <c r="A757" i="13" s="1"/>
  <c r="A758" i="13" s="1"/>
  <c r="A759" i="13" s="1"/>
  <c r="A760" i="13" s="1"/>
  <c r="A761" i="13" s="1"/>
  <c r="A762" i="13" s="1"/>
  <c r="A763" i="13" s="1"/>
  <c r="A764" i="13" s="1"/>
  <c r="A765" i="13" s="1"/>
  <c r="A766" i="13" s="1"/>
  <c r="A767" i="13" s="1"/>
  <c r="A768" i="13" s="1"/>
  <c r="A769" i="13" s="1"/>
  <c r="A770" i="13" s="1"/>
  <c r="A771" i="13" s="1"/>
  <c r="A772" i="13" s="1"/>
  <c r="A773" i="13" s="1"/>
  <c r="A774" i="13" s="1"/>
  <c r="A775" i="13" s="1"/>
  <c r="A776" i="13" s="1"/>
  <c r="A777" i="13" s="1"/>
  <c r="A778" i="13" s="1"/>
  <c r="A779" i="13" s="1"/>
  <c r="A780" i="13" s="1"/>
  <c r="A781" i="13" s="1"/>
  <c r="A782" i="13" s="1"/>
  <c r="A783" i="13" s="1"/>
  <c r="A784" i="13" s="1"/>
  <c r="A785" i="13" s="1"/>
  <c r="A786" i="13" s="1"/>
  <c r="A787" i="13" s="1"/>
  <c r="A788" i="13" s="1"/>
  <c r="A789" i="13" s="1"/>
  <c r="A790" i="13" s="1"/>
  <c r="A791" i="13" s="1"/>
  <c r="A792" i="13" s="1"/>
  <c r="A793" i="13" s="1"/>
  <c r="A794" i="13" s="1"/>
  <c r="A795" i="13" s="1"/>
  <c r="A796" i="13" s="1"/>
  <c r="A797" i="13" s="1"/>
  <c r="A798" i="13" s="1"/>
  <c r="A799" i="13" s="1"/>
  <c r="A800" i="13" s="1"/>
  <c r="A801" i="13" s="1"/>
  <c r="A802" i="13" s="1"/>
  <c r="A803" i="13" s="1"/>
  <c r="A804" i="13" s="1"/>
  <c r="A805" i="13" s="1"/>
  <c r="A806" i="13" s="1"/>
  <c r="A807" i="13" s="1"/>
  <c r="A808" i="13" s="1"/>
  <c r="A809" i="13" s="1"/>
  <c r="A810" i="13" s="1"/>
  <c r="A811" i="13" s="1"/>
  <c r="A812" i="13" s="1"/>
  <c r="A813" i="13" s="1"/>
  <c r="A814" i="13" s="1"/>
  <c r="A815" i="13" s="1"/>
  <c r="A816" i="13" s="1"/>
  <c r="A817" i="13" s="1"/>
  <c r="A818" i="13" s="1"/>
  <c r="A819" i="13" s="1"/>
  <c r="A820" i="13" s="1"/>
  <c r="A821" i="13" s="1"/>
  <c r="A822" i="13" s="1"/>
  <c r="A823" i="13" s="1"/>
  <c r="A824" i="13" s="1"/>
  <c r="A825" i="13" s="1"/>
  <c r="A826" i="13" s="1"/>
  <c r="A827" i="13" s="1"/>
  <c r="A828" i="13" s="1"/>
  <c r="A829" i="13" s="1"/>
  <c r="A830" i="13" s="1"/>
  <c r="A831" i="13" s="1"/>
  <c r="A832" i="13" s="1"/>
  <c r="A833" i="13" s="1"/>
  <c r="A834" i="13" s="1"/>
  <c r="A835" i="13" s="1"/>
  <c r="A836" i="13" s="1"/>
  <c r="A837" i="13" s="1"/>
  <c r="A838" i="13" s="1"/>
  <c r="A839" i="13" s="1"/>
  <c r="A840" i="13" s="1"/>
  <c r="A841" i="13" s="1"/>
  <c r="A842" i="13" s="1"/>
  <c r="A843" i="13" s="1"/>
  <c r="A844" i="13" s="1"/>
  <c r="A845" i="13" s="1"/>
  <c r="A846" i="13" s="1"/>
  <c r="A847" i="13" s="1"/>
  <c r="A848" i="13" s="1"/>
  <c r="A849" i="13" s="1"/>
  <c r="A850" i="13" s="1"/>
  <c r="A851" i="13" s="1"/>
  <c r="A852" i="13" s="1"/>
  <c r="A853" i="13" s="1"/>
  <c r="A854" i="13" s="1"/>
  <c r="A855" i="13" s="1"/>
  <c r="A856" i="13" s="1"/>
  <c r="A857" i="13" s="1"/>
  <c r="A858" i="13" s="1"/>
  <c r="A859" i="13" s="1"/>
  <c r="A860" i="13" s="1"/>
  <c r="A861" i="13" s="1"/>
  <c r="A862" i="13" s="1"/>
  <c r="A863" i="13" s="1"/>
  <c r="A864" i="13" s="1"/>
  <c r="A865" i="13" s="1"/>
  <c r="A866" i="13" s="1"/>
  <c r="A867" i="13" s="1"/>
  <c r="A868" i="13" s="1"/>
  <c r="A869" i="13" s="1"/>
  <c r="A870" i="13" s="1"/>
  <c r="A871" i="13" s="1"/>
  <c r="A872" i="13" s="1"/>
  <c r="A873" i="13" s="1"/>
  <c r="A874" i="13" s="1"/>
  <c r="A875" i="13" s="1"/>
  <c r="A876" i="13" s="1"/>
  <c r="A877" i="13" s="1"/>
  <c r="A878" i="13" s="1"/>
  <c r="A879" i="13" s="1"/>
  <c r="A880" i="13" s="1"/>
  <c r="A881" i="13" s="1"/>
  <c r="A882" i="13" s="1"/>
  <c r="A883" i="13" s="1"/>
  <c r="A884" i="13" s="1"/>
  <c r="A885" i="13" s="1"/>
  <c r="A886" i="13" s="1"/>
  <c r="A887" i="13" s="1"/>
  <c r="A888" i="13" s="1"/>
  <c r="A889" i="13" s="1"/>
  <c r="A890" i="13" s="1"/>
  <c r="A891" i="13" s="1"/>
  <c r="A892" i="13" s="1"/>
  <c r="A893" i="13" s="1"/>
  <c r="A894" i="13" s="1"/>
  <c r="A895" i="13" s="1"/>
  <c r="A896" i="13" s="1"/>
  <c r="A897" i="13" s="1"/>
  <c r="A898" i="13" s="1"/>
  <c r="A899" i="13" s="1"/>
  <c r="A900" i="13" s="1"/>
  <c r="A901" i="13" s="1"/>
  <c r="A902" i="13" s="1"/>
  <c r="A903" i="13" s="1"/>
  <c r="A904" i="13" s="1"/>
  <c r="A905" i="13" s="1"/>
  <c r="A906" i="13" s="1"/>
  <c r="A907" i="13" s="1"/>
  <c r="A908" i="13" s="1"/>
  <c r="A909" i="13" s="1"/>
  <c r="A910" i="13" s="1"/>
  <c r="A911" i="13" s="1"/>
  <c r="A912" i="13" s="1"/>
  <c r="A913" i="13" s="1"/>
  <c r="A914" i="13" s="1"/>
  <c r="A915" i="13" s="1"/>
  <c r="A916" i="13" s="1"/>
  <c r="D1149" i="11"/>
  <c r="C1149" i="11"/>
  <c r="D920" i="11"/>
  <c r="D691" i="11"/>
  <c r="E920" i="5"/>
  <c r="C691" i="11"/>
  <c r="F920" i="5"/>
  <c r="F691" i="5"/>
  <c r="C1378" i="10"/>
  <c r="B1151" i="4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922" i="4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901" i="4"/>
  <c r="B902" i="4"/>
  <c r="B903" i="4"/>
  <c r="B904" i="4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872" i="4"/>
  <c r="B873" i="4"/>
  <c r="B874" i="4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 s="1"/>
  <c r="B865" i="4" s="1"/>
  <c r="B866" i="4" s="1"/>
  <c r="B867" i="4" s="1"/>
  <c r="B868" i="4" s="1"/>
  <c r="B869" i="4" s="1"/>
  <c r="B870" i="4" s="1"/>
  <c r="B871" i="4" s="1"/>
  <c r="B693" i="4"/>
  <c r="B694" i="4" s="1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572" i="4"/>
  <c r="C563" i="4"/>
  <c r="C564" i="4"/>
  <c r="C565" i="4"/>
  <c r="C566" i="4"/>
  <c r="C567" i="4"/>
  <c r="C568" i="4"/>
  <c r="C569" i="4"/>
  <c r="C570" i="4"/>
  <c r="C571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51" i="4"/>
  <c r="C352" i="4"/>
  <c r="C353" i="4"/>
  <c r="C354" i="4"/>
  <c r="C355" i="4"/>
  <c r="C356" i="4"/>
  <c r="C357" i="4"/>
  <c r="C358" i="4"/>
  <c r="C359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92" i="4"/>
  <c r="B92" i="4" s="1"/>
  <c r="B93" i="4" s="1"/>
  <c r="B94" i="4" s="1"/>
  <c r="B8" i="5"/>
  <c r="B7" i="5"/>
  <c r="D13" i="5"/>
  <c r="D12" i="5"/>
  <c r="D11" i="5"/>
  <c r="G14" i="5"/>
  <c r="F14" i="5"/>
  <c r="D14" i="5"/>
  <c r="E13" i="5"/>
  <c r="E12" i="5"/>
  <c r="E11" i="5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60" i="4"/>
  <c r="B60" i="4" s="1"/>
  <c r="C49" i="4"/>
  <c r="C48" i="4"/>
  <c r="C47" i="4"/>
  <c r="C46" i="4"/>
  <c r="C45" i="4"/>
  <c r="C44" i="4"/>
  <c r="C43" i="4"/>
  <c r="C42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19" i="4"/>
  <c r="B19" i="4" s="1"/>
  <c r="B20" i="4" s="1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B325" i="5" s="1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91" i="5"/>
  <c r="B91" i="5" s="1"/>
  <c r="B92" i="5" s="1"/>
  <c r="E691" i="5"/>
  <c r="E1149" i="5"/>
  <c r="E1378" i="5"/>
  <c r="C1378" i="11"/>
  <c r="C920" i="11"/>
  <c r="C1379" i="11"/>
  <c r="C1378" i="6"/>
  <c r="C1149" i="6"/>
  <c r="C920" i="6"/>
  <c r="C691" i="6"/>
  <c r="C1379" i="6" s="1"/>
  <c r="C1378" i="7"/>
  <c r="C1149" i="7"/>
  <c r="C920" i="7"/>
  <c r="C691" i="7"/>
  <c r="C1379" i="7" s="1"/>
  <c r="C1378" i="8"/>
  <c r="C1149" i="8"/>
  <c r="C920" i="8"/>
  <c r="C691" i="8"/>
  <c r="C1379" i="8" s="1"/>
  <c r="C1378" i="9"/>
  <c r="C1149" i="9"/>
  <c r="C920" i="9"/>
  <c r="C691" i="9"/>
  <c r="C1379" i="9" s="1"/>
  <c r="C1149" i="10"/>
  <c r="C920" i="10"/>
  <c r="C691" i="10"/>
  <c r="C1379" i="10" s="1"/>
  <c r="E1382" i="10"/>
  <c r="B985" i="10"/>
  <c r="B986" i="10" s="1"/>
  <c r="B987" i="10" s="1"/>
  <c r="B988" i="10" s="1"/>
  <c r="B989" i="10" s="1"/>
  <c r="B990" i="10" s="1"/>
  <c r="B991" i="10" s="1"/>
  <c r="B992" i="10" s="1"/>
  <c r="B993" i="10" s="1"/>
  <c r="B994" i="10" s="1"/>
  <c r="B995" i="10" s="1"/>
  <c r="B996" i="10" s="1"/>
  <c r="B997" i="10" s="1"/>
  <c r="B998" i="10" s="1"/>
  <c r="B999" i="10" s="1"/>
  <c r="B1000" i="10" s="1"/>
  <c r="B1001" i="10" s="1"/>
  <c r="B1002" i="10" s="1"/>
  <c r="B1003" i="10" s="1"/>
  <c r="B1004" i="10" s="1"/>
  <c r="B1005" i="10" s="1"/>
  <c r="B1006" i="10" s="1"/>
  <c r="B1007" i="10" s="1"/>
  <c r="B1008" i="10" s="1"/>
  <c r="B1009" i="10" s="1"/>
  <c r="B1010" i="10" s="1"/>
  <c r="B1011" i="10" s="1"/>
  <c r="B1012" i="10" s="1"/>
  <c r="B1013" i="10" s="1"/>
  <c r="B1014" i="10" s="1"/>
  <c r="B1015" i="10" s="1"/>
  <c r="B1016" i="10" s="1"/>
  <c r="B1017" i="10" s="1"/>
  <c r="B1018" i="10" s="1"/>
  <c r="B1019" i="10" s="1"/>
  <c r="B1020" i="10" s="1"/>
  <c r="B1021" i="10" s="1"/>
  <c r="B1022" i="10" s="1"/>
  <c r="B1023" i="10" s="1"/>
  <c r="B1024" i="10" s="1"/>
  <c r="B1025" i="10" s="1"/>
  <c r="B1026" i="10" s="1"/>
  <c r="B1027" i="10" s="1"/>
  <c r="B1028" i="10" s="1"/>
  <c r="B1029" i="10" s="1"/>
  <c r="B1030" i="10" s="1"/>
  <c r="B1031" i="10" s="1"/>
  <c r="B1032" i="10" s="1"/>
  <c r="B1033" i="10" s="1"/>
  <c r="B1034" i="10" s="1"/>
  <c r="B1035" i="10" s="1"/>
  <c r="B1036" i="10" s="1"/>
  <c r="B1037" i="10" s="1"/>
  <c r="B1038" i="10" s="1"/>
  <c r="B1039" i="10" s="1"/>
  <c r="B1040" i="10" s="1"/>
  <c r="B1041" i="10" s="1"/>
  <c r="B1042" i="10" s="1"/>
  <c r="B1043" i="10" s="1"/>
  <c r="B1044" i="10" s="1"/>
  <c r="B1045" i="10" s="1"/>
  <c r="B1046" i="10" s="1"/>
  <c r="B1047" i="10" s="1"/>
  <c r="B1048" i="10" s="1"/>
  <c r="B1049" i="10" s="1"/>
  <c r="B1050" i="10" s="1"/>
  <c r="B1051" i="10" s="1"/>
  <c r="B1052" i="10" s="1"/>
  <c r="B1053" i="10" s="1"/>
  <c r="B1054" i="10" s="1"/>
  <c r="B1055" i="10" s="1"/>
  <c r="B1056" i="10" s="1"/>
  <c r="B1057" i="10" s="1"/>
  <c r="B1058" i="10" s="1"/>
  <c r="B1059" i="10" s="1"/>
  <c r="B1060" i="10" s="1"/>
  <c r="B1061" i="10" s="1"/>
  <c r="B1062" i="10" s="1"/>
  <c r="B1063" i="10" s="1"/>
  <c r="B1064" i="10" s="1"/>
  <c r="B1065" i="10" s="1"/>
  <c r="B1066" i="10" s="1"/>
  <c r="B1067" i="10" s="1"/>
  <c r="B1068" i="10" s="1"/>
  <c r="B1069" i="10" s="1"/>
  <c r="B1070" i="10" s="1"/>
  <c r="B1071" i="10" s="1"/>
  <c r="B1072" i="10" s="1"/>
  <c r="B1073" i="10" s="1"/>
  <c r="B1074" i="10" s="1"/>
  <c r="B1075" i="10" s="1"/>
  <c r="B1076" i="10" s="1"/>
  <c r="B1077" i="10" s="1"/>
  <c r="B1078" i="10" s="1"/>
  <c r="B1079" i="10" s="1"/>
  <c r="B1080" i="10" s="1"/>
  <c r="B1081" i="10" s="1"/>
  <c r="B1082" i="10" s="1"/>
  <c r="B1083" i="10" s="1"/>
  <c r="B1084" i="10" s="1"/>
  <c r="B1085" i="10" s="1"/>
  <c r="B1086" i="10" s="1"/>
  <c r="B1087" i="10" s="1"/>
  <c r="B1088" i="10" s="1"/>
  <c r="B1089" i="10" s="1"/>
  <c r="B1090" i="10" s="1"/>
  <c r="B1091" i="10" s="1"/>
  <c r="B1092" i="10" s="1"/>
  <c r="B1093" i="10" s="1"/>
  <c r="B1094" i="10" s="1"/>
  <c r="B1095" i="10" s="1"/>
  <c r="B1096" i="10" s="1"/>
  <c r="B1097" i="10" s="1"/>
  <c r="B1098" i="10" s="1"/>
  <c r="B1099" i="10" s="1"/>
  <c r="B1100" i="10" s="1"/>
  <c r="B1101" i="10" s="1"/>
  <c r="B1102" i="10" s="1"/>
  <c r="B1103" i="10" s="1"/>
  <c r="B1104" i="10" s="1"/>
  <c r="B1105" i="10" s="1"/>
  <c r="B1106" i="10" s="1"/>
  <c r="B1107" i="10" s="1"/>
  <c r="B1108" i="10" s="1"/>
  <c r="B1109" i="10" s="1"/>
  <c r="B1110" i="10" s="1"/>
  <c r="B1111" i="10" s="1"/>
  <c r="B1112" i="10" s="1"/>
  <c r="B1113" i="10" s="1"/>
  <c r="B1114" i="10" s="1"/>
  <c r="B1115" i="10" s="1"/>
  <c r="B1116" i="10" s="1"/>
  <c r="B1117" i="10" s="1"/>
  <c r="B1118" i="10" s="1"/>
  <c r="B1119" i="10" s="1"/>
  <c r="B1120" i="10" s="1"/>
  <c r="B1121" i="10" s="1"/>
  <c r="B1122" i="10" s="1"/>
  <c r="B1123" i="10" s="1"/>
  <c r="B1124" i="10" s="1"/>
  <c r="B1125" i="10" s="1"/>
  <c r="B1126" i="10" s="1"/>
  <c r="B1127" i="10" s="1"/>
  <c r="B1128" i="10" s="1"/>
  <c r="B1129" i="10" s="1"/>
  <c r="B1130" i="10" s="1"/>
  <c r="B1131" i="10" s="1"/>
  <c r="B1132" i="10" s="1"/>
  <c r="B1133" i="10" s="1"/>
  <c r="B1134" i="10" s="1"/>
  <c r="B1135" i="10" s="1"/>
  <c r="B1136" i="10" s="1"/>
  <c r="B1137" i="10" s="1"/>
  <c r="B1138" i="10" s="1"/>
  <c r="B1139" i="10" s="1"/>
  <c r="B1140" i="10" s="1"/>
  <c r="B1141" i="10" s="1"/>
  <c r="B1142" i="10" s="1"/>
  <c r="B1143" i="10" s="1"/>
  <c r="B1144" i="10" s="1"/>
  <c r="B1145" i="10" s="1"/>
  <c r="B1146" i="10" s="1"/>
  <c r="B1147" i="10" s="1"/>
  <c r="B1148" i="10" s="1"/>
  <c r="B1150" i="10" s="1"/>
  <c r="B1151" i="10" s="1"/>
  <c r="B1152" i="10" s="1"/>
  <c r="B1153" i="10" s="1"/>
  <c r="B1154" i="10" s="1"/>
  <c r="B1155" i="10" s="1"/>
  <c r="B1156" i="10" s="1"/>
  <c r="B1157" i="10" s="1"/>
  <c r="B1158" i="10" s="1"/>
  <c r="B1159" i="10" s="1"/>
  <c r="B1160" i="10" s="1"/>
  <c r="B1161" i="10" s="1"/>
  <c r="B1162" i="10" s="1"/>
  <c r="B1163" i="10" s="1"/>
  <c r="B1164" i="10" s="1"/>
  <c r="B1165" i="10" s="1"/>
  <c r="B1166" i="10" s="1"/>
  <c r="B1167" i="10" s="1"/>
  <c r="B1168" i="10" s="1"/>
  <c r="B1169" i="10" s="1"/>
  <c r="B1170" i="10" s="1"/>
  <c r="B1171" i="10" s="1"/>
  <c r="B1172" i="10" s="1"/>
  <c r="B1173" i="10" s="1"/>
  <c r="B1174" i="10" s="1"/>
  <c r="B1175" i="10" s="1"/>
  <c r="B1176" i="10" s="1"/>
  <c r="B1177" i="10" s="1"/>
  <c r="B1178" i="10" s="1"/>
  <c r="B1179" i="10" s="1"/>
  <c r="B1180" i="10" s="1"/>
  <c r="B1181" i="10" s="1"/>
  <c r="B1182" i="10" s="1"/>
  <c r="B1183" i="10" s="1"/>
  <c r="B1184" i="10" s="1"/>
  <c r="B1185" i="10" s="1"/>
  <c r="B1186" i="10" s="1"/>
  <c r="B1187" i="10" s="1"/>
  <c r="B1188" i="10" s="1"/>
  <c r="B1189" i="10" s="1"/>
  <c r="B1190" i="10" s="1"/>
  <c r="B1191" i="10" s="1"/>
  <c r="B1192" i="10" s="1"/>
  <c r="B1193" i="10" s="1"/>
  <c r="B1194" i="10" s="1"/>
  <c r="B1195" i="10" s="1"/>
  <c r="B1196" i="10" s="1"/>
  <c r="B1197" i="10" s="1"/>
  <c r="B1198" i="10" s="1"/>
  <c r="B1199" i="10" s="1"/>
  <c r="B1200" i="10" s="1"/>
  <c r="B1201" i="10" s="1"/>
  <c r="B1202" i="10" s="1"/>
  <c r="B1203" i="10" s="1"/>
  <c r="B1204" i="10" s="1"/>
  <c r="B1205" i="10" s="1"/>
  <c r="B1206" i="10" s="1"/>
  <c r="B1207" i="10" s="1"/>
  <c r="B1208" i="10" s="1"/>
  <c r="B1209" i="10" s="1"/>
  <c r="B1210" i="10" s="1"/>
  <c r="B1211" i="10" s="1"/>
  <c r="B1212" i="10" s="1"/>
  <c r="B1213" i="10" s="1"/>
  <c r="B1214" i="10" s="1"/>
  <c r="B1215" i="10" s="1"/>
  <c r="B1216" i="10" s="1"/>
  <c r="B1217" i="10" s="1"/>
  <c r="B1218" i="10" s="1"/>
  <c r="B1219" i="10" s="1"/>
  <c r="B1220" i="10" s="1"/>
  <c r="B1221" i="10" s="1"/>
  <c r="B1222" i="10" s="1"/>
  <c r="B1223" i="10" s="1"/>
  <c r="B1224" i="10" s="1"/>
  <c r="B1225" i="10" s="1"/>
  <c r="B1226" i="10" s="1"/>
  <c r="B1227" i="10" s="1"/>
  <c r="B1228" i="10" s="1"/>
  <c r="B1229" i="10" s="1"/>
  <c r="B1230" i="10" s="1"/>
  <c r="B1231" i="10" s="1"/>
  <c r="B1232" i="10" s="1"/>
  <c r="B1233" i="10" s="1"/>
  <c r="B1234" i="10" s="1"/>
  <c r="B1235" i="10" s="1"/>
  <c r="B1236" i="10" s="1"/>
  <c r="B1237" i="10" s="1"/>
  <c r="B1238" i="10" s="1"/>
  <c r="B1239" i="10" s="1"/>
  <c r="B1240" i="10" s="1"/>
  <c r="B1241" i="10" s="1"/>
  <c r="B1242" i="10" s="1"/>
  <c r="B1243" i="10" s="1"/>
  <c r="B1244" i="10" s="1"/>
  <c r="B1245" i="10" s="1"/>
  <c r="B1246" i="10" s="1"/>
  <c r="B1247" i="10" s="1"/>
  <c r="B1248" i="10" s="1"/>
  <c r="B1249" i="10" s="1"/>
  <c r="B1250" i="10" s="1"/>
  <c r="B1251" i="10" s="1"/>
  <c r="B1252" i="10" s="1"/>
  <c r="B1253" i="10" s="1"/>
  <c r="B1254" i="10" s="1"/>
  <c r="B1255" i="10" s="1"/>
  <c r="B1256" i="10" s="1"/>
  <c r="B1257" i="10" s="1"/>
  <c r="B1258" i="10" s="1"/>
  <c r="B1259" i="10" s="1"/>
  <c r="B1260" i="10" s="1"/>
  <c r="B1261" i="10" s="1"/>
  <c r="B1262" i="10" s="1"/>
  <c r="B1263" i="10" s="1"/>
  <c r="B1264" i="10" s="1"/>
  <c r="B1265" i="10" s="1"/>
  <c r="B1266" i="10" s="1"/>
  <c r="B1267" i="10" s="1"/>
  <c r="B1268" i="10" s="1"/>
  <c r="B1269" i="10" s="1"/>
  <c r="B1270" i="10" s="1"/>
  <c r="B1271" i="10" s="1"/>
  <c r="B1272" i="10" s="1"/>
  <c r="B1273" i="10" s="1"/>
  <c r="B1274" i="10" s="1"/>
  <c r="B1275" i="10" s="1"/>
  <c r="B1276" i="10" s="1"/>
  <c r="B1277" i="10" s="1"/>
  <c r="B1278" i="10" s="1"/>
  <c r="B1279" i="10" s="1"/>
  <c r="B1280" i="10" s="1"/>
  <c r="B1281" i="10" s="1"/>
  <c r="B1282" i="10" s="1"/>
  <c r="B1283" i="10" s="1"/>
  <c r="B1284" i="10" s="1"/>
  <c r="B1285" i="10" s="1"/>
  <c r="B1286" i="10" s="1"/>
  <c r="B1287" i="10" s="1"/>
  <c r="B1288" i="10" s="1"/>
  <c r="B1289" i="10" s="1"/>
  <c r="B1290" i="10" s="1"/>
  <c r="B1291" i="10" s="1"/>
  <c r="B1292" i="10" s="1"/>
  <c r="B1293" i="10" s="1"/>
  <c r="B1294" i="10" s="1"/>
  <c r="B1295" i="10" s="1"/>
  <c r="B1296" i="10" s="1"/>
  <c r="B1297" i="10" s="1"/>
  <c r="B1298" i="10" s="1"/>
  <c r="B1299" i="10" s="1"/>
  <c r="B1300" i="10" s="1"/>
  <c r="B1301" i="10" s="1"/>
  <c r="B1302" i="10" s="1"/>
  <c r="B1303" i="10" s="1"/>
  <c r="B1304" i="10" s="1"/>
  <c r="B1305" i="10" s="1"/>
  <c r="B1306" i="10" s="1"/>
  <c r="B1307" i="10" s="1"/>
  <c r="B1308" i="10" s="1"/>
  <c r="B1309" i="10" s="1"/>
  <c r="B1310" i="10" s="1"/>
  <c r="B1311" i="10" s="1"/>
  <c r="B1312" i="10" s="1"/>
  <c r="B1313" i="10" s="1"/>
  <c r="B1314" i="10" s="1"/>
  <c r="B1315" i="10" s="1"/>
  <c r="B1316" i="10" s="1"/>
  <c r="B1317" i="10" s="1"/>
  <c r="B1318" i="10" s="1"/>
  <c r="B1319" i="10" s="1"/>
  <c r="B1320" i="10" s="1"/>
  <c r="B1321" i="10" s="1"/>
  <c r="B1322" i="10" s="1"/>
  <c r="B1323" i="10" s="1"/>
  <c r="B1324" i="10" s="1"/>
  <c r="B1325" i="10" s="1"/>
  <c r="B1326" i="10" s="1"/>
  <c r="B1327" i="10" s="1"/>
  <c r="B1328" i="10" s="1"/>
  <c r="B1329" i="10" s="1"/>
  <c r="B1330" i="10" s="1"/>
  <c r="B1331" i="10" s="1"/>
  <c r="B1332" i="10" s="1"/>
  <c r="B1333" i="10" s="1"/>
  <c r="B1334" i="10" s="1"/>
  <c r="B1335" i="10" s="1"/>
  <c r="B1336" i="10" s="1"/>
  <c r="B1337" i="10" s="1"/>
  <c r="B1338" i="10" s="1"/>
  <c r="B1339" i="10" s="1"/>
  <c r="B1340" i="10" s="1"/>
  <c r="B1341" i="10" s="1"/>
  <c r="B1342" i="10" s="1"/>
  <c r="B1343" i="10" s="1"/>
  <c r="B1344" i="10" s="1"/>
  <c r="B1345" i="10" s="1"/>
  <c r="B1346" i="10" s="1"/>
  <c r="B1347" i="10" s="1"/>
  <c r="B1348" i="10" s="1"/>
  <c r="B1349" i="10" s="1"/>
  <c r="B1350" i="10" s="1"/>
  <c r="B1351" i="10" s="1"/>
  <c r="B1352" i="10" s="1"/>
  <c r="B1353" i="10" s="1"/>
  <c r="B1354" i="10" s="1"/>
  <c r="B1355" i="10" s="1"/>
  <c r="B1356" i="10" s="1"/>
  <c r="B1357" i="10" s="1"/>
  <c r="B1358" i="10" s="1"/>
  <c r="B1359" i="10" s="1"/>
  <c r="B1360" i="10" s="1"/>
  <c r="B1361" i="10" s="1"/>
  <c r="B1362" i="10" s="1"/>
  <c r="B1363" i="10" s="1"/>
  <c r="B1364" i="10" s="1"/>
  <c r="B1365" i="10" s="1"/>
  <c r="B1366" i="10" s="1"/>
  <c r="B1367" i="10" s="1"/>
  <c r="B1368" i="10" s="1"/>
  <c r="B1369" i="10" s="1"/>
  <c r="B1370" i="10" s="1"/>
  <c r="B1371" i="10" s="1"/>
  <c r="B1372" i="10" s="1"/>
  <c r="B1373" i="10" s="1"/>
  <c r="B1374" i="10" s="1"/>
  <c r="B1375" i="10" s="1"/>
  <c r="B1376" i="10" s="1"/>
  <c r="B1377" i="10" s="1"/>
  <c r="B984" i="10"/>
  <c r="B983" i="10"/>
  <c r="B982" i="10"/>
  <c r="B981" i="10"/>
  <c r="B980" i="10"/>
  <c r="B979" i="10"/>
  <c r="B978" i="10"/>
  <c r="B977" i="10"/>
  <c r="B976" i="10"/>
  <c r="B975" i="10"/>
  <c r="B974" i="10"/>
  <c r="B973" i="10"/>
  <c r="B972" i="10"/>
  <c r="B971" i="10"/>
  <c r="B970" i="10"/>
  <c r="B969" i="10"/>
  <c r="B968" i="10"/>
  <c r="B967" i="10"/>
  <c r="B966" i="10"/>
  <c r="B965" i="10"/>
  <c r="B964" i="10"/>
  <c r="B963" i="10"/>
  <c r="B962" i="10"/>
  <c r="B961" i="10"/>
  <c r="B960" i="10"/>
  <c r="B959" i="10"/>
  <c r="B958" i="10"/>
  <c r="B957" i="10"/>
  <c r="B956" i="10"/>
  <c r="B955" i="10"/>
  <c r="B954" i="10"/>
  <c r="B953" i="10"/>
  <c r="B952" i="10"/>
  <c r="B951" i="10"/>
  <c r="B950" i="10"/>
  <c r="B949" i="10"/>
  <c r="B948" i="10"/>
  <c r="B947" i="10"/>
  <c r="B946" i="10"/>
  <c r="B945" i="10"/>
  <c r="B944" i="10"/>
  <c r="B943" i="10"/>
  <c r="B942" i="10"/>
  <c r="B941" i="10"/>
  <c r="B940" i="10"/>
  <c r="B939" i="10"/>
  <c r="B938" i="10"/>
  <c r="B937" i="10"/>
  <c r="B936" i="10"/>
  <c r="B935" i="10"/>
  <c r="B934" i="10"/>
  <c r="B933" i="10"/>
  <c r="B932" i="10"/>
  <c r="B931" i="10"/>
  <c r="B930" i="10"/>
  <c r="B929" i="10"/>
  <c r="B928" i="10"/>
  <c r="B927" i="10"/>
  <c r="B926" i="10"/>
  <c r="B925" i="10"/>
  <c r="B924" i="10"/>
  <c r="B923" i="10"/>
  <c r="B922" i="10"/>
  <c r="B921" i="10"/>
  <c r="B919" i="10"/>
  <c r="B918" i="10"/>
  <c r="B917" i="10"/>
  <c r="B916" i="10"/>
  <c r="B915" i="10"/>
  <c r="B914" i="10"/>
  <c r="B913" i="10"/>
  <c r="B912" i="10"/>
  <c r="B911" i="10"/>
  <c r="B910" i="10"/>
  <c r="B909" i="10"/>
  <c r="B908" i="10"/>
  <c r="B907" i="10"/>
  <c r="B906" i="10"/>
  <c r="B905" i="10"/>
  <c r="B904" i="10"/>
  <c r="B903" i="10"/>
  <c r="B902" i="10"/>
  <c r="B901" i="10"/>
  <c r="B900" i="10"/>
  <c r="B899" i="10"/>
  <c r="B898" i="10"/>
  <c r="B897" i="10"/>
  <c r="B896" i="10"/>
  <c r="B895" i="10"/>
  <c r="B894" i="10"/>
  <c r="B893" i="10"/>
  <c r="B892" i="10"/>
  <c r="B891" i="10"/>
  <c r="B890" i="10"/>
  <c r="B889" i="10"/>
  <c r="B888" i="10"/>
  <c r="B887" i="10"/>
  <c r="B886" i="10"/>
  <c r="B885" i="10"/>
  <c r="B884" i="10"/>
  <c r="B883" i="10"/>
  <c r="B882" i="10"/>
  <c r="B881" i="10"/>
  <c r="B880" i="10"/>
  <c r="B879" i="10"/>
  <c r="B878" i="10"/>
  <c r="B877" i="10"/>
  <c r="B876" i="10"/>
  <c r="B875" i="10"/>
  <c r="B874" i="10"/>
  <c r="B873" i="10"/>
  <c r="B872" i="10"/>
  <c r="B871" i="10"/>
  <c r="B870" i="10"/>
  <c r="B869" i="10"/>
  <c r="B868" i="10"/>
  <c r="B867" i="10"/>
  <c r="B866" i="10"/>
  <c r="B865" i="10"/>
  <c r="B864" i="10"/>
  <c r="B863" i="10"/>
  <c r="B862" i="10"/>
  <c r="B861" i="10"/>
  <c r="B860" i="10"/>
  <c r="B859" i="10"/>
  <c r="B858" i="10"/>
  <c r="B857" i="10"/>
  <c r="B856" i="10"/>
  <c r="B855" i="10"/>
  <c r="B854" i="10"/>
  <c r="B853" i="10"/>
  <c r="B852" i="10"/>
  <c r="B851" i="10"/>
  <c r="B850" i="10"/>
  <c r="B849" i="10"/>
  <c r="B848" i="10"/>
  <c r="B847" i="10"/>
  <c r="B846" i="10"/>
  <c r="B845" i="10"/>
  <c r="B844" i="10"/>
  <c r="B843" i="10"/>
  <c r="B842" i="10"/>
  <c r="B841" i="10"/>
  <c r="B840" i="10"/>
  <c r="B839" i="10"/>
  <c r="B838" i="10"/>
  <c r="B837" i="10"/>
  <c r="B836" i="10"/>
  <c r="B835" i="10"/>
  <c r="B834" i="10"/>
  <c r="B833" i="10"/>
  <c r="B832" i="10"/>
  <c r="B831" i="10"/>
  <c r="B830" i="10"/>
  <c r="B829" i="10"/>
  <c r="B828" i="10"/>
  <c r="B827" i="10"/>
  <c r="B826" i="10"/>
  <c r="B825" i="10"/>
  <c r="B824" i="10"/>
  <c r="B823" i="10"/>
  <c r="B822" i="10"/>
  <c r="B821" i="10"/>
  <c r="B820" i="10"/>
  <c r="B819" i="10"/>
  <c r="B818" i="10"/>
  <c r="B817" i="10"/>
  <c r="B816" i="10"/>
  <c r="B815" i="10"/>
  <c r="B814" i="10"/>
  <c r="B813" i="10"/>
  <c r="B812" i="10"/>
  <c r="B811" i="10"/>
  <c r="B810" i="10"/>
  <c r="B809" i="10"/>
  <c r="B808" i="10"/>
  <c r="B807" i="10"/>
  <c r="B806" i="10"/>
  <c r="B805" i="10"/>
  <c r="B804" i="10"/>
  <c r="B803" i="10"/>
  <c r="B802" i="10"/>
  <c r="B801" i="10"/>
  <c r="B800" i="10"/>
  <c r="B799" i="10"/>
  <c r="B798" i="10"/>
  <c r="B797" i="10"/>
  <c r="B796" i="10"/>
  <c r="B795" i="10"/>
  <c r="B794" i="10"/>
  <c r="B793" i="10"/>
  <c r="B792" i="10"/>
  <c r="B791" i="10"/>
  <c r="B790" i="10"/>
  <c r="B789" i="10"/>
  <c r="B788" i="10"/>
  <c r="B787" i="10"/>
  <c r="B786" i="10"/>
  <c r="B785" i="10"/>
  <c r="B784" i="10"/>
  <c r="B783" i="10"/>
  <c r="B782" i="10"/>
  <c r="B781" i="10"/>
  <c r="B780" i="10"/>
  <c r="B779" i="10"/>
  <c r="B778" i="10"/>
  <c r="B777" i="10"/>
  <c r="B776" i="10"/>
  <c r="B775" i="10"/>
  <c r="B774" i="10"/>
  <c r="B773" i="10"/>
  <c r="B772" i="10"/>
  <c r="B771" i="10"/>
  <c r="B770" i="10"/>
  <c r="B769" i="10"/>
  <c r="B768" i="10"/>
  <c r="B767" i="10"/>
  <c r="B766" i="10"/>
  <c r="B765" i="10"/>
  <c r="B764" i="10"/>
  <c r="B763" i="10"/>
  <c r="B762" i="10"/>
  <c r="B761" i="10"/>
  <c r="B760" i="10"/>
  <c r="B759" i="10"/>
  <c r="B758" i="10"/>
  <c r="B757" i="10"/>
  <c r="B756" i="10"/>
  <c r="B755" i="10"/>
  <c r="B754" i="10"/>
  <c r="B753" i="10"/>
  <c r="B752" i="10"/>
  <c r="B751" i="10"/>
  <c r="B750" i="10"/>
  <c r="B749" i="10"/>
  <c r="B748" i="10"/>
  <c r="B747" i="10"/>
  <c r="B746" i="10"/>
  <c r="B745" i="10"/>
  <c r="B744" i="10"/>
  <c r="B743" i="10"/>
  <c r="B742" i="10"/>
  <c r="B741" i="10"/>
  <c r="B740" i="10"/>
  <c r="B739" i="10"/>
  <c r="B738" i="10"/>
  <c r="B737" i="10"/>
  <c r="B736" i="10"/>
  <c r="B735" i="10"/>
  <c r="B734" i="10"/>
  <c r="B733" i="10"/>
  <c r="B732" i="10"/>
  <c r="B731" i="10"/>
  <c r="B730" i="10"/>
  <c r="B729" i="10"/>
  <c r="B728" i="10"/>
  <c r="B727" i="10"/>
  <c r="B726" i="10"/>
  <c r="B725" i="10"/>
  <c r="B724" i="10"/>
  <c r="B723" i="10"/>
  <c r="B722" i="10"/>
  <c r="B721" i="10"/>
  <c r="B720" i="10"/>
  <c r="B719" i="10"/>
  <c r="B718" i="10"/>
  <c r="B717" i="10"/>
  <c r="B716" i="10"/>
  <c r="B715" i="10"/>
  <c r="B714" i="10"/>
  <c r="B713" i="10"/>
  <c r="B712" i="10"/>
  <c r="B711" i="10"/>
  <c r="B710" i="10"/>
  <c r="B709" i="10"/>
  <c r="B708" i="10"/>
  <c r="B707" i="10"/>
  <c r="B706" i="10"/>
  <c r="B705" i="10"/>
  <c r="B704" i="10"/>
  <c r="B703" i="10"/>
  <c r="B702" i="10"/>
  <c r="B701" i="10"/>
  <c r="B700" i="10"/>
  <c r="B699" i="10"/>
  <c r="B698" i="10"/>
  <c r="B697" i="10"/>
  <c r="B696" i="10"/>
  <c r="B695" i="10"/>
  <c r="B694" i="10"/>
  <c r="B693" i="10"/>
  <c r="B692" i="10"/>
  <c r="B690" i="10"/>
  <c r="B689" i="10"/>
  <c r="B688" i="10"/>
  <c r="B687" i="10"/>
  <c r="B686" i="10"/>
  <c r="B685" i="10"/>
  <c r="B684" i="10"/>
  <c r="B683" i="10"/>
  <c r="B682" i="10"/>
  <c r="B681" i="10"/>
  <c r="B680" i="10"/>
  <c r="B679" i="10"/>
  <c r="B678" i="10"/>
  <c r="B677" i="10"/>
  <c r="B676" i="10"/>
  <c r="B675" i="10"/>
  <c r="B674" i="10"/>
  <c r="B673" i="10"/>
  <c r="B672" i="10"/>
  <c r="B671" i="10"/>
  <c r="B670" i="10"/>
  <c r="B669" i="10"/>
  <c r="B668" i="10"/>
  <c r="B667" i="10"/>
  <c r="B666" i="10"/>
  <c r="B665" i="10"/>
  <c r="B664" i="10"/>
  <c r="B663" i="10"/>
  <c r="B662" i="10"/>
  <c r="B661" i="10"/>
  <c r="B660" i="10"/>
  <c r="B659" i="10"/>
  <c r="B658" i="10"/>
  <c r="B657" i="10"/>
  <c r="B656" i="10"/>
  <c r="B655" i="10"/>
  <c r="B654" i="10"/>
  <c r="B653" i="10"/>
  <c r="B652" i="10"/>
  <c r="B651" i="10"/>
  <c r="B650" i="10"/>
  <c r="B649" i="10"/>
  <c r="B648" i="10"/>
  <c r="B647" i="10"/>
  <c r="B646" i="10"/>
  <c r="B645" i="10"/>
  <c r="B644" i="10"/>
  <c r="B643" i="10"/>
  <c r="B642" i="10"/>
  <c r="B641" i="10"/>
  <c r="B640" i="10"/>
  <c r="B639" i="10"/>
  <c r="B638" i="10"/>
  <c r="B637" i="10"/>
  <c r="B636" i="10"/>
  <c r="B635" i="10"/>
  <c r="B634" i="10"/>
  <c r="B633" i="10"/>
  <c r="B632" i="10"/>
  <c r="B631" i="10"/>
  <c r="B630" i="10"/>
  <c r="B629" i="10"/>
  <c r="B628" i="10"/>
  <c r="B627" i="10"/>
  <c r="B626" i="10"/>
  <c r="B625" i="10"/>
  <c r="B624" i="10"/>
  <c r="B623" i="10"/>
  <c r="B622" i="10"/>
  <c r="B621" i="10"/>
  <c r="B620" i="10"/>
  <c r="B619" i="10"/>
  <c r="B618" i="10"/>
  <c r="B617" i="10"/>
  <c r="B616" i="10"/>
  <c r="B615" i="10"/>
  <c r="B614" i="10"/>
  <c r="B613" i="10"/>
  <c r="B612" i="10"/>
  <c r="B611" i="10"/>
  <c r="B610" i="10"/>
  <c r="B609" i="10"/>
  <c r="B608" i="10"/>
  <c r="B607" i="10"/>
  <c r="B606" i="10"/>
  <c r="B605" i="10"/>
  <c r="B604" i="10"/>
  <c r="B603" i="10"/>
  <c r="B602" i="10"/>
  <c r="B601" i="10"/>
  <c r="B600" i="10"/>
  <c r="B599" i="10"/>
  <c r="B598" i="10"/>
  <c r="B597" i="10"/>
  <c r="B596" i="10"/>
  <c r="B595" i="10"/>
  <c r="B594" i="10"/>
  <c r="B593" i="10"/>
  <c r="B592" i="10"/>
  <c r="B591" i="10"/>
  <c r="B590" i="10"/>
  <c r="B589" i="10"/>
  <c r="B588" i="10"/>
  <c r="B587" i="10"/>
  <c r="B586" i="10"/>
  <c r="B585" i="10"/>
  <c r="B584" i="10"/>
  <c r="B583" i="10"/>
  <c r="B582" i="10"/>
  <c r="B581" i="10"/>
  <c r="B580" i="10"/>
  <c r="B579" i="10"/>
  <c r="B578" i="10"/>
  <c r="B577" i="10"/>
  <c r="B576" i="10"/>
  <c r="B575" i="10"/>
  <c r="B574" i="10"/>
  <c r="B573" i="10"/>
  <c r="B572" i="10"/>
  <c r="B571" i="10"/>
  <c r="B570" i="10"/>
  <c r="B569" i="10"/>
  <c r="B568" i="10"/>
  <c r="B567" i="10"/>
  <c r="B566" i="10"/>
  <c r="B565" i="10"/>
  <c r="B564" i="10"/>
  <c r="B563" i="10"/>
  <c r="B562" i="10"/>
  <c r="B561" i="10"/>
  <c r="B560" i="10"/>
  <c r="B559" i="10"/>
  <c r="B558" i="10"/>
  <c r="B557" i="10"/>
  <c r="B556" i="10"/>
  <c r="B555" i="10"/>
  <c r="B554" i="10"/>
  <c r="B553" i="10"/>
  <c r="B552" i="10"/>
  <c r="B551" i="10"/>
  <c r="B550" i="10"/>
  <c r="B549" i="10"/>
  <c r="B548" i="10"/>
  <c r="B547" i="10"/>
  <c r="B546" i="10"/>
  <c r="B545" i="10"/>
  <c r="B544" i="10"/>
  <c r="B543" i="10"/>
  <c r="B542" i="10"/>
  <c r="B541" i="10"/>
  <c r="B540" i="10"/>
  <c r="B539" i="10"/>
  <c r="B538" i="10"/>
  <c r="B537" i="10"/>
  <c r="B536" i="10"/>
  <c r="B535" i="10"/>
  <c r="B534" i="10"/>
  <c r="B533" i="10"/>
  <c r="B532" i="10"/>
  <c r="B531" i="10"/>
  <c r="B530" i="10"/>
  <c r="B529" i="10"/>
  <c r="B528" i="10"/>
  <c r="B527" i="10"/>
  <c r="B526" i="10"/>
  <c r="B525" i="10"/>
  <c r="B524" i="10"/>
  <c r="B523" i="10"/>
  <c r="B522" i="10"/>
  <c r="B521" i="10"/>
  <c r="B520" i="10"/>
  <c r="B519" i="10"/>
  <c r="B518" i="10"/>
  <c r="B517" i="10"/>
  <c r="B516" i="10"/>
  <c r="B515" i="10"/>
  <c r="B514" i="10"/>
  <c r="B513" i="10"/>
  <c r="B512" i="10"/>
  <c r="B511" i="10"/>
  <c r="B510" i="10"/>
  <c r="B509" i="10"/>
  <c r="B508" i="10"/>
  <c r="B507" i="10"/>
  <c r="B506" i="10"/>
  <c r="B505" i="10"/>
  <c r="B504" i="10"/>
  <c r="B503" i="10"/>
  <c r="B502" i="10"/>
  <c r="B501" i="10"/>
  <c r="B500" i="10"/>
  <c r="B499" i="10"/>
  <c r="B498" i="10"/>
  <c r="B497" i="10"/>
  <c r="B496" i="10"/>
  <c r="B495" i="10"/>
  <c r="B494" i="10"/>
  <c r="B493" i="10"/>
  <c r="B492" i="10"/>
  <c r="B491" i="10"/>
  <c r="B490" i="10"/>
  <c r="B489" i="10"/>
  <c r="B488" i="10"/>
  <c r="B487" i="10"/>
  <c r="B486" i="10"/>
  <c r="B485" i="10"/>
  <c r="B484" i="10"/>
  <c r="B483" i="10"/>
  <c r="B482" i="10"/>
  <c r="B481" i="10"/>
  <c r="B480" i="10"/>
  <c r="B479" i="10"/>
  <c r="B478" i="10"/>
  <c r="B477" i="10"/>
  <c r="B476" i="10"/>
  <c r="B475" i="10"/>
  <c r="B474" i="10"/>
  <c r="B473" i="10"/>
  <c r="B472" i="10"/>
  <c r="B471" i="10"/>
  <c r="B470" i="10"/>
  <c r="B469" i="10"/>
  <c r="B468" i="10"/>
  <c r="B467" i="10"/>
  <c r="B466" i="10"/>
  <c r="B465" i="10"/>
  <c r="B464" i="10"/>
  <c r="B463" i="10"/>
  <c r="G1385" i="9"/>
  <c r="H1385" i="9" s="1"/>
  <c r="F1385" i="9"/>
  <c r="E1385" i="9"/>
  <c r="D1385" i="9"/>
  <c r="G1384" i="9"/>
  <c r="H1384" i="9" s="1"/>
  <c r="F1384" i="9"/>
  <c r="E1384" i="9"/>
  <c r="D1384" i="9"/>
  <c r="G1383" i="9"/>
  <c r="H1383" i="9" s="1"/>
  <c r="F1383" i="9"/>
  <c r="E1383" i="9"/>
  <c r="D1383" i="9"/>
  <c r="G1382" i="9"/>
  <c r="F1382" i="9"/>
  <c r="F1386" i="9" s="1"/>
  <c r="E1382" i="9"/>
  <c r="E1386" i="9" s="1"/>
  <c r="D1382" i="9"/>
  <c r="D1386" i="9" s="1"/>
  <c r="B985" i="9"/>
  <c r="B986" i="9" s="1"/>
  <c r="B987" i="9" s="1"/>
  <c r="B988" i="9" s="1"/>
  <c r="B989" i="9" s="1"/>
  <c r="B990" i="9" s="1"/>
  <c r="B991" i="9" s="1"/>
  <c r="B992" i="9" s="1"/>
  <c r="B993" i="9" s="1"/>
  <c r="B994" i="9" s="1"/>
  <c r="B995" i="9" s="1"/>
  <c r="B996" i="9" s="1"/>
  <c r="B997" i="9" s="1"/>
  <c r="B998" i="9" s="1"/>
  <c r="B999" i="9" s="1"/>
  <c r="B1000" i="9" s="1"/>
  <c r="B1001" i="9" s="1"/>
  <c r="B1002" i="9" s="1"/>
  <c r="B1003" i="9" s="1"/>
  <c r="B1004" i="9" s="1"/>
  <c r="B1005" i="9" s="1"/>
  <c r="B1006" i="9" s="1"/>
  <c r="B1007" i="9" s="1"/>
  <c r="B1008" i="9" s="1"/>
  <c r="B1009" i="9" s="1"/>
  <c r="B1010" i="9" s="1"/>
  <c r="B1011" i="9" s="1"/>
  <c r="B1012" i="9" s="1"/>
  <c r="B1013" i="9" s="1"/>
  <c r="B1014" i="9" s="1"/>
  <c r="B1015" i="9" s="1"/>
  <c r="B1016" i="9" s="1"/>
  <c r="B1017" i="9" s="1"/>
  <c r="B1018" i="9" s="1"/>
  <c r="B1019" i="9" s="1"/>
  <c r="B1020" i="9" s="1"/>
  <c r="B1021" i="9" s="1"/>
  <c r="B1022" i="9" s="1"/>
  <c r="B1023" i="9" s="1"/>
  <c r="B1024" i="9" s="1"/>
  <c r="B1025" i="9" s="1"/>
  <c r="B1026" i="9" s="1"/>
  <c r="B1027" i="9" s="1"/>
  <c r="B1028" i="9" s="1"/>
  <c r="B1029" i="9" s="1"/>
  <c r="B1030" i="9" s="1"/>
  <c r="B1031" i="9" s="1"/>
  <c r="B1032" i="9" s="1"/>
  <c r="B1033" i="9" s="1"/>
  <c r="B1034" i="9" s="1"/>
  <c r="B1035" i="9" s="1"/>
  <c r="B1036" i="9" s="1"/>
  <c r="B1037" i="9" s="1"/>
  <c r="B1038" i="9" s="1"/>
  <c r="B1039" i="9" s="1"/>
  <c r="B1040" i="9" s="1"/>
  <c r="B1041" i="9" s="1"/>
  <c r="B1042" i="9" s="1"/>
  <c r="B1043" i="9" s="1"/>
  <c r="B1044" i="9" s="1"/>
  <c r="B1045" i="9" s="1"/>
  <c r="B1046" i="9" s="1"/>
  <c r="B1047" i="9" s="1"/>
  <c r="B1048" i="9" s="1"/>
  <c r="B1049" i="9" s="1"/>
  <c r="B1050" i="9" s="1"/>
  <c r="B1051" i="9" s="1"/>
  <c r="B1052" i="9" s="1"/>
  <c r="B1053" i="9" s="1"/>
  <c r="B1054" i="9" s="1"/>
  <c r="B1055" i="9" s="1"/>
  <c r="B1056" i="9" s="1"/>
  <c r="B1057" i="9" s="1"/>
  <c r="B1058" i="9" s="1"/>
  <c r="B1059" i="9" s="1"/>
  <c r="B1060" i="9" s="1"/>
  <c r="B1061" i="9" s="1"/>
  <c r="B1062" i="9" s="1"/>
  <c r="B1063" i="9" s="1"/>
  <c r="B1064" i="9" s="1"/>
  <c r="B1065" i="9" s="1"/>
  <c r="B1066" i="9" s="1"/>
  <c r="B1067" i="9" s="1"/>
  <c r="B1068" i="9" s="1"/>
  <c r="B1069" i="9" s="1"/>
  <c r="B1070" i="9" s="1"/>
  <c r="B1071" i="9" s="1"/>
  <c r="B1072" i="9" s="1"/>
  <c r="B1073" i="9" s="1"/>
  <c r="B1074" i="9" s="1"/>
  <c r="B1075" i="9" s="1"/>
  <c r="B1076" i="9" s="1"/>
  <c r="B1077" i="9" s="1"/>
  <c r="B1078" i="9" s="1"/>
  <c r="B1079" i="9" s="1"/>
  <c r="B1080" i="9" s="1"/>
  <c r="B1081" i="9" s="1"/>
  <c r="B1082" i="9" s="1"/>
  <c r="B1083" i="9" s="1"/>
  <c r="B1084" i="9" s="1"/>
  <c r="B1085" i="9" s="1"/>
  <c r="B1086" i="9" s="1"/>
  <c r="B1087" i="9" s="1"/>
  <c r="B1088" i="9" s="1"/>
  <c r="B1089" i="9" s="1"/>
  <c r="B1090" i="9" s="1"/>
  <c r="B1091" i="9" s="1"/>
  <c r="B1092" i="9" s="1"/>
  <c r="B1093" i="9" s="1"/>
  <c r="B1094" i="9" s="1"/>
  <c r="B1095" i="9" s="1"/>
  <c r="B1096" i="9" s="1"/>
  <c r="B1097" i="9" s="1"/>
  <c r="B1098" i="9" s="1"/>
  <c r="B1099" i="9" s="1"/>
  <c r="B1100" i="9" s="1"/>
  <c r="B1101" i="9" s="1"/>
  <c r="B1102" i="9" s="1"/>
  <c r="B1103" i="9" s="1"/>
  <c r="B1104" i="9" s="1"/>
  <c r="B1105" i="9" s="1"/>
  <c r="B1106" i="9" s="1"/>
  <c r="B1107" i="9" s="1"/>
  <c r="B1108" i="9" s="1"/>
  <c r="B1109" i="9" s="1"/>
  <c r="B1110" i="9" s="1"/>
  <c r="B1111" i="9" s="1"/>
  <c r="B1112" i="9" s="1"/>
  <c r="B1113" i="9" s="1"/>
  <c r="B1114" i="9" s="1"/>
  <c r="B1115" i="9" s="1"/>
  <c r="B1116" i="9" s="1"/>
  <c r="B1117" i="9" s="1"/>
  <c r="B1118" i="9" s="1"/>
  <c r="B1119" i="9" s="1"/>
  <c r="B1120" i="9" s="1"/>
  <c r="B1121" i="9" s="1"/>
  <c r="B1122" i="9" s="1"/>
  <c r="B1123" i="9" s="1"/>
  <c r="B1124" i="9" s="1"/>
  <c r="B1125" i="9" s="1"/>
  <c r="B1126" i="9" s="1"/>
  <c r="B1127" i="9" s="1"/>
  <c r="B1128" i="9" s="1"/>
  <c r="B1129" i="9" s="1"/>
  <c r="B1130" i="9" s="1"/>
  <c r="B1131" i="9" s="1"/>
  <c r="B1132" i="9" s="1"/>
  <c r="B1133" i="9" s="1"/>
  <c r="B1134" i="9" s="1"/>
  <c r="B1135" i="9" s="1"/>
  <c r="B1136" i="9" s="1"/>
  <c r="B1137" i="9" s="1"/>
  <c r="B1138" i="9" s="1"/>
  <c r="B1139" i="9" s="1"/>
  <c r="B1140" i="9" s="1"/>
  <c r="B1141" i="9" s="1"/>
  <c r="B1142" i="9" s="1"/>
  <c r="B1143" i="9" s="1"/>
  <c r="B1144" i="9" s="1"/>
  <c r="B1145" i="9" s="1"/>
  <c r="B1146" i="9" s="1"/>
  <c r="B1147" i="9" s="1"/>
  <c r="B1148" i="9" s="1"/>
  <c r="B1150" i="9" s="1"/>
  <c r="B1151" i="9" s="1"/>
  <c r="B1152" i="9" s="1"/>
  <c r="B1153" i="9" s="1"/>
  <c r="B1154" i="9" s="1"/>
  <c r="B1155" i="9" s="1"/>
  <c r="B1156" i="9" s="1"/>
  <c r="B1157" i="9" s="1"/>
  <c r="B1158" i="9" s="1"/>
  <c r="B1159" i="9" s="1"/>
  <c r="B1160" i="9" s="1"/>
  <c r="B1161" i="9" s="1"/>
  <c r="B1162" i="9" s="1"/>
  <c r="B1163" i="9" s="1"/>
  <c r="B1164" i="9" s="1"/>
  <c r="B1165" i="9" s="1"/>
  <c r="B1166" i="9" s="1"/>
  <c r="B1167" i="9" s="1"/>
  <c r="B1168" i="9" s="1"/>
  <c r="B1169" i="9" s="1"/>
  <c r="B1170" i="9" s="1"/>
  <c r="B1171" i="9" s="1"/>
  <c r="B1172" i="9" s="1"/>
  <c r="B1173" i="9" s="1"/>
  <c r="B1174" i="9" s="1"/>
  <c r="B1175" i="9" s="1"/>
  <c r="B1176" i="9" s="1"/>
  <c r="B1177" i="9" s="1"/>
  <c r="B1178" i="9" s="1"/>
  <c r="B1179" i="9" s="1"/>
  <c r="B1180" i="9" s="1"/>
  <c r="B1181" i="9" s="1"/>
  <c r="B1182" i="9" s="1"/>
  <c r="B1183" i="9" s="1"/>
  <c r="B1184" i="9" s="1"/>
  <c r="B1185" i="9" s="1"/>
  <c r="B1186" i="9" s="1"/>
  <c r="B1187" i="9" s="1"/>
  <c r="B1188" i="9" s="1"/>
  <c r="B1189" i="9" s="1"/>
  <c r="B1190" i="9" s="1"/>
  <c r="B1191" i="9" s="1"/>
  <c r="B1192" i="9" s="1"/>
  <c r="B1193" i="9" s="1"/>
  <c r="B1194" i="9" s="1"/>
  <c r="B1195" i="9" s="1"/>
  <c r="B1196" i="9" s="1"/>
  <c r="B1197" i="9" s="1"/>
  <c r="B1198" i="9" s="1"/>
  <c r="B1199" i="9" s="1"/>
  <c r="B1200" i="9" s="1"/>
  <c r="B1201" i="9" s="1"/>
  <c r="B1202" i="9" s="1"/>
  <c r="B1203" i="9" s="1"/>
  <c r="B1204" i="9" s="1"/>
  <c r="B1205" i="9" s="1"/>
  <c r="B1206" i="9" s="1"/>
  <c r="B1207" i="9" s="1"/>
  <c r="B1208" i="9" s="1"/>
  <c r="B1209" i="9" s="1"/>
  <c r="B1210" i="9" s="1"/>
  <c r="B1211" i="9" s="1"/>
  <c r="B1212" i="9" s="1"/>
  <c r="B1213" i="9" s="1"/>
  <c r="B1214" i="9" s="1"/>
  <c r="B1215" i="9" s="1"/>
  <c r="B1216" i="9" s="1"/>
  <c r="B1217" i="9" s="1"/>
  <c r="B1218" i="9" s="1"/>
  <c r="B1219" i="9" s="1"/>
  <c r="B1220" i="9" s="1"/>
  <c r="B1221" i="9" s="1"/>
  <c r="B1222" i="9" s="1"/>
  <c r="B1223" i="9" s="1"/>
  <c r="B1224" i="9" s="1"/>
  <c r="B1225" i="9" s="1"/>
  <c r="B1226" i="9" s="1"/>
  <c r="B1227" i="9" s="1"/>
  <c r="B1228" i="9" s="1"/>
  <c r="B1229" i="9" s="1"/>
  <c r="B1230" i="9" s="1"/>
  <c r="B1231" i="9" s="1"/>
  <c r="B1232" i="9" s="1"/>
  <c r="B1233" i="9" s="1"/>
  <c r="B1234" i="9" s="1"/>
  <c r="B1235" i="9" s="1"/>
  <c r="B1236" i="9" s="1"/>
  <c r="B1237" i="9" s="1"/>
  <c r="B1238" i="9" s="1"/>
  <c r="B1239" i="9" s="1"/>
  <c r="B1240" i="9" s="1"/>
  <c r="B1241" i="9" s="1"/>
  <c r="B1242" i="9" s="1"/>
  <c r="B1243" i="9" s="1"/>
  <c r="B1244" i="9" s="1"/>
  <c r="B1245" i="9" s="1"/>
  <c r="B1246" i="9" s="1"/>
  <c r="B1247" i="9" s="1"/>
  <c r="B1248" i="9" s="1"/>
  <c r="B1249" i="9" s="1"/>
  <c r="B1250" i="9" s="1"/>
  <c r="B1251" i="9" s="1"/>
  <c r="B1252" i="9" s="1"/>
  <c r="B1253" i="9" s="1"/>
  <c r="B1254" i="9" s="1"/>
  <c r="B1255" i="9" s="1"/>
  <c r="B1256" i="9" s="1"/>
  <c r="B1257" i="9" s="1"/>
  <c r="B1258" i="9" s="1"/>
  <c r="B1259" i="9" s="1"/>
  <c r="B1260" i="9" s="1"/>
  <c r="B1261" i="9" s="1"/>
  <c r="B1262" i="9" s="1"/>
  <c r="B1263" i="9" s="1"/>
  <c r="B1264" i="9" s="1"/>
  <c r="B1265" i="9" s="1"/>
  <c r="B1266" i="9" s="1"/>
  <c r="B1267" i="9" s="1"/>
  <c r="B1268" i="9" s="1"/>
  <c r="B1269" i="9" s="1"/>
  <c r="B1270" i="9" s="1"/>
  <c r="B1271" i="9" s="1"/>
  <c r="B1272" i="9" s="1"/>
  <c r="B1273" i="9" s="1"/>
  <c r="B1274" i="9" s="1"/>
  <c r="B1275" i="9" s="1"/>
  <c r="B1276" i="9" s="1"/>
  <c r="B1277" i="9" s="1"/>
  <c r="B1278" i="9" s="1"/>
  <c r="B1279" i="9" s="1"/>
  <c r="B1280" i="9" s="1"/>
  <c r="B1281" i="9" s="1"/>
  <c r="B1282" i="9" s="1"/>
  <c r="B1283" i="9" s="1"/>
  <c r="B1284" i="9" s="1"/>
  <c r="B1285" i="9" s="1"/>
  <c r="B1286" i="9" s="1"/>
  <c r="B1287" i="9" s="1"/>
  <c r="B1288" i="9" s="1"/>
  <c r="B1289" i="9" s="1"/>
  <c r="B1290" i="9" s="1"/>
  <c r="B1291" i="9" s="1"/>
  <c r="B1292" i="9" s="1"/>
  <c r="B1293" i="9" s="1"/>
  <c r="B1294" i="9" s="1"/>
  <c r="B1295" i="9" s="1"/>
  <c r="B1296" i="9" s="1"/>
  <c r="B1297" i="9" s="1"/>
  <c r="B1298" i="9" s="1"/>
  <c r="B1299" i="9" s="1"/>
  <c r="B1300" i="9" s="1"/>
  <c r="B1301" i="9" s="1"/>
  <c r="B1302" i="9" s="1"/>
  <c r="B1303" i="9" s="1"/>
  <c r="B1304" i="9" s="1"/>
  <c r="B1305" i="9" s="1"/>
  <c r="B1306" i="9" s="1"/>
  <c r="B1307" i="9" s="1"/>
  <c r="B1308" i="9" s="1"/>
  <c r="B1309" i="9" s="1"/>
  <c r="B1310" i="9" s="1"/>
  <c r="B1311" i="9" s="1"/>
  <c r="B1312" i="9" s="1"/>
  <c r="B1313" i="9" s="1"/>
  <c r="B1314" i="9" s="1"/>
  <c r="B1315" i="9" s="1"/>
  <c r="B1316" i="9" s="1"/>
  <c r="B1317" i="9" s="1"/>
  <c r="B1318" i="9" s="1"/>
  <c r="B1319" i="9" s="1"/>
  <c r="B1320" i="9" s="1"/>
  <c r="B1321" i="9" s="1"/>
  <c r="B1322" i="9" s="1"/>
  <c r="B1323" i="9" s="1"/>
  <c r="B1324" i="9" s="1"/>
  <c r="B1325" i="9" s="1"/>
  <c r="B1326" i="9" s="1"/>
  <c r="B1327" i="9" s="1"/>
  <c r="B1328" i="9" s="1"/>
  <c r="B1329" i="9" s="1"/>
  <c r="B1330" i="9" s="1"/>
  <c r="B1331" i="9" s="1"/>
  <c r="B1332" i="9" s="1"/>
  <c r="B1333" i="9" s="1"/>
  <c r="B1334" i="9" s="1"/>
  <c r="B1335" i="9" s="1"/>
  <c r="B1336" i="9" s="1"/>
  <c r="B1337" i="9" s="1"/>
  <c r="B1338" i="9" s="1"/>
  <c r="B1339" i="9" s="1"/>
  <c r="B1340" i="9" s="1"/>
  <c r="B1341" i="9" s="1"/>
  <c r="B1342" i="9" s="1"/>
  <c r="B1343" i="9" s="1"/>
  <c r="B1344" i="9" s="1"/>
  <c r="B1345" i="9" s="1"/>
  <c r="B1346" i="9" s="1"/>
  <c r="B1347" i="9" s="1"/>
  <c r="B1348" i="9" s="1"/>
  <c r="B1349" i="9" s="1"/>
  <c r="B1350" i="9" s="1"/>
  <c r="B1351" i="9" s="1"/>
  <c r="B1352" i="9" s="1"/>
  <c r="B1353" i="9" s="1"/>
  <c r="B1354" i="9" s="1"/>
  <c r="B1355" i="9" s="1"/>
  <c r="B1356" i="9" s="1"/>
  <c r="B1357" i="9" s="1"/>
  <c r="B1358" i="9" s="1"/>
  <c r="B1359" i="9" s="1"/>
  <c r="B1360" i="9" s="1"/>
  <c r="B1361" i="9" s="1"/>
  <c r="B1362" i="9" s="1"/>
  <c r="B1363" i="9" s="1"/>
  <c r="B1364" i="9" s="1"/>
  <c r="B1365" i="9" s="1"/>
  <c r="B1366" i="9" s="1"/>
  <c r="B1367" i="9" s="1"/>
  <c r="B1368" i="9" s="1"/>
  <c r="B1369" i="9" s="1"/>
  <c r="B1370" i="9" s="1"/>
  <c r="B1371" i="9" s="1"/>
  <c r="B1372" i="9" s="1"/>
  <c r="B1373" i="9" s="1"/>
  <c r="B1374" i="9" s="1"/>
  <c r="B1375" i="9" s="1"/>
  <c r="B1376" i="9" s="1"/>
  <c r="B1377" i="9" s="1"/>
  <c r="B984" i="9"/>
  <c r="B983" i="9"/>
  <c r="B982" i="9"/>
  <c r="B981" i="9"/>
  <c r="B980" i="9"/>
  <c r="B979" i="9"/>
  <c r="B978" i="9"/>
  <c r="B977" i="9"/>
  <c r="B976" i="9"/>
  <c r="B975" i="9"/>
  <c r="B974" i="9"/>
  <c r="B973" i="9"/>
  <c r="B972" i="9"/>
  <c r="B971" i="9"/>
  <c r="B970" i="9"/>
  <c r="B969" i="9"/>
  <c r="B968" i="9"/>
  <c r="B967" i="9"/>
  <c r="B966" i="9"/>
  <c r="B965" i="9"/>
  <c r="B964" i="9"/>
  <c r="B963" i="9"/>
  <c r="B962" i="9"/>
  <c r="B961" i="9"/>
  <c r="B960" i="9"/>
  <c r="B959" i="9"/>
  <c r="B958" i="9"/>
  <c r="B957" i="9"/>
  <c r="B956" i="9"/>
  <c r="B955" i="9"/>
  <c r="B954" i="9"/>
  <c r="B953" i="9"/>
  <c r="B952" i="9"/>
  <c r="B951" i="9"/>
  <c r="B950" i="9"/>
  <c r="B949" i="9"/>
  <c r="B948" i="9"/>
  <c r="B947" i="9"/>
  <c r="B946" i="9"/>
  <c r="B945" i="9"/>
  <c r="B944" i="9"/>
  <c r="B943" i="9"/>
  <c r="B942" i="9"/>
  <c r="B941" i="9"/>
  <c r="B940" i="9"/>
  <c r="B939" i="9"/>
  <c r="B938" i="9"/>
  <c r="B937" i="9"/>
  <c r="B936" i="9"/>
  <c r="B935" i="9"/>
  <c r="B934" i="9"/>
  <c r="B933" i="9"/>
  <c r="B932" i="9"/>
  <c r="B931" i="9"/>
  <c r="B930" i="9"/>
  <c r="B929" i="9"/>
  <c r="B928" i="9"/>
  <c r="B927" i="9"/>
  <c r="B926" i="9"/>
  <c r="B925" i="9"/>
  <c r="B924" i="9"/>
  <c r="B923" i="9"/>
  <c r="B922" i="9"/>
  <c r="B921" i="9"/>
  <c r="B919" i="9"/>
  <c r="B918" i="9"/>
  <c r="B917" i="9"/>
  <c r="B916" i="9"/>
  <c r="B915" i="9"/>
  <c r="B914" i="9"/>
  <c r="B913" i="9"/>
  <c r="B912" i="9"/>
  <c r="B911" i="9"/>
  <c r="B910" i="9"/>
  <c r="B909" i="9"/>
  <c r="B908" i="9"/>
  <c r="B907" i="9"/>
  <c r="B906" i="9"/>
  <c r="B905" i="9"/>
  <c r="B904" i="9"/>
  <c r="B903" i="9"/>
  <c r="B902" i="9"/>
  <c r="B901" i="9"/>
  <c r="B900" i="9"/>
  <c r="B899" i="9"/>
  <c r="B898" i="9"/>
  <c r="B897" i="9"/>
  <c r="B896" i="9"/>
  <c r="B895" i="9"/>
  <c r="B894" i="9"/>
  <c r="B893" i="9"/>
  <c r="B892" i="9"/>
  <c r="B891" i="9"/>
  <c r="B890" i="9"/>
  <c r="B889" i="9"/>
  <c r="B888" i="9"/>
  <c r="B887" i="9"/>
  <c r="B886" i="9"/>
  <c r="B885" i="9"/>
  <c r="B884" i="9"/>
  <c r="B883" i="9"/>
  <c r="B882" i="9"/>
  <c r="B881" i="9"/>
  <c r="B880" i="9"/>
  <c r="B879" i="9"/>
  <c r="B878" i="9"/>
  <c r="B877" i="9"/>
  <c r="B876" i="9"/>
  <c r="B875" i="9"/>
  <c r="B874" i="9"/>
  <c r="B873" i="9"/>
  <c r="B872" i="9"/>
  <c r="B871" i="9"/>
  <c r="B870" i="9"/>
  <c r="B869" i="9"/>
  <c r="B868" i="9"/>
  <c r="B867" i="9"/>
  <c r="B866" i="9"/>
  <c r="B865" i="9"/>
  <c r="B864" i="9"/>
  <c r="B863" i="9"/>
  <c r="B862" i="9"/>
  <c r="B861" i="9"/>
  <c r="B860" i="9"/>
  <c r="B859" i="9"/>
  <c r="B858" i="9"/>
  <c r="B857" i="9"/>
  <c r="B856" i="9"/>
  <c r="B855" i="9"/>
  <c r="B854" i="9"/>
  <c r="B853" i="9"/>
  <c r="B852" i="9"/>
  <c r="B851" i="9"/>
  <c r="B850" i="9"/>
  <c r="B849" i="9"/>
  <c r="B848" i="9"/>
  <c r="B847" i="9"/>
  <c r="B846" i="9"/>
  <c r="B845" i="9"/>
  <c r="B844" i="9"/>
  <c r="B843" i="9"/>
  <c r="B842" i="9"/>
  <c r="B841" i="9"/>
  <c r="B840" i="9"/>
  <c r="B839" i="9"/>
  <c r="B838" i="9"/>
  <c r="B837" i="9"/>
  <c r="B836" i="9"/>
  <c r="B835" i="9"/>
  <c r="B834" i="9"/>
  <c r="B833" i="9"/>
  <c r="B832" i="9"/>
  <c r="B831" i="9"/>
  <c r="B830" i="9"/>
  <c r="B829" i="9"/>
  <c r="B828" i="9"/>
  <c r="B827" i="9"/>
  <c r="B826" i="9"/>
  <c r="B825" i="9"/>
  <c r="B824" i="9"/>
  <c r="B823" i="9"/>
  <c r="B822" i="9"/>
  <c r="B821" i="9"/>
  <c r="B820" i="9"/>
  <c r="B819" i="9"/>
  <c r="B818" i="9"/>
  <c r="B817" i="9"/>
  <c r="B816" i="9"/>
  <c r="B815" i="9"/>
  <c r="B814" i="9"/>
  <c r="B813" i="9"/>
  <c r="B812" i="9"/>
  <c r="B811" i="9"/>
  <c r="B810" i="9"/>
  <c r="B809" i="9"/>
  <c r="B808" i="9"/>
  <c r="B807" i="9"/>
  <c r="B806" i="9"/>
  <c r="B805" i="9"/>
  <c r="B804" i="9"/>
  <c r="B803" i="9"/>
  <c r="B802" i="9"/>
  <c r="B801" i="9"/>
  <c r="B800" i="9"/>
  <c r="B799" i="9"/>
  <c r="B798" i="9"/>
  <c r="B797" i="9"/>
  <c r="B796" i="9"/>
  <c r="B795" i="9"/>
  <c r="B794" i="9"/>
  <c r="B793" i="9"/>
  <c r="B792" i="9"/>
  <c r="B791" i="9"/>
  <c r="B790" i="9"/>
  <c r="B789" i="9"/>
  <c r="B788" i="9"/>
  <c r="B787" i="9"/>
  <c r="B786" i="9"/>
  <c r="B785" i="9"/>
  <c r="B784" i="9"/>
  <c r="B783" i="9"/>
  <c r="B782" i="9"/>
  <c r="B781" i="9"/>
  <c r="B780" i="9"/>
  <c r="B779" i="9"/>
  <c r="B778" i="9"/>
  <c r="B777" i="9"/>
  <c r="B776" i="9"/>
  <c r="B775" i="9"/>
  <c r="B774" i="9"/>
  <c r="B773" i="9"/>
  <c r="B772" i="9"/>
  <c r="B771" i="9"/>
  <c r="B770" i="9"/>
  <c r="B769" i="9"/>
  <c r="B768" i="9"/>
  <c r="B767" i="9"/>
  <c r="B766" i="9"/>
  <c r="B765" i="9"/>
  <c r="B764" i="9"/>
  <c r="B763" i="9"/>
  <c r="B762" i="9"/>
  <c r="B761" i="9"/>
  <c r="B760" i="9"/>
  <c r="B759" i="9"/>
  <c r="B758" i="9"/>
  <c r="B757" i="9"/>
  <c r="B756" i="9"/>
  <c r="B755" i="9"/>
  <c r="B754" i="9"/>
  <c r="B753" i="9"/>
  <c r="B752" i="9"/>
  <c r="B751" i="9"/>
  <c r="B750" i="9"/>
  <c r="B749" i="9"/>
  <c r="B748" i="9"/>
  <c r="B747" i="9"/>
  <c r="B746" i="9"/>
  <c r="B745" i="9"/>
  <c r="B744" i="9"/>
  <c r="B743" i="9"/>
  <c r="B742" i="9"/>
  <c r="B741" i="9"/>
  <c r="B740" i="9"/>
  <c r="B739" i="9"/>
  <c r="B738" i="9"/>
  <c r="B737" i="9"/>
  <c r="B736" i="9"/>
  <c r="B735" i="9"/>
  <c r="B734" i="9"/>
  <c r="B733" i="9"/>
  <c r="B732" i="9"/>
  <c r="B731" i="9"/>
  <c r="B730" i="9"/>
  <c r="B729" i="9"/>
  <c r="B728" i="9"/>
  <c r="B727" i="9"/>
  <c r="B726" i="9"/>
  <c r="B725" i="9"/>
  <c r="B724" i="9"/>
  <c r="B723" i="9"/>
  <c r="B722" i="9"/>
  <c r="B721" i="9"/>
  <c r="B720" i="9"/>
  <c r="B719" i="9"/>
  <c r="B718" i="9"/>
  <c r="B717" i="9"/>
  <c r="B716" i="9"/>
  <c r="B715" i="9"/>
  <c r="B714" i="9"/>
  <c r="B713" i="9"/>
  <c r="B712" i="9"/>
  <c r="B711" i="9"/>
  <c r="B710" i="9"/>
  <c r="B709" i="9"/>
  <c r="B708" i="9"/>
  <c r="B707" i="9"/>
  <c r="B706" i="9"/>
  <c r="B705" i="9"/>
  <c r="B704" i="9"/>
  <c r="B703" i="9"/>
  <c r="B702" i="9"/>
  <c r="B701" i="9"/>
  <c r="B700" i="9"/>
  <c r="B699" i="9"/>
  <c r="B698" i="9"/>
  <c r="B697" i="9"/>
  <c r="B696" i="9"/>
  <c r="B695" i="9"/>
  <c r="B694" i="9"/>
  <c r="B693" i="9"/>
  <c r="B692" i="9"/>
  <c r="B690" i="9"/>
  <c r="B689" i="9"/>
  <c r="B688" i="9"/>
  <c r="B687" i="9"/>
  <c r="B686" i="9"/>
  <c r="B685" i="9"/>
  <c r="B684" i="9"/>
  <c r="B683" i="9"/>
  <c r="B682" i="9"/>
  <c r="B681" i="9"/>
  <c r="B680" i="9"/>
  <c r="B679" i="9"/>
  <c r="B678" i="9"/>
  <c r="B677" i="9"/>
  <c r="B676" i="9"/>
  <c r="B675" i="9"/>
  <c r="B674" i="9"/>
  <c r="B673" i="9"/>
  <c r="B672" i="9"/>
  <c r="B671" i="9"/>
  <c r="B670" i="9"/>
  <c r="B669" i="9"/>
  <c r="B668" i="9"/>
  <c r="B667" i="9"/>
  <c r="B666" i="9"/>
  <c r="B665" i="9"/>
  <c r="B664" i="9"/>
  <c r="B663" i="9"/>
  <c r="B662" i="9"/>
  <c r="B661" i="9"/>
  <c r="B660" i="9"/>
  <c r="B659" i="9"/>
  <c r="B658" i="9"/>
  <c r="B657" i="9"/>
  <c r="B656" i="9"/>
  <c r="B655" i="9"/>
  <c r="B654" i="9"/>
  <c r="B653" i="9"/>
  <c r="B652" i="9"/>
  <c r="B651" i="9"/>
  <c r="B650" i="9"/>
  <c r="B649" i="9"/>
  <c r="B648" i="9"/>
  <c r="B647" i="9"/>
  <c r="B646" i="9"/>
  <c r="B645" i="9"/>
  <c r="B644" i="9"/>
  <c r="B643" i="9"/>
  <c r="B642" i="9"/>
  <c r="B641" i="9"/>
  <c r="B640" i="9"/>
  <c r="B639" i="9"/>
  <c r="B638" i="9"/>
  <c r="B637" i="9"/>
  <c r="B636" i="9"/>
  <c r="B635" i="9"/>
  <c r="B634" i="9"/>
  <c r="B633" i="9"/>
  <c r="B632" i="9"/>
  <c r="B631" i="9"/>
  <c r="B630" i="9"/>
  <c r="B629" i="9"/>
  <c r="B628" i="9"/>
  <c r="B627" i="9"/>
  <c r="B626" i="9"/>
  <c r="B625" i="9"/>
  <c r="B624" i="9"/>
  <c r="B623" i="9"/>
  <c r="B622" i="9"/>
  <c r="B621" i="9"/>
  <c r="B620" i="9"/>
  <c r="B619" i="9"/>
  <c r="B618" i="9"/>
  <c r="B617" i="9"/>
  <c r="B616" i="9"/>
  <c r="B615" i="9"/>
  <c r="B614" i="9"/>
  <c r="B613" i="9"/>
  <c r="B612" i="9"/>
  <c r="B611" i="9"/>
  <c r="B610" i="9"/>
  <c r="B609" i="9"/>
  <c r="B608" i="9"/>
  <c r="B607" i="9"/>
  <c r="B606" i="9"/>
  <c r="B605" i="9"/>
  <c r="B604" i="9"/>
  <c r="B603" i="9"/>
  <c r="B602" i="9"/>
  <c r="B601" i="9"/>
  <c r="B600" i="9"/>
  <c r="B599" i="9"/>
  <c r="B598" i="9"/>
  <c r="B597" i="9"/>
  <c r="B596" i="9"/>
  <c r="B595" i="9"/>
  <c r="B594" i="9"/>
  <c r="B593" i="9"/>
  <c r="B592" i="9"/>
  <c r="B591" i="9"/>
  <c r="B590" i="9"/>
  <c r="B589" i="9"/>
  <c r="B588" i="9"/>
  <c r="B587" i="9"/>
  <c r="B586" i="9"/>
  <c r="B585" i="9"/>
  <c r="B584" i="9"/>
  <c r="B583" i="9"/>
  <c r="B582" i="9"/>
  <c r="B581" i="9"/>
  <c r="B580" i="9"/>
  <c r="B579" i="9"/>
  <c r="B578" i="9"/>
  <c r="B577" i="9"/>
  <c r="B576" i="9"/>
  <c r="B575" i="9"/>
  <c r="B574" i="9"/>
  <c r="B573" i="9"/>
  <c r="B572" i="9"/>
  <c r="B571" i="9"/>
  <c r="B570" i="9"/>
  <c r="B569" i="9"/>
  <c r="B568" i="9"/>
  <c r="B567" i="9"/>
  <c r="B566" i="9"/>
  <c r="B565" i="9"/>
  <c r="B564" i="9"/>
  <c r="B563" i="9"/>
  <c r="B562" i="9"/>
  <c r="B561" i="9"/>
  <c r="B560" i="9"/>
  <c r="B559" i="9"/>
  <c r="B558" i="9"/>
  <c r="B557" i="9"/>
  <c r="B556" i="9"/>
  <c r="B555" i="9"/>
  <c r="B554" i="9"/>
  <c r="B553" i="9"/>
  <c r="B552" i="9"/>
  <c r="B551" i="9"/>
  <c r="B550" i="9"/>
  <c r="B549" i="9"/>
  <c r="B548" i="9"/>
  <c r="B547" i="9"/>
  <c r="B546" i="9"/>
  <c r="B545" i="9"/>
  <c r="B544" i="9"/>
  <c r="B543" i="9"/>
  <c r="B542" i="9"/>
  <c r="B541" i="9"/>
  <c r="B540" i="9"/>
  <c r="B539" i="9"/>
  <c r="B538" i="9"/>
  <c r="B537" i="9"/>
  <c r="B536" i="9"/>
  <c r="B535" i="9"/>
  <c r="B534" i="9"/>
  <c r="B533" i="9"/>
  <c r="B532" i="9"/>
  <c r="B531" i="9"/>
  <c r="B530" i="9"/>
  <c r="B529" i="9"/>
  <c r="B528" i="9"/>
  <c r="B527" i="9"/>
  <c r="B526" i="9"/>
  <c r="B525" i="9"/>
  <c r="B524" i="9"/>
  <c r="B523" i="9"/>
  <c r="B522" i="9"/>
  <c r="B521" i="9"/>
  <c r="B520" i="9"/>
  <c r="B519" i="9"/>
  <c r="B518" i="9"/>
  <c r="B517" i="9"/>
  <c r="B516" i="9"/>
  <c r="B515" i="9"/>
  <c r="B514" i="9"/>
  <c r="B513" i="9"/>
  <c r="B512" i="9"/>
  <c r="B511" i="9"/>
  <c r="B510" i="9"/>
  <c r="B509" i="9"/>
  <c r="B508" i="9"/>
  <c r="B507" i="9"/>
  <c r="B506" i="9"/>
  <c r="B505" i="9"/>
  <c r="B504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9" i="9"/>
  <c r="B488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G1385" i="8"/>
  <c r="H1385" i="8" s="1"/>
  <c r="F1385" i="8"/>
  <c r="E1385" i="8"/>
  <c r="D1385" i="8"/>
  <c r="G1384" i="8"/>
  <c r="H1384" i="8" s="1"/>
  <c r="F1384" i="8"/>
  <c r="E1384" i="8"/>
  <c r="D1384" i="8"/>
  <c r="G1383" i="8"/>
  <c r="H1383" i="8" s="1"/>
  <c r="F1383" i="8"/>
  <c r="E1383" i="8"/>
  <c r="D1383" i="8"/>
  <c r="G1382" i="8"/>
  <c r="F1382" i="8"/>
  <c r="E1382" i="8"/>
  <c r="D1382" i="8"/>
  <c r="B985" i="8"/>
  <c r="B986" i="8" s="1"/>
  <c r="B984" i="8"/>
  <c r="B983" i="8"/>
  <c r="B982" i="8"/>
  <c r="B981" i="8"/>
  <c r="B980" i="8"/>
  <c r="B979" i="8"/>
  <c r="B978" i="8"/>
  <c r="B977" i="8"/>
  <c r="B976" i="8"/>
  <c r="B975" i="8"/>
  <c r="B974" i="8"/>
  <c r="B973" i="8"/>
  <c r="B972" i="8"/>
  <c r="B971" i="8"/>
  <c r="B970" i="8"/>
  <c r="B969" i="8"/>
  <c r="B968" i="8"/>
  <c r="B967" i="8"/>
  <c r="B966" i="8"/>
  <c r="B965" i="8"/>
  <c r="B964" i="8"/>
  <c r="B963" i="8"/>
  <c r="B962" i="8"/>
  <c r="B961" i="8"/>
  <c r="B960" i="8"/>
  <c r="B959" i="8"/>
  <c r="B958" i="8"/>
  <c r="B957" i="8"/>
  <c r="B956" i="8"/>
  <c r="B955" i="8"/>
  <c r="B954" i="8"/>
  <c r="B953" i="8"/>
  <c r="B952" i="8"/>
  <c r="B951" i="8"/>
  <c r="B950" i="8"/>
  <c r="B949" i="8"/>
  <c r="B948" i="8"/>
  <c r="B947" i="8"/>
  <c r="B946" i="8"/>
  <c r="B945" i="8"/>
  <c r="B944" i="8"/>
  <c r="B943" i="8"/>
  <c r="B942" i="8"/>
  <c r="B941" i="8"/>
  <c r="B940" i="8"/>
  <c r="B939" i="8"/>
  <c r="B938" i="8"/>
  <c r="B937" i="8"/>
  <c r="B936" i="8"/>
  <c r="B935" i="8"/>
  <c r="B934" i="8"/>
  <c r="B933" i="8"/>
  <c r="B932" i="8"/>
  <c r="B931" i="8"/>
  <c r="B930" i="8"/>
  <c r="B929" i="8"/>
  <c r="B928" i="8"/>
  <c r="B927" i="8"/>
  <c r="B926" i="8"/>
  <c r="B925" i="8"/>
  <c r="B924" i="8"/>
  <c r="B923" i="8"/>
  <c r="B922" i="8"/>
  <c r="B921" i="8"/>
  <c r="B919" i="8"/>
  <c r="B918" i="8"/>
  <c r="B917" i="8"/>
  <c r="B916" i="8"/>
  <c r="B915" i="8"/>
  <c r="B914" i="8"/>
  <c r="B913" i="8"/>
  <c r="B912" i="8"/>
  <c r="B911" i="8"/>
  <c r="B910" i="8"/>
  <c r="B909" i="8"/>
  <c r="B908" i="8"/>
  <c r="B907" i="8"/>
  <c r="B906" i="8"/>
  <c r="B905" i="8"/>
  <c r="B904" i="8"/>
  <c r="B903" i="8"/>
  <c r="B902" i="8"/>
  <c r="B901" i="8"/>
  <c r="B900" i="8"/>
  <c r="B899" i="8"/>
  <c r="B898" i="8"/>
  <c r="B897" i="8"/>
  <c r="B896" i="8"/>
  <c r="B895" i="8"/>
  <c r="B894" i="8"/>
  <c r="B893" i="8"/>
  <c r="B892" i="8"/>
  <c r="B891" i="8"/>
  <c r="B890" i="8"/>
  <c r="B889" i="8"/>
  <c r="B888" i="8"/>
  <c r="B887" i="8"/>
  <c r="B886" i="8"/>
  <c r="B885" i="8"/>
  <c r="B884" i="8"/>
  <c r="B883" i="8"/>
  <c r="B882" i="8"/>
  <c r="B881" i="8"/>
  <c r="B880" i="8"/>
  <c r="B879" i="8"/>
  <c r="B878" i="8"/>
  <c r="B877" i="8"/>
  <c r="B876" i="8"/>
  <c r="B875" i="8"/>
  <c r="B874" i="8"/>
  <c r="B873" i="8"/>
  <c r="B872" i="8"/>
  <c r="B871" i="8"/>
  <c r="B870" i="8"/>
  <c r="B869" i="8"/>
  <c r="B868" i="8"/>
  <c r="B867" i="8"/>
  <c r="B866" i="8"/>
  <c r="B865" i="8"/>
  <c r="B864" i="8"/>
  <c r="B863" i="8"/>
  <c r="B862" i="8"/>
  <c r="B861" i="8"/>
  <c r="B860" i="8"/>
  <c r="B859" i="8"/>
  <c r="B858" i="8"/>
  <c r="B857" i="8"/>
  <c r="B856" i="8"/>
  <c r="B855" i="8"/>
  <c r="B854" i="8"/>
  <c r="B853" i="8"/>
  <c r="B852" i="8"/>
  <c r="B851" i="8"/>
  <c r="B850" i="8"/>
  <c r="B849" i="8"/>
  <c r="B848" i="8"/>
  <c r="B847" i="8"/>
  <c r="B846" i="8"/>
  <c r="B845" i="8"/>
  <c r="B844" i="8"/>
  <c r="B843" i="8"/>
  <c r="B842" i="8"/>
  <c r="B841" i="8"/>
  <c r="B840" i="8"/>
  <c r="B839" i="8"/>
  <c r="B838" i="8"/>
  <c r="B837" i="8"/>
  <c r="B836" i="8"/>
  <c r="B835" i="8"/>
  <c r="B834" i="8"/>
  <c r="B833" i="8"/>
  <c r="B832" i="8"/>
  <c r="B831" i="8"/>
  <c r="B830" i="8"/>
  <c r="B829" i="8"/>
  <c r="B828" i="8"/>
  <c r="B827" i="8"/>
  <c r="B826" i="8"/>
  <c r="B825" i="8"/>
  <c r="B824" i="8"/>
  <c r="B823" i="8"/>
  <c r="B822" i="8"/>
  <c r="B821" i="8"/>
  <c r="B820" i="8"/>
  <c r="B819" i="8"/>
  <c r="B818" i="8"/>
  <c r="B817" i="8"/>
  <c r="B816" i="8"/>
  <c r="B815" i="8"/>
  <c r="B814" i="8"/>
  <c r="B813" i="8"/>
  <c r="B812" i="8"/>
  <c r="B811" i="8"/>
  <c r="B810" i="8"/>
  <c r="B809" i="8"/>
  <c r="B808" i="8"/>
  <c r="B807" i="8"/>
  <c r="B806" i="8"/>
  <c r="B805" i="8"/>
  <c r="B804" i="8"/>
  <c r="B803" i="8"/>
  <c r="B802" i="8"/>
  <c r="B801" i="8"/>
  <c r="B800" i="8"/>
  <c r="B799" i="8"/>
  <c r="B798" i="8"/>
  <c r="B797" i="8"/>
  <c r="B796" i="8"/>
  <c r="B795" i="8"/>
  <c r="B794" i="8"/>
  <c r="B793" i="8"/>
  <c r="B792" i="8"/>
  <c r="B791" i="8"/>
  <c r="B790" i="8"/>
  <c r="B789" i="8"/>
  <c r="B788" i="8"/>
  <c r="B787" i="8"/>
  <c r="B786" i="8"/>
  <c r="B785" i="8"/>
  <c r="B784" i="8"/>
  <c r="B783" i="8"/>
  <c r="B782" i="8"/>
  <c r="B781" i="8"/>
  <c r="B780" i="8"/>
  <c r="B779" i="8"/>
  <c r="B778" i="8"/>
  <c r="B777" i="8"/>
  <c r="B776" i="8"/>
  <c r="B775" i="8"/>
  <c r="B774" i="8"/>
  <c r="B773" i="8"/>
  <c r="B772" i="8"/>
  <c r="B771" i="8"/>
  <c r="B770" i="8"/>
  <c r="B769" i="8"/>
  <c r="B768" i="8"/>
  <c r="B767" i="8"/>
  <c r="B766" i="8"/>
  <c r="B765" i="8"/>
  <c r="B764" i="8"/>
  <c r="B763" i="8"/>
  <c r="B762" i="8"/>
  <c r="B761" i="8"/>
  <c r="B760" i="8"/>
  <c r="B759" i="8"/>
  <c r="B758" i="8"/>
  <c r="B757" i="8"/>
  <c r="B756" i="8"/>
  <c r="B755" i="8"/>
  <c r="B754" i="8"/>
  <c r="B753" i="8"/>
  <c r="B752" i="8"/>
  <c r="B751" i="8"/>
  <c r="B750" i="8"/>
  <c r="B749" i="8"/>
  <c r="B748" i="8"/>
  <c r="B747" i="8"/>
  <c r="B746" i="8"/>
  <c r="B745" i="8"/>
  <c r="B744" i="8"/>
  <c r="B743" i="8"/>
  <c r="B742" i="8"/>
  <c r="B741" i="8"/>
  <c r="B740" i="8"/>
  <c r="B739" i="8"/>
  <c r="B738" i="8"/>
  <c r="B737" i="8"/>
  <c r="B736" i="8"/>
  <c r="B735" i="8"/>
  <c r="B734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21" i="8"/>
  <c r="B720" i="8"/>
  <c r="B719" i="8"/>
  <c r="B718" i="8"/>
  <c r="B717" i="8"/>
  <c r="B716" i="8"/>
  <c r="B715" i="8"/>
  <c r="B714" i="8"/>
  <c r="B713" i="8"/>
  <c r="B712" i="8"/>
  <c r="B711" i="8"/>
  <c r="B710" i="8"/>
  <c r="B709" i="8"/>
  <c r="B708" i="8"/>
  <c r="B707" i="8"/>
  <c r="B706" i="8"/>
  <c r="B705" i="8"/>
  <c r="B704" i="8"/>
  <c r="B703" i="8"/>
  <c r="B702" i="8"/>
  <c r="B701" i="8"/>
  <c r="B700" i="8"/>
  <c r="B699" i="8"/>
  <c r="B698" i="8"/>
  <c r="B697" i="8"/>
  <c r="B696" i="8"/>
  <c r="B695" i="8"/>
  <c r="B694" i="8"/>
  <c r="B693" i="8"/>
  <c r="B692" i="8"/>
  <c r="B690" i="8"/>
  <c r="B689" i="8"/>
  <c r="B688" i="8"/>
  <c r="B687" i="8"/>
  <c r="B686" i="8"/>
  <c r="B685" i="8"/>
  <c r="B684" i="8"/>
  <c r="B683" i="8"/>
  <c r="B682" i="8"/>
  <c r="B681" i="8"/>
  <c r="B680" i="8"/>
  <c r="B679" i="8"/>
  <c r="B678" i="8"/>
  <c r="B677" i="8"/>
  <c r="B676" i="8"/>
  <c r="B675" i="8"/>
  <c r="B674" i="8"/>
  <c r="B673" i="8"/>
  <c r="B672" i="8"/>
  <c r="B671" i="8"/>
  <c r="B670" i="8"/>
  <c r="B669" i="8"/>
  <c r="B668" i="8"/>
  <c r="B667" i="8"/>
  <c r="B666" i="8"/>
  <c r="B665" i="8"/>
  <c r="B664" i="8"/>
  <c r="B663" i="8"/>
  <c r="B662" i="8"/>
  <c r="B661" i="8"/>
  <c r="B660" i="8"/>
  <c r="B659" i="8"/>
  <c r="B658" i="8"/>
  <c r="B657" i="8"/>
  <c r="B656" i="8"/>
  <c r="B655" i="8"/>
  <c r="B654" i="8"/>
  <c r="B653" i="8"/>
  <c r="B652" i="8"/>
  <c r="B651" i="8"/>
  <c r="B650" i="8"/>
  <c r="B649" i="8"/>
  <c r="B648" i="8"/>
  <c r="B647" i="8"/>
  <c r="B646" i="8"/>
  <c r="B645" i="8"/>
  <c r="B644" i="8"/>
  <c r="B643" i="8"/>
  <c r="B642" i="8"/>
  <c r="B641" i="8"/>
  <c r="B640" i="8"/>
  <c r="B639" i="8"/>
  <c r="B638" i="8"/>
  <c r="B637" i="8"/>
  <c r="B636" i="8"/>
  <c r="B635" i="8"/>
  <c r="B634" i="8"/>
  <c r="B633" i="8"/>
  <c r="B632" i="8"/>
  <c r="B631" i="8"/>
  <c r="B630" i="8"/>
  <c r="B629" i="8"/>
  <c r="B628" i="8"/>
  <c r="B627" i="8"/>
  <c r="B626" i="8"/>
  <c r="B625" i="8"/>
  <c r="B624" i="8"/>
  <c r="B623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9" i="8"/>
  <c r="B608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5" i="8"/>
  <c r="B594" i="8"/>
  <c r="B593" i="8"/>
  <c r="B592" i="8"/>
  <c r="B591" i="8"/>
  <c r="B590" i="8"/>
  <c r="B589" i="8"/>
  <c r="B588" i="8"/>
  <c r="B587" i="8"/>
  <c r="B586" i="8"/>
  <c r="B585" i="8"/>
  <c r="B584" i="8"/>
  <c r="B583" i="8"/>
  <c r="B582" i="8"/>
  <c r="B581" i="8"/>
  <c r="B580" i="8"/>
  <c r="B579" i="8"/>
  <c r="B578" i="8"/>
  <c r="B577" i="8"/>
  <c r="B576" i="8"/>
  <c r="B575" i="8"/>
  <c r="B574" i="8"/>
  <c r="B573" i="8"/>
  <c r="B572" i="8"/>
  <c r="B571" i="8"/>
  <c r="B570" i="8"/>
  <c r="B569" i="8"/>
  <c r="B568" i="8"/>
  <c r="B567" i="8"/>
  <c r="B566" i="8"/>
  <c r="B565" i="8"/>
  <c r="B564" i="8"/>
  <c r="B563" i="8"/>
  <c r="B562" i="8"/>
  <c r="B561" i="8"/>
  <c r="B560" i="8"/>
  <c r="B559" i="8"/>
  <c r="B558" i="8"/>
  <c r="B557" i="8"/>
  <c r="B556" i="8"/>
  <c r="B555" i="8"/>
  <c r="B554" i="8"/>
  <c r="B553" i="8"/>
  <c r="B552" i="8"/>
  <c r="B551" i="8"/>
  <c r="B550" i="8"/>
  <c r="B549" i="8"/>
  <c r="B548" i="8"/>
  <c r="B547" i="8"/>
  <c r="B546" i="8"/>
  <c r="B545" i="8"/>
  <c r="B544" i="8"/>
  <c r="B543" i="8"/>
  <c r="B542" i="8"/>
  <c r="B541" i="8"/>
  <c r="B540" i="8"/>
  <c r="B539" i="8"/>
  <c r="B538" i="8"/>
  <c r="B537" i="8"/>
  <c r="B536" i="8"/>
  <c r="B535" i="8"/>
  <c r="B534" i="8"/>
  <c r="B533" i="8"/>
  <c r="B532" i="8"/>
  <c r="B531" i="8"/>
  <c r="B530" i="8"/>
  <c r="B529" i="8"/>
  <c r="B528" i="8"/>
  <c r="B527" i="8"/>
  <c r="B526" i="8"/>
  <c r="B525" i="8"/>
  <c r="B524" i="8"/>
  <c r="B523" i="8"/>
  <c r="B522" i="8"/>
  <c r="B521" i="8"/>
  <c r="B520" i="8"/>
  <c r="B519" i="8"/>
  <c r="B518" i="8"/>
  <c r="B517" i="8"/>
  <c r="B516" i="8"/>
  <c r="B515" i="8"/>
  <c r="B514" i="8"/>
  <c r="B513" i="8"/>
  <c r="B512" i="8"/>
  <c r="B511" i="8"/>
  <c r="B510" i="8"/>
  <c r="B509" i="8"/>
  <c r="B508" i="8"/>
  <c r="B507" i="8"/>
  <c r="B506" i="8"/>
  <c r="B505" i="8"/>
  <c r="B504" i="8"/>
  <c r="B503" i="8"/>
  <c r="B502" i="8"/>
  <c r="B501" i="8"/>
  <c r="B500" i="8"/>
  <c r="B499" i="8"/>
  <c r="B498" i="8"/>
  <c r="B497" i="8"/>
  <c r="B496" i="8"/>
  <c r="B495" i="8"/>
  <c r="B494" i="8"/>
  <c r="B493" i="8"/>
  <c r="B492" i="8"/>
  <c r="B491" i="8"/>
  <c r="B490" i="8"/>
  <c r="B489" i="8"/>
  <c r="B488" i="8"/>
  <c r="B487" i="8"/>
  <c r="B486" i="8"/>
  <c r="B485" i="8"/>
  <c r="B484" i="8"/>
  <c r="B483" i="8"/>
  <c r="B482" i="8"/>
  <c r="B481" i="8"/>
  <c r="B480" i="8"/>
  <c r="B479" i="8"/>
  <c r="B478" i="8"/>
  <c r="B477" i="8"/>
  <c r="B476" i="8"/>
  <c r="B475" i="8"/>
  <c r="B474" i="8"/>
  <c r="B473" i="8"/>
  <c r="B472" i="8"/>
  <c r="B471" i="8"/>
  <c r="B470" i="8"/>
  <c r="B469" i="8"/>
  <c r="B468" i="8"/>
  <c r="B467" i="8"/>
  <c r="B466" i="8"/>
  <c r="B465" i="8"/>
  <c r="B464" i="8"/>
  <c r="B463" i="8"/>
  <c r="G1385" i="7"/>
  <c r="H1385" i="7" s="1"/>
  <c r="F1385" i="7"/>
  <c r="E1385" i="7"/>
  <c r="D1385" i="7"/>
  <c r="G1384" i="7"/>
  <c r="H1384" i="7" s="1"/>
  <c r="F1384" i="7"/>
  <c r="E1384" i="7"/>
  <c r="D1384" i="7"/>
  <c r="G1383" i="7"/>
  <c r="H1383" i="7" s="1"/>
  <c r="F1383" i="7"/>
  <c r="E1383" i="7"/>
  <c r="D1383" i="7"/>
  <c r="G1382" i="7"/>
  <c r="F1382" i="7"/>
  <c r="E1382" i="7"/>
  <c r="D1382" i="7"/>
  <c r="D1386" i="7" s="1"/>
  <c r="B985" i="7"/>
  <c r="B986" i="7" s="1"/>
  <c r="B984" i="7"/>
  <c r="B983" i="7"/>
  <c r="B982" i="7"/>
  <c r="B981" i="7"/>
  <c r="B980" i="7"/>
  <c r="B979" i="7"/>
  <c r="B978" i="7"/>
  <c r="B977" i="7"/>
  <c r="B976" i="7"/>
  <c r="B975" i="7"/>
  <c r="B974" i="7"/>
  <c r="B973" i="7"/>
  <c r="B972" i="7"/>
  <c r="B971" i="7"/>
  <c r="B970" i="7"/>
  <c r="B969" i="7"/>
  <c r="B968" i="7"/>
  <c r="B967" i="7"/>
  <c r="B966" i="7"/>
  <c r="B965" i="7"/>
  <c r="B964" i="7"/>
  <c r="B963" i="7"/>
  <c r="B962" i="7"/>
  <c r="B961" i="7"/>
  <c r="B960" i="7"/>
  <c r="B959" i="7"/>
  <c r="B958" i="7"/>
  <c r="B957" i="7"/>
  <c r="B956" i="7"/>
  <c r="B955" i="7"/>
  <c r="B954" i="7"/>
  <c r="B953" i="7"/>
  <c r="B952" i="7"/>
  <c r="B951" i="7"/>
  <c r="B950" i="7"/>
  <c r="B949" i="7"/>
  <c r="B948" i="7"/>
  <c r="B947" i="7"/>
  <c r="B946" i="7"/>
  <c r="B945" i="7"/>
  <c r="B944" i="7"/>
  <c r="B943" i="7"/>
  <c r="B942" i="7"/>
  <c r="B941" i="7"/>
  <c r="B940" i="7"/>
  <c r="B939" i="7"/>
  <c r="B938" i="7"/>
  <c r="B937" i="7"/>
  <c r="B936" i="7"/>
  <c r="B935" i="7"/>
  <c r="B934" i="7"/>
  <c r="B933" i="7"/>
  <c r="B932" i="7"/>
  <c r="B931" i="7"/>
  <c r="B930" i="7"/>
  <c r="B929" i="7"/>
  <c r="B928" i="7"/>
  <c r="B927" i="7"/>
  <c r="B926" i="7"/>
  <c r="B925" i="7"/>
  <c r="B924" i="7"/>
  <c r="B923" i="7"/>
  <c r="B922" i="7"/>
  <c r="B921" i="7"/>
  <c r="B919" i="7"/>
  <c r="B918" i="7"/>
  <c r="B917" i="7"/>
  <c r="B916" i="7"/>
  <c r="B915" i="7"/>
  <c r="B914" i="7"/>
  <c r="B913" i="7"/>
  <c r="B912" i="7"/>
  <c r="B911" i="7"/>
  <c r="B910" i="7"/>
  <c r="B909" i="7"/>
  <c r="B908" i="7"/>
  <c r="B907" i="7"/>
  <c r="B906" i="7"/>
  <c r="B905" i="7"/>
  <c r="B904" i="7"/>
  <c r="B903" i="7"/>
  <c r="B902" i="7"/>
  <c r="B901" i="7"/>
  <c r="B900" i="7"/>
  <c r="B899" i="7"/>
  <c r="B898" i="7"/>
  <c r="B897" i="7"/>
  <c r="B896" i="7"/>
  <c r="B895" i="7"/>
  <c r="B894" i="7"/>
  <c r="B893" i="7"/>
  <c r="B892" i="7"/>
  <c r="B891" i="7"/>
  <c r="B890" i="7"/>
  <c r="B889" i="7"/>
  <c r="B888" i="7"/>
  <c r="B887" i="7"/>
  <c r="B886" i="7"/>
  <c r="B885" i="7"/>
  <c r="B884" i="7"/>
  <c r="B883" i="7"/>
  <c r="B882" i="7"/>
  <c r="B881" i="7"/>
  <c r="B880" i="7"/>
  <c r="B879" i="7"/>
  <c r="B878" i="7"/>
  <c r="B877" i="7"/>
  <c r="B876" i="7"/>
  <c r="B875" i="7"/>
  <c r="B874" i="7"/>
  <c r="B873" i="7"/>
  <c r="B872" i="7"/>
  <c r="B871" i="7"/>
  <c r="B870" i="7"/>
  <c r="B869" i="7"/>
  <c r="B868" i="7"/>
  <c r="B867" i="7"/>
  <c r="B866" i="7"/>
  <c r="B865" i="7"/>
  <c r="B864" i="7"/>
  <c r="B863" i="7"/>
  <c r="B862" i="7"/>
  <c r="B861" i="7"/>
  <c r="B860" i="7"/>
  <c r="B859" i="7"/>
  <c r="B858" i="7"/>
  <c r="B857" i="7"/>
  <c r="B856" i="7"/>
  <c r="B855" i="7"/>
  <c r="B854" i="7"/>
  <c r="B853" i="7"/>
  <c r="B852" i="7"/>
  <c r="B851" i="7"/>
  <c r="B850" i="7"/>
  <c r="B849" i="7"/>
  <c r="B848" i="7"/>
  <c r="B847" i="7"/>
  <c r="B846" i="7"/>
  <c r="B845" i="7"/>
  <c r="B844" i="7"/>
  <c r="B843" i="7"/>
  <c r="B842" i="7"/>
  <c r="B841" i="7"/>
  <c r="B840" i="7"/>
  <c r="B839" i="7"/>
  <c r="B838" i="7"/>
  <c r="B837" i="7"/>
  <c r="B836" i="7"/>
  <c r="B835" i="7"/>
  <c r="B834" i="7"/>
  <c r="B833" i="7"/>
  <c r="B832" i="7"/>
  <c r="B831" i="7"/>
  <c r="B830" i="7"/>
  <c r="B829" i="7"/>
  <c r="B828" i="7"/>
  <c r="B827" i="7"/>
  <c r="B826" i="7"/>
  <c r="B825" i="7"/>
  <c r="B824" i="7"/>
  <c r="B823" i="7"/>
  <c r="B822" i="7"/>
  <c r="B821" i="7"/>
  <c r="B820" i="7"/>
  <c r="B819" i="7"/>
  <c r="B818" i="7"/>
  <c r="B817" i="7"/>
  <c r="B816" i="7"/>
  <c r="B815" i="7"/>
  <c r="B814" i="7"/>
  <c r="B813" i="7"/>
  <c r="B812" i="7"/>
  <c r="B811" i="7"/>
  <c r="B810" i="7"/>
  <c r="B809" i="7"/>
  <c r="B808" i="7"/>
  <c r="B807" i="7"/>
  <c r="B806" i="7"/>
  <c r="B805" i="7"/>
  <c r="B804" i="7"/>
  <c r="B803" i="7"/>
  <c r="B802" i="7"/>
  <c r="B801" i="7"/>
  <c r="B800" i="7"/>
  <c r="B799" i="7"/>
  <c r="B798" i="7"/>
  <c r="B797" i="7"/>
  <c r="B796" i="7"/>
  <c r="B795" i="7"/>
  <c r="B794" i="7"/>
  <c r="B793" i="7"/>
  <c r="B792" i="7"/>
  <c r="B791" i="7"/>
  <c r="B790" i="7"/>
  <c r="B789" i="7"/>
  <c r="B788" i="7"/>
  <c r="B787" i="7"/>
  <c r="B786" i="7"/>
  <c r="B785" i="7"/>
  <c r="B784" i="7"/>
  <c r="B783" i="7"/>
  <c r="B782" i="7"/>
  <c r="B781" i="7"/>
  <c r="B780" i="7"/>
  <c r="B779" i="7"/>
  <c r="B778" i="7"/>
  <c r="B777" i="7"/>
  <c r="B776" i="7"/>
  <c r="B775" i="7"/>
  <c r="B774" i="7"/>
  <c r="B773" i="7"/>
  <c r="B772" i="7"/>
  <c r="B771" i="7"/>
  <c r="B770" i="7"/>
  <c r="B769" i="7"/>
  <c r="B768" i="7"/>
  <c r="B767" i="7"/>
  <c r="B766" i="7"/>
  <c r="B765" i="7"/>
  <c r="B764" i="7"/>
  <c r="B763" i="7"/>
  <c r="B762" i="7"/>
  <c r="B761" i="7"/>
  <c r="B760" i="7"/>
  <c r="B759" i="7"/>
  <c r="B758" i="7"/>
  <c r="B757" i="7"/>
  <c r="B756" i="7"/>
  <c r="B755" i="7"/>
  <c r="B754" i="7"/>
  <c r="B753" i="7"/>
  <c r="B752" i="7"/>
  <c r="B751" i="7"/>
  <c r="B750" i="7"/>
  <c r="B749" i="7"/>
  <c r="B748" i="7"/>
  <c r="B747" i="7"/>
  <c r="B746" i="7"/>
  <c r="B745" i="7"/>
  <c r="B744" i="7"/>
  <c r="B743" i="7"/>
  <c r="B742" i="7"/>
  <c r="B741" i="7"/>
  <c r="B740" i="7"/>
  <c r="B739" i="7"/>
  <c r="B738" i="7"/>
  <c r="B737" i="7"/>
  <c r="B736" i="7"/>
  <c r="B735" i="7"/>
  <c r="B734" i="7"/>
  <c r="B733" i="7"/>
  <c r="B732" i="7"/>
  <c r="B731" i="7"/>
  <c r="B730" i="7"/>
  <c r="B729" i="7"/>
  <c r="B728" i="7"/>
  <c r="B727" i="7"/>
  <c r="B726" i="7"/>
  <c r="B725" i="7"/>
  <c r="B724" i="7"/>
  <c r="B723" i="7"/>
  <c r="B722" i="7"/>
  <c r="B721" i="7"/>
  <c r="B720" i="7"/>
  <c r="B719" i="7"/>
  <c r="B718" i="7"/>
  <c r="B717" i="7"/>
  <c r="B716" i="7"/>
  <c r="B715" i="7"/>
  <c r="B714" i="7"/>
  <c r="B713" i="7"/>
  <c r="B712" i="7"/>
  <c r="B711" i="7"/>
  <c r="B710" i="7"/>
  <c r="B709" i="7"/>
  <c r="B708" i="7"/>
  <c r="B707" i="7"/>
  <c r="B706" i="7"/>
  <c r="B705" i="7"/>
  <c r="B704" i="7"/>
  <c r="B703" i="7"/>
  <c r="B702" i="7"/>
  <c r="B701" i="7"/>
  <c r="B700" i="7"/>
  <c r="B699" i="7"/>
  <c r="B698" i="7"/>
  <c r="B697" i="7"/>
  <c r="B696" i="7"/>
  <c r="B695" i="7"/>
  <c r="B694" i="7"/>
  <c r="B693" i="7"/>
  <c r="B692" i="7"/>
  <c r="B690" i="7"/>
  <c r="B689" i="7"/>
  <c r="B688" i="7"/>
  <c r="B687" i="7"/>
  <c r="B686" i="7"/>
  <c r="B685" i="7"/>
  <c r="B684" i="7"/>
  <c r="B683" i="7"/>
  <c r="B682" i="7"/>
  <c r="B681" i="7"/>
  <c r="B680" i="7"/>
  <c r="B679" i="7"/>
  <c r="B678" i="7"/>
  <c r="B677" i="7"/>
  <c r="B676" i="7"/>
  <c r="B675" i="7"/>
  <c r="B674" i="7"/>
  <c r="B673" i="7"/>
  <c r="B672" i="7"/>
  <c r="B671" i="7"/>
  <c r="B670" i="7"/>
  <c r="B669" i="7"/>
  <c r="B668" i="7"/>
  <c r="B667" i="7"/>
  <c r="B666" i="7"/>
  <c r="B665" i="7"/>
  <c r="B664" i="7"/>
  <c r="B663" i="7"/>
  <c r="B662" i="7"/>
  <c r="B661" i="7"/>
  <c r="B660" i="7"/>
  <c r="B659" i="7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G1385" i="6"/>
  <c r="H1385" i="6" s="1"/>
  <c r="F1385" i="6"/>
  <c r="E1385" i="6"/>
  <c r="D1385" i="6"/>
  <c r="G1384" i="6"/>
  <c r="H1384" i="6" s="1"/>
  <c r="F1384" i="6"/>
  <c r="E1384" i="6"/>
  <c r="D1384" i="6"/>
  <c r="G1383" i="6"/>
  <c r="H1383" i="6" s="1"/>
  <c r="F1383" i="6"/>
  <c r="E1383" i="6"/>
  <c r="D1383" i="6"/>
  <c r="G1382" i="6"/>
  <c r="F1382" i="6"/>
  <c r="E1382" i="6"/>
  <c r="E1386" i="6" s="1"/>
  <c r="D1382" i="6"/>
  <c r="B985" i="6"/>
  <c r="B986" i="6" s="1"/>
  <c r="B987" i="6" s="1"/>
  <c r="B988" i="6" s="1"/>
  <c r="B989" i="6" s="1"/>
  <c r="B990" i="6" s="1"/>
  <c r="B991" i="6" s="1"/>
  <c r="B992" i="6" s="1"/>
  <c r="B993" i="6" s="1"/>
  <c r="B994" i="6" s="1"/>
  <c r="B995" i="6" s="1"/>
  <c r="B996" i="6" s="1"/>
  <c r="B997" i="6" s="1"/>
  <c r="B998" i="6" s="1"/>
  <c r="B999" i="6" s="1"/>
  <c r="B1000" i="6" s="1"/>
  <c r="B1001" i="6" s="1"/>
  <c r="B1002" i="6" s="1"/>
  <c r="B1003" i="6" s="1"/>
  <c r="B1004" i="6" s="1"/>
  <c r="B1005" i="6" s="1"/>
  <c r="B1006" i="6" s="1"/>
  <c r="B1007" i="6" s="1"/>
  <c r="B1008" i="6" s="1"/>
  <c r="B1009" i="6" s="1"/>
  <c r="B1010" i="6" s="1"/>
  <c r="B1011" i="6" s="1"/>
  <c r="B1012" i="6" s="1"/>
  <c r="B1013" i="6" s="1"/>
  <c r="B1014" i="6" s="1"/>
  <c r="B1015" i="6" s="1"/>
  <c r="B1016" i="6" s="1"/>
  <c r="B1017" i="6" s="1"/>
  <c r="B1018" i="6" s="1"/>
  <c r="B1019" i="6" s="1"/>
  <c r="B1020" i="6" s="1"/>
  <c r="B1021" i="6" s="1"/>
  <c r="B1022" i="6" s="1"/>
  <c r="B1023" i="6" s="1"/>
  <c r="B1024" i="6" s="1"/>
  <c r="B1025" i="6" s="1"/>
  <c r="B1026" i="6" s="1"/>
  <c r="B1027" i="6" s="1"/>
  <c r="B1028" i="6" s="1"/>
  <c r="B1029" i="6" s="1"/>
  <c r="B1030" i="6" s="1"/>
  <c r="B1031" i="6" s="1"/>
  <c r="B1032" i="6" s="1"/>
  <c r="B1033" i="6" s="1"/>
  <c r="B1034" i="6" s="1"/>
  <c r="B1035" i="6" s="1"/>
  <c r="B1036" i="6" s="1"/>
  <c r="B1037" i="6" s="1"/>
  <c r="B1038" i="6" s="1"/>
  <c r="B1039" i="6" s="1"/>
  <c r="B1040" i="6" s="1"/>
  <c r="B1041" i="6" s="1"/>
  <c r="B1042" i="6" s="1"/>
  <c r="B1043" i="6" s="1"/>
  <c r="B1044" i="6" s="1"/>
  <c r="B1045" i="6" s="1"/>
  <c r="B1046" i="6" s="1"/>
  <c r="B1047" i="6" s="1"/>
  <c r="B1048" i="6" s="1"/>
  <c r="B1049" i="6" s="1"/>
  <c r="B1050" i="6" s="1"/>
  <c r="B1051" i="6" s="1"/>
  <c r="B1052" i="6" s="1"/>
  <c r="B1053" i="6" s="1"/>
  <c r="B1054" i="6" s="1"/>
  <c r="B1055" i="6" s="1"/>
  <c r="B1056" i="6" s="1"/>
  <c r="B1057" i="6" s="1"/>
  <c r="B1058" i="6" s="1"/>
  <c r="B1059" i="6" s="1"/>
  <c r="B1060" i="6" s="1"/>
  <c r="B1061" i="6" s="1"/>
  <c r="B1062" i="6" s="1"/>
  <c r="B1063" i="6" s="1"/>
  <c r="B1064" i="6" s="1"/>
  <c r="B1065" i="6" s="1"/>
  <c r="B1066" i="6" s="1"/>
  <c r="B1067" i="6" s="1"/>
  <c r="B1068" i="6" s="1"/>
  <c r="B1069" i="6" s="1"/>
  <c r="B1070" i="6" s="1"/>
  <c r="B1071" i="6" s="1"/>
  <c r="B1072" i="6" s="1"/>
  <c r="B1073" i="6" s="1"/>
  <c r="B1074" i="6" s="1"/>
  <c r="B1075" i="6" s="1"/>
  <c r="B1076" i="6" s="1"/>
  <c r="B1077" i="6" s="1"/>
  <c r="B1078" i="6" s="1"/>
  <c r="B1079" i="6" s="1"/>
  <c r="B1080" i="6" s="1"/>
  <c r="B1081" i="6" s="1"/>
  <c r="B1082" i="6" s="1"/>
  <c r="B1083" i="6" s="1"/>
  <c r="B1084" i="6" s="1"/>
  <c r="B1085" i="6" s="1"/>
  <c r="B1086" i="6" s="1"/>
  <c r="B1087" i="6" s="1"/>
  <c r="B1088" i="6" s="1"/>
  <c r="B1089" i="6" s="1"/>
  <c r="B1090" i="6" s="1"/>
  <c r="B1091" i="6" s="1"/>
  <c r="B1092" i="6" s="1"/>
  <c r="B1093" i="6" s="1"/>
  <c r="B1094" i="6" s="1"/>
  <c r="B1095" i="6" s="1"/>
  <c r="B1096" i="6" s="1"/>
  <c r="B1097" i="6" s="1"/>
  <c r="B1098" i="6" s="1"/>
  <c r="B1099" i="6" s="1"/>
  <c r="B1100" i="6" s="1"/>
  <c r="B1101" i="6" s="1"/>
  <c r="B1102" i="6" s="1"/>
  <c r="B1103" i="6" s="1"/>
  <c r="B1104" i="6" s="1"/>
  <c r="B1105" i="6" s="1"/>
  <c r="B1106" i="6" s="1"/>
  <c r="B1107" i="6" s="1"/>
  <c r="B1108" i="6" s="1"/>
  <c r="B1109" i="6" s="1"/>
  <c r="B1110" i="6" s="1"/>
  <c r="B1111" i="6" s="1"/>
  <c r="B1112" i="6" s="1"/>
  <c r="B1113" i="6" s="1"/>
  <c r="B1114" i="6" s="1"/>
  <c r="B1115" i="6" s="1"/>
  <c r="B1116" i="6" s="1"/>
  <c r="B1117" i="6" s="1"/>
  <c r="B1118" i="6" s="1"/>
  <c r="B1119" i="6" s="1"/>
  <c r="B1120" i="6" s="1"/>
  <c r="B1121" i="6" s="1"/>
  <c r="B1122" i="6" s="1"/>
  <c r="B1123" i="6" s="1"/>
  <c r="B1124" i="6" s="1"/>
  <c r="B1125" i="6" s="1"/>
  <c r="B1126" i="6" s="1"/>
  <c r="B1127" i="6" s="1"/>
  <c r="B1128" i="6" s="1"/>
  <c r="B1129" i="6" s="1"/>
  <c r="B1130" i="6" s="1"/>
  <c r="B1131" i="6" s="1"/>
  <c r="B1132" i="6" s="1"/>
  <c r="B1133" i="6" s="1"/>
  <c r="B1134" i="6" s="1"/>
  <c r="B1135" i="6" s="1"/>
  <c r="B1136" i="6" s="1"/>
  <c r="B1137" i="6" s="1"/>
  <c r="B1138" i="6" s="1"/>
  <c r="B1139" i="6" s="1"/>
  <c r="B1140" i="6" s="1"/>
  <c r="B1141" i="6" s="1"/>
  <c r="B1142" i="6" s="1"/>
  <c r="B1143" i="6" s="1"/>
  <c r="B1144" i="6" s="1"/>
  <c r="B1145" i="6" s="1"/>
  <c r="B1146" i="6" s="1"/>
  <c r="B1147" i="6" s="1"/>
  <c r="B1148" i="6" s="1"/>
  <c r="B1150" i="6" s="1"/>
  <c r="B1151" i="6" s="1"/>
  <c r="B1152" i="6" s="1"/>
  <c r="B1153" i="6" s="1"/>
  <c r="B1154" i="6" s="1"/>
  <c r="B1155" i="6" s="1"/>
  <c r="B1156" i="6" s="1"/>
  <c r="B1157" i="6" s="1"/>
  <c r="B1158" i="6" s="1"/>
  <c r="B1159" i="6" s="1"/>
  <c r="B1160" i="6" s="1"/>
  <c r="B1161" i="6" s="1"/>
  <c r="B1162" i="6" s="1"/>
  <c r="B1163" i="6" s="1"/>
  <c r="B1164" i="6" s="1"/>
  <c r="B1165" i="6" s="1"/>
  <c r="B1166" i="6" s="1"/>
  <c r="B1167" i="6" s="1"/>
  <c r="B1168" i="6" s="1"/>
  <c r="B1169" i="6" s="1"/>
  <c r="B1170" i="6" s="1"/>
  <c r="B1171" i="6" s="1"/>
  <c r="B1172" i="6" s="1"/>
  <c r="B1173" i="6" s="1"/>
  <c r="B1174" i="6" s="1"/>
  <c r="B1175" i="6" s="1"/>
  <c r="B1176" i="6" s="1"/>
  <c r="B1177" i="6" s="1"/>
  <c r="B1178" i="6" s="1"/>
  <c r="B1179" i="6" s="1"/>
  <c r="B1180" i="6" s="1"/>
  <c r="B1181" i="6" s="1"/>
  <c r="B1182" i="6" s="1"/>
  <c r="B1183" i="6" s="1"/>
  <c r="B1184" i="6" s="1"/>
  <c r="B1185" i="6" s="1"/>
  <c r="B1186" i="6" s="1"/>
  <c r="B1187" i="6" s="1"/>
  <c r="B1188" i="6" s="1"/>
  <c r="B1189" i="6" s="1"/>
  <c r="B1190" i="6" s="1"/>
  <c r="B1191" i="6" s="1"/>
  <c r="B1192" i="6" s="1"/>
  <c r="B1193" i="6" s="1"/>
  <c r="B1194" i="6" s="1"/>
  <c r="B1195" i="6" s="1"/>
  <c r="B1196" i="6" s="1"/>
  <c r="B1197" i="6" s="1"/>
  <c r="B1198" i="6" s="1"/>
  <c r="B1199" i="6" s="1"/>
  <c r="B1200" i="6" s="1"/>
  <c r="B1201" i="6" s="1"/>
  <c r="B1202" i="6" s="1"/>
  <c r="B1203" i="6" s="1"/>
  <c r="B1204" i="6" s="1"/>
  <c r="B1205" i="6" s="1"/>
  <c r="B1206" i="6" s="1"/>
  <c r="B1207" i="6" s="1"/>
  <c r="B1208" i="6" s="1"/>
  <c r="B1209" i="6" s="1"/>
  <c r="B1210" i="6" s="1"/>
  <c r="B1211" i="6" s="1"/>
  <c r="B1212" i="6" s="1"/>
  <c r="B1213" i="6" s="1"/>
  <c r="B1214" i="6" s="1"/>
  <c r="B1215" i="6" s="1"/>
  <c r="B1216" i="6" s="1"/>
  <c r="B1217" i="6" s="1"/>
  <c r="B1218" i="6" s="1"/>
  <c r="B1219" i="6" s="1"/>
  <c r="B1220" i="6" s="1"/>
  <c r="B1221" i="6" s="1"/>
  <c r="B1222" i="6" s="1"/>
  <c r="B1223" i="6" s="1"/>
  <c r="B1224" i="6" s="1"/>
  <c r="B1225" i="6" s="1"/>
  <c r="B1226" i="6" s="1"/>
  <c r="B1227" i="6" s="1"/>
  <c r="B1228" i="6" s="1"/>
  <c r="B1229" i="6" s="1"/>
  <c r="B1230" i="6" s="1"/>
  <c r="B1231" i="6" s="1"/>
  <c r="B1232" i="6" s="1"/>
  <c r="B1233" i="6" s="1"/>
  <c r="B1234" i="6" s="1"/>
  <c r="B1235" i="6" s="1"/>
  <c r="B1236" i="6" s="1"/>
  <c r="B1237" i="6" s="1"/>
  <c r="B1238" i="6" s="1"/>
  <c r="B1239" i="6" s="1"/>
  <c r="B1240" i="6" s="1"/>
  <c r="B1241" i="6" s="1"/>
  <c r="B1242" i="6" s="1"/>
  <c r="B1243" i="6" s="1"/>
  <c r="B1244" i="6" s="1"/>
  <c r="B1245" i="6" s="1"/>
  <c r="B1246" i="6" s="1"/>
  <c r="B1247" i="6" s="1"/>
  <c r="B1248" i="6" s="1"/>
  <c r="B1249" i="6" s="1"/>
  <c r="B1250" i="6" s="1"/>
  <c r="B1251" i="6" s="1"/>
  <c r="B1252" i="6" s="1"/>
  <c r="B1253" i="6" s="1"/>
  <c r="B1254" i="6" s="1"/>
  <c r="B1255" i="6" s="1"/>
  <c r="B1256" i="6" s="1"/>
  <c r="B1257" i="6" s="1"/>
  <c r="B1258" i="6" s="1"/>
  <c r="B1259" i="6" s="1"/>
  <c r="B1260" i="6" s="1"/>
  <c r="B1261" i="6" s="1"/>
  <c r="B1262" i="6" s="1"/>
  <c r="B1263" i="6" s="1"/>
  <c r="B1264" i="6" s="1"/>
  <c r="B1265" i="6" s="1"/>
  <c r="B1266" i="6" s="1"/>
  <c r="B1267" i="6" s="1"/>
  <c r="B1268" i="6" s="1"/>
  <c r="B1269" i="6" s="1"/>
  <c r="B1270" i="6" s="1"/>
  <c r="B1271" i="6" s="1"/>
  <c r="B1272" i="6" s="1"/>
  <c r="B1273" i="6" s="1"/>
  <c r="B1274" i="6" s="1"/>
  <c r="B1275" i="6" s="1"/>
  <c r="B1276" i="6" s="1"/>
  <c r="B1277" i="6" s="1"/>
  <c r="B1278" i="6" s="1"/>
  <c r="B1279" i="6" s="1"/>
  <c r="B1280" i="6" s="1"/>
  <c r="B1281" i="6" s="1"/>
  <c r="B1282" i="6" s="1"/>
  <c r="B1283" i="6" s="1"/>
  <c r="B1284" i="6" s="1"/>
  <c r="B1285" i="6" s="1"/>
  <c r="B1286" i="6" s="1"/>
  <c r="B1287" i="6" s="1"/>
  <c r="B1288" i="6" s="1"/>
  <c r="B1289" i="6" s="1"/>
  <c r="B1290" i="6" s="1"/>
  <c r="B1291" i="6" s="1"/>
  <c r="B1292" i="6" s="1"/>
  <c r="B1293" i="6" s="1"/>
  <c r="B1294" i="6" s="1"/>
  <c r="B1295" i="6" s="1"/>
  <c r="B1296" i="6" s="1"/>
  <c r="B1297" i="6" s="1"/>
  <c r="B1298" i="6" s="1"/>
  <c r="B1299" i="6" s="1"/>
  <c r="B1300" i="6" s="1"/>
  <c r="B1301" i="6" s="1"/>
  <c r="B1302" i="6" s="1"/>
  <c r="B1303" i="6" s="1"/>
  <c r="B1304" i="6" s="1"/>
  <c r="B1305" i="6" s="1"/>
  <c r="B1306" i="6" s="1"/>
  <c r="B1307" i="6" s="1"/>
  <c r="B1308" i="6" s="1"/>
  <c r="B1309" i="6" s="1"/>
  <c r="B1310" i="6" s="1"/>
  <c r="B1311" i="6" s="1"/>
  <c r="B1312" i="6" s="1"/>
  <c r="B1313" i="6" s="1"/>
  <c r="B1314" i="6" s="1"/>
  <c r="B1315" i="6" s="1"/>
  <c r="B1316" i="6" s="1"/>
  <c r="B1317" i="6" s="1"/>
  <c r="B1318" i="6" s="1"/>
  <c r="B1319" i="6" s="1"/>
  <c r="B1320" i="6" s="1"/>
  <c r="B1321" i="6" s="1"/>
  <c r="B1322" i="6" s="1"/>
  <c r="B1323" i="6" s="1"/>
  <c r="B1324" i="6" s="1"/>
  <c r="B1325" i="6" s="1"/>
  <c r="B1326" i="6" s="1"/>
  <c r="B1327" i="6" s="1"/>
  <c r="B1328" i="6" s="1"/>
  <c r="B1329" i="6" s="1"/>
  <c r="B1330" i="6" s="1"/>
  <c r="B1331" i="6" s="1"/>
  <c r="B1332" i="6" s="1"/>
  <c r="B1333" i="6" s="1"/>
  <c r="B1334" i="6" s="1"/>
  <c r="B1335" i="6" s="1"/>
  <c r="B1336" i="6" s="1"/>
  <c r="B1337" i="6" s="1"/>
  <c r="B1338" i="6" s="1"/>
  <c r="B1339" i="6" s="1"/>
  <c r="B1340" i="6" s="1"/>
  <c r="B1341" i="6" s="1"/>
  <c r="B1342" i="6" s="1"/>
  <c r="B1343" i="6" s="1"/>
  <c r="B1344" i="6" s="1"/>
  <c r="B1345" i="6" s="1"/>
  <c r="B1346" i="6" s="1"/>
  <c r="B1347" i="6" s="1"/>
  <c r="B1348" i="6" s="1"/>
  <c r="B1349" i="6" s="1"/>
  <c r="B1350" i="6" s="1"/>
  <c r="B1351" i="6" s="1"/>
  <c r="B1352" i="6" s="1"/>
  <c r="B1353" i="6" s="1"/>
  <c r="B1354" i="6" s="1"/>
  <c r="B1355" i="6" s="1"/>
  <c r="B1356" i="6" s="1"/>
  <c r="B1357" i="6" s="1"/>
  <c r="B1358" i="6" s="1"/>
  <c r="B1359" i="6" s="1"/>
  <c r="B1360" i="6" s="1"/>
  <c r="B1361" i="6" s="1"/>
  <c r="B1362" i="6" s="1"/>
  <c r="B1363" i="6" s="1"/>
  <c r="B1364" i="6" s="1"/>
  <c r="B1365" i="6" s="1"/>
  <c r="B1366" i="6" s="1"/>
  <c r="B1367" i="6" s="1"/>
  <c r="B1368" i="6" s="1"/>
  <c r="B1369" i="6" s="1"/>
  <c r="B1370" i="6" s="1"/>
  <c r="B1371" i="6" s="1"/>
  <c r="B1372" i="6" s="1"/>
  <c r="B1373" i="6" s="1"/>
  <c r="B1374" i="6" s="1"/>
  <c r="B1375" i="6" s="1"/>
  <c r="B1376" i="6" s="1"/>
  <c r="B1377" i="6" s="1"/>
  <c r="B984" i="6"/>
  <c r="B983" i="6"/>
  <c r="B982" i="6"/>
  <c r="B981" i="6"/>
  <c r="B980" i="6"/>
  <c r="B979" i="6"/>
  <c r="B978" i="6"/>
  <c r="B977" i="6"/>
  <c r="B976" i="6"/>
  <c r="B975" i="6"/>
  <c r="B974" i="6"/>
  <c r="B973" i="6"/>
  <c r="B972" i="6"/>
  <c r="B971" i="6"/>
  <c r="B970" i="6"/>
  <c r="B969" i="6"/>
  <c r="B968" i="6"/>
  <c r="B967" i="6"/>
  <c r="B966" i="6"/>
  <c r="B965" i="6"/>
  <c r="B964" i="6"/>
  <c r="B963" i="6"/>
  <c r="B962" i="6"/>
  <c r="B961" i="6"/>
  <c r="B960" i="6"/>
  <c r="B959" i="6"/>
  <c r="B958" i="6"/>
  <c r="B957" i="6"/>
  <c r="B956" i="6"/>
  <c r="B955" i="6"/>
  <c r="B954" i="6"/>
  <c r="B953" i="6"/>
  <c r="B952" i="6"/>
  <c r="B951" i="6"/>
  <c r="B950" i="6"/>
  <c r="B949" i="6"/>
  <c r="B948" i="6"/>
  <c r="B947" i="6"/>
  <c r="B946" i="6"/>
  <c r="B945" i="6"/>
  <c r="B944" i="6"/>
  <c r="B943" i="6"/>
  <c r="B942" i="6"/>
  <c r="B941" i="6"/>
  <c r="B940" i="6"/>
  <c r="B939" i="6"/>
  <c r="B938" i="6"/>
  <c r="B937" i="6"/>
  <c r="B936" i="6"/>
  <c r="B935" i="6"/>
  <c r="B934" i="6"/>
  <c r="B933" i="6"/>
  <c r="B932" i="6"/>
  <c r="B931" i="6"/>
  <c r="B930" i="6"/>
  <c r="B929" i="6"/>
  <c r="B928" i="6"/>
  <c r="B927" i="6"/>
  <c r="B926" i="6"/>
  <c r="B925" i="6"/>
  <c r="B924" i="6"/>
  <c r="B923" i="6"/>
  <c r="B922" i="6"/>
  <c r="B921" i="6"/>
  <c r="B919" i="6"/>
  <c r="B918" i="6"/>
  <c r="B917" i="6"/>
  <c r="B916" i="6"/>
  <c r="B915" i="6"/>
  <c r="B914" i="6"/>
  <c r="B913" i="6"/>
  <c r="B912" i="6"/>
  <c r="B911" i="6"/>
  <c r="B910" i="6"/>
  <c r="B909" i="6"/>
  <c r="B908" i="6"/>
  <c r="B907" i="6"/>
  <c r="B906" i="6"/>
  <c r="B905" i="6"/>
  <c r="B904" i="6"/>
  <c r="B903" i="6"/>
  <c r="B902" i="6"/>
  <c r="B901" i="6"/>
  <c r="B900" i="6"/>
  <c r="B899" i="6"/>
  <c r="B898" i="6"/>
  <c r="B897" i="6"/>
  <c r="B896" i="6"/>
  <c r="B895" i="6"/>
  <c r="B894" i="6"/>
  <c r="B893" i="6"/>
  <c r="B892" i="6"/>
  <c r="B891" i="6"/>
  <c r="B890" i="6"/>
  <c r="B889" i="6"/>
  <c r="B888" i="6"/>
  <c r="B887" i="6"/>
  <c r="B886" i="6"/>
  <c r="B885" i="6"/>
  <c r="B884" i="6"/>
  <c r="B883" i="6"/>
  <c r="B882" i="6"/>
  <c r="B881" i="6"/>
  <c r="B880" i="6"/>
  <c r="B879" i="6"/>
  <c r="B878" i="6"/>
  <c r="B877" i="6"/>
  <c r="B876" i="6"/>
  <c r="B875" i="6"/>
  <c r="B874" i="6"/>
  <c r="B873" i="6"/>
  <c r="B872" i="6"/>
  <c r="B871" i="6"/>
  <c r="B870" i="6"/>
  <c r="B869" i="6"/>
  <c r="B868" i="6"/>
  <c r="B867" i="6"/>
  <c r="B866" i="6"/>
  <c r="B865" i="6"/>
  <c r="B864" i="6"/>
  <c r="B863" i="6"/>
  <c r="B862" i="6"/>
  <c r="B861" i="6"/>
  <c r="B860" i="6"/>
  <c r="B859" i="6"/>
  <c r="B858" i="6"/>
  <c r="B857" i="6"/>
  <c r="B856" i="6"/>
  <c r="B855" i="6"/>
  <c r="B854" i="6"/>
  <c r="B853" i="6"/>
  <c r="B852" i="6"/>
  <c r="B851" i="6"/>
  <c r="B850" i="6"/>
  <c r="B849" i="6"/>
  <c r="B848" i="6"/>
  <c r="B847" i="6"/>
  <c r="B846" i="6"/>
  <c r="B845" i="6"/>
  <c r="B844" i="6"/>
  <c r="B843" i="6"/>
  <c r="B842" i="6"/>
  <c r="B841" i="6"/>
  <c r="B840" i="6"/>
  <c r="B839" i="6"/>
  <c r="B838" i="6"/>
  <c r="B837" i="6"/>
  <c r="B836" i="6"/>
  <c r="B835" i="6"/>
  <c r="B834" i="6"/>
  <c r="B833" i="6"/>
  <c r="B832" i="6"/>
  <c r="B831" i="6"/>
  <c r="B830" i="6"/>
  <c r="B829" i="6"/>
  <c r="B828" i="6"/>
  <c r="B827" i="6"/>
  <c r="B826" i="6"/>
  <c r="B825" i="6"/>
  <c r="B824" i="6"/>
  <c r="B823" i="6"/>
  <c r="B822" i="6"/>
  <c r="B821" i="6"/>
  <c r="B820" i="6"/>
  <c r="B819" i="6"/>
  <c r="B818" i="6"/>
  <c r="B817" i="6"/>
  <c r="B816" i="6"/>
  <c r="B815" i="6"/>
  <c r="B814" i="6"/>
  <c r="B813" i="6"/>
  <c r="B812" i="6"/>
  <c r="B811" i="6"/>
  <c r="B810" i="6"/>
  <c r="B809" i="6"/>
  <c r="B808" i="6"/>
  <c r="B807" i="6"/>
  <c r="B806" i="6"/>
  <c r="B805" i="6"/>
  <c r="B804" i="6"/>
  <c r="B803" i="6"/>
  <c r="B802" i="6"/>
  <c r="B801" i="6"/>
  <c r="B800" i="6"/>
  <c r="B799" i="6"/>
  <c r="B798" i="6"/>
  <c r="B797" i="6"/>
  <c r="B796" i="6"/>
  <c r="B795" i="6"/>
  <c r="B794" i="6"/>
  <c r="B793" i="6"/>
  <c r="B792" i="6"/>
  <c r="B791" i="6"/>
  <c r="B790" i="6"/>
  <c r="B789" i="6"/>
  <c r="B788" i="6"/>
  <c r="B787" i="6"/>
  <c r="B786" i="6"/>
  <c r="B785" i="6"/>
  <c r="B784" i="6"/>
  <c r="B783" i="6"/>
  <c r="B782" i="6"/>
  <c r="B781" i="6"/>
  <c r="B780" i="6"/>
  <c r="B779" i="6"/>
  <c r="B778" i="6"/>
  <c r="B777" i="6"/>
  <c r="B776" i="6"/>
  <c r="B775" i="6"/>
  <c r="B774" i="6"/>
  <c r="B773" i="6"/>
  <c r="B772" i="6"/>
  <c r="B771" i="6"/>
  <c r="B770" i="6"/>
  <c r="B769" i="6"/>
  <c r="B768" i="6"/>
  <c r="B767" i="6"/>
  <c r="B766" i="6"/>
  <c r="B765" i="6"/>
  <c r="B764" i="6"/>
  <c r="B763" i="6"/>
  <c r="B762" i="6"/>
  <c r="B761" i="6"/>
  <c r="B760" i="6"/>
  <c r="B759" i="6"/>
  <c r="B758" i="6"/>
  <c r="B757" i="6"/>
  <c r="B756" i="6"/>
  <c r="B755" i="6"/>
  <c r="B754" i="6"/>
  <c r="B753" i="6"/>
  <c r="B752" i="6"/>
  <c r="B751" i="6"/>
  <c r="B750" i="6"/>
  <c r="B749" i="6"/>
  <c r="B748" i="6"/>
  <c r="B747" i="6"/>
  <c r="B746" i="6"/>
  <c r="B745" i="6"/>
  <c r="B744" i="6"/>
  <c r="B743" i="6"/>
  <c r="B742" i="6"/>
  <c r="B741" i="6"/>
  <c r="B740" i="6"/>
  <c r="B739" i="6"/>
  <c r="B738" i="6"/>
  <c r="B737" i="6"/>
  <c r="B736" i="6"/>
  <c r="B735" i="6"/>
  <c r="B734" i="6"/>
  <c r="B733" i="6"/>
  <c r="B732" i="6"/>
  <c r="B731" i="6"/>
  <c r="B730" i="6"/>
  <c r="B729" i="6"/>
  <c r="B728" i="6"/>
  <c r="B727" i="6"/>
  <c r="B726" i="6"/>
  <c r="B725" i="6"/>
  <c r="B724" i="6"/>
  <c r="B723" i="6"/>
  <c r="B722" i="6"/>
  <c r="B721" i="6"/>
  <c r="B720" i="6"/>
  <c r="B719" i="6"/>
  <c r="B718" i="6"/>
  <c r="B717" i="6"/>
  <c r="B716" i="6"/>
  <c r="B715" i="6"/>
  <c r="B714" i="6"/>
  <c r="B713" i="6"/>
  <c r="B712" i="6"/>
  <c r="B711" i="6"/>
  <c r="B710" i="6"/>
  <c r="B709" i="6"/>
  <c r="B708" i="6"/>
  <c r="B707" i="6"/>
  <c r="B706" i="6"/>
  <c r="B705" i="6"/>
  <c r="B704" i="6"/>
  <c r="B703" i="6"/>
  <c r="B702" i="6"/>
  <c r="B701" i="6"/>
  <c r="B700" i="6"/>
  <c r="B699" i="6"/>
  <c r="B698" i="6"/>
  <c r="B697" i="6"/>
  <c r="B696" i="6"/>
  <c r="B695" i="6"/>
  <c r="B694" i="6"/>
  <c r="B693" i="6"/>
  <c r="B692" i="6"/>
  <c r="B690" i="6"/>
  <c r="B689" i="6"/>
  <c r="B688" i="6"/>
  <c r="B687" i="6"/>
  <c r="B686" i="6"/>
  <c r="B685" i="6"/>
  <c r="B684" i="6"/>
  <c r="B683" i="6"/>
  <c r="B682" i="6"/>
  <c r="B681" i="6"/>
  <c r="B680" i="6"/>
  <c r="B679" i="6"/>
  <c r="B678" i="6"/>
  <c r="B677" i="6"/>
  <c r="B676" i="6"/>
  <c r="B675" i="6"/>
  <c r="B674" i="6"/>
  <c r="B673" i="6"/>
  <c r="B672" i="6"/>
  <c r="B671" i="6"/>
  <c r="B670" i="6"/>
  <c r="B669" i="6"/>
  <c r="B668" i="6"/>
  <c r="B667" i="6"/>
  <c r="B666" i="6"/>
  <c r="B665" i="6"/>
  <c r="B664" i="6"/>
  <c r="B663" i="6"/>
  <c r="B662" i="6"/>
  <c r="B661" i="6"/>
  <c r="B660" i="6"/>
  <c r="B659" i="6"/>
  <c r="B658" i="6"/>
  <c r="B657" i="6"/>
  <c r="B656" i="6"/>
  <c r="B655" i="6"/>
  <c r="B654" i="6"/>
  <c r="B653" i="6"/>
  <c r="B652" i="6"/>
  <c r="B651" i="6"/>
  <c r="B650" i="6"/>
  <c r="B649" i="6"/>
  <c r="B648" i="6"/>
  <c r="B647" i="6"/>
  <c r="B646" i="6"/>
  <c r="B645" i="6"/>
  <c r="B644" i="6"/>
  <c r="B643" i="6"/>
  <c r="B642" i="6"/>
  <c r="B641" i="6"/>
  <c r="B640" i="6"/>
  <c r="B639" i="6"/>
  <c r="B638" i="6"/>
  <c r="B637" i="6"/>
  <c r="B636" i="6"/>
  <c r="B635" i="6"/>
  <c r="B634" i="6"/>
  <c r="B633" i="6"/>
  <c r="B632" i="6"/>
  <c r="B631" i="6"/>
  <c r="B630" i="6"/>
  <c r="B629" i="6"/>
  <c r="B628" i="6"/>
  <c r="B627" i="6"/>
  <c r="B626" i="6"/>
  <c r="B625" i="6"/>
  <c r="B624" i="6"/>
  <c r="B623" i="6"/>
  <c r="B622" i="6"/>
  <c r="B621" i="6"/>
  <c r="B620" i="6"/>
  <c r="B619" i="6"/>
  <c r="B618" i="6"/>
  <c r="B617" i="6"/>
  <c r="B616" i="6"/>
  <c r="B615" i="6"/>
  <c r="B614" i="6"/>
  <c r="B613" i="6"/>
  <c r="B612" i="6"/>
  <c r="B611" i="6"/>
  <c r="B610" i="6"/>
  <c r="B609" i="6"/>
  <c r="B608" i="6"/>
  <c r="B607" i="6"/>
  <c r="B606" i="6"/>
  <c r="B605" i="6"/>
  <c r="B604" i="6"/>
  <c r="B603" i="6"/>
  <c r="B602" i="6"/>
  <c r="B601" i="6"/>
  <c r="B600" i="6"/>
  <c r="B599" i="6"/>
  <c r="B598" i="6"/>
  <c r="B597" i="6"/>
  <c r="B596" i="6"/>
  <c r="B595" i="6"/>
  <c r="B594" i="6"/>
  <c r="B593" i="6"/>
  <c r="B592" i="6"/>
  <c r="B591" i="6"/>
  <c r="B590" i="6"/>
  <c r="B589" i="6"/>
  <c r="B588" i="6"/>
  <c r="B587" i="6"/>
  <c r="B586" i="6"/>
  <c r="B585" i="6"/>
  <c r="B584" i="6"/>
  <c r="B583" i="6"/>
  <c r="B582" i="6"/>
  <c r="B581" i="6"/>
  <c r="B580" i="6"/>
  <c r="B579" i="6"/>
  <c r="B578" i="6"/>
  <c r="B577" i="6"/>
  <c r="B576" i="6"/>
  <c r="B575" i="6"/>
  <c r="B574" i="6"/>
  <c r="B573" i="6"/>
  <c r="B572" i="6"/>
  <c r="B571" i="6"/>
  <c r="B570" i="6"/>
  <c r="B569" i="6"/>
  <c r="B568" i="6"/>
  <c r="B567" i="6"/>
  <c r="B566" i="6"/>
  <c r="B565" i="6"/>
  <c r="B564" i="6"/>
  <c r="B563" i="6"/>
  <c r="B562" i="6"/>
  <c r="B561" i="6"/>
  <c r="B560" i="6"/>
  <c r="B559" i="6"/>
  <c r="B558" i="6"/>
  <c r="B557" i="6"/>
  <c r="B556" i="6"/>
  <c r="B555" i="6"/>
  <c r="B554" i="6"/>
  <c r="B553" i="6"/>
  <c r="B552" i="6"/>
  <c r="B551" i="6"/>
  <c r="B550" i="6"/>
  <c r="B549" i="6"/>
  <c r="B548" i="6"/>
  <c r="B547" i="6"/>
  <c r="B546" i="6"/>
  <c r="B545" i="6"/>
  <c r="B544" i="6"/>
  <c r="B543" i="6"/>
  <c r="B542" i="6"/>
  <c r="B541" i="6"/>
  <c r="B540" i="6"/>
  <c r="B539" i="6"/>
  <c r="B538" i="6"/>
  <c r="B537" i="6"/>
  <c r="B536" i="6"/>
  <c r="B535" i="6"/>
  <c r="B534" i="6"/>
  <c r="B533" i="6"/>
  <c r="B532" i="6"/>
  <c r="B531" i="6"/>
  <c r="B530" i="6"/>
  <c r="B529" i="6"/>
  <c r="B528" i="6"/>
  <c r="B527" i="6"/>
  <c r="B526" i="6"/>
  <c r="B525" i="6"/>
  <c r="B524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B506" i="6"/>
  <c r="B505" i="6"/>
  <c r="B504" i="6"/>
  <c r="B503" i="6"/>
  <c r="B502" i="6"/>
  <c r="B501" i="6"/>
  <c r="B500" i="6"/>
  <c r="B499" i="6"/>
  <c r="B498" i="6"/>
  <c r="B497" i="6"/>
  <c r="B496" i="6"/>
  <c r="B495" i="6"/>
  <c r="B494" i="6"/>
  <c r="B493" i="6"/>
  <c r="B492" i="6"/>
  <c r="B491" i="6"/>
  <c r="B490" i="6"/>
  <c r="B489" i="6"/>
  <c r="B488" i="6"/>
  <c r="B487" i="6"/>
  <c r="B486" i="6"/>
  <c r="B485" i="6"/>
  <c r="B484" i="6"/>
  <c r="B483" i="6"/>
  <c r="B482" i="6"/>
  <c r="B481" i="6"/>
  <c r="B480" i="6"/>
  <c r="B479" i="6"/>
  <c r="B478" i="6"/>
  <c r="B477" i="6"/>
  <c r="B476" i="6"/>
  <c r="B475" i="6"/>
  <c r="B474" i="6"/>
  <c r="B473" i="6"/>
  <c r="B472" i="6"/>
  <c r="B471" i="6"/>
  <c r="B470" i="6"/>
  <c r="B469" i="6"/>
  <c r="B468" i="6"/>
  <c r="B467" i="6"/>
  <c r="B466" i="6"/>
  <c r="B465" i="6"/>
  <c r="B464" i="6"/>
  <c r="B463" i="6"/>
  <c r="F1383" i="11"/>
  <c r="E1383" i="11"/>
  <c r="F1382" i="11"/>
  <c r="E1382" i="11"/>
  <c r="B985" i="11"/>
  <c r="B986" i="11" s="1"/>
  <c r="B984" i="11"/>
  <c r="B983" i="11"/>
  <c r="B982" i="11"/>
  <c r="B981" i="11"/>
  <c r="B980" i="11"/>
  <c r="B979" i="11"/>
  <c r="B978" i="11"/>
  <c r="B977" i="11"/>
  <c r="B976" i="11"/>
  <c r="B975" i="11"/>
  <c r="B974" i="11"/>
  <c r="B973" i="11"/>
  <c r="B972" i="11"/>
  <c r="B971" i="11"/>
  <c r="B970" i="11"/>
  <c r="B969" i="11"/>
  <c r="B968" i="11"/>
  <c r="B967" i="11"/>
  <c r="B966" i="11"/>
  <c r="B965" i="11"/>
  <c r="B964" i="11"/>
  <c r="B963" i="11"/>
  <c r="B962" i="11"/>
  <c r="B961" i="11"/>
  <c r="B960" i="11"/>
  <c r="B959" i="11"/>
  <c r="B958" i="11"/>
  <c r="B957" i="11"/>
  <c r="B956" i="11"/>
  <c r="B955" i="11"/>
  <c r="B954" i="11"/>
  <c r="B953" i="11"/>
  <c r="B952" i="11"/>
  <c r="B951" i="11"/>
  <c r="B950" i="11"/>
  <c r="B949" i="11"/>
  <c r="B948" i="11"/>
  <c r="B947" i="11"/>
  <c r="B946" i="11"/>
  <c r="B945" i="11"/>
  <c r="B944" i="11"/>
  <c r="B943" i="11"/>
  <c r="B942" i="11"/>
  <c r="B941" i="11"/>
  <c r="B940" i="11"/>
  <c r="B939" i="11"/>
  <c r="B938" i="11"/>
  <c r="B937" i="11"/>
  <c r="B936" i="11"/>
  <c r="B935" i="11"/>
  <c r="B934" i="11"/>
  <c r="B933" i="11"/>
  <c r="B932" i="11"/>
  <c r="B931" i="11"/>
  <c r="B930" i="11"/>
  <c r="B929" i="11"/>
  <c r="B928" i="11"/>
  <c r="B927" i="11"/>
  <c r="B926" i="11"/>
  <c r="B925" i="11"/>
  <c r="B924" i="11"/>
  <c r="B923" i="11"/>
  <c r="B922" i="11"/>
  <c r="B921" i="11"/>
  <c r="B919" i="11"/>
  <c r="B918" i="11"/>
  <c r="B917" i="11"/>
  <c r="B916" i="11"/>
  <c r="B915" i="11"/>
  <c r="B914" i="11"/>
  <c r="B913" i="11"/>
  <c r="B912" i="11"/>
  <c r="B911" i="11"/>
  <c r="B910" i="11"/>
  <c r="B909" i="11"/>
  <c r="B908" i="11"/>
  <c r="B907" i="11"/>
  <c r="B906" i="11"/>
  <c r="B905" i="11"/>
  <c r="B904" i="11"/>
  <c r="B903" i="11"/>
  <c r="B902" i="11"/>
  <c r="B901" i="11"/>
  <c r="B900" i="11"/>
  <c r="B899" i="11"/>
  <c r="B898" i="11"/>
  <c r="B897" i="11"/>
  <c r="B896" i="11"/>
  <c r="B895" i="11"/>
  <c r="B894" i="11"/>
  <c r="B893" i="11"/>
  <c r="B892" i="11"/>
  <c r="B891" i="11"/>
  <c r="B890" i="11"/>
  <c r="B889" i="11"/>
  <c r="B888" i="11"/>
  <c r="B887" i="11"/>
  <c r="B886" i="11"/>
  <c r="B885" i="11"/>
  <c r="B884" i="11"/>
  <c r="B883" i="11"/>
  <c r="B882" i="11"/>
  <c r="B881" i="11"/>
  <c r="B880" i="11"/>
  <c r="B879" i="11"/>
  <c r="B878" i="11"/>
  <c r="B877" i="11"/>
  <c r="B876" i="11"/>
  <c r="B875" i="11"/>
  <c r="B874" i="11"/>
  <c r="B873" i="11"/>
  <c r="B872" i="11"/>
  <c r="B871" i="11"/>
  <c r="B870" i="11"/>
  <c r="B869" i="11"/>
  <c r="B868" i="11"/>
  <c r="B867" i="11"/>
  <c r="B866" i="11"/>
  <c r="B865" i="11"/>
  <c r="B864" i="11"/>
  <c r="B863" i="11"/>
  <c r="B862" i="11"/>
  <c r="B861" i="11"/>
  <c r="B860" i="11"/>
  <c r="B859" i="11"/>
  <c r="B858" i="11"/>
  <c r="B857" i="11"/>
  <c r="B856" i="11"/>
  <c r="B855" i="11"/>
  <c r="B854" i="11"/>
  <c r="B853" i="11"/>
  <c r="B852" i="11"/>
  <c r="B851" i="11"/>
  <c r="B850" i="11"/>
  <c r="B849" i="11"/>
  <c r="B848" i="11"/>
  <c r="B847" i="11"/>
  <c r="B846" i="11"/>
  <c r="B845" i="11"/>
  <c r="B844" i="11"/>
  <c r="B843" i="11"/>
  <c r="B842" i="11"/>
  <c r="B841" i="11"/>
  <c r="B840" i="11"/>
  <c r="B839" i="11"/>
  <c r="B838" i="11"/>
  <c r="B837" i="11"/>
  <c r="B836" i="11"/>
  <c r="B835" i="11"/>
  <c r="B834" i="11"/>
  <c r="B833" i="11"/>
  <c r="B832" i="11"/>
  <c r="B831" i="11"/>
  <c r="B830" i="11"/>
  <c r="B829" i="11"/>
  <c r="B828" i="11"/>
  <c r="B827" i="11"/>
  <c r="B826" i="11"/>
  <c r="B825" i="11"/>
  <c r="B824" i="11"/>
  <c r="B823" i="11"/>
  <c r="B822" i="11"/>
  <c r="B821" i="11"/>
  <c r="B820" i="11"/>
  <c r="B819" i="11"/>
  <c r="B818" i="11"/>
  <c r="B817" i="11"/>
  <c r="B816" i="11"/>
  <c r="B815" i="11"/>
  <c r="B814" i="11"/>
  <c r="B813" i="11"/>
  <c r="B812" i="11"/>
  <c r="B811" i="11"/>
  <c r="B810" i="11"/>
  <c r="B809" i="11"/>
  <c r="B808" i="11"/>
  <c r="B807" i="11"/>
  <c r="B806" i="11"/>
  <c r="B805" i="11"/>
  <c r="B804" i="11"/>
  <c r="B803" i="11"/>
  <c r="B802" i="11"/>
  <c r="B801" i="11"/>
  <c r="B800" i="11"/>
  <c r="B799" i="11"/>
  <c r="B798" i="11"/>
  <c r="B797" i="11"/>
  <c r="B796" i="11"/>
  <c r="B795" i="11"/>
  <c r="B794" i="11"/>
  <c r="B793" i="11"/>
  <c r="B792" i="11"/>
  <c r="B791" i="11"/>
  <c r="B790" i="11"/>
  <c r="B789" i="11"/>
  <c r="B788" i="11"/>
  <c r="B787" i="11"/>
  <c r="B786" i="11"/>
  <c r="B785" i="11"/>
  <c r="B784" i="11"/>
  <c r="B783" i="11"/>
  <c r="B782" i="11"/>
  <c r="B781" i="11"/>
  <c r="B780" i="11"/>
  <c r="B779" i="11"/>
  <c r="B778" i="11"/>
  <c r="B777" i="11"/>
  <c r="B776" i="11"/>
  <c r="B775" i="11"/>
  <c r="B774" i="11"/>
  <c r="B773" i="11"/>
  <c r="B772" i="11"/>
  <c r="B771" i="11"/>
  <c r="B770" i="11"/>
  <c r="B769" i="11"/>
  <c r="B768" i="11"/>
  <c r="B767" i="11"/>
  <c r="B766" i="11"/>
  <c r="B765" i="11"/>
  <c r="B764" i="11"/>
  <c r="B763" i="11"/>
  <c r="B762" i="11"/>
  <c r="B761" i="11"/>
  <c r="B760" i="11"/>
  <c r="B759" i="11"/>
  <c r="B758" i="11"/>
  <c r="B757" i="11"/>
  <c r="B756" i="11"/>
  <c r="B755" i="11"/>
  <c r="B754" i="11"/>
  <c r="B753" i="11"/>
  <c r="B752" i="11"/>
  <c r="B751" i="11"/>
  <c r="B750" i="11"/>
  <c r="B749" i="11"/>
  <c r="B748" i="11"/>
  <c r="B747" i="11"/>
  <c r="B746" i="11"/>
  <c r="B745" i="11"/>
  <c r="B744" i="11"/>
  <c r="B743" i="11"/>
  <c r="B742" i="11"/>
  <c r="B741" i="11"/>
  <c r="B740" i="11"/>
  <c r="B739" i="11"/>
  <c r="B738" i="11"/>
  <c r="B737" i="11"/>
  <c r="B736" i="11"/>
  <c r="B735" i="11"/>
  <c r="B734" i="11"/>
  <c r="B733" i="11"/>
  <c r="B732" i="11"/>
  <c r="B731" i="11"/>
  <c r="B730" i="11"/>
  <c r="B729" i="11"/>
  <c r="B728" i="11"/>
  <c r="B727" i="11"/>
  <c r="B726" i="11"/>
  <c r="B725" i="11"/>
  <c r="B724" i="11"/>
  <c r="B723" i="11"/>
  <c r="B722" i="11"/>
  <c r="B721" i="11"/>
  <c r="B720" i="11"/>
  <c r="B719" i="11"/>
  <c r="B718" i="11"/>
  <c r="B717" i="11"/>
  <c r="B716" i="11"/>
  <c r="B715" i="11"/>
  <c r="B714" i="11"/>
  <c r="B713" i="11"/>
  <c r="B712" i="11"/>
  <c r="B711" i="11"/>
  <c r="B710" i="11"/>
  <c r="B709" i="11"/>
  <c r="B708" i="11"/>
  <c r="B707" i="11"/>
  <c r="B706" i="11"/>
  <c r="B705" i="11"/>
  <c r="B704" i="11"/>
  <c r="B703" i="11"/>
  <c r="B702" i="11"/>
  <c r="B701" i="11"/>
  <c r="B700" i="11"/>
  <c r="B699" i="11"/>
  <c r="B698" i="11"/>
  <c r="B697" i="11"/>
  <c r="B696" i="11"/>
  <c r="B695" i="11"/>
  <c r="B694" i="11"/>
  <c r="B693" i="11"/>
  <c r="D1383" i="11" s="1"/>
  <c r="B692" i="11"/>
  <c r="B690" i="11"/>
  <c r="B689" i="11"/>
  <c r="B688" i="11"/>
  <c r="B687" i="11"/>
  <c r="B686" i="11"/>
  <c r="B685" i="11"/>
  <c r="B684" i="11"/>
  <c r="B683" i="11"/>
  <c r="B682" i="11"/>
  <c r="B681" i="11"/>
  <c r="B680" i="11"/>
  <c r="B679" i="11"/>
  <c r="B678" i="11"/>
  <c r="B677" i="11"/>
  <c r="B676" i="11"/>
  <c r="B675" i="11"/>
  <c r="B674" i="11"/>
  <c r="B673" i="11"/>
  <c r="B672" i="11"/>
  <c r="B671" i="11"/>
  <c r="B670" i="11"/>
  <c r="B669" i="11"/>
  <c r="B668" i="11"/>
  <c r="B667" i="11"/>
  <c r="B666" i="11"/>
  <c r="B665" i="11"/>
  <c r="B664" i="11"/>
  <c r="B663" i="11"/>
  <c r="B662" i="11"/>
  <c r="B661" i="11"/>
  <c r="B660" i="11"/>
  <c r="B659" i="11"/>
  <c r="B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B641" i="11"/>
  <c r="B640" i="1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6" i="11"/>
  <c r="B625" i="11"/>
  <c r="B624" i="11"/>
  <c r="B623" i="11"/>
  <c r="B622" i="11"/>
  <c r="B621" i="11"/>
  <c r="B620" i="1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B601" i="11"/>
  <c r="B600" i="11"/>
  <c r="B599" i="11"/>
  <c r="B598" i="11"/>
  <c r="B597" i="11"/>
  <c r="B596" i="11"/>
  <c r="B595" i="11"/>
  <c r="B594" i="11"/>
  <c r="B593" i="11"/>
  <c r="B592" i="11"/>
  <c r="B591" i="11"/>
  <c r="B590" i="11"/>
  <c r="B589" i="11"/>
  <c r="B588" i="11"/>
  <c r="B587" i="11"/>
  <c r="B586" i="11"/>
  <c r="B585" i="11"/>
  <c r="B584" i="11"/>
  <c r="B583" i="11"/>
  <c r="B582" i="11"/>
  <c r="B581" i="11"/>
  <c r="B580" i="11"/>
  <c r="B579" i="11"/>
  <c r="B578" i="11"/>
  <c r="B577" i="11"/>
  <c r="B576" i="11"/>
  <c r="B575" i="11"/>
  <c r="B574" i="11"/>
  <c r="B573" i="11"/>
  <c r="B572" i="11"/>
  <c r="B571" i="11"/>
  <c r="B570" i="11"/>
  <c r="B569" i="11"/>
  <c r="B568" i="11"/>
  <c r="B567" i="11"/>
  <c r="B566" i="11"/>
  <c r="B565" i="11"/>
  <c r="B564" i="11"/>
  <c r="B563" i="11"/>
  <c r="B562" i="11"/>
  <c r="B561" i="11"/>
  <c r="B560" i="11"/>
  <c r="B559" i="11"/>
  <c r="B558" i="11"/>
  <c r="B557" i="11"/>
  <c r="B556" i="11"/>
  <c r="B555" i="11"/>
  <c r="B554" i="11"/>
  <c r="B553" i="11"/>
  <c r="B552" i="11"/>
  <c r="B551" i="11"/>
  <c r="B550" i="11"/>
  <c r="B549" i="11"/>
  <c r="B548" i="11"/>
  <c r="B547" i="11"/>
  <c r="B546" i="11"/>
  <c r="B545" i="11"/>
  <c r="B544" i="11"/>
  <c r="B543" i="11"/>
  <c r="B542" i="11"/>
  <c r="B541" i="11"/>
  <c r="B540" i="11"/>
  <c r="B539" i="11"/>
  <c r="B538" i="11"/>
  <c r="B537" i="11"/>
  <c r="B536" i="11"/>
  <c r="B535" i="11"/>
  <c r="B534" i="11"/>
  <c r="B533" i="11"/>
  <c r="B532" i="11"/>
  <c r="B531" i="11"/>
  <c r="B530" i="11"/>
  <c r="B529" i="11"/>
  <c r="B528" i="11"/>
  <c r="B527" i="11"/>
  <c r="B526" i="11"/>
  <c r="B525" i="11"/>
  <c r="B524" i="11"/>
  <c r="B523" i="11"/>
  <c r="B522" i="11"/>
  <c r="B521" i="11"/>
  <c r="B520" i="11"/>
  <c r="B519" i="11"/>
  <c r="B518" i="11"/>
  <c r="B517" i="11"/>
  <c r="B516" i="11"/>
  <c r="B515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B501" i="11"/>
  <c r="B500" i="11"/>
  <c r="B499" i="11"/>
  <c r="B498" i="11"/>
  <c r="B497" i="11"/>
  <c r="B496" i="11"/>
  <c r="B495" i="11"/>
  <c r="B494" i="11"/>
  <c r="B493" i="11"/>
  <c r="B492" i="11"/>
  <c r="B491" i="11"/>
  <c r="B490" i="11"/>
  <c r="B489" i="11"/>
  <c r="B488" i="11"/>
  <c r="B487" i="11"/>
  <c r="B486" i="11"/>
  <c r="B485" i="11"/>
  <c r="B484" i="11"/>
  <c r="B483" i="11"/>
  <c r="B482" i="11"/>
  <c r="B481" i="11"/>
  <c r="B480" i="1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6" i="11"/>
  <c r="B465" i="11"/>
  <c r="B464" i="11"/>
  <c r="B463" i="11"/>
  <c r="C1378" i="5"/>
  <c r="C1149" i="5"/>
  <c r="C920" i="5"/>
  <c r="C691" i="5"/>
  <c r="B985" i="5"/>
  <c r="B986" i="5" s="1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C1608" i="4"/>
  <c r="C1379" i="4"/>
  <c r="C1150" i="4"/>
  <c r="C921" i="4"/>
  <c r="G1614" i="4"/>
  <c r="H1614" i="4" s="1"/>
  <c r="O19" i="1"/>
  <c r="P19" i="1"/>
  <c r="Q19" i="1"/>
  <c r="R19" i="1"/>
  <c r="S19" i="1"/>
  <c r="T19" i="1"/>
  <c r="U19" i="1"/>
  <c r="O20" i="1"/>
  <c r="P20" i="1"/>
  <c r="Q20" i="1"/>
  <c r="R20" i="1"/>
  <c r="S20" i="1"/>
  <c r="T20" i="1"/>
  <c r="U20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3" i="1"/>
  <c r="P23" i="1"/>
  <c r="Q23" i="1"/>
  <c r="R23" i="1"/>
  <c r="S23" i="1"/>
  <c r="T23" i="1"/>
  <c r="U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J76" i="1"/>
  <c r="J78" i="1"/>
  <c r="J77" i="1"/>
  <c r="F89" i="1"/>
  <c r="B325" i="8"/>
  <c r="B452" i="11"/>
  <c r="B451" i="11"/>
  <c r="B450" i="11"/>
  <c r="B449" i="11"/>
  <c r="B448" i="11"/>
  <c r="B447" i="11"/>
  <c r="B446" i="11"/>
  <c r="B445" i="11"/>
  <c r="B444" i="11"/>
  <c r="B443" i="11"/>
  <c r="B442" i="11"/>
  <c r="B441" i="11"/>
  <c r="B440" i="1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91" i="11"/>
  <c r="B92" i="11" s="1"/>
  <c r="B80" i="11"/>
  <c r="B79" i="11"/>
  <c r="B78" i="11"/>
  <c r="B77" i="11"/>
  <c r="B59" i="11"/>
  <c r="B48" i="11"/>
  <c r="B19" i="11"/>
  <c r="B6" i="11"/>
  <c r="B7" i="11" s="1"/>
  <c r="D12" i="11" s="1"/>
  <c r="B452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439" i="10"/>
  <c r="B438" i="10"/>
  <c r="B437" i="10"/>
  <c r="B436" i="10"/>
  <c r="B435" i="10"/>
  <c r="B434" i="10"/>
  <c r="B433" i="10"/>
  <c r="B432" i="10"/>
  <c r="B431" i="10"/>
  <c r="B430" i="10"/>
  <c r="B429" i="10"/>
  <c r="B428" i="10"/>
  <c r="B427" i="10"/>
  <c r="B426" i="10"/>
  <c r="B425" i="10"/>
  <c r="B424" i="10"/>
  <c r="B423" i="10"/>
  <c r="B422" i="10"/>
  <c r="B421" i="10"/>
  <c r="B420" i="10"/>
  <c r="B419" i="10"/>
  <c r="B418" i="10"/>
  <c r="B417" i="10"/>
  <c r="B416" i="10"/>
  <c r="B415" i="10"/>
  <c r="B414" i="10"/>
  <c r="B413" i="10"/>
  <c r="B412" i="10"/>
  <c r="B411" i="10"/>
  <c r="B410" i="10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91" i="10"/>
  <c r="B92" i="10" s="1"/>
  <c r="B80" i="10"/>
  <c r="B79" i="10"/>
  <c r="B78" i="10"/>
  <c r="B77" i="10"/>
  <c r="B59" i="10"/>
  <c r="B48" i="10"/>
  <c r="B19" i="10"/>
  <c r="B6" i="10"/>
  <c r="B452" i="9"/>
  <c r="B451" i="9"/>
  <c r="B450" i="9"/>
  <c r="B449" i="9"/>
  <c r="B448" i="9"/>
  <c r="B447" i="9"/>
  <c r="B446" i="9"/>
  <c r="B445" i="9"/>
  <c r="B444" i="9"/>
  <c r="B443" i="9"/>
  <c r="B442" i="9"/>
  <c r="B441" i="9"/>
  <c r="B440" i="9"/>
  <c r="B439" i="9"/>
  <c r="B438" i="9"/>
  <c r="B437" i="9"/>
  <c r="B436" i="9"/>
  <c r="B435" i="9"/>
  <c r="B434" i="9"/>
  <c r="B433" i="9"/>
  <c r="B432" i="9"/>
  <c r="B431" i="9"/>
  <c r="B430" i="9"/>
  <c r="B429" i="9"/>
  <c r="B428" i="9"/>
  <c r="B427" i="9"/>
  <c r="B426" i="9"/>
  <c r="B425" i="9"/>
  <c r="B424" i="9"/>
  <c r="B423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390" i="9"/>
  <c r="B389" i="9"/>
  <c r="B388" i="9"/>
  <c r="B387" i="9"/>
  <c r="B386" i="9"/>
  <c r="B385" i="9"/>
  <c r="B384" i="9"/>
  <c r="B383" i="9"/>
  <c r="B382" i="9"/>
  <c r="B381" i="9"/>
  <c r="B380" i="9"/>
  <c r="B379" i="9"/>
  <c r="B378" i="9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91" i="9"/>
  <c r="B80" i="9"/>
  <c r="B79" i="9"/>
  <c r="B78" i="9"/>
  <c r="B77" i="9"/>
  <c r="B59" i="9"/>
  <c r="B48" i="9"/>
  <c r="B19" i="9"/>
  <c r="B6" i="9"/>
  <c r="B452" i="8"/>
  <c r="B451" i="8"/>
  <c r="B450" i="8"/>
  <c r="B449" i="8"/>
  <c r="B448" i="8"/>
  <c r="B447" i="8"/>
  <c r="B446" i="8"/>
  <c r="B445" i="8"/>
  <c r="B444" i="8"/>
  <c r="B443" i="8"/>
  <c r="B442" i="8"/>
  <c r="B441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8" i="8"/>
  <c r="B427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3" i="8"/>
  <c r="B412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91" i="8"/>
  <c r="B92" i="8" s="1"/>
  <c r="B80" i="8"/>
  <c r="B79" i="8"/>
  <c r="B78" i="8"/>
  <c r="B77" i="8"/>
  <c r="B59" i="8"/>
  <c r="B48" i="8"/>
  <c r="B19" i="8"/>
  <c r="B20" i="8" s="1"/>
  <c r="B6" i="8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91" i="7"/>
  <c r="B92" i="7" s="1"/>
  <c r="B80" i="7"/>
  <c r="B79" i="7"/>
  <c r="B78" i="7"/>
  <c r="B77" i="7"/>
  <c r="B59" i="7"/>
  <c r="B48" i="7"/>
  <c r="B19" i="7"/>
  <c r="B20" i="7" s="1"/>
  <c r="B6" i="7"/>
  <c r="B452" i="6"/>
  <c r="B451" i="6"/>
  <c r="B450" i="6"/>
  <c r="B449" i="6"/>
  <c r="B448" i="6"/>
  <c r="B447" i="6"/>
  <c r="B446" i="6"/>
  <c r="B445" i="6"/>
  <c r="B444" i="6"/>
  <c r="B443" i="6"/>
  <c r="B442" i="6"/>
  <c r="B441" i="6"/>
  <c r="B440" i="6"/>
  <c r="B439" i="6"/>
  <c r="B438" i="6"/>
  <c r="B437" i="6"/>
  <c r="B436" i="6"/>
  <c r="B435" i="6"/>
  <c r="B434" i="6"/>
  <c r="B433" i="6"/>
  <c r="B432" i="6"/>
  <c r="B431" i="6"/>
  <c r="B430" i="6"/>
  <c r="B429" i="6"/>
  <c r="B428" i="6"/>
  <c r="B427" i="6"/>
  <c r="B426" i="6"/>
  <c r="B425" i="6"/>
  <c r="B424" i="6"/>
  <c r="B423" i="6"/>
  <c r="B422" i="6"/>
  <c r="B421" i="6"/>
  <c r="B420" i="6"/>
  <c r="B419" i="6"/>
  <c r="B418" i="6"/>
  <c r="B417" i="6"/>
  <c r="B416" i="6"/>
  <c r="B415" i="6"/>
  <c r="B414" i="6"/>
  <c r="B413" i="6"/>
  <c r="B412" i="6"/>
  <c r="B411" i="6"/>
  <c r="B410" i="6"/>
  <c r="B409" i="6"/>
  <c r="B408" i="6"/>
  <c r="B407" i="6"/>
  <c r="B406" i="6"/>
  <c r="B405" i="6"/>
  <c r="B404" i="6"/>
  <c r="B403" i="6"/>
  <c r="B402" i="6"/>
  <c r="B401" i="6"/>
  <c r="B400" i="6"/>
  <c r="B399" i="6"/>
  <c r="B398" i="6"/>
  <c r="B397" i="6"/>
  <c r="B396" i="6"/>
  <c r="B395" i="6"/>
  <c r="B394" i="6"/>
  <c r="B393" i="6"/>
  <c r="B392" i="6"/>
  <c r="B391" i="6"/>
  <c r="B390" i="6"/>
  <c r="B389" i="6"/>
  <c r="B388" i="6"/>
  <c r="B387" i="6"/>
  <c r="B386" i="6"/>
  <c r="B385" i="6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91" i="6"/>
  <c r="B80" i="6"/>
  <c r="B79" i="6"/>
  <c r="B78" i="6"/>
  <c r="B77" i="6"/>
  <c r="B59" i="6"/>
  <c r="B48" i="6"/>
  <c r="B19" i="6"/>
  <c r="B6" i="6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80" i="5"/>
  <c r="B79" i="5"/>
  <c r="B78" i="5"/>
  <c r="B77" i="5"/>
  <c r="B59" i="5"/>
  <c r="B48" i="5"/>
  <c r="B19" i="5"/>
  <c r="B6" i="5"/>
  <c r="B352" i="2"/>
  <c r="B353" i="2"/>
  <c r="B354" i="2"/>
  <c r="B355" i="2"/>
  <c r="B356" i="2"/>
  <c r="B682" i="4"/>
  <c r="B681" i="4"/>
  <c r="B583" i="4"/>
  <c r="B6" i="4"/>
  <c r="B7" i="4" s="1"/>
  <c r="B465" i="2"/>
  <c r="B466" i="2"/>
  <c r="B32" i="2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367" i="2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64" i="2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6" i="2"/>
  <c r="B7" i="2" s="1"/>
  <c r="B19" i="2"/>
  <c r="B20" i="2"/>
  <c r="J67" i="1"/>
  <c r="F1385" i="11" l="1"/>
  <c r="E1385" i="11"/>
  <c r="F1384" i="11"/>
  <c r="G1383" i="11"/>
  <c r="G1382" i="11"/>
  <c r="D1382" i="11"/>
  <c r="H1383" i="11"/>
  <c r="E1384" i="10"/>
  <c r="F1383" i="10"/>
  <c r="E1383" i="10"/>
  <c r="D1383" i="10"/>
  <c r="F1382" i="10"/>
  <c r="G1385" i="10"/>
  <c r="F1385" i="10"/>
  <c r="E1385" i="10"/>
  <c r="D1385" i="10"/>
  <c r="G1384" i="10"/>
  <c r="F1384" i="10"/>
  <c r="D1384" i="10"/>
  <c r="G1383" i="10"/>
  <c r="H1383" i="10" s="1"/>
  <c r="G1382" i="10"/>
  <c r="D1382" i="10"/>
  <c r="D1386" i="10" s="1"/>
  <c r="F1386" i="10"/>
  <c r="B695" i="4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F1378" i="5"/>
  <c r="B95" i="4"/>
  <c r="B96" i="4" s="1"/>
  <c r="B97" i="4" s="1"/>
  <c r="B98" i="4" s="1"/>
  <c r="B99" i="4" s="1"/>
  <c r="B100" i="4" s="1"/>
  <c r="B101" i="4" s="1"/>
  <c r="B102" i="4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F1386" i="11"/>
  <c r="B326" i="5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C1379" i="5"/>
  <c r="D1386" i="8"/>
  <c r="F1386" i="8"/>
  <c r="C1609" i="4"/>
  <c r="B21" i="4"/>
  <c r="B22" i="4" s="1"/>
  <c r="B23" i="4" s="1"/>
  <c r="B24" i="4" s="1"/>
  <c r="F1149" i="5"/>
  <c r="B340" i="5"/>
  <c r="B341" i="5" s="1"/>
  <c r="B342" i="5" s="1"/>
  <c r="F1386" i="6"/>
  <c r="D1386" i="6"/>
  <c r="F1386" i="7"/>
  <c r="E1386" i="7"/>
  <c r="E1386" i="8"/>
  <c r="I1385" i="9"/>
  <c r="E1386" i="10"/>
  <c r="G1386" i="10"/>
  <c r="H1386" i="10" s="1"/>
  <c r="H1382" i="10"/>
  <c r="I1385" i="10"/>
  <c r="C1385" i="10"/>
  <c r="I1384" i="10"/>
  <c r="C1384" i="10"/>
  <c r="I1383" i="10"/>
  <c r="I1382" i="10"/>
  <c r="C1382" i="10"/>
  <c r="C1383" i="10"/>
  <c r="G1386" i="9"/>
  <c r="H1386" i="9" s="1"/>
  <c r="H1382" i="9"/>
  <c r="C1385" i="9"/>
  <c r="I1382" i="9"/>
  <c r="C1383" i="9"/>
  <c r="C1382" i="9"/>
  <c r="C1384" i="9"/>
  <c r="I1384" i="9"/>
  <c r="I1383" i="9"/>
  <c r="G1386" i="8"/>
  <c r="H1386" i="8" s="1"/>
  <c r="H1382" i="8"/>
  <c r="B987" i="8"/>
  <c r="G1386" i="7"/>
  <c r="H1386" i="7" s="1"/>
  <c r="H1382" i="7"/>
  <c r="B987" i="7"/>
  <c r="G1386" i="6"/>
  <c r="H1386" i="6" s="1"/>
  <c r="H1382" i="6"/>
  <c r="I1385" i="6"/>
  <c r="I1384" i="6"/>
  <c r="I1382" i="6"/>
  <c r="C1384" i="6"/>
  <c r="C1383" i="6"/>
  <c r="C1382" i="6"/>
  <c r="C1385" i="6"/>
  <c r="I1383" i="6"/>
  <c r="H1382" i="11"/>
  <c r="B987" i="11"/>
  <c r="B987" i="5"/>
  <c r="G1612" i="4"/>
  <c r="G1615" i="4"/>
  <c r="H1615" i="4" s="1"/>
  <c r="G1613" i="4"/>
  <c r="H1613" i="4" s="1"/>
  <c r="I457" i="11"/>
  <c r="G457" i="11"/>
  <c r="H457" i="11" s="1"/>
  <c r="F457" i="11"/>
  <c r="E457" i="11"/>
  <c r="D457" i="11"/>
  <c r="C457" i="11"/>
  <c r="I456" i="11"/>
  <c r="G456" i="11"/>
  <c r="H456" i="11" s="1"/>
  <c r="F456" i="11"/>
  <c r="E456" i="11"/>
  <c r="D456" i="11"/>
  <c r="C456" i="11"/>
  <c r="I455" i="11"/>
  <c r="G455" i="11"/>
  <c r="F455" i="11"/>
  <c r="F458" i="11" s="1"/>
  <c r="E455" i="11"/>
  <c r="E458" i="11" s="1"/>
  <c r="D455" i="11"/>
  <c r="D458" i="11" s="1"/>
  <c r="C455" i="11"/>
  <c r="C458" i="11" s="1"/>
  <c r="B93" i="11"/>
  <c r="B60" i="11"/>
  <c r="B20" i="11"/>
  <c r="F12" i="11"/>
  <c r="G11" i="11"/>
  <c r="I13" i="11"/>
  <c r="D13" i="11"/>
  <c r="I11" i="11"/>
  <c r="G13" i="11"/>
  <c r="H13" i="11" s="1"/>
  <c r="C13" i="11"/>
  <c r="C12" i="11"/>
  <c r="F11" i="11"/>
  <c r="E11" i="11"/>
  <c r="E12" i="11"/>
  <c r="C11" i="11"/>
  <c r="I12" i="11"/>
  <c r="E13" i="11"/>
  <c r="F13" i="11"/>
  <c r="G12" i="11"/>
  <c r="H12" i="11" s="1"/>
  <c r="D11" i="11"/>
  <c r="D14" i="11" s="1"/>
  <c r="I457" i="10"/>
  <c r="G457" i="10"/>
  <c r="H457" i="10" s="1"/>
  <c r="F457" i="10"/>
  <c r="E457" i="10"/>
  <c r="D457" i="10"/>
  <c r="C457" i="10"/>
  <c r="I456" i="10"/>
  <c r="G456" i="10"/>
  <c r="H456" i="10" s="1"/>
  <c r="F456" i="10"/>
  <c r="E456" i="10"/>
  <c r="D456" i="10"/>
  <c r="C456" i="10"/>
  <c r="I455" i="10"/>
  <c r="G455" i="10"/>
  <c r="F455" i="10"/>
  <c r="F458" i="10" s="1"/>
  <c r="C455" i="10"/>
  <c r="D455" i="10"/>
  <c r="D458" i="10" s="1"/>
  <c r="E455" i="10"/>
  <c r="E458" i="10" s="1"/>
  <c r="B93" i="10"/>
  <c r="B60" i="10"/>
  <c r="I85" i="10" s="1"/>
  <c r="B20" i="10"/>
  <c r="B7" i="10"/>
  <c r="E11" i="10" s="1"/>
  <c r="I457" i="9"/>
  <c r="G457" i="9"/>
  <c r="H457" i="9" s="1"/>
  <c r="F457" i="9"/>
  <c r="E457" i="9"/>
  <c r="D457" i="9"/>
  <c r="C457" i="9"/>
  <c r="I456" i="9"/>
  <c r="G456" i="9"/>
  <c r="H456" i="9" s="1"/>
  <c r="F456" i="9"/>
  <c r="E456" i="9"/>
  <c r="D456" i="9"/>
  <c r="C456" i="9"/>
  <c r="I455" i="9"/>
  <c r="G455" i="9"/>
  <c r="F455" i="9"/>
  <c r="F458" i="9" s="1"/>
  <c r="E455" i="9"/>
  <c r="E458" i="9" s="1"/>
  <c r="D455" i="9"/>
  <c r="C455" i="9"/>
  <c r="C458" i="9" s="1"/>
  <c r="B92" i="9"/>
  <c r="B60" i="9"/>
  <c r="B20" i="9"/>
  <c r="B7" i="9"/>
  <c r="I457" i="8"/>
  <c r="D457" i="8"/>
  <c r="I456" i="8"/>
  <c r="F456" i="8"/>
  <c r="D456" i="8"/>
  <c r="I455" i="8"/>
  <c r="C455" i="8"/>
  <c r="E455" i="8"/>
  <c r="G455" i="8"/>
  <c r="C456" i="8"/>
  <c r="G456" i="8"/>
  <c r="H456" i="8" s="1"/>
  <c r="E457" i="8"/>
  <c r="D455" i="8"/>
  <c r="D458" i="8" s="1"/>
  <c r="E456" i="8"/>
  <c r="C457" i="8"/>
  <c r="G457" i="8"/>
  <c r="H457" i="8" s="1"/>
  <c r="F455" i="8"/>
  <c r="F457" i="8"/>
  <c r="B93" i="8"/>
  <c r="B60" i="8"/>
  <c r="B21" i="8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7" i="8"/>
  <c r="E13" i="8"/>
  <c r="D13" i="8"/>
  <c r="G13" i="8"/>
  <c r="H13" i="8" s="1"/>
  <c r="G457" i="7"/>
  <c r="H457" i="7" s="1"/>
  <c r="E455" i="7"/>
  <c r="I457" i="7"/>
  <c r="D455" i="7"/>
  <c r="C457" i="7"/>
  <c r="E457" i="7"/>
  <c r="E456" i="7"/>
  <c r="C455" i="7"/>
  <c r="D457" i="7"/>
  <c r="F456" i="7"/>
  <c r="I455" i="7"/>
  <c r="I456" i="7"/>
  <c r="C456" i="7"/>
  <c r="F455" i="7"/>
  <c r="F457" i="7"/>
  <c r="G456" i="7"/>
  <c r="H456" i="7" s="1"/>
  <c r="G455" i="7"/>
  <c r="D456" i="7"/>
  <c r="B93" i="7"/>
  <c r="B60" i="7"/>
  <c r="I85" i="7"/>
  <c r="B21" i="7"/>
  <c r="B22" i="7" s="1"/>
  <c r="B23" i="7" s="1"/>
  <c r="B24" i="7" s="1"/>
  <c r="B25" i="7" s="1"/>
  <c r="B7" i="7"/>
  <c r="I457" i="6"/>
  <c r="G457" i="6"/>
  <c r="H457" i="6" s="1"/>
  <c r="F457" i="6"/>
  <c r="E457" i="6"/>
  <c r="D457" i="6"/>
  <c r="C457" i="6"/>
  <c r="I456" i="6"/>
  <c r="G456" i="6"/>
  <c r="H456" i="6" s="1"/>
  <c r="F456" i="6"/>
  <c r="E456" i="6"/>
  <c r="D456" i="6"/>
  <c r="C456" i="6"/>
  <c r="I455" i="6"/>
  <c r="G455" i="6"/>
  <c r="F455" i="6"/>
  <c r="E455" i="6"/>
  <c r="E458" i="6" s="1"/>
  <c r="D455" i="6"/>
  <c r="D458" i="6" s="1"/>
  <c r="C455" i="6"/>
  <c r="C458" i="6" s="1"/>
  <c r="B92" i="6"/>
  <c r="B60" i="6"/>
  <c r="F85" i="6"/>
  <c r="B20" i="6"/>
  <c r="B7" i="6"/>
  <c r="D12" i="6"/>
  <c r="D13" i="6"/>
  <c r="C12" i="6"/>
  <c r="G11" i="6"/>
  <c r="I12" i="6"/>
  <c r="G13" i="6"/>
  <c r="H13" i="6" s="1"/>
  <c r="E11" i="6"/>
  <c r="I13" i="6"/>
  <c r="E12" i="6"/>
  <c r="F12" i="6"/>
  <c r="C11" i="6"/>
  <c r="D11" i="6"/>
  <c r="D14" i="6" s="1"/>
  <c r="F13" i="6"/>
  <c r="F11" i="6"/>
  <c r="E13" i="6"/>
  <c r="I11" i="6"/>
  <c r="E457" i="5"/>
  <c r="F456" i="5"/>
  <c r="G455" i="5"/>
  <c r="F455" i="5"/>
  <c r="G456" i="5"/>
  <c r="C456" i="5"/>
  <c r="E455" i="5"/>
  <c r="F457" i="5"/>
  <c r="E456" i="5"/>
  <c r="C457" i="5"/>
  <c r="J457" i="5"/>
  <c r="C455" i="5"/>
  <c r="H456" i="5"/>
  <c r="I456" i="5" s="1"/>
  <c r="G457" i="5"/>
  <c r="H455" i="5"/>
  <c r="J456" i="5"/>
  <c r="H457" i="5"/>
  <c r="I457" i="5" s="1"/>
  <c r="J455" i="5"/>
  <c r="B93" i="5"/>
  <c r="B60" i="5"/>
  <c r="G85" i="5" s="1"/>
  <c r="J85" i="5"/>
  <c r="B20" i="5"/>
  <c r="H13" i="5"/>
  <c r="G11" i="4"/>
  <c r="H11" i="4" s="1"/>
  <c r="E11" i="4"/>
  <c r="F11" i="4"/>
  <c r="D11" i="4"/>
  <c r="C11" i="4"/>
  <c r="B584" i="4"/>
  <c r="B61" i="4"/>
  <c r="I13" i="4"/>
  <c r="K13" i="4" s="1"/>
  <c r="G13" i="4"/>
  <c r="H13" i="4" s="1"/>
  <c r="F13" i="4"/>
  <c r="E13" i="4"/>
  <c r="C13" i="4"/>
  <c r="I12" i="4"/>
  <c r="K12" i="4" s="1"/>
  <c r="G12" i="4"/>
  <c r="F12" i="4"/>
  <c r="E12" i="4"/>
  <c r="D12" i="4"/>
  <c r="C12" i="4"/>
  <c r="I11" i="4"/>
  <c r="K11" i="4" s="1"/>
  <c r="D13" i="4"/>
  <c r="D25" i="2"/>
  <c r="C25" i="2"/>
  <c r="G24" i="2"/>
  <c r="H24" i="2" s="1"/>
  <c r="F24" i="2"/>
  <c r="E24" i="2"/>
  <c r="D24" i="2"/>
  <c r="C24" i="2"/>
  <c r="I24" i="2"/>
  <c r="D470" i="2"/>
  <c r="F13" i="2"/>
  <c r="C13" i="2"/>
  <c r="E13" i="2"/>
  <c r="E12" i="2"/>
  <c r="G12" i="2"/>
  <c r="C12" i="2"/>
  <c r="G11" i="2"/>
  <c r="C11" i="2"/>
  <c r="I13" i="2"/>
  <c r="G13" i="2"/>
  <c r="E11" i="2"/>
  <c r="I26" i="2"/>
  <c r="F26" i="2"/>
  <c r="D26" i="2"/>
  <c r="I25" i="2"/>
  <c r="F25" i="2"/>
  <c r="G26" i="2"/>
  <c r="H26" i="2" s="1"/>
  <c r="E26" i="2"/>
  <c r="C26" i="2"/>
  <c r="G25" i="2"/>
  <c r="E25" i="2"/>
  <c r="I11" i="2"/>
  <c r="I12" i="2"/>
  <c r="F12" i="2"/>
  <c r="F11" i="2"/>
  <c r="D13" i="2"/>
  <c r="D12" i="2"/>
  <c r="D11" i="2"/>
  <c r="H1385" i="10" l="1"/>
  <c r="H1384" i="10"/>
  <c r="C458" i="5"/>
  <c r="B838" i="4"/>
  <c r="I13" i="5"/>
  <c r="G13" i="5"/>
  <c r="F13" i="5"/>
  <c r="B25" i="4"/>
  <c r="B988" i="5"/>
  <c r="C14" i="11"/>
  <c r="F458" i="6"/>
  <c r="F14" i="6"/>
  <c r="C1386" i="6"/>
  <c r="B26" i="7"/>
  <c r="F458" i="7"/>
  <c r="C458" i="7"/>
  <c r="B27" i="7"/>
  <c r="G13" i="9"/>
  <c r="H13" i="9" s="1"/>
  <c r="D12" i="9"/>
  <c r="C12" i="9"/>
  <c r="I11" i="9"/>
  <c r="I13" i="9"/>
  <c r="F11" i="9"/>
  <c r="G11" i="9"/>
  <c r="D458" i="9"/>
  <c r="F13" i="9"/>
  <c r="E13" i="9"/>
  <c r="D13" i="9"/>
  <c r="C13" i="9"/>
  <c r="I12" i="9"/>
  <c r="G12" i="9"/>
  <c r="H12" i="9" s="1"/>
  <c r="F12" i="9"/>
  <c r="F14" i="9" s="1"/>
  <c r="E12" i="9"/>
  <c r="C1386" i="9"/>
  <c r="J1385" i="9"/>
  <c r="K1385" i="9" s="1"/>
  <c r="L1385" i="9"/>
  <c r="E11" i="9"/>
  <c r="C11" i="9"/>
  <c r="C14" i="9" s="1"/>
  <c r="D11" i="9"/>
  <c r="D14" i="9" s="1"/>
  <c r="C1386" i="10"/>
  <c r="C458" i="10"/>
  <c r="F85" i="10"/>
  <c r="F11" i="10"/>
  <c r="D11" i="10"/>
  <c r="G11" i="10"/>
  <c r="H11" i="10" s="1"/>
  <c r="C11" i="10"/>
  <c r="J1385" i="10"/>
  <c r="K1385" i="10" s="1"/>
  <c r="L1385" i="10"/>
  <c r="J1384" i="10"/>
  <c r="K1384" i="10" s="1"/>
  <c r="L1384" i="10"/>
  <c r="J1383" i="10"/>
  <c r="K1383" i="10" s="1"/>
  <c r="L1383" i="10"/>
  <c r="I1386" i="10"/>
  <c r="J1382" i="10"/>
  <c r="K1382" i="10" s="1"/>
  <c r="L1382" i="10"/>
  <c r="B461" i="10"/>
  <c r="J1382" i="9"/>
  <c r="K1382" i="9" s="1"/>
  <c r="L1382" i="9"/>
  <c r="I1386" i="9"/>
  <c r="B461" i="9"/>
  <c r="L1384" i="9"/>
  <c r="J1384" i="9"/>
  <c r="K1384" i="9" s="1"/>
  <c r="J1383" i="9"/>
  <c r="K1383" i="9" s="1"/>
  <c r="L1383" i="9"/>
  <c r="B988" i="8"/>
  <c r="B988" i="7"/>
  <c r="J1385" i="6"/>
  <c r="K1385" i="6" s="1"/>
  <c r="L1385" i="6"/>
  <c r="J1384" i="6"/>
  <c r="K1384" i="6" s="1"/>
  <c r="L1384" i="6"/>
  <c r="J1382" i="6"/>
  <c r="K1382" i="6" s="1"/>
  <c r="L1382" i="6"/>
  <c r="I1386" i="6"/>
  <c r="B461" i="6"/>
  <c r="J1383" i="6"/>
  <c r="K1383" i="6" s="1"/>
  <c r="L1383" i="6"/>
  <c r="B988" i="11"/>
  <c r="G1616" i="4"/>
  <c r="B94" i="8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J457" i="11"/>
  <c r="K457" i="11"/>
  <c r="L457" i="11"/>
  <c r="J456" i="11"/>
  <c r="K456" i="11"/>
  <c r="L456" i="11"/>
  <c r="J455" i="11"/>
  <c r="K455" i="11"/>
  <c r="L455" i="11"/>
  <c r="I458" i="11"/>
  <c r="B351" i="11"/>
  <c r="H455" i="11"/>
  <c r="G458" i="11"/>
  <c r="H458" i="11" s="1"/>
  <c r="B21" i="11"/>
  <c r="H11" i="11"/>
  <c r="G14" i="11"/>
  <c r="H14" i="11" s="1"/>
  <c r="J13" i="11"/>
  <c r="K13" i="11"/>
  <c r="L13" i="11"/>
  <c r="J11" i="11"/>
  <c r="K11" i="11"/>
  <c r="L11" i="11"/>
  <c r="I14" i="11"/>
  <c r="B4" i="11"/>
  <c r="K12" i="11"/>
  <c r="L12" i="11"/>
  <c r="J12" i="11"/>
  <c r="E14" i="11"/>
  <c r="F14" i="11"/>
  <c r="B94" i="1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61" i="11"/>
  <c r="I85" i="11"/>
  <c r="F85" i="11"/>
  <c r="J457" i="10"/>
  <c r="K457" i="10"/>
  <c r="L457" i="10"/>
  <c r="J456" i="10"/>
  <c r="K456" i="10"/>
  <c r="L456" i="10"/>
  <c r="J455" i="10"/>
  <c r="K455" i="10"/>
  <c r="L455" i="10"/>
  <c r="I458" i="10"/>
  <c r="B351" i="10"/>
  <c r="H455" i="10"/>
  <c r="G458" i="10"/>
  <c r="H458" i="10" s="1"/>
  <c r="J85" i="10"/>
  <c r="K85" i="10"/>
  <c r="L85" i="10"/>
  <c r="D13" i="10"/>
  <c r="I13" i="10"/>
  <c r="E13" i="10"/>
  <c r="F13" i="10"/>
  <c r="I12" i="10"/>
  <c r="G13" i="10"/>
  <c r="C13" i="10"/>
  <c r="B94" i="10"/>
  <c r="B61" i="10"/>
  <c r="B21" i="10"/>
  <c r="F12" i="10"/>
  <c r="F14" i="10" s="1"/>
  <c r="I11" i="10"/>
  <c r="G12" i="10"/>
  <c r="H12" i="10" s="1"/>
  <c r="C12" i="10"/>
  <c r="D12" i="10"/>
  <c r="E12" i="10"/>
  <c r="J457" i="9"/>
  <c r="K457" i="9"/>
  <c r="L457" i="9"/>
  <c r="J456" i="9"/>
  <c r="K456" i="9"/>
  <c r="L456" i="9"/>
  <c r="J455" i="9"/>
  <c r="K455" i="9"/>
  <c r="L455" i="9"/>
  <c r="I458" i="9"/>
  <c r="B351" i="9"/>
  <c r="H455" i="9"/>
  <c r="G458" i="9"/>
  <c r="H458" i="9" s="1"/>
  <c r="B93" i="9"/>
  <c r="B21" i="9"/>
  <c r="B61" i="9"/>
  <c r="F85" i="9"/>
  <c r="I85" i="9"/>
  <c r="J457" i="8"/>
  <c r="K457" i="8"/>
  <c r="L457" i="8"/>
  <c r="J456" i="8"/>
  <c r="K456" i="8"/>
  <c r="L456" i="8"/>
  <c r="J455" i="8"/>
  <c r="I458" i="8"/>
  <c r="L455" i="8"/>
  <c r="K455" i="8"/>
  <c r="B351" i="8"/>
  <c r="H455" i="8"/>
  <c r="G458" i="8"/>
  <c r="H458" i="8" s="1"/>
  <c r="C458" i="8"/>
  <c r="E458" i="8"/>
  <c r="F458" i="8"/>
  <c r="B61" i="8"/>
  <c r="I85" i="8"/>
  <c r="F85" i="8"/>
  <c r="B39" i="8"/>
  <c r="I13" i="8"/>
  <c r="C11" i="8"/>
  <c r="F13" i="8"/>
  <c r="I11" i="8"/>
  <c r="G11" i="8"/>
  <c r="C13" i="8"/>
  <c r="I12" i="8"/>
  <c r="G12" i="8"/>
  <c r="H12" i="8" s="1"/>
  <c r="F12" i="8"/>
  <c r="E12" i="8"/>
  <c r="D12" i="8"/>
  <c r="E11" i="8"/>
  <c r="E14" i="8" s="1"/>
  <c r="F11" i="8"/>
  <c r="F14" i="8" s="1"/>
  <c r="C12" i="8"/>
  <c r="D11" i="8"/>
  <c r="D14" i="8" s="1"/>
  <c r="L457" i="7"/>
  <c r="K457" i="7"/>
  <c r="J457" i="7"/>
  <c r="K455" i="7"/>
  <c r="I458" i="7"/>
  <c r="B351" i="7"/>
  <c r="J455" i="7"/>
  <c r="L455" i="7"/>
  <c r="K456" i="7"/>
  <c r="J456" i="7"/>
  <c r="L456" i="7"/>
  <c r="H455" i="7"/>
  <c r="G458" i="7"/>
  <c r="H458" i="7" s="1"/>
  <c r="B61" i="7"/>
  <c r="J85" i="7"/>
  <c r="K85" i="7"/>
  <c r="L85" i="7"/>
  <c r="G11" i="7"/>
  <c r="D11" i="7"/>
  <c r="F11" i="7"/>
  <c r="C11" i="7"/>
  <c r="E11" i="7"/>
  <c r="I11" i="7"/>
  <c r="E458" i="7"/>
  <c r="D458" i="7"/>
  <c r="B94" i="7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F85" i="7"/>
  <c r="C12" i="7"/>
  <c r="D13" i="7"/>
  <c r="F12" i="7"/>
  <c r="E12" i="7"/>
  <c r="D12" i="7"/>
  <c r="F13" i="7"/>
  <c r="G12" i="7"/>
  <c r="H12" i="7" s="1"/>
  <c r="G13" i="7"/>
  <c r="H13" i="7" s="1"/>
  <c r="I12" i="7"/>
  <c r="E13" i="7"/>
  <c r="I13" i="7"/>
  <c r="C13" i="7"/>
  <c r="J457" i="6"/>
  <c r="K457" i="6"/>
  <c r="L457" i="6"/>
  <c r="J456" i="6"/>
  <c r="K456" i="6"/>
  <c r="L456" i="6"/>
  <c r="J455" i="6"/>
  <c r="K455" i="6"/>
  <c r="L455" i="6"/>
  <c r="I458" i="6"/>
  <c r="B351" i="6"/>
  <c r="H455" i="6"/>
  <c r="G458" i="6"/>
  <c r="H458" i="6" s="1"/>
  <c r="B93" i="6"/>
  <c r="B61" i="6"/>
  <c r="H11" i="6"/>
  <c r="K12" i="6"/>
  <c r="J12" i="6"/>
  <c r="L12" i="6"/>
  <c r="K13" i="6"/>
  <c r="L13" i="6"/>
  <c r="J13" i="6"/>
  <c r="J11" i="6"/>
  <c r="B4" i="6"/>
  <c r="K11" i="6"/>
  <c r="L11" i="6"/>
  <c r="I14" i="6"/>
  <c r="E14" i="6"/>
  <c r="I85" i="6"/>
  <c r="B21" i="6"/>
  <c r="G12" i="6"/>
  <c r="C13" i="6"/>
  <c r="C14" i="6" s="1"/>
  <c r="M457" i="5"/>
  <c r="L457" i="5"/>
  <c r="K457" i="5"/>
  <c r="H458" i="5"/>
  <c r="I458" i="5" s="1"/>
  <c r="I455" i="5"/>
  <c r="L456" i="5"/>
  <c r="K456" i="5"/>
  <c r="M456" i="5"/>
  <c r="L455" i="5"/>
  <c r="J458" i="5"/>
  <c r="B351" i="5"/>
  <c r="M455" i="5"/>
  <c r="K455" i="5"/>
  <c r="B61" i="5"/>
  <c r="K85" i="5"/>
  <c r="L85" i="5"/>
  <c r="M85" i="5"/>
  <c r="B21" i="5"/>
  <c r="H11" i="5"/>
  <c r="C11" i="5"/>
  <c r="C12" i="5"/>
  <c r="J11" i="5"/>
  <c r="F458" i="5"/>
  <c r="E458" i="5"/>
  <c r="G458" i="5"/>
  <c r="B94" i="5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H12" i="5"/>
  <c r="C13" i="5"/>
  <c r="J13" i="5"/>
  <c r="J12" i="5"/>
  <c r="F14" i="4"/>
  <c r="E14" i="4"/>
  <c r="C14" i="4"/>
  <c r="J13" i="4"/>
  <c r="L13" i="4"/>
  <c r="J12" i="4"/>
  <c r="L12" i="4"/>
  <c r="J11" i="4"/>
  <c r="L11" i="4"/>
  <c r="I14" i="4"/>
  <c r="K14" i="4" s="1"/>
  <c r="B4" i="4"/>
  <c r="D14" i="4"/>
  <c r="B585" i="4"/>
  <c r="B62" i="4"/>
  <c r="I86" i="4"/>
  <c r="F86" i="4"/>
  <c r="H12" i="4"/>
  <c r="G14" i="4"/>
  <c r="H14" i="4" s="1"/>
  <c r="C27" i="2"/>
  <c r="F27" i="2"/>
  <c r="D14" i="2"/>
  <c r="D27" i="2"/>
  <c r="E14" i="2"/>
  <c r="E27" i="2"/>
  <c r="B17" i="2"/>
  <c r="J24" i="2"/>
  <c r="K24" i="2"/>
  <c r="L24" i="2"/>
  <c r="G471" i="2"/>
  <c r="H471" i="2" s="1"/>
  <c r="G470" i="2"/>
  <c r="C470" i="2"/>
  <c r="F470" i="2"/>
  <c r="I470" i="2"/>
  <c r="I469" i="2"/>
  <c r="G469" i="2"/>
  <c r="E469" i="2"/>
  <c r="D469" i="2"/>
  <c r="F469" i="2"/>
  <c r="C469" i="2"/>
  <c r="E471" i="2"/>
  <c r="I471" i="2"/>
  <c r="E470" i="2"/>
  <c r="F471" i="2"/>
  <c r="D471" i="2"/>
  <c r="C471" i="2"/>
  <c r="E56" i="2"/>
  <c r="D56" i="2"/>
  <c r="F56" i="2"/>
  <c r="G56" i="2"/>
  <c r="C56" i="2"/>
  <c r="D58" i="2"/>
  <c r="C58" i="2"/>
  <c r="I57" i="2"/>
  <c r="E57" i="2"/>
  <c r="C57" i="2"/>
  <c r="I56" i="2"/>
  <c r="F58" i="2"/>
  <c r="G57" i="2"/>
  <c r="I58" i="2"/>
  <c r="D57" i="2"/>
  <c r="E58" i="2"/>
  <c r="F57" i="2"/>
  <c r="G58" i="2"/>
  <c r="H58" i="2" s="1"/>
  <c r="I14" i="2"/>
  <c r="C14" i="2"/>
  <c r="F14" i="2"/>
  <c r="G14" i="2"/>
  <c r="H14" i="2" s="1"/>
  <c r="K13" i="2"/>
  <c r="J13" i="2"/>
  <c r="J26" i="2"/>
  <c r="K26" i="2"/>
  <c r="L26" i="2"/>
  <c r="J25" i="2"/>
  <c r="K25" i="2"/>
  <c r="L25" i="2"/>
  <c r="I27" i="2"/>
  <c r="H25" i="2"/>
  <c r="G27" i="2"/>
  <c r="H27" i="2" s="1"/>
  <c r="B4" i="2"/>
  <c r="H12" i="2"/>
  <c r="H11" i="2"/>
  <c r="L13" i="2"/>
  <c r="H13" i="2"/>
  <c r="L12" i="2"/>
  <c r="J12" i="2"/>
  <c r="K12" i="2" s="1"/>
  <c r="L11" i="2"/>
  <c r="J11" i="2"/>
  <c r="K11" i="2" s="1"/>
  <c r="J56" i="1"/>
  <c r="B839" i="4" l="1"/>
  <c r="I11" i="5"/>
  <c r="G11" i="5"/>
  <c r="F11" i="5"/>
  <c r="I12" i="5"/>
  <c r="G12" i="5"/>
  <c r="F12" i="5"/>
  <c r="B26" i="4"/>
  <c r="B27" i="4" s="1"/>
  <c r="B28" i="4" s="1"/>
  <c r="B29" i="4" s="1"/>
  <c r="B30" i="4" s="1"/>
  <c r="B31" i="4" s="1"/>
  <c r="B32" i="4" s="1"/>
  <c r="B33" i="4" s="1"/>
  <c r="B34" i="4" s="1"/>
  <c r="B35" i="4" s="1"/>
  <c r="B989" i="5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H12" i="6"/>
  <c r="G14" i="6"/>
  <c r="H14" i="6" s="1"/>
  <c r="F14" i="7"/>
  <c r="B28" i="7"/>
  <c r="D14" i="7"/>
  <c r="E14" i="7"/>
  <c r="E14" i="9"/>
  <c r="J11" i="9"/>
  <c r="K11" i="9"/>
  <c r="L11" i="9"/>
  <c r="I14" i="9"/>
  <c r="B4" i="9"/>
  <c r="J13" i="9"/>
  <c r="K13" i="9"/>
  <c r="L13" i="9"/>
  <c r="H11" i="9"/>
  <c r="G14" i="9"/>
  <c r="H14" i="9" s="1"/>
  <c r="J12" i="9"/>
  <c r="K12" i="9"/>
  <c r="L12" i="9"/>
  <c r="B95" i="10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62" i="10"/>
  <c r="B22" i="10"/>
  <c r="B23" i="10" s="1"/>
  <c r="B24" i="10" s="1"/>
  <c r="B25" i="10" s="1"/>
  <c r="J1386" i="10"/>
  <c r="K1386" i="10" s="1"/>
  <c r="L1386" i="10"/>
  <c r="J1386" i="9"/>
  <c r="K1386" i="9" s="1"/>
  <c r="L1386" i="9"/>
  <c r="B989" i="8"/>
  <c r="B989" i="7"/>
  <c r="J1386" i="6"/>
  <c r="K1386" i="6" s="1"/>
  <c r="L1386" i="6"/>
  <c r="B989" i="11"/>
  <c r="B62" i="9"/>
  <c r="E14" i="5"/>
  <c r="B108" i="8"/>
  <c r="B62" i="8"/>
  <c r="B40" i="8"/>
  <c r="B250" i="7"/>
  <c r="B22" i="6"/>
  <c r="B23" i="6" s="1"/>
  <c r="B24" i="6" s="1"/>
  <c r="B25" i="6" s="1"/>
  <c r="B62" i="11"/>
  <c r="B220" i="11"/>
  <c r="B221" i="11" s="1"/>
  <c r="B222" i="11" s="1"/>
  <c r="B254" i="11"/>
  <c r="B195" i="5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J458" i="11"/>
  <c r="K458" i="11"/>
  <c r="L458" i="11"/>
  <c r="B22" i="11"/>
  <c r="J14" i="11"/>
  <c r="K14" i="11"/>
  <c r="L14" i="11"/>
  <c r="L85" i="11"/>
  <c r="K85" i="11"/>
  <c r="J85" i="11"/>
  <c r="J458" i="10"/>
  <c r="K458" i="10"/>
  <c r="L458" i="10"/>
  <c r="L13" i="10"/>
  <c r="J13" i="10"/>
  <c r="K13" i="10"/>
  <c r="K12" i="10"/>
  <c r="L12" i="10"/>
  <c r="J12" i="10"/>
  <c r="B4" i="10"/>
  <c r="I14" i="10"/>
  <c r="L11" i="10"/>
  <c r="K11" i="10"/>
  <c r="J11" i="10"/>
  <c r="C14" i="10"/>
  <c r="D14" i="10"/>
  <c r="E14" i="10"/>
  <c r="H13" i="10"/>
  <c r="G14" i="10"/>
  <c r="H14" i="10" s="1"/>
  <c r="J458" i="9"/>
  <c r="K458" i="9"/>
  <c r="L458" i="9"/>
  <c r="B94" i="9"/>
  <c r="B22" i="9"/>
  <c r="L85" i="9"/>
  <c r="K85" i="9"/>
  <c r="J85" i="9"/>
  <c r="J458" i="8"/>
  <c r="K458" i="8"/>
  <c r="L458" i="8"/>
  <c r="L85" i="8"/>
  <c r="K85" i="8"/>
  <c r="J85" i="8"/>
  <c r="L13" i="8"/>
  <c r="K13" i="8"/>
  <c r="J13" i="8"/>
  <c r="B4" i="8"/>
  <c r="I14" i="8"/>
  <c r="L11" i="8"/>
  <c r="K11" i="8"/>
  <c r="J11" i="8"/>
  <c r="G14" i="8"/>
  <c r="H14" i="8" s="1"/>
  <c r="H11" i="8"/>
  <c r="L12" i="8"/>
  <c r="K12" i="8"/>
  <c r="J12" i="8"/>
  <c r="C14" i="8"/>
  <c r="J458" i="7"/>
  <c r="K458" i="7"/>
  <c r="L458" i="7"/>
  <c r="B62" i="7"/>
  <c r="G14" i="7"/>
  <c r="H14" i="7" s="1"/>
  <c r="H11" i="7"/>
  <c r="L11" i="7"/>
  <c r="J11" i="7"/>
  <c r="I14" i="7"/>
  <c r="K11" i="7"/>
  <c r="B4" i="7"/>
  <c r="L12" i="7"/>
  <c r="K12" i="7"/>
  <c r="J12" i="7"/>
  <c r="L13" i="7"/>
  <c r="K13" i="7"/>
  <c r="J13" i="7"/>
  <c r="C14" i="7"/>
  <c r="J458" i="6"/>
  <c r="K458" i="6"/>
  <c r="L458" i="6"/>
  <c r="B94" i="6"/>
  <c r="B62" i="6"/>
  <c r="L14" i="6"/>
  <c r="J14" i="6"/>
  <c r="K14" i="6"/>
  <c r="L85" i="6"/>
  <c r="K85" i="6"/>
  <c r="J85" i="6"/>
  <c r="B26" i="6"/>
  <c r="L458" i="5"/>
  <c r="K458" i="5"/>
  <c r="M458" i="5"/>
  <c r="B62" i="5"/>
  <c r="B22" i="5"/>
  <c r="H14" i="5"/>
  <c r="I14" i="5" s="1"/>
  <c r="K11" i="5"/>
  <c r="L11" i="5"/>
  <c r="M11" i="5"/>
  <c r="B4" i="5"/>
  <c r="J14" i="5"/>
  <c r="M13" i="5"/>
  <c r="L13" i="5"/>
  <c r="K13" i="5"/>
  <c r="M12" i="5"/>
  <c r="L12" i="5"/>
  <c r="K12" i="5"/>
  <c r="C14" i="5"/>
  <c r="K14" i="2"/>
  <c r="L14" i="2"/>
  <c r="J14" i="2"/>
  <c r="B586" i="4"/>
  <c r="J14" i="4"/>
  <c r="L14" i="4"/>
  <c r="B63" i="4"/>
  <c r="J86" i="4"/>
  <c r="H470" i="2"/>
  <c r="H57" i="2"/>
  <c r="B365" i="2"/>
  <c r="F472" i="2"/>
  <c r="C472" i="2"/>
  <c r="B30" i="2"/>
  <c r="J470" i="2"/>
  <c r="K470" i="2" s="1"/>
  <c r="L470" i="2"/>
  <c r="J469" i="2"/>
  <c r="K469" i="2" s="1"/>
  <c r="L469" i="2"/>
  <c r="I472" i="2"/>
  <c r="H469" i="2"/>
  <c r="G472" i="2"/>
  <c r="L471" i="2"/>
  <c r="J471" i="2"/>
  <c r="K471" i="2" s="1"/>
  <c r="E472" i="2"/>
  <c r="D472" i="2"/>
  <c r="H56" i="2"/>
  <c r="G59" i="2"/>
  <c r="L57" i="2"/>
  <c r="J57" i="2"/>
  <c r="K57" i="2" s="1"/>
  <c r="I59" i="2"/>
  <c r="L56" i="2"/>
  <c r="J56" i="2"/>
  <c r="K56" i="2" s="1"/>
  <c r="L58" i="2"/>
  <c r="K58" i="2"/>
  <c r="J58" i="2"/>
  <c r="E59" i="2"/>
  <c r="D59" i="2"/>
  <c r="F59" i="2"/>
  <c r="C59" i="2"/>
  <c r="L27" i="2"/>
  <c r="K27" i="2"/>
  <c r="J27" i="2"/>
  <c r="AE94" i="1" a="1"/>
  <c r="AE94" i="1" s="1"/>
  <c r="AE28" i="1" a="1"/>
  <c r="AE28" i="1" s="1"/>
  <c r="AE83" i="1" a="1"/>
  <c r="AE83" i="1" s="1"/>
  <c r="S87" i="1"/>
  <c r="S88" i="1"/>
  <c r="S89" i="1"/>
  <c r="AE61" i="1" a="1"/>
  <c r="AE61" i="1" s="1"/>
  <c r="AD94" i="1" a="1"/>
  <c r="AD94" i="1" s="1"/>
  <c r="AD61" i="1" a="1"/>
  <c r="AD61" i="1" s="1"/>
  <c r="AD39" i="1" a="1"/>
  <c r="AD39" i="1" s="1"/>
  <c r="J11" i="1"/>
  <c r="N11" i="1"/>
  <c r="U101" i="1"/>
  <c r="S97" i="1"/>
  <c r="S98" i="1"/>
  <c r="S99" i="1"/>
  <c r="S100" i="1"/>
  <c r="S96" i="1"/>
  <c r="S101" i="1" s="1"/>
  <c r="S85" i="1"/>
  <c r="S74" i="1"/>
  <c r="S64" i="1"/>
  <c r="S65" i="1"/>
  <c r="S63" i="1"/>
  <c r="S53" i="1"/>
  <c r="S54" i="1"/>
  <c r="S56" i="1"/>
  <c r="S52" i="1"/>
  <c r="S42" i="1"/>
  <c r="S43" i="1"/>
  <c r="S44" i="1"/>
  <c r="S45" i="1"/>
  <c r="S41" i="1"/>
  <c r="S31" i="1"/>
  <c r="S32" i="1"/>
  <c r="S33" i="1"/>
  <c r="S34" i="1"/>
  <c r="S30" i="1"/>
  <c r="S8" i="1"/>
  <c r="P100" i="1"/>
  <c r="O100" i="1"/>
  <c r="P99" i="1"/>
  <c r="O99" i="1"/>
  <c r="U98" i="1"/>
  <c r="T98" i="1"/>
  <c r="R98" i="1"/>
  <c r="Q98" i="1"/>
  <c r="P98" i="1"/>
  <c r="O98" i="1"/>
  <c r="P97" i="1"/>
  <c r="O97" i="1"/>
  <c r="P96" i="1"/>
  <c r="O96" i="1"/>
  <c r="P89" i="1"/>
  <c r="O89" i="1"/>
  <c r="P88" i="1"/>
  <c r="O88" i="1"/>
  <c r="P87" i="1"/>
  <c r="O87" i="1"/>
  <c r="P86" i="1"/>
  <c r="S86" i="1" s="1"/>
  <c r="O86" i="1"/>
  <c r="P85" i="1"/>
  <c r="O85" i="1"/>
  <c r="P78" i="1"/>
  <c r="S78" i="1" s="1"/>
  <c r="O78" i="1"/>
  <c r="P77" i="1"/>
  <c r="S77" i="1" s="1"/>
  <c r="O77" i="1"/>
  <c r="P76" i="1"/>
  <c r="S76" i="1" s="1"/>
  <c r="O76" i="1"/>
  <c r="P75" i="1"/>
  <c r="S75" i="1" s="1"/>
  <c r="O75" i="1"/>
  <c r="T74" i="1"/>
  <c r="P74" i="1"/>
  <c r="O74" i="1"/>
  <c r="P67" i="1"/>
  <c r="O67" i="1"/>
  <c r="P66" i="1"/>
  <c r="S66" i="1" s="1"/>
  <c r="O66" i="1"/>
  <c r="P65" i="1"/>
  <c r="O65" i="1"/>
  <c r="P64" i="1"/>
  <c r="O64" i="1"/>
  <c r="P63" i="1"/>
  <c r="O63" i="1"/>
  <c r="P56" i="1"/>
  <c r="O56" i="1"/>
  <c r="P55" i="1"/>
  <c r="S55" i="1" s="1"/>
  <c r="O55" i="1"/>
  <c r="P54" i="1"/>
  <c r="O54" i="1"/>
  <c r="P53" i="1"/>
  <c r="O53" i="1"/>
  <c r="P52" i="1"/>
  <c r="O52" i="1"/>
  <c r="P34" i="1"/>
  <c r="O34" i="1"/>
  <c r="P33" i="1"/>
  <c r="O33" i="1"/>
  <c r="P32" i="1"/>
  <c r="O32" i="1"/>
  <c r="P31" i="1"/>
  <c r="O31" i="1"/>
  <c r="P30" i="1"/>
  <c r="O30" i="1"/>
  <c r="P12" i="1"/>
  <c r="S12" i="1" s="1"/>
  <c r="O12" i="1"/>
  <c r="P11" i="1"/>
  <c r="O11" i="1"/>
  <c r="P10" i="1"/>
  <c r="S10" i="1" s="1"/>
  <c r="O10" i="1"/>
  <c r="O13" i="1" s="1"/>
  <c r="P9" i="1"/>
  <c r="S9" i="1" s="1"/>
  <c r="O9" i="1"/>
  <c r="P8" i="1"/>
  <c r="O8" i="1"/>
  <c r="T43" i="1"/>
  <c r="U43" i="1" s="1"/>
  <c r="T44" i="1"/>
  <c r="U44" i="1" s="1"/>
  <c r="R43" i="1"/>
  <c r="R44" i="1"/>
  <c r="R45" i="1"/>
  <c r="Q43" i="1"/>
  <c r="Q44" i="1"/>
  <c r="Q45" i="1"/>
  <c r="P45" i="1"/>
  <c r="O45" i="1"/>
  <c r="P44" i="1"/>
  <c r="O44" i="1"/>
  <c r="P43" i="1"/>
  <c r="O43" i="1"/>
  <c r="P42" i="1"/>
  <c r="O42" i="1"/>
  <c r="P41" i="1"/>
  <c r="O41" i="1"/>
  <c r="N108" i="1"/>
  <c r="N109" i="1"/>
  <c r="N111" i="1"/>
  <c r="N107" i="1"/>
  <c r="M108" i="1"/>
  <c r="M109" i="1"/>
  <c r="M110" i="1"/>
  <c r="M111" i="1"/>
  <c r="M107" i="1"/>
  <c r="L108" i="1"/>
  <c r="L109" i="1"/>
  <c r="L110" i="1"/>
  <c r="L111" i="1"/>
  <c r="L107" i="1"/>
  <c r="K108" i="1"/>
  <c r="K109" i="1"/>
  <c r="K110" i="1"/>
  <c r="K111" i="1"/>
  <c r="K107" i="1"/>
  <c r="J108" i="1"/>
  <c r="J109" i="1"/>
  <c r="J111" i="1"/>
  <c r="J107" i="1"/>
  <c r="I108" i="1"/>
  <c r="I109" i="1"/>
  <c r="I110" i="1"/>
  <c r="I111" i="1"/>
  <c r="I107" i="1"/>
  <c r="H108" i="1"/>
  <c r="H109" i="1"/>
  <c r="H110" i="1"/>
  <c r="H111" i="1"/>
  <c r="H107" i="1"/>
  <c r="G108" i="1"/>
  <c r="G109" i="1"/>
  <c r="G110" i="1"/>
  <c r="G111" i="1"/>
  <c r="G107" i="1"/>
  <c r="F108" i="1"/>
  <c r="F109" i="1"/>
  <c r="F110" i="1"/>
  <c r="F111" i="1"/>
  <c r="F107" i="1"/>
  <c r="E108" i="1"/>
  <c r="E109" i="1"/>
  <c r="E110" i="1"/>
  <c r="E111" i="1"/>
  <c r="E107" i="1"/>
  <c r="D108" i="1"/>
  <c r="D109" i="1"/>
  <c r="D110" i="1"/>
  <c r="D111" i="1"/>
  <c r="D107" i="1"/>
  <c r="C108" i="1"/>
  <c r="C109" i="1"/>
  <c r="O109" i="1" s="1"/>
  <c r="C110" i="1"/>
  <c r="C111" i="1"/>
  <c r="O111" i="1" s="1"/>
  <c r="C107" i="1"/>
  <c r="O107" i="1" s="1"/>
  <c r="N101" i="1"/>
  <c r="M101" i="1"/>
  <c r="L101" i="1"/>
  <c r="K101" i="1"/>
  <c r="J101" i="1"/>
  <c r="I101" i="1"/>
  <c r="H101" i="1"/>
  <c r="G101" i="1"/>
  <c r="F101" i="1"/>
  <c r="E101" i="1"/>
  <c r="D101" i="1"/>
  <c r="C101" i="1"/>
  <c r="N90" i="1"/>
  <c r="M90" i="1"/>
  <c r="L90" i="1"/>
  <c r="K90" i="1"/>
  <c r="J90" i="1"/>
  <c r="I90" i="1"/>
  <c r="H90" i="1"/>
  <c r="G90" i="1"/>
  <c r="F90" i="1"/>
  <c r="E90" i="1"/>
  <c r="D90" i="1"/>
  <c r="C90" i="1"/>
  <c r="N79" i="1"/>
  <c r="M79" i="1"/>
  <c r="L79" i="1"/>
  <c r="K79" i="1"/>
  <c r="J79" i="1"/>
  <c r="I79" i="1"/>
  <c r="H79" i="1"/>
  <c r="G79" i="1"/>
  <c r="F79" i="1"/>
  <c r="E79" i="1"/>
  <c r="D79" i="1"/>
  <c r="C79" i="1"/>
  <c r="N68" i="1"/>
  <c r="M68" i="1"/>
  <c r="L68" i="1"/>
  <c r="K68" i="1"/>
  <c r="J68" i="1"/>
  <c r="I68" i="1"/>
  <c r="H68" i="1"/>
  <c r="G68" i="1"/>
  <c r="F68" i="1"/>
  <c r="E68" i="1"/>
  <c r="D68" i="1"/>
  <c r="C68" i="1"/>
  <c r="N57" i="1"/>
  <c r="M57" i="1"/>
  <c r="L57" i="1"/>
  <c r="K57" i="1"/>
  <c r="J57" i="1"/>
  <c r="I57" i="1"/>
  <c r="H57" i="1"/>
  <c r="G57" i="1"/>
  <c r="F57" i="1"/>
  <c r="E57" i="1"/>
  <c r="D57" i="1"/>
  <c r="C57" i="1"/>
  <c r="N46" i="1"/>
  <c r="M46" i="1"/>
  <c r="L46" i="1"/>
  <c r="K46" i="1"/>
  <c r="J46" i="1"/>
  <c r="I46" i="1"/>
  <c r="H46" i="1"/>
  <c r="G46" i="1"/>
  <c r="F46" i="1"/>
  <c r="E46" i="1"/>
  <c r="D46" i="1"/>
  <c r="C46" i="1"/>
  <c r="N35" i="1"/>
  <c r="M35" i="1"/>
  <c r="L35" i="1"/>
  <c r="K35" i="1"/>
  <c r="J35" i="1"/>
  <c r="I35" i="1"/>
  <c r="H35" i="1"/>
  <c r="G35" i="1"/>
  <c r="F35" i="1"/>
  <c r="E35" i="1"/>
  <c r="D35" i="1"/>
  <c r="C35" i="1"/>
  <c r="G13" i="1"/>
  <c r="H13" i="1"/>
  <c r="I13" i="1"/>
  <c r="K13" i="1"/>
  <c r="L13" i="1"/>
  <c r="M13" i="1"/>
  <c r="F13" i="1"/>
  <c r="E13" i="1"/>
  <c r="D13" i="1"/>
  <c r="C13" i="1"/>
  <c r="B840" i="4" l="1"/>
  <c r="B841" i="4" s="1"/>
  <c r="B842" i="4" s="1"/>
  <c r="B843" i="4" s="1"/>
  <c r="B844" i="4" s="1"/>
  <c r="B845" i="4" s="1"/>
  <c r="B846" i="4" s="1"/>
  <c r="B847" i="4" s="1"/>
  <c r="B36" i="4"/>
  <c r="B1017" i="5"/>
  <c r="B29" i="7"/>
  <c r="J14" i="9"/>
  <c r="K14" i="9"/>
  <c r="L14" i="9"/>
  <c r="B63" i="9"/>
  <c r="B63" i="10"/>
  <c r="B117" i="10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26" i="10"/>
  <c r="B27" i="10" s="1"/>
  <c r="B28" i="10" s="1"/>
  <c r="B29" i="10" s="1"/>
  <c r="B30" i="10" s="1"/>
  <c r="B31" i="10" s="1"/>
  <c r="B990" i="8"/>
  <c r="B990" i="7"/>
  <c r="B990" i="11"/>
  <c r="O110" i="1"/>
  <c r="B109" i="8"/>
  <c r="B110" i="8" s="1"/>
  <c r="B111" i="8" s="1"/>
  <c r="B112" i="8" s="1"/>
  <c r="B143" i="8"/>
  <c r="B63" i="8"/>
  <c r="B41" i="8"/>
  <c r="B251" i="7"/>
  <c r="B252" i="7" s="1"/>
  <c r="B253" i="7" s="1"/>
  <c r="B254" i="7" s="1"/>
  <c r="B255" i="7" s="1"/>
  <c r="B256" i="7" s="1"/>
  <c r="B257" i="7" s="1"/>
  <c r="B258" i="7" s="1"/>
  <c r="B259" i="7"/>
  <c r="B63" i="11"/>
  <c r="B223" i="11"/>
  <c r="B224" i="11" s="1"/>
  <c r="B225" i="11" s="1"/>
  <c r="B226" i="11" s="1"/>
  <c r="B227" i="11" s="1"/>
  <c r="B255" i="1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305" i="11" s="1"/>
  <c r="B306" i="11" s="1"/>
  <c r="B307" i="11" s="1"/>
  <c r="B308" i="11" s="1"/>
  <c r="B309" i="11" s="1"/>
  <c r="B310" i="11" s="1"/>
  <c r="B230" i="5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3" i="11"/>
  <c r="L14" i="10"/>
  <c r="J14" i="10"/>
  <c r="K14" i="10"/>
  <c r="B95" i="9"/>
  <c r="B23" i="9"/>
  <c r="J14" i="8"/>
  <c r="K14" i="8"/>
  <c r="L14" i="8"/>
  <c r="B63" i="7"/>
  <c r="J14" i="7"/>
  <c r="K14" i="7"/>
  <c r="L14" i="7"/>
  <c r="B95" i="6"/>
  <c r="B63" i="6"/>
  <c r="B27" i="6"/>
  <c r="B63" i="5"/>
  <c r="B23" i="5"/>
  <c r="K14" i="5"/>
  <c r="L14" i="5"/>
  <c r="M14" i="5"/>
  <c r="B587" i="4"/>
  <c r="B588" i="4" s="1"/>
  <c r="B589" i="4" s="1"/>
  <c r="B590" i="4" s="1"/>
  <c r="B591" i="4" s="1"/>
  <c r="B64" i="4"/>
  <c r="H472" i="2"/>
  <c r="H59" i="2"/>
  <c r="J472" i="2"/>
  <c r="K472" i="2" s="1"/>
  <c r="L472" i="2"/>
  <c r="J59" i="2"/>
  <c r="K59" i="2" s="1"/>
  <c r="L59" i="2"/>
  <c r="U9" i="1"/>
  <c r="S35" i="1"/>
  <c r="O108" i="1"/>
  <c r="S67" i="1"/>
  <c r="T67" i="1" s="1"/>
  <c r="U67" i="1" s="1"/>
  <c r="S68" i="1"/>
  <c r="S79" i="1"/>
  <c r="N13" i="1"/>
  <c r="N110" i="1"/>
  <c r="N112" i="1" s="1"/>
  <c r="J110" i="1"/>
  <c r="J112" i="1" s="1"/>
  <c r="S11" i="1"/>
  <c r="J13" i="1"/>
  <c r="S57" i="1"/>
  <c r="S90" i="1"/>
  <c r="T45" i="1"/>
  <c r="U45" i="1" s="1"/>
  <c r="S46" i="1"/>
  <c r="T42" i="1"/>
  <c r="U42" i="1" s="1"/>
  <c r="R42" i="1"/>
  <c r="Q42" i="1"/>
  <c r="R41" i="1"/>
  <c r="Q41" i="1"/>
  <c r="M112" i="1"/>
  <c r="R100" i="1"/>
  <c r="Q100" i="1"/>
  <c r="R99" i="1"/>
  <c r="R101" i="1" s="1"/>
  <c r="Q99" i="1"/>
  <c r="U97" i="1"/>
  <c r="T97" i="1"/>
  <c r="R97" i="1"/>
  <c r="Q97" i="1"/>
  <c r="U96" i="1"/>
  <c r="T96" i="1"/>
  <c r="R96" i="1"/>
  <c r="Q96" i="1"/>
  <c r="T89" i="1"/>
  <c r="U89" i="1" s="1"/>
  <c r="R89" i="1"/>
  <c r="Q89" i="1"/>
  <c r="T88" i="1"/>
  <c r="U88" i="1" s="1"/>
  <c r="R88" i="1"/>
  <c r="Q88" i="1"/>
  <c r="T87" i="1"/>
  <c r="U87" i="1" s="1"/>
  <c r="R87" i="1"/>
  <c r="Q87" i="1"/>
  <c r="T86" i="1"/>
  <c r="U86" i="1" s="1"/>
  <c r="R86" i="1"/>
  <c r="Q86" i="1"/>
  <c r="U85" i="1"/>
  <c r="T85" i="1"/>
  <c r="R85" i="1"/>
  <c r="Q85" i="1"/>
  <c r="T78" i="1"/>
  <c r="U78" i="1" s="1"/>
  <c r="R78" i="1"/>
  <c r="Q78" i="1"/>
  <c r="T77" i="1"/>
  <c r="U77" i="1" s="1"/>
  <c r="R77" i="1"/>
  <c r="Q77" i="1"/>
  <c r="T76" i="1"/>
  <c r="U76" i="1" s="1"/>
  <c r="R76" i="1"/>
  <c r="Q76" i="1"/>
  <c r="T75" i="1"/>
  <c r="U75" i="1" s="1"/>
  <c r="R75" i="1"/>
  <c r="Q75" i="1"/>
  <c r="U74" i="1"/>
  <c r="R74" i="1"/>
  <c r="Q74" i="1"/>
  <c r="R67" i="1"/>
  <c r="Q67" i="1"/>
  <c r="T66" i="1"/>
  <c r="U66" i="1" s="1"/>
  <c r="Q66" i="1"/>
  <c r="R66" i="1"/>
  <c r="U65" i="1"/>
  <c r="Q65" i="1"/>
  <c r="T65" i="1"/>
  <c r="R65" i="1"/>
  <c r="T64" i="1"/>
  <c r="U64" i="1" s="1"/>
  <c r="R64" i="1"/>
  <c r="Q64" i="1"/>
  <c r="U63" i="1"/>
  <c r="Q63" i="1"/>
  <c r="T63" i="1"/>
  <c r="R63" i="1"/>
  <c r="T56" i="1"/>
  <c r="U56" i="1" s="1"/>
  <c r="R56" i="1"/>
  <c r="Q56" i="1"/>
  <c r="T55" i="1"/>
  <c r="U55" i="1" s="1"/>
  <c r="R55" i="1"/>
  <c r="Q55" i="1"/>
  <c r="U54" i="1"/>
  <c r="T54" i="1"/>
  <c r="R54" i="1"/>
  <c r="Q54" i="1"/>
  <c r="U53" i="1"/>
  <c r="T53" i="1"/>
  <c r="R53" i="1"/>
  <c r="Q53" i="1"/>
  <c r="U52" i="1"/>
  <c r="T52" i="1"/>
  <c r="R52" i="1"/>
  <c r="Q52" i="1"/>
  <c r="T34" i="1"/>
  <c r="U34" i="1" s="1"/>
  <c r="R34" i="1"/>
  <c r="Q34" i="1"/>
  <c r="T33" i="1"/>
  <c r="U33" i="1" s="1"/>
  <c r="R33" i="1"/>
  <c r="Q33" i="1"/>
  <c r="R32" i="1"/>
  <c r="Q32" i="1"/>
  <c r="R31" i="1"/>
  <c r="Q31" i="1"/>
  <c r="U30" i="1"/>
  <c r="T30" i="1"/>
  <c r="R30" i="1"/>
  <c r="Q30" i="1"/>
  <c r="T12" i="1"/>
  <c r="U12" i="1" s="1"/>
  <c r="R12" i="1"/>
  <c r="Q12" i="1"/>
  <c r="R11" i="1"/>
  <c r="Q11" i="1"/>
  <c r="T10" i="1"/>
  <c r="U10" i="1" s="1"/>
  <c r="R10" i="1"/>
  <c r="Q10" i="1"/>
  <c r="T9" i="1"/>
  <c r="R9" i="1"/>
  <c r="Q9" i="1"/>
  <c r="U8" i="1"/>
  <c r="T8" i="1"/>
  <c r="R8" i="1"/>
  <c r="Q8" i="1"/>
  <c r="P109" i="1"/>
  <c r="P111" i="1"/>
  <c r="P110" i="1"/>
  <c r="P108" i="1"/>
  <c r="L112" i="1"/>
  <c r="P107" i="1"/>
  <c r="E112" i="1"/>
  <c r="K112" i="1"/>
  <c r="D112" i="1"/>
  <c r="G112" i="1"/>
  <c r="I112" i="1"/>
  <c r="H112" i="1"/>
  <c r="F112" i="1"/>
  <c r="C112" i="1"/>
  <c r="O101" i="1"/>
  <c r="O68" i="1"/>
  <c r="O57" i="1"/>
  <c r="O46" i="1"/>
  <c r="O90" i="1"/>
  <c r="O79" i="1"/>
  <c r="O35" i="1"/>
  <c r="P101" i="1"/>
  <c r="P90" i="1"/>
  <c r="AD83" i="1" s="1" a="1"/>
  <c r="AD83" i="1" s="1"/>
  <c r="P79" i="1"/>
  <c r="AD72" i="1" s="1" a="1"/>
  <c r="AD72" i="1" s="1"/>
  <c r="P68" i="1"/>
  <c r="P57" i="1"/>
  <c r="P46" i="1"/>
  <c r="P35" i="1"/>
  <c r="P13" i="1"/>
  <c r="B848" i="4" l="1"/>
  <c r="B849" i="4" s="1"/>
  <c r="B65" i="4"/>
  <c r="B66" i="4" s="1"/>
  <c r="B67" i="4" s="1"/>
  <c r="B68" i="4" s="1"/>
  <c r="B69" i="4" s="1"/>
  <c r="B37" i="4"/>
  <c r="B1018" i="5"/>
  <c r="B1019" i="5" s="1"/>
  <c r="B1020" i="5" s="1"/>
  <c r="B1021" i="5" s="1"/>
  <c r="B1022" i="5" s="1"/>
  <c r="B1023" i="5" s="1"/>
  <c r="B1024" i="5" s="1"/>
  <c r="B30" i="7"/>
  <c r="B31" i="7" s="1"/>
  <c r="B32" i="7"/>
  <c r="B64" i="9"/>
  <c r="B64" i="10"/>
  <c r="B32" i="10"/>
  <c r="B33" i="10" s="1"/>
  <c r="B34" i="10" s="1"/>
  <c r="B149" i="10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991" i="8"/>
  <c r="B991" i="7"/>
  <c r="B991" i="11"/>
  <c r="B113" i="8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4" i="8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/>
  <c r="B64" i="8"/>
  <c r="B42" i="8"/>
  <c r="B260" i="7"/>
  <c r="B261" i="7" s="1"/>
  <c r="B262" i="7" s="1"/>
  <c r="B263" i="7" s="1"/>
  <c r="B264" i="7" s="1"/>
  <c r="B265" i="7" s="1"/>
  <c r="B300" i="7"/>
  <c r="B28" i="6"/>
  <c r="B29" i="6" s="1"/>
  <c r="B64" i="11"/>
  <c r="B228" i="11"/>
  <c r="B311" i="11"/>
  <c r="B312" i="11" s="1"/>
  <c r="B313" i="11" s="1"/>
  <c r="B314" i="11" s="1"/>
  <c r="B315" i="11" s="1"/>
  <c r="B316" i="11" s="1"/>
  <c r="B317" i="11" s="1"/>
  <c r="B318" i="11" s="1"/>
  <c r="B319" i="11" s="1"/>
  <c r="B320" i="11" s="1"/>
  <c r="B321" i="11" s="1"/>
  <c r="B322" i="11" s="1"/>
  <c r="B323" i="11" s="1"/>
  <c r="B324" i="11" s="1"/>
  <c r="B265" i="5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4" i="11"/>
  <c r="B96" i="9"/>
  <c r="B24" i="9"/>
  <c r="B64" i="7"/>
  <c r="B96" i="6"/>
  <c r="B64" i="6"/>
  <c r="B30" i="6"/>
  <c r="B64" i="5"/>
  <c r="B24" i="5"/>
  <c r="B592" i="4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AD6" i="1" a="1"/>
  <c r="AD6" i="1" s="1"/>
  <c r="AE6" i="1" s="1" a="1"/>
  <c r="AE6" i="1" s="1"/>
  <c r="AD50" i="1" a="1"/>
  <c r="AD50" i="1" s="1"/>
  <c r="AD28" i="1" a="1"/>
  <c r="AD28" i="1" s="1"/>
  <c r="AD17" i="1" a="1"/>
  <c r="AD17" i="1" s="1"/>
  <c r="R68" i="1"/>
  <c r="R79" i="1"/>
  <c r="R57" i="1"/>
  <c r="R13" i="1"/>
  <c r="T11" i="1"/>
  <c r="U11" i="1" s="1"/>
  <c r="S13" i="1"/>
  <c r="S107" i="1"/>
  <c r="T41" i="1"/>
  <c r="U41" i="1" s="1"/>
  <c r="R107" i="1"/>
  <c r="Q107" i="1"/>
  <c r="T32" i="1"/>
  <c r="U32" i="1" s="1"/>
  <c r="S109" i="1"/>
  <c r="T109" i="1" s="1"/>
  <c r="U109" i="1" s="1"/>
  <c r="R109" i="1"/>
  <c r="Q109" i="1"/>
  <c r="R35" i="1"/>
  <c r="T31" i="1"/>
  <c r="U31" i="1" s="1"/>
  <c r="S108" i="1"/>
  <c r="T108" i="1" s="1"/>
  <c r="U108" i="1" s="1"/>
  <c r="R108" i="1"/>
  <c r="Q108" i="1"/>
  <c r="T100" i="1"/>
  <c r="U100" i="1" s="1"/>
  <c r="S111" i="1"/>
  <c r="T111" i="1" s="1"/>
  <c r="U111" i="1" s="1"/>
  <c r="R111" i="1"/>
  <c r="Q111" i="1"/>
  <c r="T99" i="1"/>
  <c r="U99" i="1" s="1"/>
  <c r="S110" i="1"/>
  <c r="R110" i="1"/>
  <c r="Q110" i="1"/>
  <c r="R46" i="1"/>
  <c r="Q57" i="1"/>
  <c r="AE50" i="1" s="1" a="1"/>
  <c r="AE50" i="1" s="1"/>
  <c r="Q46" i="1"/>
  <c r="P112" i="1"/>
  <c r="O112" i="1"/>
  <c r="R90" i="1"/>
  <c r="Q101" i="1"/>
  <c r="Q90" i="1"/>
  <c r="Q79" i="1"/>
  <c r="Q68" i="1"/>
  <c r="Q35" i="1"/>
  <c r="Q13" i="1"/>
  <c r="B992" i="11" l="1"/>
  <c r="B993" i="11" s="1"/>
  <c r="B994" i="11" s="1"/>
  <c r="B995" i="11" s="1"/>
  <c r="B996" i="11" s="1"/>
  <c r="B997" i="11" s="1"/>
  <c r="B998" i="11" s="1"/>
  <c r="B999" i="11" s="1"/>
  <c r="B1000" i="11" s="1"/>
  <c r="B1001" i="11" s="1"/>
  <c r="B1002" i="11" s="1"/>
  <c r="B1003" i="11" s="1"/>
  <c r="B1004" i="11" s="1"/>
  <c r="B1005" i="11" s="1"/>
  <c r="B1006" i="11" s="1"/>
  <c r="B1007" i="11" s="1"/>
  <c r="B1008" i="11" s="1"/>
  <c r="B1009" i="11" s="1"/>
  <c r="B1010" i="11" s="1"/>
  <c r="B1011" i="11" s="1"/>
  <c r="B1012" i="11" s="1"/>
  <c r="B1013" i="11" s="1"/>
  <c r="B1014" i="11" s="1"/>
  <c r="B1015" i="11" s="1"/>
  <c r="B1016" i="11" s="1"/>
  <c r="B1017" i="11" s="1"/>
  <c r="B1018" i="11" s="1"/>
  <c r="B1019" i="11" s="1"/>
  <c r="B1020" i="11" s="1"/>
  <c r="B1021" i="11" s="1"/>
  <c r="B1022" i="11" s="1"/>
  <c r="B1023" i="11" s="1"/>
  <c r="B1024" i="11" s="1"/>
  <c r="B1025" i="11" s="1"/>
  <c r="B1026" i="11" s="1"/>
  <c r="B1027" i="11" s="1"/>
  <c r="B1028" i="11" s="1"/>
  <c r="B1029" i="11" s="1"/>
  <c r="B1030" i="11" s="1"/>
  <c r="B1031" i="11" s="1"/>
  <c r="B1032" i="11" s="1"/>
  <c r="B1033" i="11" s="1"/>
  <c r="B1034" i="11" s="1"/>
  <c r="B1035" i="11" s="1"/>
  <c r="B1036" i="11" s="1"/>
  <c r="B1037" i="11" s="1"/>
  <c r="B1038" i="11" s="1"/>
  <c r="B1039" i="11" s="1"/>
  <c r="B1040" i="11" s="1"/>
  <c r="B1041" i="11" s="1"/>
  <c r="B1042" i="11" s="1"/>
  <c r="B1043" i="11" s="1"/>
  <c r="B1044" i="11" s="1"/>
  <c r="B1045" i="11" s="1"/>
  <c r="B1046" i="11" s="1"/>
  <c r="B1047" i="11" s="1"/>
  <c r="B1048" i="11" s="1"/>
  <c r="B1049" i="11" s="1"/>
  <c r="B38" i="4"/>
  <c r="B39" i="4" s="1"/>
  <c r="B40" i="4" s="1"/>
  <c r="B1025" i="5"/>
  <c r="B1026" i="5"/>
  <c r="B65" i="11"/>
  <c r="B33" i="7"/>
  <c r="B34" i="7"/>
  <c r="B992" i="7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65" i="9"/>
  <c r="B65" i="10"/>
  <c r="B169" i="10"/>
  <c r="B170" i="10" s="1"/>
  <c r="B171" i="10" s="1"/>
  <c r="B172" i="10" s="1"/>
  <c r="B173" i="10" s="1"/>
  <c r="B174" i="10" s="1"/>
  <c r="B175" i="10" s="1"/>
  <c r="B176" i="10" s="1"/>
  <c r="B35" i="10"/>
  <c r="B36" i="10" s="1"/>
  <c r="B37" i="10" s="1"/>
  <c r="B992" i="8"/>
  <c r="B65" i="8"/>
  <c r="B165" i="8"/>
  <c r="B166" i="8" s="1"/>
  <c r="B167" i="8" s="1"/>
  <c r="B168" i="8" s="1"/>
  <c r="B169" i="8" s="1"/>
  <c r="B170" i="8" s="1"/>
  <c r="B171" i="8" s="1"/>
  <c r="B172" i="8" s="1"/>
  <c r="B173" i="8" s="1"/>
  <c r="B43" i="8"/>
  <c r="B266" i="7"/>
  <c r="B267" i="7" s="1"/>
  <c r="B268" i="7" s="1"/>
  <c r="B269" i="7" s="1"/>
  <c r="B270" i="7" s="1"/>
  <c r="B271" i="7" s="1"/>
  <c r="B272" i="7" s="1"/>
  <c r="B273" i="7" s="1"/>
  <c r="B274" i="7" s="1"/>
  <c r="B301" i="7"/>
  <c r="B302" i="7" s="1"/>
  <c r="B303" i="7" s="1"/>
  <c r="B304" i="7" s="1"/>
  <c r="B305" i="7" s="1"/>
  <c r="B321" i="7"/>
  <c r="B31" i="6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229" i="11"/>
  <c r="B230" i="11" s="1"/>
  <c r="B231" i="11"/>
  <c r="B279" i="5"/>
  <c r="B280" i="5" s="1"/>
  <c r="B281" i="5" s="1"/>
  <c r="B282" i="5" s="1"/>
  <c r="B283" i="5" s="1"/>
  <c r="B284" i="5" s="1"/>
  <c r="B285" i="5" s="1"/>
  <c r="B25" i="11"/>
  <c r="B97" i="9"/>
  <c r="B25" i="9"/>
  <c r="B65" i="7"/>
  <c r="B97" i="6"/>
  <c r="B65" i="6"/>
  <c r="B42" i="6"/>
  <c r="B65" i="5"/>
  <c r="B25" i="5"/>
  <c r="B646" i="4"/>
  <c r="B70" i="4"/>
  <c r="AE39" i="1" a="1"/>
  <c r="AE39" i="1" s="1"/>
  <c r="T79" i="1"/>
  <c r="U79" i="1" s="1"/>
  <c r="AE72" i="1" a="1"/>
  <c r="AE72" i="1" s="1"/>
  <c r="AD105" i="1" a="1"/>
  <c r="AD105" i="1" s="1"/>
  <c r="AE17" i="1" a="1"/>
  <c r="AE17" i="1" s="1"/>
  <c r="T35" i="1"/>
  <c r="U35" i="1" s="1"/>
  <c r="S112" i="1"/>
  <c r="T101" i="1"/>
  <c r="T57" i="1"/>
  <c r="U57" i="1" s="1"/>
  <c r="R112" i="1"/>
  <c r="T110" i="1"/>
  <c r="U110" i="1" s="1"/>
  <c r="T107" i="1"/>
  <c r="U107" i="1" s="1"/>
  <c r="T46" i="1"/>
  <c r="U46" i="1" s="1"/>
  <c r="Q112" i="1"/>
  <c r="AE105" i="1" s="1" a="1"/>
  <c r="AE105" i="1" s="1"/>
  <c r="T90" i="1"/>
  <c r="U90" i="1" s="1"/>
  <c r="T68" i="1"/>
  <c r="U68" i="1" s="1"/>
  <c r="T13" i="1"/>
  <c r="U13" i="1" s="1"/>
  <c r="B1050" i="11" l="1"/>
  <c r="E1384" i="11"/>
  <c r="E1386" i="11" s="1"/>
  <c r="B41" i="4"/>
  <c r="B42" i="4" s="1"/>
  <c r="B1027" i="5"/>
  <c r="B66" i="11"/>
  <c r="B35" i="7"/>
  <c r="B36" i="7" s="1"/>
  <c r="B37" i="7" s="1"/>
  <c r="B38" i="7"/>
  <c r="B1087" i="7"/>
  <c r="B1088" i="7" s="1"/>
  <c r="B1089" i="7" s="1"/>
  <c r="B1090" i="7" s="1"/>
  <c r="B1091" i="7" s="1"/>
  <c r="B993" i="8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50" i="8" s="1"/>
  <c r="B1151" i="8" s="1"/>
  <c r="B66" i="8"/>
  <c r="B44" i="8"/>
  <c r="B66" i="9"/>
  <c r="D84" i="9"/>
  <c r="E83" i="9"/>
  <c r="C83" i="9"/>
  <c r="G83" i="9"/>
  <c r="I83" i="9"/>
  <c r="C84" i="9"/>
  <c r="B66" i="10"/>
  <c r="B177" i="10"/>
  <c r="B178" i="10" s="1"/>
  <c r="B179" i="10" s="1"/>
  <c r="B180" i="10" s="1"/>
  <c r="B181" i="10" s="1"/>
  <c r="B182" i="10" s="1"/>
  <c r="B183" i="10" s="1"/>
  <c r="B184" i="10" s="1"/>
  <c r="B185" i="10" s="1"/>
  <c r="B186" i="10" s="1"/>
  <c r="B38" i="10"/>
  <c r="B1278" i="4"/>
  <c r="B174" i="8"/>
  <c r="B175" i="8" s="1"/>
  <c r="B176" i="8" s="1"/>
  <c r="B177" i="8" s="1"/>
  <c r="B178" i="8" s="1"/>
  <c r="B179" i="8" s="1"/>
  <c r="B275" i="7"/>
  <c r="B306" i="7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2" i="7"/>
  <c r="B323" i="7" s="1"/>
  <c r="B324" i="7" s="1"/>
  <c r="B43" i="6"/>
  <c r="B232" i="11"/>
  <c r="B286" i="5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6" i="1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98" i="9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216" i="9" s="1"/>
  <c r="B217" i="9" s="1"/>
  <c r="B218" i="9" s="1"/>
  <c r="B219" i="9" s="1"/>
  <c r="B220" i="9" s="1"/>
  <c r="B221" i="9" s="1"/>
  <c r="B222" i="9" s="1"/>
  <c r="B223" i="9" s="1"/>
  <c r="B224" i="9" s="1"/>
  <c r="B225" i="9" s="1"/>
  <c r="B226" i="9" s="1"/>
  <c r="B227" i="9" s="1"/>
  <c r="B228" i="9" s="1"/>
  <c r="B229" i="9" s="1"/>
  <c r="B230" i="9" s="1"/>
  <c r="B231" i="9" s="1"/>
  <c r="B232" i="9" s="1"/>
  <c r="B233" i="9" s="1"/>
  <c r="B234" i="9" s="1"/>
  <c r="B235" i="9" s="1"/>
  <c r="B236" i="9" s="1"/>
  <c r="B237" i="9" s="1"/>
  <c r="B238" i="9" s="1"/>
  <c r="B239" i="9" s="1"/>
  <c r="B240" i="9" s="1"/>
  <c r="B241" i="9" s="1"/>
  <c r="B242" i="9" s="1"/>
  <c r="B243" i="9" s="1"/>
  <c r="B244" i="9" s="1"/>
  <c r="B245" i="9" s="1"/>
  <c r="B246" i="9" s="1"/>
  <c r="B247" i="9" s="1"/>
  <c r="B248" i="9" s="1"/>
  <c r="B249" i="9" s="1"/>
  <c r="B250" i="9" s="1"/>
  <c r="B251" i="9" s="1"/>
  <c r="B252" i="9" s="1"/>
  <c r="B253" i="9" s="1"/>
  <c r="B254" i="9" s="1"/>
  <c r="B255" i="9" s="1"/>
  <c r="B256" i="9" s="1"/>
  <c r="B257" i="9" s="1"/>
  <c r="B258" i="9" s="1"/>
  <c r="B259" i="9" s="1"/>
  <c r="B260" i="9" s="1"/>
  <c r="B261" i="9" s="1"/>
  <c r="B262" i="9" s="1"/>
  <c r="B263" i="9" s="1"/>
  <c r="B264" i="9" s="1"/>
  <c r="B265" i="9" s="1"/>
  <c r="B266" i="9" s="1"/>
  <c r="B267" i="9" s="1"/>
  <c r="B268" i="9" s="1"/>
  <c r="B269" i="9" s="1"/>
  <c r="B270" i="9" s="1"/>
  <c r="B271" i="9" s="1"/>
  <c r="B272" i="9" s="1"/>
  <c r="B273" i="9" s="1"/>
  <c r="B274" i="9" s="1"/>
  <c r="B275" i="9" s="1"/>
  <c r="B276" i="9" s="1"/>
  <c r="B277" i="9" s="1"/>
  <c r="B278" i="9" s="1"/>
  <c r="B279" i="9" s="1"/>
  <c r="B280" i="9" s="1"/>
  <c r="B281" i="9" s="1"/>
  <c r="B282" i="9" s="1"/>
  <c r="B283" i="9" s="1"/>
  <c r="B284" i="9" s="1"/>
  <c r="B285" i="9" s="1"/>
  <c r="B286" i="9" s="1"/>
  <c r="B287" i="9" s="1"/>
  <c r="B288" i="9" s="1"/>
  <c r="B289" i="9" s="1"/>
  <c r="B290" i="9" s="1"/>
  <c r="B291" i="9" s="1"/>
  <c r="B292" i="9" s="1"/>
  <c r="B293" i="9" s="1"/>
  <c r="B294" i="9" s="1"/>
  <c r="B295" i="9" s="1"/>
  <c r="B296" i="9" s="1"/>
  <c r="B297" i="9" s="1"/>
  <c r="B298" i="9" s="1"/>
  <c r="B299" i="9" s="1"/>
  <c r="B300" i="9" s="1"/>
  <c r="B301" i="9" s="1"/>
  <c r="B302" i="9" s="1"/>
  <c r="B303" i="9" s="1"/>
  <c r="B304" i="9" s="1"/>
  <c r="B305" i="9" s="1"/>
  <c r="B306" i="9" s="1"/>
  <c r="B307" i="9" s="1"/>
  <c r="B308" i="9" s="1"/>
  <c r="B309" i="9" s="1"/>
  <c r="B310" i="9" s="1"/>
  <c r="B311" i="9" s="1"/>
  <c r="B312" i="9" s="1"/>
  <c r="B313" i="9" s="1"/>
  <c r="B314" i="9" s="1"/>
  <c r="B315" i="9" s="1"/>
  <c r="B316" i="9" s="1"/>
  <c r="B317" i="9" s="1"/>
  <c r="B318" i="9" s="1"/>
  <c r="B319" i="9" s="1"/>
  <c r="B320" i="9" s="1"/>
  <c r="B321" i="9" s="1"/>
  <c r="B322" i="9" s="1"/>
  <c r="B323" i="9" s="1"/>
  <c r="B324" i="9" s="1"/>
  <c r="B26" i="9"/>
  <c r="B66" i="7"/>
  <c r="B98" i="6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66" i="6"/>
  <c r="B47" i="6"/>
  <c r="E83" i="5"/>
  <c r="B66" i="5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26" i="5"/>
  <c r="B27" i="5" s="1"/>
  <c r="B28" i="5" s="1"/>
  <c r="B29" i="5" s="1"/>
  <c r="B30" i="5" s="1"/>
  <c r="B31" i="5" s="1"/>
  <c r="B32" i="5" s="1"/>
  <c r="B33" i="5" s="1"/>
  <c r="J83" i="5"/>
  <c r="H83" i="5"/>
  <c r="G83" i="5"/>
  <c r="B647" i="4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71" i="4"/>
  <c r="AI6" i="1"/>
  <c r="T112" i="1"/>
  <c r="U112" i="1" s="1"/>
  <c r="B1051" i="11" l="1"/>
  <c r="B67" i="10"/>
  <c r="B1279" i="4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F1615" i="4"/>
  <c r="E1614" i="4"/>
  <c r="B1028" i="5"/>
  <c r="B43" i="4"/>
  <c r="B67" i="11"/>
  <c r="B39" i="7"/>
  <c r="B40" i="7" s="1"/>
  <c r="B41" i="7" s="1"/>
  <c r="B42" i="7"/>
  <c r="B1092" i="7"/>
  <c r="B67" i="8"/>
  <c r="B68" i="8" s="1"/>
  <c r="B69" i="8" s="1"/>
  <c r="B70" i="8" s="1"/>
  <c r="B71" i="8" s="1"/>
  <c r="B45" i="8"/>
  <c r="B72" i="8"/>
  <c r="B67" i="9"/>
  <c r="B68" i="9" s="1"/>
  <c r="B69" i="9" s="1"/>
  <c r="B70" i="9" s="1"/>
  <c r="B71" i="9" s="1"/>
  <c r="B72" i="9" s="1"/>
  <c r="B73" i="9" s="1"/>
  <c r="B74" i="9" s="1"/>
  <c r="B75" i="9" s="1"/>
  <c r="B76" i="9" s="1"/>
  <c r="E85" i="9"/>
  <c r="G85" i="9"/>
  <c r="H85" i="9" s="1"/>
  <c r="C85" i="9"/>
  <c r="C86" i="9" s="1"/>
  <c r="D85" i="9"/>
  <c r="D83" i="9"/>
  <c r="D86" i="9" s="1"/>
  <c r="F83" i="9"/>
  <c r="F84" i="9"/>
  <c r="E84" i="9"/>
  <c r="E86" i="9" s="1"/>
  <c r="G84" i="9"/>
  <c r="I84" i="9"/>
  <c r="H83" i="9"/>
  <c r="K83" i="9"/>
  <c r="L83" i="9"/>
  <c r="J83" i="9"/>
  <c r="B39" i="10"/>
  <c r="B187" i="10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1152" i="8"/>
  <c r="B180" i="8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76" i="7"/>
  <c r="B277" i="7" s="1"/>
  <c r="B278" i="7" s="1"/>
  <c r="B279" i="7" s="1"/>
  <c r="B280" i="7" s="1"/>
  <c r="B281" i="7" s="1"/>
  <c r="B282" i="7" s="1"/>
  <c r="B283" i="7" s="1"/>
  <c r="B284" i="7"/>
  <c r="B67" i="7"/>
  <c r="B44" i="6"/>
  <c r="B46" i="6"/>
  <c r="B233" i="11"/>
  <c r="B299" i="5"/>
  <c r="B300" i="5" s="1"/>
  <c r="B301" i="5" s="1"/>
  <c r="B302" i="5" s="1"/>
  <c r="B34" i="5"/>
  <c r="B35" i="5" s="1"/>
  <c r="B36" i="5"/>
  <c r="D51" i="11"/>
  <c r="F51" i="11"/>
  <c r="D52" i="11"/>
  <c r="C52" i="11"/>
  <c r="G51" i="11"/>
  <c r="E53" i="11"/>
  <c r="G52" i="11"/>
  <c r="I52" i="11"/>
  <c r="G53" i="11"/>
  <c r="H53" i="11" s="1"/>
  <c r="C53" i="11"/>
  <c r="F52" i="11"/>
  <c r="E52" i="11"/>
  <c r="E51" i="11"/>
  <c r="F53" i="11"/>
  <c r="C51" i="11"/>
  <c r="I51" i="11"/>
  <c r="I53" i="11"/>
  <c r="D53" i="11"/>
  <c r="E347" i="9"/>
  <c r="G347" i="9"/>
  <c r="H347" i="9" s="1"/>
  <c r="F347" i="9"/>
  <c r="I347" i="9"/>
  <c r="D347" i="9"/>
  <c r="B27" i="9"/>
  <c r="I345" i="9"/>
  <c r="C346" i="9"/>
  <c r="I346" i="9"/>
  <c r="D345" i="9"/>
  <c r="C345" i="9"/>
  <c r="F345" i="9"/>
  <c r="G346" i="9"/>
  <c r="D346" i="9"/>
  <c r="C347" i="9"/>
  <c r="E345" i="9"/>
  <c r="F346" i="9"/>
  <c r="E346" i="9"/>
  <c r="G345" i="9"/>
  <c r="D347" i="6"/>
  <c r="F347" i="6"/>
  <c r="E346" i="6"/>
  <c r="F346" i="6"/>
  <c r="C347" i="6"/>
  <c r="G347" i="6"/>
  <c r="H347" i="6" s="1"/>
  <c r="I346" i="6"/>
  <c r="I347" i="6"/>
  <c r="D346" i="6"/>
  <c r="B67" i="6"/>
  <c r="B68" i="6" s="1"/>
  <c r="B69" i="6" s="1"/>
  <c r="B70" i="6" s="1"/>
  <c r="B71" i="6" s="1"/>
  <c r="B72" i="6" s="1"/>
  <c r="B73" i="6" s="1"/>
  <c r="B74" i="6" s="1"/>
  <c r="B75" i="6" s="1"/>
  <c r="D345" i="6"/>
  <c r="C346" i="6"/>
  <c r="E347" i="6"/>
  <c r="G346" i="6"/>
  <c r="H346" i="6" s="1"/>
  <c r="E345" i="6"/>
  <c r="I345" i="6"/>
  <c r="F345" i="6"/>
  <c r="G345" i="6"/>
  <c r="C345" i="6"/>
  <c r="C85" i="5"/>
  <c r="G84" i="5"/>
  <c r="G86" i="5" s="1"/>
  <c r="J84" i="5"/>
  <c r="B57" i="5" s="1"/>
  <c r="H84" i="5"/>
  <c r="E84" i="5"/>
  <c r="C83" i="5"/>
  <c r="C84" i="5"/>
  <c r="H85" i="5"/>
  <c r="I85" i="5" s="1"/>
  <c r="F83" i="5"/>
  <c r="F85" i="5"/>
  <c r="E85" i="5"/>
  <c r="F84" i="5"/>
  <c r="M83" i="5"/>
  <c r="L83" i="5"/>
  <c r="K83" i="5"/>
  <c r="I83" i="5"/>
  <c r="B72" i="4"/>
  <c r="B662" i="4"/>
  <c r="B663" i="4" s="1"/>
  <c r="B664" i="4" s="1"/>
  <c r="B665" i="4" s="1"/>
  <c r="B666" i="4" s="1"/>
  <c r="B667" i="4" s="1"/>
  <c r="B668" i="4" s="1"/>
  <c r="B669" i="4" s="1"/>
  <c r="B1052" i="11" l="1"/>
  <c r="B68" i="10"/>
  <c r="J86" i="5"/>
  <c r="B1029" i="5"/>
  <c r="B44" i="4"/>
  <c r="I1382" i="11"/>
  <c r="B68" i="11"/>
  <c r="B1093" i="7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50" i="7" s="1"/>
  <c r="B1151" i="7" s="1"/>
  <c r="B1152" i="7" s="1"/>
  <c r="B43" i="7"/>
  <c r="B46" i="8"/>
  <c r="B73" i="8"/>
  <c r="B1153" i="8"/>
  <c r="J84" i="9"/>
  <c r="K84" i="9" s="1"/>
  <c r="L84" i="9"/>
  <c r="F86" i="9"/>
  <c r="H84" i="9"/>
  <c r="G86" i="9"/>
  <c r="H86" i="9" s="1"/>
  <c r="B57" i="9"/>
  <c r="I86" i="9"/>
  <c r="B28" i="9"/>
  <c r="B40" i="10"/>
  <c r="B41" i="10" s="1"/>
  <c r="B42" i="10" s="1"/>
  <c r="B43" i="10" s="1"/>
  <c r="B44" i="10" s="1"/>
  <c r="B45" i="10" s="1"/>
  <c r="B46" i="10"/>
  <c r="I84" i="5"/>
  <c r="H86" i="5"/>
  <c r="I86" i="5" s="1"/>
  <c r="B1413" i="4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85" i="7"/>
  <c r="B68" i="7"/>
  <c r="F348" i="6"/>
  <c r="B76" i="6"/>
  <c r="B45" i="6"/>
  <c r="D51" i="6" s="1"/>
  <c r="C53" i="6"/>
  <c r="F53" i="6"/>
  <c r="G53" i="6"/>
  <c r="H53" i="6" s="1"/>
  <c r="D52" i="6"/>
  <c r="I51" i="6"/>
  <c r="F51" i="6"/>
  <c r="E53" i="6"/>
  <c r="I53" i="6"/>
  <c r="C51" i="6"/>
  <c r="G52" i="6"/>
  <c r="C52" i="6"/>
  <c r="F52" i="6"/>
  <c r="F54" i="6" s="1"/>
  <c r="E52" i="6"/>
  <c r="G51" i="6"/>
  <c r="H51" i="6" s="1"/>
  <c r="D53" i="6"/>
  <c r="E51" i="6"/>
  <c r="I52" i="6"/>
  <c r="B234" i="11"/>
  <c r="H52" i="11"/>
  <c r="D54" i="11"/>
  <c r="B303" i="5"/>
  <c r="B304" i="5" s="1"/>
  <c r="E86" i="5"/>
  <c r="F86" i="5"/>
  <c r="B37" i="5"/>
  <c r="H51" i="11"/>
  <c r="G54" i="11"/>
  <c r="J52" i="11"/>
  <c r="K52" i="11" s="1"/>
  <c r="L52" i="11"/>
  <c r="I54" i="11"/>
  <c r="J51" i="11"/>
  <c r="K51" i="11" s="1"/>
  <c r="B17" i="11"/>
  <c r="L51" i="11"/>
  <c r="K53" i="11"/>
  <c r="L53" i="11"/>
  <c r="J53" i="11"/>
  <c r="E54" i="11"/>
  <c r="C54" i="11"/>
  <c r="F54" i="11"/>
  <c r="B201" i="10"/>
  <c r="J347" i="9"/>
  <c r="K347" i="9" s="1"/>
  <c r="L347" i="9"/>
  <c r="J345" i="9"/>
  <c r="K345" i="9" s="1"/>
  <c r="L345" i="9"/>
  <c r="I348" i="9"/>
  <c r="B89" i="9"/>
  <c r="J346" i="9"/>
  <c r="K346" i="9" s="1"/>
  <c r="L346" i="9"/>
  <c r="H345" i="9"/>
  <c r="G348" i="9"/>
  <c r="D348" i="9"/>
  <c r="E348" i="9"/>
  <c r="C348" i="9"/>
  <c r="H346" i="9"/>
  <c r="F348" i="9"/>
  <c r="J346" i="6"/>
  <c r="K346" i="6" s="1"/>
  <c r="L346" i="6"/>
  <c r="J347" i="6"/>
  <c r="K347" i="6" s="1"/>
  <c r="L347" i="6"/>
  <c r="D84" i="6"/>
  <c r="C84" i="6"/>
  <c r="E85" i="6"/>
  <c r="C85" i="6"/>
  <c r="D85" i="6"/>
  <c r="I83" i="6"/>
  <c r="E84" i="6"/>
  <c r="G85" i="6"/>
  <c r="H85" i="6" s="1"/>
  <c r="I84" i="6"/>
  <c r="J345" i="6"/>
  <c r="K345" i="6" s="1"/>
  <c r="B89" i="6"/>
  <c r="L345" i="6"/>
  <c r="I348" i="6"/>
  <c r="G348" i="6"/>
  <c r="H348" i="6" s="1"/>
  <c r="H345" i="6"/>
  <c r="D348" i="6"/>
  <c r="E348" i="6"/>
  <c r="C348" i="6"/>
  <c r="K84" i="5"/>
  <c r="L84" i="5" s="1"/>
  <c r="M84" i="5"/>
  <c r="K86" i="5"/>
  <c r="L86" i="5"/>
  <c r="M86" i="5"/>
  <c r="C86" i="5"/>
  <c r="B73" i="4"/>
  <c r="B670" i="4"/>
  <c r="D361" i="2"/>
  <c r="E360" i="2"/>
  <c r="D360" i="2"/>
  <c r="G359" i="2"/>
  <c r="F360" i="2"/>
  <c r="C359" i="2"/>
  <c r="B1053" i="11" l="1"/>
  <c r="B69" i="10"/>
  <c r="F1614" i="4"/>
  <c r="E1613" i="4"/>
  <c r="F1612" i="4"/>
  <c r="F1613" i="4"/>
  <c r="D1613" i="4"/>
  <c r="D1614" i="4"/>
  <c r="D1612" i="4"/>
  <c r="E1615" i="4"/>
  <c r="E1612" i="4"/>
  <c r="B1030" i="5"/>
  <c r="B45" i="4"/>
  <c r="B46" i="4" s="1"/>
  <c r="C1382" i="11"/>
  <c r="I1383" i="11"/>
  <c r="L1382" i="11"/>
  <c r="J1382" i="11"/>
  <c r="K1382" i="11" s="1"/>
  <c r="B69" i="11"/>
  <c r="B235" i="11"/>
  <c r="B236" i="11" s="1"/>
  <c r="E54" i="6"/>
  <c r="J51" i="6"/>
  <c r="K51" i="6" s="1"/>
  <c r="L51" i="6"/>
  <c r="C83" i="6"/>
  <c r="C86" i="6" s="1"/>
  <c r="E83" i="6"/>
  <c r="E86" i="6" s="1"/>
  <c r="F83" i="6"/>
  <c r="D83" i="6"/>
  <c r="D86" i="6" s="1"/>
  <c r="G84" i="6"/>
  <c r="H84" i="6" s="1"/>
  <c r="G83" i="6"/>
  <c r="F84" i="6"/>
  <c r="B1153" i="7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44" i="7"/>
  <c r="B286" i="7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I51" i="8"/>
  <c r="G51" i="8"/>
  <c r="B47" i="8"/>
  <c r="B74" i="8"/>
  <c r="B75" i="8" s="1"/>
  <c r="C83" i="8"/>
  <c r="E85" i="8"/>
  <c r="B76" i="8"/>
  <c r="B1154" i="8"/>
  <c r="L86" i="9"/>
  <c r="J86" i="9"/>
  <c r="K86" i="9" s="1"/>
  <c r="B29" i="9"/>
  <c r="H348" i="9"/>
  <c r="B47" i="10"/>
  <c r="F52" i="10"/>
  <c r="C51" i="10"/>
  <c r="D51" i="10"/>
  <c r="F53" i="10"/>
  <c r="E53" i="10"/>
  <c r="C53" i="10"/>
  <c r="F51" i="10"/>
  <c r="G53" i="10"/>
  <c r="H53" i="10" s="1"/>
  <c r="I52" i="10"/>
  <c r="G52" i="10"/>
  <c r="C52" i="10"/>
  <c r="C54" i="10" s="1"/>
  <c r="I51" i="10"/>
  <c r="I53" i="10"/>
  <c r="D53" i="10"/>
  <c r="E52" i="10"/>
  <c r="D52" i="10"/>
  <c r="B202" i="10"/>
  <c r="B203" i="10" s="1"/>
  <c r="B204" i="10" s="1"/>
  <c r="B205" i="10" s="1"/>
  <c r="B1414" i="4"/>
  <c r="B230" i="8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97" i="7"/>
  <c r="B69" i="7"/>
  <c r="D54" i="6"/>
  <c r="L53" i="6"/>
  <c r="K53" i="6"/>
  <c r="J53" i="6"/>
  <c r="L52" i="6"/>
  <c r="J52" i="6"/>
  <c r="K52" i="6" s="1"/>
  <c r="C54" i="6"/>
  <c r="H52" i="6"/>
  <c r="G54" i="6"/>
  <c r="H54" i="6" s="1"/>
  <c r="B17" i="6"/>
  <c r="I54" i="6"/>
  <c r="L54" i="6"/>
  <c r="J54" i="6"/>
  <c r="K54" i="6" s="1"/>
  <c r="B237" i="11"/>
  <c r="B305" i="5"/>
  <c r="B38" i="5"/>
  <c r="J54" i="11"/>
  <c r="K54" i="11" s="1"/>
  <c r="L54" i="11"/>
  <c r="H54" i="11"/>
  <c r="J348" i="9"/>
  <c r="K348" i="9" s="1"/>
  <c r="L348" i="9"/>
  <c r="L83" i="6"/>
  <c r="J83" i="6"/>
  <c r="K83" i="6"/>
  <c r="I86" i="6"/>
  <c r="B57" i="6"/>
  <c r="J84" i="6"/>
  <c r="K84" i="6" s="1"/>
  <c r="L84" i="6"/>
  <c r="J348" i="6"/>
  <c r="K348" i="6" s="1"/>
  <c r="L348" i="6"/>
  <c r="B74" i="4"/>
  <c r="B671" i="4"/>
  <c r="C361" i="2"/>
  <c r="E359" i="2"/>
  <c r="D359" i="2"/>
  <c r="D362" i="2" s="1"/>
  <c r="F359" i="2"/>
  <c r="G361" i="2"/>
  <c r="G360" i="2"/>
  <c r="I359" i="2"/>
  <c r="E361" i="2"/>
  <c r="I360" i="2"/>
  <c r="F361" i="2"/>
  <c r="C360" i="2"/>
  <c r="C362" i="2" s="1"/>
  <c r="I361" i="2"/>
  <c r="H359" i="2"/>
  <c r="B1054" i="11" l="1"/>
  <c r="B70" i="10"/>
  <c r="E1616" i="4"/>
  <c r="H1612" i="4"/>
  <c r="F1616" i="4"/>
  <c r="B1031" i="5"/>
  <c r="B70" i="11"/>
  <c r="B47" i="4"/>
  <c r="B48" i="4" s="1"/>
  <c r="B49" i="4" s="1"/>
  <c r="F54" i="4"/>
  <c r="I54" i="4"/>
  <c r="L1383" i="11"/>
  <c r="J1383" i="11"/>
  <c r="K1383" i="11" s="1"/>
  <c r="F86" i="6"/>
  <c r="H83" i="6"/>
  <c r="G86" i="6"/>
  <c r="H86" i="6" s="1"/>
  <c r="B45" i="7"/>
  <c r="B1237" i="7"/>
  <c r="B70" i="7"/>
  <c r="L51" i="8"/>
  <c r="J51" i="8"/>
  <c r="K51" i="8" s="1"/>
  <c r="H51" i="8"/>
  <c r="F53" i="8"/>
  <c r="E53" i="8"/>
  <c r="G52" i="8"/>
  <c r="E51" i="8"/>
  <c r="F51" i="8"/>
  <c r="F52" i="8"/>
  <c r="D52" i="8"/>
  <c r="C53" i="8"/>
  <c r="C51" i="8"/>
  <c r="I52" i="8"/>
  <c r="C52" i="8"/>
  <c r="I53" i="8"/>
  <c r="G53" i="8"/>
  <c r="H53" i="8" s="1"/>
  <c r="D53" i="8"/>
  <c r="D51" i="8"/>
  <c r="E52" i="8"/>
  <c r="I83" i="8"/>
  <c r="D83" i="8"/>
  <c r="G84" i="8"/>
  <c r="H84" i="8" s="1"/>
  <c r="D85" i="8"/>
  <c r="I84" i="8"/>
  <c r="E83" i="8"/>
  <c r="C84" i="8"/>
  <c r="G83" i="8"/>
  <c r="D84" i="8"/>
  <c r="C85" i="8"/>
  <c r="E84" i="8"/>
  <c r="F84" i="8"/>
  <c r="F83" i="8"/>
  <c r="F86" i="8" s="1"/>
  <c r="G85" i="8"/>
  <c r="H85" i="8" s="1"/>
  <c r="B1155" i="8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30" i="9"/>
  <c r="D54" i="10"/>
  <c r="F54" i="10"/>
  <c r="E51" i="10"/>
  <c r="G51" i="10"/>
  <c r="J52" i="10"/>
  <c r="K52" i="10" s="1"/>
  <c r="L52" i="10"/>
  <c r="J51" i="10"/>
  <c r="K51" i="10" s="1"/>
  <c r="I54" i="10"/>
  <c r="J53" i="10"/>
  <c r="L53" i="10"/>
  <c r="K53" i="10"/>
  <c r="H52" i="10"/>
  <c r="E54" i="10"/>
  <c r="B206" i="10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1415" i="4"/>
  <c r="B39" i="5"/>
  <c r="B241" i="8"/>
  <c r="B298" i="7"/>
  <c r="B238" i="11"/>
  <c r="B306" i="5"/>
  <c r="B307" i="5"/>
  <c r="J86" i="6"/>
  <c r="K86" i="6" s="1"/>
  <c r="L86" i="6"/>
  <c r="B75" i="4"/>
  <c r="B672" i="4"/>
  <c r="E362" i="2"/>
  <c r="B62" i="2"/>
  <c r="K359" i="2"/>
  <c r="L359" i="2"/>
  <c r="I362" i="2"/>
  <c r="J359" i="2"/>
  <c r="J360" i="2"/>
  <c r="K360" i="2" s="1"/>
  <c r="L360" i="2"/>
  <c r="J361" i="2"/>
  <c r="K361" i="2" s="1"/>
  <c r="L361" i="2"/>
  <c r="F362" i="2"/>
  <c r="H361" i="2"/>
  <c r="H360" i="2"/>
  <c r="G362" i="2"/>
  <c r="B1055" i="11" l="1"/>
  <c r="B71" i="10"/>
  <c r="D1398" i="2"/>
  <c r="G1398" i="2"/>
  <c r="H1398" i="2" s="1"/>
  <c r="G1397" i="2"/>
  <c r="H1397" i="2" s="1"/>
  <c r="G1399" i="2"/>
  <c r="H1399" i="2" s="1"/>
  <c r="H1616" i="4"/>
  <c r="B1416" i="4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032" i="5"/>
  <c r="B71" i="11"/>
  <c r="I52" i="4"/>
  <c r="E53" i="4"/>
  <c r="D52" i="4"/>
  <c r="C53" i="4"/>
  <c r="D54" i="4"/>
  <c r="G54" i="4"/>
  <c r="H54" i="4" s="1"/>
  <c r="G52" i="4"/>
  <c r="E54" i="4"/>
  <c r="E52" i="4"/>
  <c r="C54" i="4"/>
  <c r="C52" i="4"/>
  <c r="G53" i="4"/>
  <c r="I53" i="4"/>
  <c r="F53" i="4"/>
  <c r="D53" i="4"/>
  <c r="F52" i="4"/>
  <c r="L54" i="4"/>
  <c r="K54" i="4"/>
  <c r="J54" i="4"/>
  <c r="C1383" i="11"/>
  <c r="B239" i="11"/>
  <c r="B240" i="11" s="1"/>
  <c r="B241" i="11" s="1"/>
  <c r="B242" i="11" s="1"/>
  <c r="B243" i="11" s="1"/>
  <c r="B244" i="11" s="1"/>
  <c r="B245" i="11" s="1"/>
  <c r="B71" i="7"/>
  <c r="B72" i="7" s="1"/>
  <c r="B73" i="7" s="1"/>
  <c r="B74" i="7" s="1"/>
  <c r="B75" i="7" s="1"/>
  <c r="B46" i="7"/>
  <c r="B1238" i="7"/>
  <c r="B76" i="7"/>
  <c r="B299" i="7"/>
  <c r="I347" i="7" s="1"/>
  <c r="I345" i="7"/>
  <c r="L52" i="8"/>
  <c r="J52" i="8"/>
  <c r="K52" i="8" s="1"/>
  <c r="K53" i="8"/>
  <c r="J53" i="8"/>
  <c r="L53" i="8"/>
  <c r="E54" i="8"/>
  <c r="C54" i="8"/>
  <c r="F54" i="8"/>
  <c r="D54" i="8"/>
  <c r="H52" i="8"/>
  <c r="G54" i="8"/>
  <c r="H54" i="8" s="1"/>
  <c r="B17" i="8"/>
  <c r="I54" i="8"/>
  <c r="B57" i="8"/>
  <c r="L83" i="8"/>
  <c r="J83" i="8"/>
  <c r="K83" i="8"/>
  <c r="I86" i="8"/>
  <c r="L84" i="8"/>
  <c r="J84" i="8"/>
  <c r="K84" i="8" s="1"/>
  <c r="G86" i="8"/>
  <c r="H86" i="8" s="1"/>
  <c r="H83" i="8"/>
  <c r="D86" i="8"/>
  <c r="C86" i="8"/>
  <c r="E86" i="8"/>
  <c r="B1247" i="8"/>
  <c r="B31" i="9"/>
  <c r="D52" i="9"/>
  <c r="F53" i="9"/>
  <c r="F51" i="9"/>
  <c r="E51" i="9"/>
  <c r="D53" i="9"/>
  <c r="I53" i="9"/>
  <c r="G52" i="9"/>
  <c r="G51" i="9"/>
  <c r="I51" i="9"/>
  <c r="E52" i="9"/>
  <c r="C51" i="9"/>
  <c r="E53" i="9"/>
  <c r="G53" i="9"/>
  <c r="H53" i="9" s="1"/>
  <c r="I52" i="9"/>
  <c r="C53" i="9"/>
  <c r="C52" i="9"/>
  <c r="H51" i="10"/>
  <c r="G54" i="10"/>
  <c r="H54" i="10" s="1"/>
  <c r="L51" i="10"/>
  <c r="B17" i="10"/>
  <c r="L54" i="10"/>
  <c r="J54" i="10"/>
  <c r="K54" i="10" s="1"/>
  <c r="B218" i="10"/>
  <c r="B219" i="10" s="1"/>
  <c r="B220" i="10" s="1"/>
  <c r="B221" i="10" s="1"/>
  <c r="B1481" i="4"/>
  <c r="B40" i="5"/>
  <c r="B242" i="8"/>
  <c r="B246" i="11"/>
  <c r="B308" i="5"/>
  <c r="B309" i="5" s="1"/>
  <c r="B310" i="5" s="1"/>
  <c r="B311" i="5" s="1"/>
  <c r="B76" i="4"/>
  <c r="B673" i="4"/>
  <c r="H362" i="2"/>
  <c r="J362" i="2"/>
  <c r="K362" i="2" s="1"/>
  <c r="L362" i="2"/>
  <c r="B1056" i="11" l="1"/>
  <c r="B72" i="10"/>
  <c r="B1033" i="5"/>
  <c r="B72" i="11"/>
  <c r="E55" i="4"/>
  <c r="C55" i="4"/>
  <c r="G55" i="4"/>
  <c r="H53" i="4"/>
  <c r="D55" i="4"/>
  <c r="J52" i="4"/>
  <c r="K52" i="4" s="1"/>
  <c r="L52" i="4"/>
  <c r="J53" i="4"/>
  <c r="K53" i="4" s="1"/>
  <c r="L53" i="4"/>
  <c r="B17" i="4"/>
  <c r="I55" i="4"/>
  <c r="F55" i="4"/>
  <c r="H52" i="4"/>
  <c r="B247" i="11"/>
  <c r="B47" i="7"/>
  <c r="G52" i="7"/>
  <c r="D51" i="7"/>
  <c r="I53" i="7"/>
  <c r="E53" i="7"/>
  <c r="E52" i="7"/>
  <c r="F53" i="7"/>
  <c r="F52" i="7"/>
  <c r="D52" i="7"/>
  <c r="G53" i="7"/>
  <c r="H53" i="7" s="1"/>
  <c r="I52" i="7"/>
  <c r="E51" i="7"/>
  <c r="C51" i="7"/>
  <c r="C52" i="7"/>
  <c r="F51" i="7"/>
  <c r="I51" i="7"/>
  <c r="B1239" i="7"/>
  <c r="I83" i="7"/>
  <c r="F84" i="7"/>
  <c r="G84" i="7"/>
  <c r="H84" i="7" s="1"/>
  <c r="C83" i="7"/>
  <c r="F83" i="7"/>
  <c r="D85" i="7"/>
  <c r="D83" i="7"/>
  <c r="E83" i="7"/>
  <c r="E85" i="7"/>
  <c r="G85" i="7"/>
  <c r="H85" i="7" s="1"/>
  <c r="E84" i="7"/>
  <c r="C84" i="7"/>
  <c r="C85" i="7"/>
  <c r="D84" i="7"/>
  <c r="G83" i="7"/>
  <c r="I84" i="7"/>
  <c r="H52" i="7"/>
  <c r="J53" i="7"/>
  <c r="L53" i="7"/>
  <c r="K53" i="7"/>
  <c r="E347" i="7"/>
  <c r="D346" i="7"/>
  <c r="G345" i="7"/>
  <c r="C347" i="7"/>
  <c r="F346" i="7"/>
  <c r="G346" i="7"/>
  <c r="H346" i="7" s="1"/>
  <c r="F347" i="7"/>
  <c r="D345" i="7"/>
  <c r="C345" i="7"/>
  <c r="D347" i="7"/>
  <c r="E346" i="7"/>
  <c r="C346" i="7"/>
  <c r="G347" i="7"/>
  <c r="H347" i="7" s="1"/>
  <c r="F345" i="7"/>
  <c r="F348" i="7" s="1"/>
  <c r="I346" i="7"/>
  <c r="E345" i="7"/>
  <c r="L347" i="7"/>
  <c r="J347" i="7"/>
  <c r="K347" i="7" s="1"/>
  <c r="J345" i="7"/>
  <c r="K345" i="7" s="1"/>
  <c r="L345" i="7"/>
  <c r="L54" i="8"/>
  <c r="J54" i="8"/>
  <c r="K54" i="8" s="1"/>
  <c r="B1248" i="8"/>
  <c r="L86" i="8"/>
  <c r="J86" i="8"/>
  <c r="K86" i="8" s="1"/>
  <c r="B32" i="9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F52" i="9"/>
  <c r="D51" i="9"/>
  <c r="K53" i="9"/>
  <c r="J53" i="9"/>
  <c r="L53" i="9"/>
  <c r="G54" i="9"/>
  <c r="H51" i="9"/>
  <c r="J51" i="9"/>
  <c r="K51" i="9" s="1"/>
  <c r="L51" i="9"/>
  <c r="I54" i="9"/>
  <c r="B17" i="9"/>
  <c r="L52" i="9"/>
  <c r="J52" i="9"/>
  <c r="K52" i="9" s="1"/>
  <c r="C54" i="9"/>
  <c r="D54" i="9"/>
  <c r="E54" i="9"/>
  <c r="B222" i="10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1482" i="4"/>
  <c r="B41" i="5"/>
  <c r="B243" i="8"/>
  <c r="B312" i="5"/>
  <c r="B313" i="5" s="1"/>
  <c r="B314" i="5" s="1"/>
  <c r="B315" i="5" s="1"/>
  <c r="B316" i="5" s="1"/>
  <c r="B317" i="5" s="1"/>
  <c r="B77" i="4"/>
  <c r="D576" i="4"/>
  <c r="E576" i="4"/>
  <c r="B674" i="4"/>
  <c r="B1057" i="11" l="1"/>
  <c r="B73" i="10"/>
  <c r="B1034" i="5"/>
  <c r="B73" i="11"/>
  <c r="H55" i="4"/>
  <c r="L55" i="4"/>
  <c r="J55" i="4"/>
  <c r="K55" i="4" s="1"/>
  <c r="B248" i="11"/>
  <c r="D348" i="7"/>
  <c r="F86" i="7"/>
  <c r="G51" i="7"/>
  <c r="D53" i="7"/>
  <c r="C53" i="7"/>
  <c r="I54" i="7"/>
  <c r="B17" i="7"/>
  <c r="B1240" i="7"/>
  <c r="L52" i="7"/>
  <c r="J52" i="7"/>
  <c r="K52" i="7" s="1"/>
  <c r="L51" i="7"/>
  <c r="J51" i="7"/>
  <c r="K51" i="7" s="1"/>
  <c r="I86" i="7"/>
  <c r="J83" i="7"/>
  <c r="K83" i="7"/>
  <c r="L83" i="7"/>
  <c r="B57" i="7"/>
  <c r="H83" i="7"/>
  <c r="G86" i="7"/>
  <c r="H86" i="7" s="1"/>
  <c r="J84" i="7"/>
  <c r="K84" i="7" s="1"/>
  <c r="L84" i="7"/>
  <c r="C86" i="7"/>
  <c r="D86" i="7"/>
  <c r="E86" i="7"/>
  <c r="E348" i="7"/>
  <c r="D54" i="7"/>
  <c r="E54" i="7"/>
  <c r="F54" i="7"/>
  <c r="C54" i="7"/>
  <c r="I348" i="7"/>
  <c r="B89" i="7"/>
  <c r="H345" i="7"/>
  <c r="G348" i="7"/>
  <c r="H348" i="7" s="1"/>
  <c r="L346" i="7"/>
  <c r="J346" i="7"/>
  <c r="K346" i="7" s="1"/>
  <c r="C348" i="7"/>
  <c r="J348" i="7"/>
  <c r="K348" i="7" s="1"/>
  <c r="L348" i="7"/>
  <c r="B1249" i="8"/>
  <c r="F54" i="9"/>
  <c r="H52" i="9"/>
  <c r="J54" i="9"/>
  <c r="K54" i="9" s="1"/>
  <c r="L54" i="9"/>
  <c r="H54" i="9"/>
  <c r="B259" i="10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1483" i="4"/>
  <c r="B42" i="5"/>
  <c r="B244" i="8"/>
  <c r="B318" i="5"/>
  <c r="B319" i="5" s="1"/>
  <c r="B320" i="5" s="1"/>
  <c r="B321" i="5" s="1"/>
  <c r="B322" i="5" s="1"/>
  <c r="B323" i="5" s="1"/>
  <c r="E575" i="4"/>
  <c r="I575" i="4"/>
  <c r="G575" i="4"/>
  <c r="C577" i="4"/>
  <c r="I576" i="4"/>
  <c r="F577" i="4"/>
  <c r="I577" i="4"/>
  <c r="F575" i="4"/>
  <c r="D577" i="4"/>
  <c r="C576" i="4"/>
  <c r="E577" i="4"/>
  <c r="G577" i="4"/>
  <c r="C575" i="4"/>
  <c r="G576" i="4"/>
  <c r="D575" i="4"/>
  <c r="F576" i="4"/>
  <c r="B78" i="4"/>
  <c r="B675" i="4"/>
  <c r="B1058" i="11" l="1"/>
  <c r="B74" i="10"/>
  <c r="B1484" i="4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035" i="5"/>
  <c r="B74" i="11"/>
  <c r="B249" i="11"/>
  <c r="B1241" i="7"/>
  <c r="G54" i="7"/>
  <c r="H54" i="7" s="1"/>
  <c r="H51" i="7"/>
  <c r="L54" i="7"/>
  <c r="J54" i="7"/>
  <c r="K54" i="7" s="1"/>
  <c r="L86" i="7"/>
  <c r="J86" i="7"/>
  <c r="K86" i="7" s="1"/>
  <c r="B1250" i="8"/>
  <c r="B283" i="10"/>
  <c r="B43" i="5"/>
  <c r="B1590" i="4"/>
  <c r="B245" i="8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24" i="5"/>
  <c r="G347" i="5"/>
  <c r="G345" i="5"/>
  <c r="F347" i="5"/>
  <c r="F346" i="5"/>
  <c r="C346" i="5"/>
  <c r="G346" i="5"/>
  <c r="J345" i="5"/>
  <c r="E578" i="4"/>
  <c r="D578" i="4"/>
  <c r="H577" i="4"/>
  <c r="H576" i="4"/>
  <c r="L575" i="4"/>
  <c r="I578" i="4"/>
  <c r="B90" i="4"/>
  <c r="J575" i="4"/>
  <c r="K575" i="4" s="1"/>
  <c r="G578" i="4"/>
  <c r="H575" i="4"/>
  <c r="L576" i="4"/>
  <c r="J576" i="4"/>
  <c r="K576" i="4" s="1"/>
  <c r="J577" i="4"/>
  <c r="K577" i="4" s="1"/>
  <c r="L577" i="4"/>
  <c r="C578" i="4"/>
  <c r="F578" i="4"/>
  <c r="B676" i="4"/>
  <c r="B79" i="4"/>
  <c r="B1059" i="11" l="1"/>
  <c r="B75" i="10"/>
  <c r="H1382" i="5"/>
  <c r="B1036" i="5"/>
  <c r="B75" i="11"/>
  <c r="B250" i="11"/>
  <c r="B1242" i="7"/>
  <c r="C1385" i="7"/>
  <c r="C1383" i="7"/>
  <c r="I1384" i="7"/>
  <c r="B1251" i="8"/>
  <c r="C1385" i="8"/>
  <c r="I1383" i="8"/>
  <c r="B284" i="10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44" i="5"/>
  <c r="B1591" i="4"/>
  <c r="B315" i="8"/>
  <c r="E347" i="5"/>
  <c r="H346" i="5"/>
  <c r="I346" i="5" s="1"/>
  <c r="J346" i="5"/>
  <c r="C345" i="5"/>
  <c r="E345" i="5"/>
  <c r="C347" i="5"/>
  <c r="J347" i="5"/>
  <c r="E346" i="5"/>
  <c r="H347" i="5"/>
  <c r="I347" i="5" s="1"/>
  <c r="H345" i="5"/>
  <c r="F345" i="5"/>
  <c r="F348" i="5" s="1"/>
  <c r="G348" i="5"/>
  <c r="K345" i="5"/>
  <c r="L345" i="5" s="1"/>
  <c r="B677" i="4"/>
  <c r="H578" i="4"/>
  <c r="J578" i="4"/>
  <c r="K578" i="4" s="1"/>
  <c r="L578" i="4"/>
  <c r="B80" i="4"/>
  <c r="B1060" i="11" l="1"/>
  <c r="B76" i="10"/>
  <c r="F83" i="10"/>
  <c r="E85" i="10"/>
  <c r="D85" i="10"/>
  <c r="E84" i="10"/>
  <c r="G85" i="10"/>
  <c r="H85" i="10" s="1"/>
  <c r="I84" i="10"/>
  <c r="C85" i="10"/>
  <c r="I83" i="10"/>
  <c r="D84" i="10"/>
  <c r="F84" i="10"/>
  <c r="C84" i="10"/>
  <c r="G83" i="10"/>
  <c r="G84" i="10"/>
  <c r="H84" i="10" s="1"/>
  <c r="H1385" i="5"/>
  <c r="I1385" i="5" s="1"/>
  <c r="H1383" i="5"/>
  <c r="I1383" i="5" s="1"/>
  <c r="E1382" i="5"/>
  <c r="B1037" i="5"/>
  <c r="H1384" i="5"/>
  <c r="B76" i="11"/>
  <c r="I83" i="11"/>
  <c r="F84" i="11"/>
  <c r="C85" i="11"/>
  <c r="E85" i="11"/>
  <c r="D83" i="11"/>
  <c r="C83" i="11"/>
  <c r="E83" i="11"/>
  <c r="I84" i="11"/>
  <c r="D85" i="11"/>
  <c r="G85" i="11"/>
  <c r="H85" i="11" s="1"/>
  <c r="E84" i="11"/>
  <c r="F83" i="11"/>
  <c r="F86" i="11" s="1"/>
  <c r="G84" i="11"/>
  <c r="H84" i="11" s="1"/>
  <c r="D84" i="11"/>
  <c r="B251" i="11"/>
  <c r="B1243" i="7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I1385" i="7" s="1"/>
  <c r="I1382" i="7"/>
  <c r="I1383" i="7"/>
  <c r="C1384" i="7"/>
  <c r="C1382" i="7"/>
  <c r="C1386" i="7" s="1"/>
  <c r="L1385" i="7"/>
  <c r="J1385" i="7"/>
  <c r="K1385" i="7" s="1"/>
  <c r="J1384" i="7"/>
  <c r="K1384" i="7" s="1"/>
  <c r="L1384" i="7"/>
  <c r="B1252" i="8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C1384" i="8"/>
  <c r="I1382" i="8"/>
  <c r="I1385" i="8"/>
  <c r="C1382" i="8"/>
  <c r="C1383" i="8"/>
  <c r="I1384" i="8"/>
  <c r="L1383" i="8"/>
  <c r="J1383" i="8"/>
  <c r="K1383" i="8" s="1"/>
  <c r="B316" i="8"/>
  <c r="B305" i="10"/>
  <c r="B45" i="5"/>
  <c r="B1592" i="4"/>
  <c r="B1593" i="4" s="1"/>
  <c r="B1594" i="4" s="1"/>
  <c r="B1595" i="4" s="1"/>
  <c r="B1596" i="4" s="1"/>
  <c r="B1597" i="4" s="1"/>
  <c r="B1598" i="4" s="1"/>
  <c r="B1599" i="4" s="1"/>
  <c r="E348" i="5"/>
  <c r="I345" i="5"/>
  <c r="M345" i="5"/>
  <c r="K346" i="5"/>
  <c r="L346" i="5" s="1"/>
  <c r="M346" i="5"/>
  <c r="K347" i="5"/>
  <c r="L347" i="5" s="1"/>
  <c r="M347" i="5"/>
  <c r="H348" i="5"/>
  <c r="I348" i="5" s="1"/>
  <c r="C348" i="5"/>
  <c r="B89" i="5"/>
  <c r="J348" i="5"/>
  <c r="B678" i="4"/>
  <c r="B81" i="4"/>
  <c r="K86" i="4" s="1"/>
  <c r="G85" i="4"/>
  <c r="I84" i="4"/>
  <c r="B252" i="11" l="1"/>
  <c r="E86" i="11"/>
  <c r="B1061" i="11"/>
  <c r="H83" i="10"/>
  <c r="G86" i="10"/>
  <c r="H86" i="10" s="1"/>
  <c r="K83" i="10"/>
  <c r="B57" i="10"/>
  <c r="L83" i="10"/>
  <c r="I86" i="10"/>
  <c r="J83" i="10"/>
  <c r="L84" i="10"/>
  <c r="J84" i="10"/>
  <c r="K84" i="10" s="1"/>
  <c r="F86" i="10"/>
  <c r="E83" i="10"/>
  <c r="E86" i="10" s="1"/>
  <c r="C83" i="10"/>
  <c r="C86" i="10" s="1"/>
  <c r="D83" i="10"/>
  <c r="D86" i="10" s="1"/>
  <c r="F1385" i="5"/>
  <c r="E1383" i="5"/>
  <c r="G1382" i="5"/>
  <c r="F1382" i="5"/>
  <c r="F1383" i="5"/>
  <c r="H1386" i="5"/>
  <c r="B1038" i="5"/>
  <c r="C1386" i="8"/>
  <c r="D86" i="11"/>
  <c r="L83" i="11"/>
  <c r="B57" i="11"/>
  <c r="K83" i="11"/>
  <c r="J83" i="11"/>
  <c r="I86" i="11"/>
  <c r="L84" i="11"/>
  <c r="J84" i="11"/>
  <c r="K84" i="11" s="1"/>
  <c r="G83" i="11"/>
  <c r="C84" i="11"/>
  <c r="C86" i="11" s="1"/>
  <c r="J1382" i="7"/>
  <c r="K1382" i="7" s="1"/>
  <c r="L1382" i="7"/>
  <c r="L1383" i="7"/>
  <c r="J1383" i="7"/>
  <c r="K1383" i="7" s="1"/>
  <c r="I1386" i="7"/>
  <c r="B461" i="7"/>
  <c r="J1382" i="8"/>
  <c r="K1382" i="8" s="1"/>
  <c r="L1382" i="8"/>
  <c r="L1385" i="8"/>
  <c r="J1385" i="8"/>
  <c r="K1385" i="8" s="1"/>
  <c r="J1384" i="8"/>
  <c r="K1384" i="8" s="1"/>
  <c r="L1384" i="8"/>
  <c r="I1386" i="8"/>
  <c r="B461" i="8"/>
  <c r="B317" i="8"/>
  <c r="B306" i="10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46" i="5"/>
  <c r="B1600" i="4"/>
  <c r="F85" i="4"/>
  <c r="E85" i="4"/>
  <c r="F84" i="4"/>
  <c r="E86" i="4"/>
  <c r="K348" i="5"/>
  <c r="L348" i="5" s="1"/>
  <c r="M348" i="5"/>
  <c r="B679" i="4"/>
  <c r="C85" i="4"/>
  <c r="G86" i="4"/>
  <c r="I85" i="4"/>
  <c r="E84" i="4"/>
  <c r="D85" i="4"/>
  <c r="G84" i="4"/>
  <c r="L84" i="4" s="1"/>
  <c r="D86" i="4"/>
  <c r="C86" i="4"/>
  <c r="C84" i="4"/>
  <c r="D84" i="4"/>
  <c r="J84" i="4"/>
  <c r="K84" i="4" s="1"/>
  <c r="B1062" i="11" l="1"/>
  <c r="B253" i="11"/>
  <c r="I346" i="11"/>
  <c r="D347" i="11"/>
  <c r="G345" i="11"/>
  <c r="C347" i="11"/>
  <c r="J86" i="10"/>
  <c r="K86" i="10" s="1"/>
  <c r="L86" i="10"/>
  <c r="B1039" i="5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50" i="5" s="1"/>
  <c r="B1151" i="5" s="1"/>
  <c r="J1383" i="5" s="1"/>
  <c r="G1383" i="5"/>
  <c r="G1384" i="5"/>
  <c r="G1385" i="5"/>
  <c r="F1384" i="5"/>
  <c r="E1385" i="5"/>
  <c r="I1382" i="5"/>
  <c r="M1383" i="5"/>
  <c r="K1383" i="5"/>
  <c r="L1383" i="5" s="1"/>
  <c r="B1152" i="5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C1382" i="5"/>
  <c r="J1382" i="5"/>
  <c r="C1383" i="5"/>
  <c r="C1384" i="5"/>
  <c r="E1384" i="5"/>
  <c r="E1386" i="5" s="1"/>
  <c r="B1165" i="5"/>
  <c r="L86" i="11"/>
  <c r="J86" i="11"/>
  <c r="K86" i="11" s="1"/>
  <c r="H83" i="11"/>
  <c r="G86" i="11"/>
  <c r="H86" i="11" s="1"/>
  <c r="H85" i="4"/>
  <c r="H86" i="4"/>
  <c r="L86" i="4"/>
  <c r="J1386" i="7"/>
  <c r="K1386" i="7" s="1"/>
  <c r="L1386" i="7"/>
  <c r="J1386" i="8"/>
  <c r="K1386" i="8" s="1"/>
  <c r="L1386" i="8"/>
  <c r="B318" i="8"/>
  <c r="B323" i="10"/>
  <c r="B47" i="5"/>
  <c r="J51" i="5" s="1"/>
  <c r="B1601" i="4"/>
  <c r="F87" i="4"/>
  <c r="E87" i="4"/>
  <c r="B680" i="4"/>
  <c r="G687" i="4" s="1"/>
  <c r="G686" i="4"/>
  <c r="D686" i="4"/>
  <c r="G685" i="4"/>
  <c r="C87" i="4"/>
  <c r="B58" i="4"/>
  <c r="J85" i="4"/>
  <c r="K85" i="4" s="1"/>
  <c r="L85" i="4"/>
  <c r="I87" i="4"/>
  <c r="H84" i="4"/>
  <c r="G87" i="4"/>
  <c r="D87" i="4"/>
  <c r="H345" i="11" l="1"/>
  <c r="J346" i="11"/>
  <c r="K346" i="11" s="1"/>
  <c r="L346" i="11"/>
  <c r="D345" i="11"/>
  <c r="C345" i="11"/>
  <c r="F347" i="11"/>
  <c r="E347" i="11"/>
  <c r="D346" i="11"/>
  <c r="E345" i="11"/>
  <c r="G346" i="11"/>
  <c r="C346" i="11"/>
  <c r="F346" i="11"/>
  <c r="F345" i="11"/>
  <c r="F348" i="11" s="1"/>
  <c r="G347" i="11"/>
  <c r="H347" i="11" s="1"/>
  <c r="I347" i="11"/>
  <c r="I345" i="11"/>
  <c r="E346" i="11"/>
  <c r="B1063" i="11"/>
  <c r="G1386" i="5"/>
  <c r="I1384" i="5"/>
  <c r="F1386" i="5"/>
  <c r="I1386" i="5" s="1"/>
  <c r="M1382" i="5"/>
  <c r="K1382" i="5"/>
  <c r="L1382" i="5" s="1"/>
  <c r="B1166" i="5"/>
  <c r="B319" i="8"/>
  <c r="H87" i="4"/>
  <c r="B324" i="10"/>
  <c r="F345" i="10" s="1"/>
  <c r="D345" i="10"/>
  <c r="F347" i="10"/>
  <c r="I346" i="10"/>
  <c r="K51" i="5"/>
  <c r="L51" i="5" s="1"/>
  <c r="M51" i="5"/>
  <c r="E52" i="5"/>
  <c r="H52" i="5"/>
  <c r="I52" i="5" s="1"/>
  <c r="E53" i="5"/>
  <c r="F52" i="5"/>
  <c r="J52" i="5"/>
  <c r="C51" i="5"/>
  <c r="E51" i="5"/>
  <c r="E54" i="5" s="1"/>
  <c r="C52" i="5"/>
  <c r="G51" i="5"/>
  <c r="H51" i="5"/>
  <c r="F53" i="5"/>
  <c r="H53" i="5"/>
  <c r="I53" i="5" s="1"/>
  <c r="F51" i="5"/>
  <c r="F54" i="5" s="1"/>
  <c r="C53" i="5"/>
  <c r="C54" i="5" s="1"/>
  <c r="G53" i="5"/>
  <c r="J53" i="5"/>
  <c r="G52" i="5"/>
  <c r="B1602" i="4"/>
  <c r="D685" i="4"/>
  <c r="E686" i="4"/>
  <c r="F685" i="4"/>
  <c r="D687" i="4"/>
  <c r="I685" i="4"/>
  <c r="E685" i="4"/>
  <c r="C687" i="4"/>
  <c r="F686" i="4"/>
  <c r="E687" i="4"/>
  <c r="I686" i="4"/>
  <c r="K686" i="4" s="1"/>
  <c r="C686" i="4"/>
  <c r="F687" i="4"/>
  <c r="I687" i="4"/>
  <c r="K687" i="4" s="1"/>
  <c r="C685" i="4"/>
  <c r="H685" i="4"/>
  <c r="G688" i="4"/>
  <c r="H686" i="4"/>
  <c r="H687" i="4"/>
  <c r="L87" i="4"/>
  <c r="J87" i="4"/>
  <c r="K87" i="4" s="1"/>
  <c r="B1064" i="11" l="1"/>
  <c r="J345" i="11"/>
  <c r="K345" i="11" s="1"/>
  <c r="L345" i="11"/>
  <c r="B89" i="11"/>
  <c r="I348" i="11"/>
  <c r="J347" i="11"/>
  <c r="K347" i="11" s="1"/>
  <c r="L347" i="11"/>
  <c r="H346" i="11"/>
  <c r="G348" i="11"/>
  <c r="H348" i="11" s="1"/>
  <c r="E348" i="11"/>
  <c r="C348" i="11"/>
  <c r="D348" i="11"/>
  <c r="B1167" i="5"/>
  <c r="B320" i="8"/>
  <c r="B1603" i="4"/>
  <c r="I345" i="10"/>
  <c r="J345" i="10" s="1"/>
  <c r="K345" i="10" s="1"/>
  <c r="E345" i="10"/>
  <c r="G345" i="10"/>
  <c r="L345" i="10" s="1"/>
  <c r="C347" i="10"/>
  <c r="C346" i="10"/>
  <c r="E347" i="10"/>
  <c r="G346" i="10"/>
  <c r="D346" i="10"/>
  <c r="G347" i="10"/>
  <c r="H347" i="10" s="1"/>
  <c r="F346" i="10"/>
  <c r="F348" i="10" s="1"/>
  <c r="E346" i="10"/>
  <c r="I347" i="10"/>
  <c r="J346" i="10"/>
  <c r="K346" i="10" s="1"/>
  <c r="D347" i="10"/>
  <c r="C345" i="10"/>
  <c r="M52" i="5"/>
  <c r="K52" i="5"/>
  <c r="L52" i="5" s="1"/>
  <c r="I51" i="5"/>
  <c r="H54" i="5"/>
  <c r="I54" i="5" s="1"/>
  <c r="L53" i="5"/>
  <c r="M53" i="5"/>
  <c r="K53" i="5"/>
  <c r="G54" i="5"/>
  <c r="B17" i="5"/>
  <c r="J54" i="5"/>
  <c r="D688" i="4"/>
  <c r="K685" i="4"/>
  <c r="J685" i="4"/>
  <c r="L685" i="4"/>
  <c r="E688" i="4"/>
  <c r="F688" i="4"/>
  <c r="C688" i="4"/>
  <c r="L686" i="4"/>
  <c r="J686" i="4"/>
  <c r="H688" i="4"/>
  <c r="B581" i="4"/>
  <c r="I688" i="4"/>
  <c r="J687" i="4"/>
  <c r="L687" i="4"/>
  <c r="J348" i="11" l="1"/>
  <c r="K348" i="11" s="1"/>
  <c r="L348" i="11"/>
  <c r="B1065" i="11"/>
  <c r="D348" i="10"/>
  <c r="B1168" i="5"/>
  <c r="B321" i="8"/>
  <c r="B1604" i="4"/>
  <c r="C348" i="10"/>
  <c r="E348" i="10"/>
  <c r="H345" i="10"/>
  <c r="G348" i="10"/>
  <c r="H348" i="10" s="1"/>
  <c r="L347" i="10"/>
  <c r="J347" i="10"/>
  <c r="K347" i="10" s="1"/>
  <c r="H346" i="10"/>
  <c r="L346" i="10"/>
  <c r="B89" i="10"/>
  <c r="I348" i="10"/>
  <c r="M54" i="5"/>
  <c r="K54" i="5"/>
  <c r="L54" i="5" s="1"/>
  <c r="L688" i="4"/>
  <c r="K688" i="4"/>
  <c r="J688" i="4"/>
  <c r="B1066" i="11" l="1"/>
  <c r="B1169" i="5"/>
  <c r="B322" i="8"/>
  <c r="B1605" i="4"/>
  <c r="J348" i="10"/>
  <c r="K348" i="10" s="1"/>
  <c r="L348" i="10"/>
  <c r="B1067" i="11" l="1"/>
  <c r="G1396" i="2"/>
  <c r="B1170" i="5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323" i="8"/>
  <c r="B1606" i="4"/>
  <c r="B1068" i="11" l="1"/>
  <c r="G1400" i="2"/>
  <c r="C1385" i="5"/>
  <c r="C1386" i="5" s="1"/>
  <c r="J1384" i="5"/>
  <c r="J1385" i="5"/>
  <c r="B324" i="8"/>
  <c r="F347" i="8"/>
  <c r="B1607" i="4"/>
  <c r="D1615" i="4" s="1"/>
  <c r="D1616" i="4" s="1"/>
  <c r="I1613" i="4"/>
  <c r="I1612" i="4"/>
  <c r="C1615" i="4"/>
  <c r="B1069" i="11" l="1"/>
  <c r="K1385" i="5"/>
  <c r="L1385" i="5" s="1"/>
  <c r="M1385" i="5"/>
  <c r="J1386" i="5"/>
  <c r="B461" i="5"/>
  <c r="M1384" i="5"/>
  <c r="K1384" i="5"/>
  <c r="L1384" i="5" s="1"/>
  <c r="F346" i="8"/>
  <c r="I345" i="8"/>
  <c r="I346" i="8"/>
  <c r="D345" i="8"/>
  <c r="G347" i="8"/>
  <c r="H347" i="8" s="1"/>
  <c r="D346" i="8"/>
  <c r="I347" i="8"/>
  <c r="C347" i="8"/>
  <c r="E346" i="8"/>
  <c r="G346" i="8"/>
  <c r="H346" i="8" s="1"/>
  <c r="E347" i="8"/>
  <c r="E345" i="8"/>
  <c r="C346" i="8"/>
  <c r="G345" i="8"/>
  <c r="F345" i="8"/>
  <c r="F348" i="8" s="1"/>
  <c r="C345" i="8"/>
  <c r="D347" i="8"/>
  <c r="C1613" i="4"/>
  <c r="C1614" i="4"/>
  <c r="I1614" i="4"/>
  <c r="C1612" i="4"/>
  <c r="I1615" i="4"/>
  <c r="J1612" i="4"/>
  <c r="K1612" i="4" s="1"/>
  <c r="L1612" i="4"/>
  <c r="L1613" i="4"/>
  <c r="J1613" i="4"/>
  <c r="K1613" i="4" s="1"/>
  <c r="B1070" i="11" l="1"/>
  <c r="C1616" i="4"/>
  <c r="K1386" i="5"/>
  <c r="L1386" i="5" s="1"/>
  <c r="M1386" i="5"/>
  <c r="C348" i="8"/>
  <c r="L347" i="8"/>
  <c r="J347" i="8"/>
  <c r="K347" i="8" s="1"/>
  <c r="G348" i="8"/>
  <c r="H348" i="8" s="1"/>
  <c r="H345" i="8"/>
  <c r="E348" i="8"/>
  <c r="D348" i="8"/>
  <c r="J346" i="8"/>
  <c r="K346" i="8" s="1"/>
  <c r="L346" i="8"/>
  <c r="I348" i="8"/>
  <c r="B89" i="8"/>
  <c r="J345" i="8"/>
  <c r="K345" i="8" s="1"/>
  <c r="L345" i="8"/>
  <c r="L1615" i="4"/>
  <c r="J1615" i="4"/>
  <c r="K1615" i="4" s="1"/>
  <c r="J1614" i="4"/>
  <c r="K1614" i="4" s="1"/>
  <c r="L1614" i="4"/>
  <c r="B691" i="4"/>
  <c r="I1616" i="4"/>
  <c r="B1071" i="11" l="1"/>
  <c r="J348" i="8"/>
  <c r="K348" i="8" s="1"/>
  <c r="L348" i="8"/>
  <c r="J1616" i="4"/>
  <c r="K1616" i="4" s="1"/>
  <c r="L1616" i="4"/>
  <c r="B1072" i="11" l="1"/>
  <c r="B1073" i="11" l="1"/>
  <c r="B1074" i="11" l="1"/>
  <c r="B1075" i="11" l="1"/>
  <c r="B1076" i="11" l="1"/>
  <c r="B1077" i="11" l="1"/>
  <c r="B1078" i="11" l="1"/>
  <c r="B1079" i="11" l="1"/>
  <c r="B1080" i="11" l="1"/>
  <c r="B1081" i="11" l="1"/>
  <c r="B1082" i="11" l="1"/>
  <c r="B1083" i="11" l="1"/>
  <c r="B1084" i="11" l="1"/>
  <c r="B1085" i="11" l="1"/>
  <c r="B1086" i="11" l="1"/>
  <c r="B1087" i="11" l="1"/>
  <c r="B1088" i="11" l="1"/>
  <c r="E1399" i="2"/>
  <c r="B1089" i="11" l="1"/>
  <c r="E1398" i="2"/>
  <c r="B1090" i="11" l="1"/>
  <c r="B1091" i="11" l="1"/>
  <c r="B1092" i="11" l="1"/>
  <c r="B1093" i="11" l="1"/>
  <c r="B1094" i="11" l="1"/>
  <c r="B1095" i="11" l="1"/>
  <c r="B1096" i="11" l="1"/>
  <c r="B1097" i="11" l="1"/>
  <c r="B1098" i="11" l="1"/>
  <c r="B1099" i="11" l="1"/>
  <c r="B1100" i="11" l="1"/>
  <c r="B1101" i="11" l="1"/>
  <c r="B1102" i="11" l="1"/>
  <c r="G1384" i="11"/>
  <c r="D1384" i="11"/>
  <c r="H1384" i="11" l="1"/>
  <c r="B1103" i="11"/>
  <c r="B1104" i="11" s="1"/>
  <c r="B1105" i="11" s="1"/>
  <c r="B1106" i="11" s="1"/>
  <c r="B1107" i="11" s="1"/>
  <c r="B1108" i="11" s="1"/>
  <c r="B1109" i="11" s="1"/>
  <c r="B1110" i="11" s="1"/>
  <c r="B1111" i="11" s="1"/>
  <c r="B1112" i="11" s="1"/>
  <c r="B1113" i="11" s="1"/>
  <c r="B1114" i="11" s="1"/>
  <c r="B1115" i="11" s="1"/>
  <c r="B1116" i="11" s="1"/>
  <c r="B1117" i="11" s="1"/>
  <c r="B1118" i="11" s="1"/>
  <c r="B1119" i="11" s="1"/>
  <c r="B1120" i="11" s="1"/>
  <c r="B1121" i="11" s="1"/>
  <c r="B1122" i="11" s="1"/>
  <c r="B1123" i="11" s="1"/>
  <c r="B1124" i="11" s="1"/>
  <c r="B1125" i="11" s="1"/>
  <c r="B1126" i="11" s="1"/>
  <c r="B1127" i="11" s="1"/>
  <c r="B1128" i="11" s="1"/>
  <c r="B1129" i="11" s="1"/>
  <c r="B1130" i="11" s="1"/>
  <c r="B1131" i="11" s="1"/>
  <c r="B1132" i="11" s="1"/>
  <c r="B1133" i="11" s="1"/>
  <c r="B1134" i="11" s="1"/>
  <c r="B1135" i="11" s="1"/>
  <c r="B1136" i="11" s="1"/>
  <c r="B1137" i="11" s="1"/>
  <c r="B1138" i="11" s="1"/>
  <c r="B1139" i="11" s="1"/>
  <c r="B1140" i="11" s="1"/>
  <c r="B1141" i="11" s="1"/>
  <c r="B1142" i="11" s="1"/>
  <c r="B1143" i="11" s="1"/>
  <c r="B1144" i="11" s="1"/>
  <c r="B1145" i="11" s="1"/>
  <c r="B1146" i="11" s="1"/>
  <c r="B1147" i="11" s="1"/>
  <c r="B1148" i="11" s="1"/>
  <c r="B1150" i="11" s="1"/>
  <c r="C1384" i="11"/>
  <c r="I1384" i="11"/>
  <c r="J1384" i="11" l="1"/>
  <c r="K1384" i="11" s="1"/>
  <c r="L1384" i="11"/>
  <c r="B1151" i="11"/>
  <c r="B1152" i="11" l="1"/>
  <c r="B1153" i="11" l="1"/>
  <c r="B1154" i="11" l="1"/>
  <c r="B1155" i="11" l="1"/>
  <c r="B1156" i="11" l="1"/>
  <c r="B1157" i="11" l="1"/>
  <c r="B1158" i="11" l="1"/>
  <c r="B1159" i="11" l="1"/>
  <c r="B1160" i="11" l="1"/>
  <c r="B1161" i="11" l="1"/>
  <c r="B1162" i="11" l="1"/>
  <c r="B1163" i="11" l="1"/>
  <c r="B1164" i="11" l="1"/>
  <c r="B1165" i="11" l="1"/>
  <c r="B1166" i="11" l="1"/>
  <c r="B1167" i="11" l="1"/>
  <c r="B1168" i="11" l="1"/>
  <c r="B1169" i="11" l="1"/>
  <c r="B1170" i="11" l="1"/>
  <c r="B1171" i="11" l="1"/>
  <c r="B1172" i="11" l="1"/>
  <c r="B1173" i="11" l="1"/>
  <c r="B1174" i="11" l="1"/>
  <c r="B1175" i="11" l="1"/>
  <c r="B1176" i="11" s="1"/>
  <c r="B1177" i="11" l="1"/>
  <c r="B1178" i="11" l="1"/>
  <c r="B1179" i="11" s="1"/>
  <c r="B1180" i="11" l="1"/>
  <c r="B1181" i="11" l="1"/>
  <c r="B1182" i="11" s="1"/>
  <c r="B1183" i="11" s="1"/>
  <c r="B1184" i="11" s="1"/>
  <c r="B1185" i="11" s="1"/>
  <c r="B1186" i="11" l="1"/>
  <c r="G1385" i="11"/>
  <c r="D1385" i="11"/>
  <c r="D1386" i="11" s="1"/>
  <c r="H1385" i="11" l="1"/>
  <c r="G1386" i="11"/>
  <c r="H1386" i="11" s="1"/>
  <c r="B1187" i="11"/>
  <c r="B1188" i="11" s="1"/>
  <c r="B1189" i="11" s="1"/>
  <c r="B1190" i="11" s="1"/>
  <c r="B1191" i="11" s="1"/>
  <c r="B1192" i="11" s="1"/>
  <c r="B1193" i="11" s="1"/>
  <c r="B1194" i="11" s="1"/>
  <c r="B1195" i="11" s="1"/>
  <c r="B1196" i="11" s="1"/>
  <c r="B1197" i="11" s="1"/>
  <c r="B1198" i="11" s="1"/>
  <c r="B1199" i="11" s="1"/>
  <c r="B1200" i="11" s="1"/>
  <c r="B1201" i="11" s="1"/>
  <c r="B1202" i="11" s="1"/>
  <c r="B1203" i="11" s="1"/>
  <c r="B1204" i="11" s="1"/>
  <c r="B1205" i="11" s="1"/>
  <c r="B1206" i="11" s="1"/>
  <c r="B1207" i="11" s="1"/>
  <c r="B1208" i="11" s="1"/>
  <c r="B1209" i="11" s="1"/>
  <c r="B1210" i="11" s="1"/>
  <c r="B1211" i="11" s="1"/>
  <c r="B1212" i="11" s="1"/>
  <c r="B1213" i="11" s="1"/>
  <c r="B1214" i="11" s="1"/>
  <c r="B1215" i="11" s="1"/>
  <c r="B1216" i="11" s="1"/>
  <c r="B1217" i="11" s="1"/>
  <c r="B1218" i="11" s="1"/>
  <c r="B1219" i="11" s="1"/>
  <c r="B1220" i="11" s="1"/>
  <c r="B1221" i="11" s="1"/>
  <c r="B1222" i="11" s="1"/>
  <c r="B1223" i="11" s="1"/>
  <c r="B1224" i="11" s="1"/>
  <c r="B1225" i="11" s="1"/>
  <c r="B1226" i="11" s="1"/>
  <c r="B1227" i="11" s="1"/>
  <c r="B1228" i="11" s="1"/>
  <c r="B1229" i="11" s="1"/>
  <c r="B1230" i="11" s="1"/>
  <c r="B1231" i="11" s="1"/>
  <c r="B1232" i="11" s="1"/>
  <c r="B1233" i="11" s="1"/>
  <c r="B1234" i="11" s="1"/>
  <c r="B1235" i="11" s="1"/>
  <c r="B1236" i="11" s="1"/>
  <c r="B1237" i="11" s="1"/>
  <c r="B1238" i="11" s="1"/>
  <c r="B1239" i="11" s="1"/>
  <c r="B1240" i="11" s="1"/>
  <c r="B1241" i="11" s="1"/>
  <c r="B1242" i="11" s="1"/>
  <c r="B1243" i="11" s="1"/>
  <c r="B1244" i="11" s="1"/>
  <c r="B1245" i="11" s="1"/>
  <c r="B1246" i="11" s="1"/>
  <c r="B1247" i="11" s="1"/>
  <c r="B1248" i="11" s="1"/>
  <c r="B1249" i="11" s="1"/>
  <c r="B1250" i="11" s="1"/>
  <c r="B1251" i="11" s="1"/>
  <c r="B1252" i="11" s="1"/>
  <c r="B1253" i="11" s="1"/>
  <c r="B1254" i="11" s="1"/>
  <c r="B1255" i="11" s="1"/>
  <c r="B1256" i="11" s="1"/>
  <c r="B1257" i="11" s="1"/>
  <c r="B1258" i="11" s="1"/>
  <c r="B1259" i="11" s="1"/>
  <c r="B1260" i="11" s="1"/>
  <c r="B1261" i="11" s="1"/>
  <c r="B1262" i="11" s="1"/>
  <c r="B1263" i="11" s="1"/>
  <c r="B1264" i="11" s="1"/>
  <c r="B1265" i="11" s="1"/>
  <c r="B1266" i="11" s="1"/>
  <c r="B1267" i="11" s="1"/>
  <c r="B1268" i="11" s="1"/>
  <c r="B1269" i="11" s="1"/>
  <c r="B1270" i="11" s="1"/>
  <c r="B1271" i="11" s="1"/>
  <c r="B1272" i="11" s="1"/>
  <c r="B1273" i="11" s="1"/>
  <c r="B1274" i="11" s="1"/>
  <c r="B1275" i="11" s="1"/>
  <c r="B1276" i="11" s="1"/>
  <c r="B1277" i="11" s="1"/>
  <c r="B1278" i="11" s="1"/>
  <c r="B1279" i="11" s="1"/>
  <c r="B1280" i="11" s="1"/>
  <c r="B1281" i="11" s="1"/>
  <c r="B1282" i="11" s="1"/>
  <c r="B1283" i="11" s="1"/>
  <c r="B1284" i="11" s="1"/>
  <c r="B1285" i="11" s="1"/>
  <c r="B1286" i="11" s="1"/>
  <c r="B1287" i="11" s="1"/>
  <c r="B1288" i="11" s="1"/>
  <c r="B1289" i="11" s="1"/>
  <c r="B1290" i="11" s="1"/>
  <c r="B1291" i="11" s="1"/>
  <c r="B1292" i="11" s="1"/>
  <c r="B1293" i="11" s="1"/>
  <c r="B1294" i="11" s="1"/>
  <c r="B1295" i="11" s="1"/>
  <c r="B1296" i="11" s="1"/>
  <c r="B1297" i="11" s="1"/>
  <c r="B1298" i="11" s="1"/>
  <c r="B1299" i="11" s="1"/>
  <c r="B1300" i="11" s="1"/>
  <c r="B1301" i="11" s="1"/>
  <c r="B1302" i="11" s="1"/>
  <c r="B1303" i="11" s="1"/>
  <c r="B1304" i="11" s="1"/>
  <c r="B1305" i="11" s="1"/>
  <c r="B1306" i="11" s="1"/>
  <c r="B1307" i="11" s="1"/>
  <c r="B1308" i="11" s="1"/>
  <c r="B1309" i="11" s="1"/>
  <c r="B1310" i="11" s="1"/>
  <c r="B1311" i="11" s="1"/>
  <c r="B1312" i="11" s="1"/>
  <c r="B1313" i="11" s="1"/>
  <c r="B1314" i="11" s="1"/>
  <c r="B1315" i="11" s="1"/>
  <c r="B1316" i="11" s="1"/>
  <c r="B1317" i="11" s="1"/>
  <c r="B1318" i="11" s="1"/>
  <c r="B1319" i="11" s="1"/>
  <c r="B1320" i="11" s="1"/>
  <c r="B1321" i="11" s="1"/>
  <c r="B1322" i="11" s="1"/>
  <c r="B1323" i="11" s="1"/>
  <c r="B1324" i="11" s="1"/>
  <c r="B1325" i="11" s="1"/>
  <c r="B1326" i="11" s="1"/>
  <c r="B1327" i="11" s="1"/>
  <c r="B1328" i="11" s="1"/>
  <c r="B1329" i="11" s="1"/>
  <c r="B1330" i="11" s="1"/>
  <c r="B1331" i="11" s="1"/>
  <c r="B1332" i="11" s="1"/>
  <c r="B1333" i="11" s="1"/>
  <c r="B1334" i="11" s="1"/>
  <c r="B1335" i="11" s="1"/>
  <c r="B1336" i="11" s="1"/>
  <c r="B1337" i="11" s="1"/>
  <c r="B1338" i="11" s="1"/>
  <c r="B1339" i="11" s="1"/>
  <c r="B1340" i="11" s="1"/>
  <c r="B1341" i="11" s="1"/>
  <c r="B1342" i="11" s="1"/>
  <c r="B1343" i="11" s="1"/>
  <c r="B1344" i="11" s="1"/>
  <c r="B1345" i="11" s="1"/>
  <c r="B1346" i="11" s="1"/>
  <c r="B1347" i="11" s="1"/>
  <c r="B1348" i="11" s="1"/>
  <c r="B1349" i="11" s="1"/>
  <c r="B1350" i="11" s="1"/>
  <c r="B1351" i="11" s="1"/>
  <c r="B1352" i="11" s="1"/>
  <c r="B1353" i="11" s="1"/>
  <c r="B1354" i="11" s="1"/>
  <c r="B1355" i="11" s="1"/>
  <c r="B1356" i="11" s="1"/>
  <c r="B1357" i="11" s="1"/>
  <c r="B1358" i="11" s="1"/>
  <c r="B1359" i="11" s="1"/>
  <c r="B1360" i="11" s="1"/>
  <c r="B1361" i="11" s="1"/>
  <c r="B1362" i="11" s="1"/>
  <c r="B1363" i="11" s="1"/>
  <c r="B1364" i="11" s="1"/>
  <c r="B1365" i="11" s="1"/>
  <c r="B1366" i="11" s="1"/>
  <c r="B1367" i="11" s="1"/>
  <c r="B1368" i="11" s="1"/>
  <c r="B1369" i="11" s="1"/>
  <c r="B1370" i="11" s="1"/>
  <c r="B1371" i="11" s="1"/>
  <c r="B1372" i="11" s="1"/>
  <c r="B1373" i="11" s="1"/>
  <c r="B1374" i="11" s="1"/>
  <c r="B1375" i="11" s="1"/>
  <c r="B1376" i="11" s="1"/>
  <c r="B1377" i="11" s="1"/>
  <c r="I1385" i="11" s="1"/>
  <c r="C1385" i="11"/>
  <c r="C1386" i="11" s="1"/>
  <c r="J1385" i="11" l="1"/>
  <c r="K1385" i="11" s="1"/>
  <c r="L1385" i="11"/>
  <c r="I1386" i="11"/>
  <c r="B461" i="11"/>
  <c r="L1386" i="11" l="1"/>
  <c r="J1386" i="11"/>
  <c r="K1386" i="11" s="1"/>
  <c r="F1398" i="2" l="1"/>
  <c r="F1399" i="2"/>
  <c r="F1396" i="2" l="1"/>
  <c r="E1396" i="2" l="1"/>
  <c r="H1396" i="2" l="1"/>
  <c r="D1396" i="2"/>
  <c r="I1396" i="2"/>
  <c r="C1396" i="2"/>
  <c r="J1396" i="2" l="1"/>
  <c r="K1396" i="2" s="1"/>
  <c r="L1396" i="2"/>
  <c r="F1397" i="2" l="1"/>
  <c r="F1400" i="2" s="1"/>
  <c r="E1397" i="2"/>
  <c r="E1400" i="2" s="1"/>
  <c r="H1400" i="2" s="1"/>
  <c r="D1397" i="2" l="1"/>
  <c r="C1397" i="2"/>
  <c r="I1397" i="2"/>
  <c r="L1397" i="2" l="1"/>
  <c r="J1397" i="2"/>
  <c r="K1397" i="2" s="1"/>
  <c r="I1398" i="2"/>
  <c r="C1398" i="2"/>
  <c r="L1398" i="2" l="1"/>
  <c r="J1398" i="2"/>
  <c r="K1398" i="2" s="1"/>
  <c r="D1399" i="2"/>
  <c r="D1400" i="2" s="1"/>
  <c r="C1399" i="2"/>
  <c r="C1400" i="2" s="1"/>
  <c r="I1399" i="2"/>
  <c r="L1399" i="2" l="1"/>
  <c r="J1399" i="2"/>
  <c r="K1399" i="2" s="1"/>
  <c r="I1400" i="2"/>
  <c r="L1400" i="2" l="1"/>
  <c r="J1400" i="2"/>
  <c r="K1400" i="2" s="1"/>
  <c r="G137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tc={9D92DA3B-FE35-405C-AA1C-1FD32026B80E}</author>
    <author>tc={3667E1EF-ACE9-4174-8307-296009D714DE}</author>
    <author>tc={FBCB7BBE-3B15-460A-9BB4-8873C1F6D4F7}</author>
    <author>tc={DDDC1692-8FFC-4DF2-A0BE-604548FE3B83}</author>
    <author>tc={A23E69A8-5F15-4A7E-AF02-AC8BFCAFF498}</author>
    <author>tc={EA13A3A3-0EBC-4EFA-A57B-86DBEC224C5B}</author>
    <author>tc={01650094-8076-424C-81AD-E260FD475C2B}</author>
    <author>tc={70CB337F-27C0-4B42-A614-334D8A320C08}</author>
    <author>tc={C6E0CD86-091E-4E14-9A91-5A1F76F4AF05}</author>
    <author>tc={473628E9-FE7C-4AFE-B5CD-7339404AE6F7}</author>
    <author>tc={8765C8C8-715F-49D6-B1B8-568A1AEFCF5C}</author>
    <author>tc={B807E533-3D94-4670-89F1-4FFCACEFD18B}</author>
    <author>tc={8A875F63-A64E-420B-AEFC-0F74F6A94EF4}</author>
    <author>tc={6808E486-9D9F-4674-92AB-6290147F5ABB}</author>
    <author>tc={775DAAD5-3753-41DB-ABE1-02F95D9CCBF4}</author>
    <author>tc={7A1E655E-5424-4B2C-8EA7-68525EFE0BF9}</author>
    <author>tc={6C41C8BE-D12B-4CE7-A82F-93FD1A73D6B1}</author>
    <author>tc={B31175DB-BC5A-42E0-AA13-4DF917A9BA69}</author>
    <author>tc={11BAE35C-7B33-465D-91EB-D3AFD7D6C34D}</author>
    <author>tc={30ACE983-44E4-4CC4-85BF-75C9A4DE3A60}</author>
  </authors>
  <commentList>
    <comment ref="H10" authorId="0" shapeId="0" xr:uid="{9D92DA3B-FE35-405C-AA1C-1FD32026B80E}">
      <text>
        <t>[Threaded comment]
Your version of Excel allows you to read this threaded comment; however, any edits to it will get removed if the file is opened in a newer version of Excel. Learn more: https://go.microsoft.com/fwlink/?linkid=870924
Comment:
    Alterado de 46 para 22 conforme atualização informada pela EPB</t>
      </text>
    </comment>
    <comment ref="H12" authorId="1" shapeId="0" xr:uid="{3667E1EF-ACE9-4174-8307-296009D714DE}">
      <text>
        <t>[Threaded comment]
Your version of Excel allows you to read this threaded comment; however, any edits to it will get removed if the file is opened in a newer version of Excel. Learn more: https://go.microsoft.com/fwlink/?linkid=870924
Comment:
    Alterado de 83 para 87 conforme atualização enviada pela EPB</t>
      </text>
    </comment>
    <comment ref="L22" authorId="2" shapeId="0" xr:uid="{FBCB7BBE-3B15-460A-9BB4-8873C1F6D4F7}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validação do marlon a respeito da inexistencia desses equipamentos.</t>
      </text>
    </comment>
    <comment ref="E42" authorId="3" shapeId="0" xr:uid="{DDDC1692-8FFC-4DF2-A0BE-604548FE3B83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Informado pelo Ricardo Ferreira 33 laudos 25/09/25</t>
      </text>
    </comment>
    <comment ref="I42" authorId="4" shapeId="0" xr:uid="{A23E69A8-5F15-4A7E-AF02-AC8BFCAFF498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Informado pelo Ricardo Ferreira 5 laudos em 25/09/25</t>
      </text>
    </comment>
    <comment ref="B45" authorId="5" shapeId="0" xr:uid="{EA13A3A3-0EBC-4EFA-A57B-86DBEC224C5B}">
      <text>
        <t>[Threaded comment]
Your version of Excel allows you to read this threaded comment; however, any edits to it will get removed if the file is opened in a newer version of Excel. Learn more: https://go.microsoft.com/fwlink/?linkid=870924
Comment:
    TSA - 127, CO - 124</t>
      </text>
    </comment>
    <comment ref="D45" authorId="6" shapeId="0" xr:uid="{01650094-8076-424C-81AD-E260FD475C2B}">
      <text>
        <t>[Threaded comment]
Your version of Excel allows you to read this threaded comment; however, any edits to it will get removed if the file is opened in a newer version of Excel. Learn more: https://go.microsoft.com/fwlink/?linkid=870924
Comment:
    Substituído no plano de troca de selados</t>
      </text>
    </comment>
    <comment ref="F45" authorId="7" shapeId="0" xr:uid="{70CB337F-27C0-4B42-A614-334D8A320C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9 TSAs substituidos no plano de Selados até 31/08/25
</t>
      </text>
    </comment>
    <comment ref="L45" authorId="8" shapeId="0" xr:uid="{C6E0CD86-091E-4E14-9A91-5A1F76F4AF05}">
      <text>
        <t>[Threaded comment]
Your version of Excel allows you to read this threaded comment; however, any edits to it will get removed if the file is opened in a newer version of Excel. Learn more: https://go.microsoft.com/fwlink/?linkid=870924
Comment:
    Quantidade atualizada pela Thamara
28 - são Chaves Faca
96 - chaves a óleo, dessas, 80 tem pontos identificados visualmente (Maps). As demais não foram identificadas.</t>
      </text>
    </comment>
    <comment ref="L55" authorId="9" shapeId="0" xr:uid="{473628E9-FE7C-4AFE-B5CD-7339404AE6F7}">
      <text>
        <t>[Threaded comment]
Your version of Excel allows you to read this threaded comment; however, any edits to it will get removed if the file is opened in a newer version of Excel. Learn more: https://go.microsoft.com/fwlink/?linkid=870924
Comment:
    Atualizado devido a cruzamento de dados utilizando o local de instalação do equipamento e dados levantados na revisão tarifária.
Restam 29 para visitação em campo para verificar a existência de placa de identificação.</t>
      </text>
    </comment>
    <comment ref="B56" authorId="10" shapeId="0" xr:uid="{8765C8C8-715F-49D6-B1B8-568A1AEFCF5C}">
      <text>
        <t>[Threaded comment]
Your version of Excel allows you to read this threaded comment; however, any edits to it will get removed if the file is opened in a newer version of Excel. Learn more: https://go.microsoft.com/fwlink/?linkid=870924
Comment:
    97 TSA</t>
      </text>
    </comment>
    <comment ref="J66" authorId="11" shapeId="0" xr:uid="{B807E533-3D94-4670-89F1-4FFCACEFD18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Pendente de evidência da sub-familia - 25/09/25 - Solicitado a Geovanna</t>
      </text>
    </comment>
    <comment ref="B67" authorId="12" shapeId="0" xr:uid="{8A875F63-A64E-420B-AEFC-0F74F6A94EF4}">
      <text>
        <t>[Threaded comment]
Your version of Excel allows you to read this threaded comment; however, any edits to it will get removed if the file is opened in a newer version of Excel. Learn more: https://go.microsoft.com/fwlink/?linkid=870924
Comment:
    81 TSA</t>
      </text>
    </comment>
    <comment ref="J67" authorId="13" shapeId="0" xr:uid="{6808E486-9D9F-4674-92AB-6290147F5AB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Reportado 4 TSAs com placas de identificação "Isento PCB" 26/09</t>
      </text>
    </comment>
    <comment ref="J76" authorId="14" shapeId="0" xr:uid="{775DAAD5-3753-41DB-ABE1-02F95D9CCB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Reportado 14 coletas em religadores</t>
      </text>
    </comment>
    <comment ref="J77" authorId="15" shapeId="0" xr:uid="{7A1E655E-5424-4B2C-8EA7-68525EFE0B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14 testes reportado em setembro
</t>
      </text>
    </comment>
    <comment ref="C78" authorId="16" shapeId="0" xr:uid="{6C41C8BE-D12B-4CE7-A82F-93FD1A73D6B1}">
      <text>
        <t>[Threaded comment]
Your version of Excel allows you to read this threaded comment; however, any edits to it will get removed if the file is opened in a newer version of Excel. Learn more: https://go.microsoft.com/fwlink/?linkid=870924
Comment:
    22 TSA</t>
      </text>
    </comment>
    <comment ref="G78" authorId="17" shapeId="0" xr:uid="{B31175DB-BC5A-42E0-AA13-4DF917A9BA69}">
      <text>
        <t>[Threaded comment]
Your version of Excel allows you to read this threaded comment; however, any edits to it will get removed if the file is opened in a newer version of Excel. Learn more: https://go.microsoft.com/fwlink/?linkid=870924
Comment:
    188 TSA</t>
      </text>
    </comment>
    <comment ref="J78" authorId="18" shapeId="0" xr:uid="{11BAE35C-7B33-465D-91EB-D3AFD7D6C3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Reportado 47 testes, dentre esses, 21 são fotos de placa com "isento PCB"</t>
      </text>
    </comment>
    <comment ref="F89" authorId="19" shapeId="0" xr:uid="{30ACE983-44E4-4CC4-85BF-75C9A4DE3A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Reportado 12 testes, totalizando106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tc={D962BB5E-6B3C-4E46-9C45-016A34DE1232}</author>
  </authors>
  <commentList>
    <comment ref="L59" authorId="0" shapeId="0" xr:uid="{D962BB5E-6B3C-4E46-9C45-016A34DE12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Resultados &lt;2 são apresentados como zero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tc={89919670-1CD4-43FB-8C34-3A2939E4A6FD}</author>
  </authors>
  <commentList>
    <comment ref="K59" authorId="0" shapeId="0" xr:uid="{89919670-1CD4-43FB-8C34-3A2939E4A6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Resultados &lt;2 são apresentados como zero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tc={DCDC9F46-027B-4F81-A448-CCCFA1F1EA6A}</author>
  </authors>
  <commentList>
    <comment ref="K59" authorId="0" shapeId="0" xr:uid="{DCDC9F46-027B-4F81-A448-CCCFA1F1EA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Resultados &lt;2 são apresentados como zero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tc={BD62D81B-59AE-4411-8F93-4AA8E05D703E}</author>
  </authors>
  <commentList>
    <comment ref="K59" authorId="0" shapeId="0" xr:uid="{BD62D81B-59AE-4411-8F93-4AA8E05D70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Resultados &lt;2 são apresentados como zero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tc={5E360E93-E53B-4744-9671-112C2953710B}</author>
  </authors>
  <commentList>
    <comment ref="K59" authorId="0" shapeId="0" xr:uid="{5E360E93-E53B-4744-9671-112C29537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Resultados &lt;2 são apresentados como zero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tc={D730218D-9FFC-4B2E-924F-1F059FC1AF16}</author>
  </authors>
  <commentList>
    <comment ref="K59" authorId="0" shapeId="0" xr:uid="{D730218D-9FFC-4B2E-924F-1F059FC1AF16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Resultados &lt;2 são apresentados como zero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tc={D52D0882-0125-4501-934D-2B84EAE8F9E3}</author>
    <author>tc={242FD81C-7E1E-48DA-9A20-2D99FAF761AE}</author>
  </authors>
  <commentList>
    <comment ref="K59" authorId="0" shapeId="0" xr:uid="{D52D0882-0125-4501-934D-2B84EAE8F9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Resultados &lt;2 são apresentados como zero</t>
      </text>
    </comment>
    <comment ref="I1374" authorId="1" shapeId="0" xr:uid="{242FD81C-7E1E-48DA-9A20-2D99FAF761AE}">
      <text>
        <t>[Threaded comment]
Your version of Excel allows you to read this threaded comment; however, any edits to it will get removed if the file is opened in a newer version of Excel. Learn more: https://go.microsoft.com/fwlink/?linkid=870924
Comment:
    sem oléo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tc={4FF85E74-0EAD-4EDA-9A72-C44F25D1C7B4}</author>
    <author>tc={722CBE8E-1AB0-46A8-9B16-83434ED0B6C3}</author>
    <author>tc={6B39CEF3-67F8-45D1-885B-E82B9FFFE22A}</author>
    <author>tc={9678D6A6-43D8-4191-97B4-A8A3EBA90497}</author>
    <author>tc={2ED1026D-FD0C-4483-8CA4-C2B357857AEF}</author>
    <author>tc={F24A49CD-412D-470E-B487-FE21EA91C3C6}</author>
  </authors>
  <commentList>
    <comment ref="K19" authorId="0" shapeId="0" xr:uid="{4FF85E74-0EAD-4EDA-9A72-C44F25D1C7B4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indica o valor real do teste, indica que é não contaminado &lt;50</t>
      </text>
    </comment>
    <comment ref="K21" authorId="1" shapeId="0" xr:uid="{722CBE8E-1AB0-46A8-9B16-83434ED0B6C3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indica o valor real do teste, indica que é Contaminado &gt;50</t>
      </text>
    </comment>
    <comment ref="K25" authorId="2" shapeId="0" xr:uid="{6B39CEF3-67F8-45D1-885B-E82B9FFFE22A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indica o valor real do teste, indica que é não Contaminado,&lt;50</t>
      </text>
    </comment>
    <comment ref="K40" authorId="3" shapeId="0" xr:uid="{9678D6A6-43D8-4191-97B4-A8A3EBA904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Resultado &lt;2</t>
      </text>
    </comment>
    <comment ref="K60" authorId="4" shapeId="0" xr:uid="{2ED1026D-FD0C-4483-8CA4-C2B357857A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Resultados &lt;2 são apresentados como zero</t>
      </text>
    </comment>
    <comment ref="K71" authorId="5" shapeId="0" xr:uid="{F24A49CD-412D-470E-B487-FE21EA91C3C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Considerado não contaminado, o valor do resultado não reflete o PPM real.
Reply:
    Considerado &lt;50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tc={7A93DA3F-D7DF-46C8-8CC7-4D93B3CF2186}</author>
  </authors>
  <commentList>
    <comment ref="K32" authorId="0" shapeId="0" xr:uid="{7A93DA3F-D7DF-46C8-8CC7-4D93B3CF21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Resultados &lt;2 são apresentados como zero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tc={B5829A3C-8A36-4097-8BD5-EB6F5E8B0415}</author>
    <author>tc={24220D88-2DEC-48BA-9ECC-178BC9391DEC}</author>
    <author>tc={9F8598A4-EF70-469F-8D17-3A7BCF8CD041}</author>
    <author>tc={A9B05AE4-A8E9-474E-8FF6-47671E495E97}</author>
  </authors>
  <commentList>
    <comment ref="J10" authorId="0" shapeId="0" xr:uid="{B5829A3C-8A36-4097-8BD5-EB6F5E8B04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sem óleo </t>
      </text>
    </comment>
    <comment ref="J12" authorId="1" shapeId="0" xr:uid="{24220D88-2DEC-48BA-9ECC-178BC9391D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sem óleo </t>
      </text>
    </comment>
    <comment ref="J25" authorId="2" shapeId="0" xr:uid="{9F8598A4-EF70-469F-8D17-3A7BCF8CD0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sem óleo </t>
      </text>
    </comment>
    <comment ref="J29" authorId="3" shapeId="0" xr:uid="{A9B05AE4-A8E9-474E-8FF6-47671E495E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sem óleo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<sst xmlns="http://schemas.openxmlformats.org/spreadsheetml/2006/main" count="19982" uniqueCount="1170">
  <si>
    <t>ATULAIZAÇÃO DE INVENTÁRIO EPPs - DEMAIS EQUIPAMENTOS</t>
  </si>
  <si>
    <t>EPB</t>
  </si>
  <si>
    <t>FAMÍLIA</t>
  </si>
  <si>
    <t>SUB-FAMÍLIAS</t>
  </si>
  <si>
    <t>TOTAIS</t>
  </si>
  <si>
    <t>OBSERVAÇÕES</t>
  </si>
  <si>
    <t>Avanço 24</t>
  </si>
  <si>
    <t>Avanço 25</t>
  </si>
  <si>
    <t>Até 1988</t>
  </si>
  <si>
    <t>Após 1988</t>
  </si>
  <si>
    <t>Sem Info.</t>
  </si>
  <si>
    <t>Previsto</t>
  </si>
  <si>
    <t>Atualiz.</t>
  </si>
  <si>
    <t>Real. 24</t>
  </si>
  <si>
    <t>Real. 25</t>
  </si>
  <si>
    <t>Previstos</t>
  </si>
  <si>
    <t>T. Consid.</t>
  </si>
  <si>
    <t>Fal. Teste</t>
  </si>
  <si>
    <t>Avanço</t>
  </si>
  <si>
    <t>O número do inventário foi alterado para 343. Estamos aguardando a EPB identificar de que família foi abatido.</t>
  </si>
  <si>
    <t>Transformador de rede subterrânea</t>
  </si>
  <si>
    <t>Disjuntores com extinção de arco em OMI (PVO e GVO)</t>
  </si>
  <si>
    <t>Religadores</t>
  </si>
  <si>
    <t>Reguladores de tensão de rede</t>
  </si>
  <si>
    <t>Outros equipamentos de pequeno porte e/ou rede</t>
  </si>
  <si>
    <t>ESE</t>
  </si>
  <si>
    <t>1 - o Marlon da informou que não existe na base de ativos da empresa RT sem informação de data. Foi solicitado que o mesmo enviasse descritivo nos informando o nmero a considerar. 2 - Foi informado que todos os Religadores instalados no parque são a vácuo e não existe em sua base equipamentos a óleo.</t>
  </si>
  <si>
    <t>EMR</t>
  </si>
  <si>
    <t>EMS</t>
  </si>
  <si>
    <t>1 - Correção em cadastro para transformadores de RD subterrânea;        
2 - Utilização de laudos obtidos pela ITB (313) para reguladores;               
3 - Foram realizados 105 testes de TSAs usando testes rápidos em 2024.   
4 - dos 124 OE ( chaves a Oleo), 28 já foram substituidas por CF. 80 realmente são CO e precisam ser identificadase testadas.
A EMS substituiu os 14 TSAs anteriores a 88. Precisamos pegar documento comprovando</t>
  </si>
  <si>
    <t>ETO</t>
  </si>
  <si>
    <t>1 - Foram considerados 215 laudos/testes via documentação emitida pela ITB.                                                                                                                                                                                              2 - no item "RT Sem Data" foram reclassificados 97 para "RT Após 1988" por compravar a existência de identificação.
3 - 42 TSAs coletados em ago/25. Aguardando resultados</t>
  </si>
  <si>
    <t>ERO</t>
  </si>
  <si>
    <t>Possui planejamento até o final do ano, está com dificuldade em TSAs</t>
  </si>
  <si>
    <t>EMT</t>
  </si>
  <si>
    <t>2 - DCMD tem entrega de laudos de reguladores prevista para essa semana(22 - 26). 
 3 - Na Guia OE, foram abatidos 30 TSAs via declaração do fabricante. Foi solicitado fotos de placa para compor documentação. 
4 - Foram realizadas 145 coletas em Religadores (DMSL), aguardando envio ao lab (12/09)</t>
  </si>
  <si>
    <t>ESS</t>
  </si>
  <si>
    <t>Outros equipamentos de pequeno porte e/ou rede (TSA e CO)</t>
  </si>
  <si>
    <t>EAC</t>
  </si>
  <si>
    <t>GRUPO</t>
  </si>
  <si>
    <t>Exec. 24</t>
  </si>
  <si>
    <t>Exec. 25</t>
  </si>
  <si>
    <t>Exec total</t>
  </si>
  <si>
    <t>Pendentes</t>
  </si>
  <si>
    <t>Atualização cadastral das famílias, análise de fotos de placa e coleta de laudos com fabricantes aumentou de 57% para 73% o avanço do inventário.</t>
  </si>
  <si>
    <t>Informações</t>
  </si>
  <si>
    <t>Linkagem do laudo</t>
  </si>
  <si>
    <t>Informações de Testes Realizados</t>
  </si>
  <si>
    <t>ID</t>
  </si>
  <si>
    <t>Sub-Família</t>
  </si>
  <si>
    <t>Descrição</t>
  </si>
  <si>
    <t>N. Série</t>
  </si>
  <si>
    <t>Tombamento</t>
  </si>
  <si>
    <t>Ano de Fabricação</t>
  </si>
  <si>
    <t>N. Operativo</t>
  </si>
  <si>
    <t>Data Análise</t>
  </si>
  <si>
    <t>Tipo Análise</t>
  </si>
  <si>
    <t>Resultado</t>
  </si>
  <si>
    <t>Evidência de Teste</t>
  </si>
  <si>
    <t>Totais</t>
  </si>
  <si>
    <t>Equipamentos</t>
  </si>
  <si>
    <t>Isentos</t>
  </si>
  <si>
    <t>Não Contaminados</t>
  </si>
  <si>
    <t>Contaminados</t>
  </si>
  <si>
    <t>PCB</t>
  </si>
  <si>
    <t>Testes Realizados</t>
  </si>
  <si>
    <t>Tx. Contaminação</t>
  </si>
  <si>
    <t>Meta Manual</t>
  </si>
  <si>
    <t>Avanço Meta Manual</t>
  </si>
  <si>
    <t>Sem Info</t>
  </si>
  <si>
    <t>REGULADOR DE TENSÃO 36KV/200kVA</t>
  </si>
  <si>
    <t>1010003088400-2</t>
  </si>
  <si>
    <t>Cromatográfica</t>
  </si>
  <si>
    <t>100/2024</t>
  </si>
  <si>
    <t>1010004004400-1</t>
  </si>
  <si>
    <t>115/2024</t>
  </si>
  <si>
    <t>1010004004400-2</t>
  </si>
  <si>
    <t>116/2024</t>
  </si>
  <si>
    <t>1010004004400-3</t>
  </si>
  <si>
    <t>114/2024</t>
  </si>
  <si>
    <t>111/2024</t>
  </si>
  <si>
    <t>112/2024</t>
  </si>
  <si>
    <t>113/2024</t>
  </si>
  <si>
    <t>REGULADOR DE TENSÃO 36KV/400kVA</t>
  </si>
  <si>
    <t>70/2024</t>
  </si>
  <si>
    <t>REGULADOR DE TENSÃO 15KV/276kVA</t>
  </si>
  <si>
    <t>102/2024</t>
  </si>
  <si>
    <t>104/2024</t>
  </si>
  <si>
    <t>103/2024</t>
  </si>
  <si>
    <t>117/2024</t>
  </si>
  <si>
    <t>118/2024</t>
  </si>
  <si>
    <t>REGULADOR DE TENSÃO 15KV/138kVA</t>
  </si>
  <si>
    <t>109/2024</t>
  </si>
  <si>
    <t>REGULADOR DE TENSÃO 36KV/398kVA</t>
  </si>
  <si>
    <t>119/2024</t>
  </si>
  <si>
    <t>107/2024</t>
  </si>
  <si>
    <t>120/2024</t>
  </si>
  <si>
    <t>121/2024</t>
  </si>
  <si>
    <t>106/2024</t>
  </si>
  <si>
    <t>98/2024</t>
  </si>
  <si>
    <t>75/2024</t>
  </si>
  <si>
    <t>72/2024</t>
  </si>
  <si>
    <t>122/2024</t>
  </si>
  <si>
    <t>76/2024</t>
  </si>
  <si>
    <t>99/2024</t>
  </si>
  <si>
    <t>3374604821-9</t>
  </si>
  <si>
    <t>SEM DATA</t>
  </si>
  <si>
    <t>101/2024</t>
  </si>
  <si>
    <t>33746048214-9</t>
  </si>
  <si>
    <t>110/2024</t>
  </si>
  <si>
    <t>73/2024</t>
  </si>
  <si>
    <t>78/2024</t>
  </si>
  <si>
    <t>74/2024</t>
  </si>
  <si>
    <t>79/2024</t>
  </si>
  <si>
    <t>REG040/2024</t>
  </si>
  <si>
    <t>108/2024</t>
  </si>
  <si>
    <t>E07100</t>
  </si>
  <si>
    <t>71/2024</t>
  </si>
  <si>
    <t>F04175</t>
  </si>
  <si>
    <t>105/2024</t>
  </si>
  <si>
    <t>F13126</t>
  </si>
  <si>
    <t>77/2024</t>
  </si>
  <si>
    <t>TRANSF DISTR AEREO OLEO M/V 34,5KV 220V 15KVA TRIF CV</t>
  </si>
  <si>
    <t>TRANSF DISTR AEREO OLEO M/V 7,967KV 254V 15KVA 1F F/N CV</t>
  </si>
  <si>
    <t>cromatografica</t>
  </si>
  <si>
    <t>TRANSF DISTR AEREO OLEO M/V 19,9KV 254V 25KVA 1F F/N CV</t>
  </si>
  <si>
    <t>TRANSF DISTR AEREO OLEO M/V 13,8KV 220V 15KVA TRIF CV</t>
  </si>
  <si>
    <t>TRAFO DST 3F 15KVA-TERC</t>
  </si>
  <si>
    <t>TRAFO DST 3F 30KVA-TERC</t>
  </si>
  <si>
    <t>TRAFO DST 2F 15KVA-TERC</t>
  </si>
  <si>
    <t>TRAFO DST 3F 45KVA-TERC</t>
  </si>
  <si>
    <t>TRAFO DST 3F 75KVA-TERC</t>
  </si>
  <si>
    <t>TRANSF DISTR AEREO OLEO M/V 13,8KV 220V 30KVA TRIF CV</t>
  </si>
  <si>
    <t>TRANSF DISTR AEREO OLEO M/V 34,5KV 220V 75KVA TRIF CV</t>
  </si>
  <si>
    <t>TRANSF DISTR AEREO OLEO M/V 13,8KV 220V 112,5KVA TRIF CV</t>
  </si>
  <si>
    <t>TRANSF DISTR AEREO OLEO M/V 34,5KV 220V 30KVA TRIF CV</t>
  </si>
  <si>
    <t>TRANSF DISTR AEREO OLEO M/V 13,8KV 220V 75KVA TRIF CV</t>
  </si>
  <si>
    <t>TRANSF DISTR AEREO OLEO M/V 19,9KV 254V 15KVA 1F F/N CV</t>
  </si>
  <si>
    <t>TRANSF DIS FF 15KVA-15KV-254/127-R S</t>
  </si>
  <si>
    <t>TRANSF DISTR AEREO OLEO M/V 13,8KV 220V 45KVA TRIF CV</t>
  </si>
  <si>
    <t>TRANSF DISTR AEREO OLEO M/V 7,967KV 254V 25KVA 1F F/N CV</t>
  </si>
  <si>
    <t>TRANSF DISTR AER OMI 3F 22,0KV 220/127V 30KVA CL2</t>
  </si>
  <si>
    <t>TRANSF DIS FF 15KVA-36,2KV-254/127V-T</t>
  </si>
  <si>
    <t>TRANSF DISTR AEREO OLEO M/V 19,9KV 254V 10KVA 1F F/N CV</t>
  </si>
  <si>
    <t>TRANSF DISTR AEREO OLEO M/V 7,967KV 254V 10KVA 1F F/N CV</t>
  </si>
  <si>
    <t>64257p</t>
  </si>
  <si>
    <t>TRANSF DISTR AEREO OLEO M/V 34,5KV 220V 112,5KVA TRIF CV</t>
  </si>
  <si>
    <t>TRANSF DISTR AEREO OLEO M/V 7,967KV 230V 10KVA 1F F/N CV</t>
  </si>
  <si>
    <t>C08114</t>
  </si>
  <si>
    <t>A790213117</t>
  </si>
  <si>
    <t>TRANSF DISTR AEREO OLEO M/V 34,5KV 220V 45KVA TRIF CV</t>
  </si>
  <si>
    <t>TRANSF DISTR AEREO OLEO M/V 13,8KV 220V 225KVA TRIF CV</t>
  </si>
  <si>
    <t>TRANSF DISTR AEREO OLEO M/V 7,967KV 230V 15KVA 1F F/N CV</t>
  </si>
  <si>
    <t>TRANSF DISTR AEREO OLEO</t>
  </si>
  <si>
    <t xml:space="preserve">        </t>
  </si>
  <si>
    <t>01829-S</t>
  </si>
  <si>
    <t>06467</t>
  </si>
  <si>
    <t>0171</t>
  </si>
  <si>
    <t>1988</t>
  </si>
  <si>
    <t>1986</t>
  </si>
  <si>
    <t>1987</t>
  </si>
  <si>
    <t>1984</t>
  </si>
  <si>
    <t>1982</t>
  </si>
  <si>
    <t>69348A</t>
  </si>
  <si>
    <t>51621A</t>
  </si>
  <si>
    <t>Total Até 1988</t>
  </si>
  <si>
    <t>TRAFO DST 3F 112,5KVA-TERC</t>
  </si>
  <si>
    <t>TRAFO DST 2F 10KVA-TERC</t>
  </si>
  <si>
    <t>TRANSF M/V 13,8KV 220V 45KVA TRIF</t>
  </si>
  <si>
    <t>SUCATA TRANSFORM. C/ NUCLEO</t>
  </si>
  <si>
    <t>TF D 1F FF 15KV 10KVA 254 127V AS 7T IEN</t>
  </si>
  <si>
    <t>TRANSF DISTR AEREO OLEO M/V 7,967KV 254V 5KVA 1F F/N CV</t>
  </si>
  <si>
    <t> </t>
  </si>
  <si>
    <t>TRANSF DISTR AEREO 7,967KV 254V 5KVA 1F F/N</t>
  </si>
  <si>
    <t>Total Após 1988</t>
  </si>
  <si>
    <t>Reformados</t>
  </si>
  <si>
    <t>cromatográfica</t>
  </si>
  <si>
    <t>TRANSF. 3F 34,5KV 220/127V 75KVA</t>
  </si>
  <si>
    <t>-</t>
  </si>
  <si>
    <t>TRANSF.3F 13,8KV 220/127V 30KVA</t>
  </si>
  <si>
    <t>TRANSF. 1F 19,919KV 254/127V 15KVA</t>
  </si>
  <si>
    <t>TRAFO DST 2F 25KVA-TERC</t>
  </si>
  <si>
    <t>TRANSF. 3F 13,8KV 220/127V 75KVA</t>
  </si>
  <si>
    <t>TRANSF. M/V 13,8KV 220V 15KVA TRIF</t>
  </si>
  <si>
    <t>TRANSF. M/V 34,5KV 220V 75KVA TRIF</t>
  </si>
  <si>
    <t>TRANSF. M/V 19,9KV 254V 15KVA 1F F/N</t>
  </si>
  <si>
    <t>TRANSF. M/V 13,8KV 220V 45KVA TRIF</t>
  </si>
  <si>
    <t>TRANSF. M/V 13,8KV 220V 30KVA TRIF</t>
  </si>
  <si>
    <t>TRANSF. 3F 13,8KV 220/127V 45KVA</t>
  </si>
  <si>
    <t>TRANSF. 3F 13,8KV 220/127V 15KVA</t>
  </si>
  <si>
    <t>Total Refo.</t>
  </si>
  <si>
    <t>TRAFO DST 2F 5KVA-TERC</t>
  </si>
  <si>
    <t>TRAFO DST 1F 15KVA-TERC</t>
  </si>
  <si>
    <t>TRAFO DST 1F 10KVA-TERC</t>
  </si>
  <si>
    <t>Total Sem Inf.</t>
  </si>
  <si>
    <t>Total</t>
  </si>
  <si>
    <t>Sem descrição</t>
  </si>
  <si>
    <t>&lt; 2</t>
  </si>
  <si>
    <t>04124-5</t>
  </si>
  <si>
    <t>&lt;2</t>
  </si>
  <si>
    <t>62041-P</t>
  </si>
  <si>
    <t>B3243782</t>
  </si>
  <si>
    <t>A21914</t>
  </si>
  <si>
    <t>Até 1988 Contagem</t>
  </si>
  <si>
    <t>A88358</t>
  </si>
  <si>
    <t>A22127</t>
  </si>
  <si>
    <t>A77142</t>
  </si>
  <si>
    <t>B152943</t>
  </si>
  <si>
    <t>A22142</t>
  </si>
  <si>
    <t>A88795</t>
  </si>
  <si>
    <t>X23112</t>
  </si>
  <si>
    <t>X24326</t>
  </si>
  <si>
    <t>A88425</t>
  </si>
  <si>
    <t>Y40089</t>
  </si>
  <si>
    <t>X24760</t>
  </si>
  <si>
    <t>A60320</t>
  </si>
  <si>
    <t>X22734</t>
  </si>
  <si>
    <t>A45464</t>
  </si>
  <si>
    <t>A120473</t>
  </si>
  <si>
    <t>A22527</t>
  </si>
  <si>
    <t>A76601</t>
  </si>
  <si>
    <t>X24354</t>
  </si>
  <si>
    <t>X24328</t>
  </si>
  <si>
    <t>X23746</t>
  </si>
  <si>
    <t>A21261</t>
  </si>
  <si>
    <t>A150354</t>
  </si>
  <si>
    <t>Y40192</t>
  </si>
  <si>
    <t>A121254</t>
  </si>
  <si>
    <t>A37788</t>
  </si>
  <si>
    <t>CR063224</t>
  </si>
  <si>
    <t>A77308</t>
  </si>
  <si>
    <t>X42651</t>
  </si>
  <si>
    <t>A30295</t>
  </si>
  <si>
    <t>A77307</t>
  </si>
  <si>
    <t>A76738</t>
  </si>
  <si>
    <t>X33538</t>
  </si>
  <si>
    <t>A119132</t>
  </si>
  <si>
    <t>A21071</t>
  </si>
  <si>
    <t>A37475</t>
  </si>
  <si>
    <t>X24150</t>
  </si>
  <si>
    <t>A38532</t>
  </si>
  <si>
    <t>X22913</t>
  </si>
  <si>
    <t>X33620</t>
  </si>
  <si>
    <t>Y43590</t>
  </si>
  <si>
    <t>G64599</t>
  </si>
  <si>
    <t>H111072</t>
  </si>
  <si>
    <t>H94033</t>
  </si>
  <si>
    <t>A150321</t>
  </si>
  <si>
    <t>A26459</t>
  </si>
  <si>
    <t>A100095</t>
  </si>
  <si>
    <t>X31999</t>
  </si>
  <si>
    <t>A17018</t>
  </si>
  <si>
    <t>A119777</t>
  </si>
  <si>
    <t>Y44802</t>
  </si>
  <si>
    <t>X22968</t>
  </si>
  <si>
    <t>Após 1988 Contagem</t>
  </si>
  <si>
    <t>Y42048</t>
  </si>
  <si>
    <t>CR052337</t>
  </si>
  <si>
    <t>A21177</t>
  </si>
  <si>
    <t>CR041135</t>
  </si>
  <si>
    <t>A70553</t>
  </si>
  <si>
    <t>A85293</t>
  </si>
  <si>
    <t>X227428</t>
  </si>
  <si>
    <t>F51449</t>
  </si>
  <si>
    <t>F47586</t>
  </si>
  <si>
    <t>X23747</t>
  </si>
  <si>
    <t>X25549</t>
  </si>
  <si>
    <t>CR052457</t>
  </si>
  <si>
    <t>Y40922</t>
  </si>
  <si>
    <t>A21561</t>
  </si>
  <si>
    <t>Y40869</t>
  </si>
  <si>
    <t>CR052300</t>
  </si>
  <si>
    <t>CR63220</t>
  </si>
  <si>
    <t>P35455</t>
  </si>
  <si>
    <t>C33116</t>
  </si>
  <si>
    <t>G135745</t>
  </si>
  <si>
    <t>X22273</t>
  </si>
  <si>
    <t>B157379</t>
  </si>
  <si>
    <t>C33118</t>
  </si>
  <si>
    <t>G019703</t>
  </si>
  <si>
    <t>G87423</t>
  </si>
  <si>
    <t>3/0006</t>
  </si>
  <si>
    <t>A21170</t>
  </si>
  <si>
    <t>A60332</t>
  </si>
  <si>
    <t>X22816</t>
  </si>
  <si>
    <t>Y38825</t>
  </si>
  <si>
    <t>Y39424</t>
  </si>
  <si>
    <t>Y38880</t>
  </si>
  <si>
    <t>X26651</t>
  </si>
  <si>
    <t>X33491</t>
  </si>
  <si>
    <t>X22684</t>
  </si>
  <si>
    <t>L16064</t>
  </si>
  <si>
    <t>F120772</t>
  </si>
  <si>
    <t>B23360</t>
  </si>
  <si>
    <t>A88331</t>
  </si>
  <si>
    <t>G366068</t>
  </si>
  <si>
    <t>Reformados Contagem</t>
  </si>
  <si>
    <t>A48849</t>
  </si>
  <si>
    <t>X22364</t>
  </si>
  <si>
    <t>A22124</t>
  </si>
  <si>
    <t>A22159</t>
  </si>
  <si>
    <t>A24156</t>
  </si>
  <si>
    <t>P34009</t>
  </si>
  <si>
    <t>A38153</t>
  </si>
  <si>
    <t>A156670</t>
  </si>
  <si>
    <t>B32552</t>
  </si>
  <si>
    <t>Y40065</t>
  </si>
  <si>
    <t>A231552</t>
  </si>
  <si>
    <t>A21923</t>
  </si>
  <si>
    <t>X22521</t>
  </si>
  <si>
    <t>X25545</t>
  </si>
  <si>
    <t>D2946</t>
  </si>
  <si>
    <t>A88308</t>
  </si>
  <si>
    <t>G100196</t>
  </si>
  <si>
    <t>Sem Info Contagem</t>
  </si>
  <si>
    <t>Contagem Geral</t>
  </si>
  <si>
    <t>TRANSF DISTR AEREO OLEO M/V 19,9KV 254V 5KVA 1F F/N CV</t>
  </si>
  <si>
    <t>52S</t>
  </si>
  <si>
    <t>59935P</t>
  </si>
  <si>
    <t>48503A</t>
  </si>
  <si>
    <t>78874A</t>
  </si>
  <si>
    <t>18348n</t>
  </si>
  <si>
    <t>79235A</t>
  </si>
  <si>
    <t>44105A</t>
  </si>
  <si>
    <t>79649A</t>
  </si>
  <si>
    <t>9408N</t>
  </si>
  <si>
    <t>57668P</t>
  </si>
  <si>
    <t>D3535</t>
  </si>
  <si>
    <t>48430A</t>
  </si>
  <si>
    <t>55831P</t>
  </si>
  <si>
    <t>78885A</t>
  </si>
  <si>
    <t>40710A</t>
  </si>
  <si>
    <t>09544N</t>
  </si>
  <si>
    <t>79271A</t>
  </si>
  <si>
    <t>09012-N</t>
  </si>
  <si>
    <t>57683-P</t>
  </si>
  <si>
    <t>64243P</t>
  </si>
  <si>
    <t>48093P</t>
  </si>
  <si>
    <t>48536A</t>
  </si>
  <si>
    <t>A123381</t>
  </si>
  <si>
    <t>Disjuntor 69kV</t>
  </si>
  <si>
    <t>colorimetria</t>
  </si>
  <si>
    <t>Disjuntor 13.8kV</t>
  </si>
  <si>
    <t>B 2662</t>
  </si>
  <si>
    <t>cromatográfico</t>
  </si>
  <si>
    <t>Disjuntor 15kV</t>
  </si>
  <si>
    <t>B 3546</t>
  </si>
  <si>
    <t>B 2664</t>
  </si>
  <si>
    <t>B 5652</t>
  </si>
  <si>
    <t>B 2563</t>
  </si>
  <si>
    <t>B 2564</t>
  </si>
  <si>
    <t>Disjuntor 34,5kV</t>
  </si>
  <si>
    <t>116371-3</t>
  </si>
  <si>
    <t>116371-6</t>
  </si>
  <si>
    <t>118831-1</t>
  </si>
  <si>
    <t>1981/11-992/7</t>
  </si>
  <si>
    <t>409/500</t>
  </si>
  <si>
    <t>409/524 - 2</t>
  </si>
  <si>
    <t>409/524 - 3</t>
  </si>
  <si>
    <t>409/524 - 1</t>
  </si>
  <si>
    <t>409/524 - 4</t>
  </si>
  <si>
    <t>409/541</t>
  </si>
  <si>
    <t>B 3547</t>
  </si>
  <si>
    <t>B 2553</t>
  </si>
  <si>
    <t>B3558</t>
  </si>
  <si>
    <t>Religador</t>
  </si>
  <si>
    <t>Regulador</t>
  </si>
  <si>
    <t>L201598PKL</t>
  </si>
  <si>
    <t>L713688TEN</t>
  </si>
  <si>
    <t>colometrica</t>
  </si>
  <si>
    <t>L201598PLL</t>
  </si>
  <si>
    <t>IGF8510148</t>
  </si>
  <si>
    <t>J228395</t>
  </si>
  <si>
    <t>E12877</t>
  </si>
  <si>
    <t>E13870</t>
  </si>
  <si>
    <t>E13871</t>
  </si>
  <si>
    <t>E14272</t>
  </si>
  <si>
    <t>E14273</t>
  </si>
  <si>
    <t>E14275</t>
  </si>
  <si>
    <t>E15134</t>
  </si>
  <si>
    <t>E15142</t>
  </si>
  <si>
    <t>E15150</t>
  </si>
  <si>
    <t>E15151</t>
  </si>
  <si>
    <t>E15152</t>
  </si>
  <si>
    <t>E15160</t>
  </si>
  <si>
    <t>E16371</t>
  </si>
  <si>
    <t>E16372</t>
  </si>
  <si>
    <t>E16375</t>
  </si>
  <si>
    <t>E16379</t>
  </si>
  <si>
    <t>E16380</t>
  </si>
  <si>
    <t>52664P</t>
  </si>
  <si>
    <t>50342A</t>
  </si>
  <si>
    <t>05502N</t>
  </si>
  <si>
    <t>71780A</t>
  </si>
  <si>
    <t>14813N</t>
  </si>
  <si>
    <t>124793N</t>
  </si>
  <si>
    <t>65559A</t>
  </si>
  <si>
    <t>73594A</t>
  </si>
  <si>
    <t>SO TANQUE</t>
  </si>
  <si>
    <t>BR105979</t>
  </si>
  <si>
    <t>52650P</t>
  </si>
  <si>
    <t>5503N</t>
  </si>
  <si>
    <t>53683.P</t>
  </si>
  <si>
    <t>60708-P</t>
  </si>
  <si>
    <t>73567A</t>
  </si>
  <si>
    <t>73575A</t>
  </si>
  <si>
    <t>451503S</t>
  </si>
  <si>
    <t>73598A</t>
  </si>
  <si>
    <t>53668-P</t>
  </si>
  <si>
    <t>73532A</t>
  </si>
  <si>
    <t>D3866</t>
  </si>
  <si>
    <t>53149A</t>
  </si>
  <si>
    <t>EA1126A010N</t>
  </si>
  <si>
    <t>55474A</t>
  </si>
  <si>
    <t>18169N</t>
  </si>
  <si>
    <t>G122481</t>
  </si>
  <si>
    <t>B128848</t>
  </si>
  <si>
    <t>H169820</t>
  </si>
  <si>
    <t>B111632</t>
  </si>
  <si>
    <t>F155306</t>
  </si>
  <si>
    <t>G147293</t>
  </si>
  <si>
    <t>G50794</t>
  </si>
  <si>
    <t>G79368</t>
  </si>
  <si>
    <t>CR062804</t>
  </si>
  <si>
    <t>G121099</t>
  </si>
  <si>
    <t>F54664</t>
  </si>
  <si>
    <t>F62109</t>
  </si>
  <si>
    <t>G124889</t>
  </si>
  <si>
    <t>G138338</t>
  </si>
  <si>
    <t>G77880</t>
  </si>
  <si>
    <t>F54656</t>
  </si>
  <si>
    <t>G107499</t>
  </si>
  <si>
    <t>G118723</t>
  </si>
  <si>
    <t>G124877</t>
  </si>
  <si>
    <t>G142020</t>
  </si>
  <si>
    <t>G76991</t>
  </si>
  <si>
    <t>G142027</t>
  </si>
  <si>
    <t>G51981</t>
  </si>
  <si>
    <t>H164794</t>
  </si>
  <si>
    <t>C87379</t>
  </si>
  <si>
    <t>F51863</t>
  </si>
  <si>
    <t>G77894</t>
  </si>
  <si>
    <t>B77921</t>
  </si>
  <si>
    <t>G126856</t>
  </si>
  <si>
    <t>G136742</t>
  </si>
  <si>
    <t>G79380</t>
  </si>
  <si>
    <t>B25654</t>
  </si>
  <si>
    <t>C74739</t>
  </si>
  <si>
    <t>0433A004</t>
  </si>
  <si>
    <t>B32364</t>
  </si>
  <si>
    <t>MT2356</t>
  </si>
  <si>
    <t>BR101346</t>
  </si>
  <si>
    <t>B34350</t>
  </si>
  <si>
    <t>REM13002</t>
  </si>
  <si>
    <t>CR04984</t>
  </si>
  <si>
    <t>K265292</t>
  </si>
  <si>
    <t>X27472</t>
  </si>
  <si>
    <t>BR105800</t>
  </si>
  <si>
    <t>REC11674</t>
  </si>
  <si>
    <t>CR073354</t>
  </si>
  <si>
    <t>A1448</t>
  </si>
  <si>
    <t>&lt; 3</t>
  </si>
  <si>
    <t>&lt; 4</t>
  </si>
  <si>
    <t>G134618</t>
  </si>
  <si>
    <t>&lt; 5</t>
  </si>
  <si>
    <t>&lt; 6</t>
  </si>
  <si>
    <t>&lt; 7</t>
  </si>
  <si>
    <t>&lt; 8</t>
  </si>
  <si>
    <t>&lt; 9</t>
  </si>
  <si>
    <t>&lt; 10</t>
  </si>
  <si>
    <t>151515F</t>
  </si>
  <si>
    <t>5151F</t>
  </si>
  <si>
    <t>G138322</t>
  </si>
  <si>
    <t>A105391</t>
  </si>
  <si>
    <t>B128903</t>
  </si>
  <si>
    <t>44141P</t>
  </si>
  <si>
    <t>SEM PLACA</t>
  </si>
  <si>
    <t>BR108632</t>
  </si>
  <si>
    <t>CA008113093A</t>
  </si>
  <si>
    <t>52716A</t>
  </si>
  <si>
    <t>B123108</t>
  </si>
  <si>
    <t>D4370</t>
  </si>
  <si>
    <t>SEM NUMERO</t>
  </si>
  <si>
    <t>X26010</t>
  </si>
  <si>
    <t>X29275</t>
  </si>
  <si>
    <t>D8705</t>
  </si>
  <si>
    <t>0928A081</t>
  </si>
  <si>
    <t>1629/2023</t>
  </si>
  <si>
    <t>1628/2023</t>
  </si>
  <si>
    <t>1630/2023</t>
  </si>
  <si>
    <t>1631/2023</t>
  </si>
  <si>
    <t>1722/2023</t>
  </si>
  <si>
    <t>0077/2023</t>
  </si>
  <si>
    <t>0671/2024</t>
  </si>
  <si>
    <t>0686/2024</t>
  </si>
  <si>
    <t>0685/2024</t>
  </si>
  <si>
    <t>0669/2024</t>
  </si>
  <si>
    <t>0646/2024</t>
  </si>
  <si>
    <t>0502/2025</t>
  </si>
  <si>
    <t>1038/2024</t>
  </si>
  <si>
    <t>1493/2024</t>
  </si>
  <si>
    <t>0670/2024</t>
  </si>
  <si>
    <t>0683/2024</t>
  </si>
  <si>
    <t>0684/2024</t>
  </si>
  <si>
    <t>2011/2024</t>
  </si>
  <si>
    <t>1351/2024</t>
  </si>
  <si>
    <t>1724/2023</t>
  </si>
  <si>
    <t>0644/2024</t>
  </si>
  <si>
    <t>0674/2024</t>
  </si>
  <si>
    <t>B5053</t>
  </si>
  <si>
    <t>1725/2023</t>
  </si>
  <si>
    <t>B2269</t>
  </si>
  <si>
    <t>1733/2023</t>
  </si>
  <si>
    <t>Disjuntor de 11.4kV</t>
  </si>
  <si>
    <t>B3396</t>
  </si>
  <si>
    <t>1357/2023</t>
  </si>
  <si>
    <t>Disjuntor de 15kV</t>
  </si>
  <si>
    <t>B3544</t>
  </si>
  <si>
    <t>1723/2023</t>
  </si>
  <si>
    <t>B5655</t>
  </si>
  <si>
    <t>1726/2023</t>
  </si>
  <si>
    <t>B2266</t>
  </si>
  <si>
    <t>0642/2024</t>
  </si>
  <si>
    <t>Disjuntor</t>
  </si>
  <si>
    <t>207/652</t>
  </si>
  <si>
    <t>B2272</t>
  </si>
  <si>
    <t>0643/2024</t>
  </si>
  <si>
    <t>B 3548</t>
  </si>
  <si>
    <t>1432/2024</t>
  </si>
  <si>
    <t>B 5420</t>
  </si>
  <si>
    <t>1358/2024</t>
  </si>
  <si>
    <t>B 5651</t>
  </si>
  <si>
    <t>0312/2024</t>
  </si>
  <si>
    <t>B 5653</t>
  </si>
  <si>
    <t>0313/2024</t>
  </si>
  <si>
    <t>B 5654</t>
  </si>
  <si>
    <t>0314/2024</t>
  </si>
  <si>
    <t>B 5662</t>
  </si>
  <si>
    <t>0658/2024</t>
  </si>
  <si>
    <t>B 5665</t>
  </si>
  <si>
    <t>0667/2024</t>
  </si>
  <si>
    <t>B 5661</t>
  </si>
  <si>
    <t>0657/2024</t>
  </si>
  <si>
    <t>B 5664</t>
  </si>
  <si>
    <t>0675/2024</t>
  </si>
  <si>
    <t>B 5663</t>
  </si>
  <si>
    <t>0659/2024</t>
  </si>
  <si>
    <t>B 5666</t>
  </si>
  <si>
    <t>0668/2024</t>
  </si>
  <si>
    <t>B 5660</t>
  </si>
  <si>
    <t>Colorimétrico</t>
  </si>
  <si>
    <t>0131/2024</t>
  </si>
  <si>
    <t>B 5656</t>
  </si>
  <si>
    <t>1769/2024</t>
  </si>
  <si>
    <t>B 5659</t>
  </si>
  <si>
    <t>1772/2024</t>
  </si>
  <si>
    <t>B 5657</t>
  </si>
  <si>
    <t>1770/2024</t>
  </si>
  <si>
    <t>B 5658</t>
  </si>
  <si>
    <t>1771/2024</t>
  </si>
  <si>
    <t>B 2661</t>
  </si>
  <si>
    <t>sucata</t>
  </si>
  <si>
    <t>Sucata</t>
  </si>
  <si>
    <t>0293/2024</t>
  </si>
  <si>
    <t>0289/2024</t>
  </si>
  <si>
    <t>0290/2024</t>
  </si>
  <si>
    <t>0291/2024</t>
  </si>
  <si>
    <t>E01340</t>
  </si>
  <si>
    <t>0610/2024</t>
  </si>
  <si>
    <t>0292/2024</t>
  </si>
  <si>
    <t>0282/2024</t>
  </si>
  <si>
    <t>0295/2024</t>
  </si>
  <si>
    <t>E03930</t>
  </si>
  <si>
    <t>E03931</t>
  </si>
  <si>
    <t>E01341</t>
  </si>
  <si>
    <t>E97195</t>
  </si>
  <si>
    <t>E99277</t>
  </si>
  <si>
    <t>E99278</t>
  </si>
  <si>
    <t>E99279</t>
  </si>
  <si>
    <t>E01339</t>
  </si>
  <si>
    <t>E00259</t>
  </si>
  <si>
    <t>E00254</t>
  </si>
  <si>
    <t>E00255</t>
  </si>
  <si>
    <t>E99274</t>
  </si>
  <si>
    <t>E97193</t>
  </si>
  <si>
    <t>E05918</t>
  </si>
  <si>
    <t>E97199</t>
  </si>
  <si>
    <t>E05917</t>
  </si>
  <si>
    <t>F12336</t>
  </si>
  <si>
    <t>F12337</t>
  </si>
  <si>
    <t>F12338</t>
  </si>
  <si>
    <t>E01336</t>
  </si>
  <si>
    <t>E01337</t>
  </si>
  <si>
    <t>E01338</t>
  </si>
  <si>
    <t>E17047</t>
  </si>
  <si>
    <t>E15288</t>
  </si>
  <si>
    <t>E00260</t>
  </si>
  <si>
    <t>E01342</t>
  </si>
  <si>
    <t>E01343</t>
  </si>
  <si>
    <t>E06352</t>
  </si>
  <si>
    <t>E06353</t>
  </si>
  <si>
    <t>E06354</t>
  </si>
  <si>
    <t>F12339</t>
  </si>
  <si>
    <t>F12340</t>
  </si>
  <si>
    <t>E14274</t>
  </si>
  <si>
    <t>E01344</t>
  </si>
  <si>
    <t>E00257</t>
  </si>
  <si>
    <t>E00258</t>
  </si>
  <si>
    <t>E06357</t>
  </si>
  <si>
    <t>E06356</t>
  </si>
  <si>
    <t>E06355</t>
  </si>
  <si>
    <t>E98276</t>
  </si>
  <si>
    <t>E98277</t>
  </si>
  <si>
    <t>E98278</t>
  </si>
  <si>
    <t>E97196</t>
  </si>
  <si>
    <t>E97194</t>
  </si>
  <si>
    <t>E90097</t>
  </si>
  <si>
    <t>E97204</t>
  </si>
  <si>
    <t>E98271</t>
  </si>
  <si>
    <t>E91190</t>
  </si>
  <si>
    <t>E90134</t>
  </si>
  <si>
    <t>E90141</t>
  </si>
  <si>
    <t>F00248</t>
  </si>
  <si>
    <t>E98273</t>
  </si>
  <si>
    <t>E97210</t>
  </si>
  <si>
    <t>E00265</t>
  </si>
  <si>
    <t>E12870</t>
  </si>
  <si>
    <t>E00247</t>
  </si>
  <si>
    <t>E00267</t>
  </si>
  <si>
    <t>E96182</t>
  </si>
  <si>
    <t>E19063</t>
  </si>
  <si>
    <t>E19061</t>
  </si>
  <si>
    <t>E90139</t>
  </si>
  <si>
    <t>E90113</t>
  </si>
  <si>
    <t>E90104</t>
  </si>
  <si>
    <t>F09568</t>
  </si>
  <si>
    <t>CP 1303R00152</t>
  </si>
  <si>
    <t>CP 1303000200</t>
  </si>
  <si>
    <t>CP 1303000179</t>
  </si>
  <si>
    <t>E15127</t>
  </si>
  <si>
    <t>E14227</t>
  </si>
  <si>
    <t>E14239</t>
  </si>
  <si>
    <t>E12875</t>
  </si>
  <si>
    <t>E12871</t>
  </si>
  <si>
    <t>E12873</t>
  </si>
  <si>
    <t>E12874</t>
  </si>
  <si>
    <t>E12872</t>
  </si>
  <si>
    <t>E12876</t>
  </si>
  <si>
    <t>F00264</t>
  </si>
  <si>
    <t>F00250</t>
  </si>
  <si>
    <t>E96180</t>
  </si>
  <si>
    <t>E00266</t>
  </si>
  <si>
    <t>E96186</t>
  </si>
  <si>
    <t>1303R00315</t>
  </si>
  <si>
    <t>1303R00314</t>
  </si>
  <si>
    <t>1303R00316</t>
  </si>
  <si>
    <t>E17391</t>
  </si>
  <si>
    <t>E17390</t>
  </si>
  <si>
    <t>E17392</t>
  </si>
  <si>
    <t>F00249</t>
  </si>
  <si>
    <t>E11108</t>
  </si>
  <si>
    <t>E11115</t>
  </si>
  <si>
    <t>E07354</t>
  </si>
  <si>
    <t>E98268</t>
  </si>
  <si>
    <t>E98266</t>
  </si>
  <si>
    <t>E15153</t>
  </si>
  <si>
    <t>E96172</t>
  </si>
  <si>
    <t>E05358</t>
  </si>
  <si>
    <t>E07348</t>
  </si>
  <si>
    <t>E15139</t>
  </si>
  <si>
    <t>E14235</t>
  </si>
  <si>
    <t>E15137</t>
  </si>
  <si>
    <t>E96175</t>
  </si>
  <si>
    <t>E96173</t>
  </si>
  <si>
    <t>E96171</t>
  </si>
  <si>
    <t>E07349</t>
  </si>
  <si>
    <t>E07347</t>
  </si>
  <si>
    <t>E98274</t>
  </si>
  <si>
    <t>E07484</t>
  </si>
  <si>
    <t>E07485</t>
  </si>
  <si>
    <t>E07486</t>
  </si>
  <si>
    <t>E21702</t>
  </si>
  <si>
    <t>E21686</t>
  </si>
  <si>
    <t>E21704</t>
  </si>
  <si>
    <t>E20075</t>
  </si>
  <si>
    <t>E20076</t>
  </si>
  <si>
    <t>E20074</t>
  </si>
  <si>
    <t>E16377</t>
  </si>
  <si>
    <t>E16376</t>
  </si>
  <si>
    <t>E16378</t>
  </si>
  <si>
    <t>E15154</t>
  </si>
  <si>
    <t>E11110</t>
  </si>
  <si>
    <t>E15155</t>
  </si>
  <si>
    <t>E15141</t>
  </si>
  <si>
    <t>E15149</t>
  </si>
  <si>
    <t>E15148</t>
  </si>
  <si>
    <t>E21700</t>
  </si>
  <si>
    <t>E21701</t>
  </si>
  <si>
    <t>E97213</t>
  </si>
  <si>
    <t>E97211</t>
  </si>
  <si>
    <t>E97212</t>
  </si>
  <si>
    <t>E19056</t>
  </si>
  <si>
    <t>E19064</t>
  </si>
  <si>
    <t>E19055</t>
  </si>
  <si>
    <t>E14237</t>
  </si>
  <si>
    <t>E14228</t>
  </si>
  <si>
    <t>E14229</t>
  </si>
  <si>
    <t>E97205</t>
  </si>
  <si>
    <t>E00263</t>
  </si>
  <si>
    <t>E19057</t>
  </si>
  <si>
    <t>E19060</t>
  </si>
  <si>
    <t>E19066</t>
  </si>
  <si>
    <t>E18056</t>
  </si>
  <si>
    <t>E18053</t>
  </si>
  <si>
    <t>E18057</t>
  </si>
  <si>
    <t>E15133</t>
  </si>
  <si>
    <t>E15138</t>
  </si>
  <si>
    <t>E15136</t>
  </si>
  <si>
    <t>E07352</t>
  </si>
  <si>
    <t>E15135</t>
  </si>
  <si>
    <t>E14243</t>
  </si>
  <si>
    <t>E14242</t>
  </si>
  <si>
    <t>E14241</t>
  </si>
  <si>
    <t>E96181</t>
  </si>
  <si>
    <t>E11106</t>
  </si>
  <si>
    <t>E91186</t>
  </si>
  <si>
    <t>E11118</t>
  </si>
  <si>
    <t>E90105</t>
  </si>
  <si>
    <t>E90121</t>
  </si>
  <si>
    <t>E91187</t>
  </si>
  <si>
    <t>E90150</t>
  </si>
  <si>
    <t>E15130</t>
  </si>
  <si>
    <t>E90135</t>
  </si>
  <si>
    <t>E90107</t>
  </si>
  <si>
    <t>E00271</t>
  </si>
  <si>
    <t>E00270</t>
  </si>
  <si>
    <t>E00269</t>
  </si>
  <si>
    <t>E18050</t>
  </si>
  <si>
    <t>E05346</t>
  </si>
  <si>
    <t>E05359</t>
  </si>
  <si>
    <t>E15147</t>
  </si>
  <si>
    <t>E15144</t>
  </si>
  <si>
    <t>E15143</t>
  </si>
  <si>
    <t>E88096</t>
  </si>
  <si>
    <t>E97206</t>
  </si>
  <si>
    <t>E96188</t>
  </si>
  <si>
    <t>E90108</t>
  </si>
  <si>
    <t>E90133</t>
  </si>
  <si>
    <t>E91184</t>
  </si>
  <si>
    <t>E17081</t>
  </si>
  <si>
    <t>E17084</t>
  </si>
  <si>
    <t>E17086</t>
  </si>
  <si>
    <t>E90138</t>
  </si>
  <si>
    <t>E91189</t>
  </si>
  <si>
    <t>E90109</t>
  </si>
  <si>
    <t>E19058</t>
  </si>
  <si>
    <t>E19065</t>
  </si>
  <si>
    <t>E19059</t>
  </si>
  <si>
    <t>E13869</t>
  </si>
  <si>
    <t>E17088</t>
  </si>
  <si>
    <t>E15124</t>
  </si>
  <si>
    <t>E15129</t>
  </si>
  <si>
    <t>E15125</t>
  </si>
  <si>
    <t>E14238</t>
  </si>
  <si>
    <t>E14230</t>
  </si>
  <si>
    <t>E14234</t>
  </si>
  <si>
    <t>E14233</t>
  </si>
  <si>
    <t>F21305</t>
  </si>
  <si>
    <t>F21306</t>
  </si>
  <si>
    <t>E99272</t>
  </si>
  <si>
    <t>E07353</t>
  </si>
  <si>
    <t>F09566</t>
  </si>
  <si>
    <t>E07340</t>
  </si>
  <si>
    <t>E99273</t>
  </si>
  <si>
    <t>E08024</t>
  </si>
  <si>
    <t>E08023</t>
  </si>
  <si>
    <t>E98275</t>
  </si>
  <si>
    <t>E98272</t>
  </si>
  <si>
    <t>F09567</t>
  </si>
  <si>
    <t>E11112</t>
  </si>
  <si>
    <t>E11117</t>
  </si>
  <si>
    <t>E98269</t>
  </si>
  <si>
    <t>E98270</t>
  </si>
  <si>
    <t>E15131</t>
  </si>
  <si>
    <t>E15132</t>
  </si>
  <si>
    <t>E15123</t>
  </si>
  <si>
    <t>E07351</t>
  </si>
  <si>
    <t>E15140</t>
  </si>
  <si>
    <t>E14236</t>
  </si>
  <si>
    <t>E14225</t>
  </si>
  <si>
    <t>E14240</t>
  </si>
  <si>
    <t>E14231</t>
  </si>
  <si>
    <t>E14232</t>
  </si>
  <si>
    <t>E14226</t>
  </si>
  <si>
    <t>E21707</t>
  </si>
  <si>
    <t>E21706</t>
  </si>
  <si>
    <t>E21708</t>
  </si>
  <si>
    <t>E13872</t>
  </si>
  <si>
    <t>E13868</t>
  </si>
  <si>
    <t>E15126</t>
  </si>
  <si>
    <t>E21703</t>
  </si>
  <si>
    <t>E96178</t>
  </si>
  <si>
    <t>E96177</t>
  </si>
  <si>
    <t>E96179</t>
  </si>
  <si>
    <t>E96184</t>
  </si>
  <si>
    <t>E15145</t>
  </si>
  <si>
    <t>E11107</t>
  </si>
  <si>
    <t>E16374</t>
  </si>
  <si>
    <t>E16370</t>
  </si>
  <si>
    <t>E16373</t>
  </si>
  <si>
    <t>E17083</t>
  </si>
  <si>
    <t>E17090</t>
  </si>
  <si>
    <t>E17087</t>
  </si>
  <si>
    <t>E11169</t>
  </si>
  <si>
    <t>E11168</t>
  </si>
  <si>
    <t>E11167</t>
  </si>
  <si>
    <t>E21692</t>
  </si>
  <si>
    <t>E21694</t>
  </si>
  <si>
    <t>E21691</t>
  </si>
  <si>
    <t>E18054</t>
  </si>
  <si>
    <t>E18055</t>
  </si>
  <si>
    <t>E18051</t>
  </si>
  <si>
    <t>E17089</t>
  </si>
  <si>
    <t>E17082</t>
  </si>
  <si>
    <t>E17085</t>
  </si>
  <si>
    <t>E18059</t>
  </si>
  <si>
    <t>E18060</t>
  </si>
  <si>
    <t>E18049</t>
  </si>
  <si>
    <t>E21697</t>
  </si>
  <si>
    <t>E21695</t>
  </si>
  <si>
    <t>E21698</t>
  </si>
  <si>
    <t>E11114</t>
  </si>
  <si>
    <t>E11109</t>
  </si>
  <si>
    <t>E11111</t>
  </si>
  <si>
    <t>E15146</t>
  </si>
  <si>
    <t>E97202</t>
  </si>
  <si>
    <t>E08022</t>
  </si>
  <si>
    <t>E16381</t>
  </si>
  <si>
    <t>E15128</t>
  </si>
  <si>
    <t>E90190</t>
  </si>
  <si>
    <t>E90140</t>
  </si>
  <si>
    <t>M39867PML</t>
  </si>
  <si>
    <t>1303R00153</t>
  </si>
  <si>
    <t>CP 1303000172</t>
  </si>
  <si>
    <t>E97200</t>
  </si>
  <si>
    <t>E96268</t>
  </si>
  <si>
    <t>E96266</t>
  </si>
  <si>
    <t>E96176</t>
  </si>
  <si>
    <t>E06334</t>
  </si>
  <si>
    <t>E21699</t>
  </si>
  <si>
    <t>E00262</t>
  </si>
  <si>
    <t>E14175</t>
  </si>
  <si>
    <t>E09568</t>
  </si>
  <si>
    <t>E97201</t>
  </si>
  <si>
    <t>F12341</t>
  </si>
  <si>
    <t>F12343</t>
  </si>
  <si>
    <t>E91199</t>
  </si>
  <si>
    <t>F12342</t>
  </si>
  <si>
    <t>F12344</t>
  </si>
  <si>
    <t>E00256</t>
  </si>
  <si>
    <t>F11116</t>
  </si>
  <si>
    <t>E88094</t>
  </si>
  <si>
    <t>E21696</t>
  </si>
  <si>
    <t>E19062</t>
  </si>
  <si>
    <t>E00211</t>
  </si>
  <si>
    <t>E 90187</t>
  </si>
  <si>
    <t>E05858</t>
  </si>
  <si>
    <t>E01848</t>
  </si>
  <si>
    <t>E07851</t>
  </si>
  <si>
    <t>E21621</t>
  </si>
  <si>
    <t>Cromatografica</t>
  </si>
  <si>
    <t>TRANSF DISTR AER OMI 3F 11,4KV 220/127V 30KVA CL2</t>
  </si>
  <si>
    <t>EA2368A011A</t>
  </si>
  <si>
    <t>168485-N</t>
  </si>
  <si>
    <t>21245N</t>
  </si>
  <si>
    <t>17423-N</t>
  </si>
  <si>
    <t>ba1228a002c</t>
  </si>
  <si>
    <t>TRANSF DISTR AER OMI 1F/N 6,58KV 230/115V 15KVA CL2</t>
  </si>
  <si>
    <t>17381NN</t>
  </si>
  <si>
    <t>TRANSF DISTR AER OMI 3F 11,4KV 220/127V 15KVA CL2</t>
  </si>
  <si>
    <t>TRANSF DISTR AER OMI 1F/N 6,58KV 230V 25KVA CL2</t>
  </si>
  <si>
    <t>TRANSF DISTR AER OMI 3F 11,4KV 220/127V 75KVA CL2</t>
  </si>
  <si>
    <t>TRANSF DISTR AER OMI 1F/N 12,70KV 230/115V 25KVA CL2</t>
  </si>
  <si>
    <t>TRANSF DISTR AER OMI 1F/N 6,58KV 230/115V 25KVA CL2</t>
  </si>
  <si>
    <t xml:space="preserve">TRAFO BIF. 5 -11.4KV 380-CENF </t>
  </si>
  <si>
    <t>TRANSF DISTR AER OMI 3F 11,4KV 220/127V 45KVA CL2</t>
  </si>
  <si>
    <t>19684N</t>
  </si>
  <si>
    <t>24819-N</t>
  </si>
  <si>
    <t>TRANSF DISTR AER OMI 1F/N 6,58KV 230/115V 10KVA CL2</t>
  </si>
  <si>
    <t>TRANSF DISTR AEREO OLEO M/V 11,4KV 380V 30KVA TRIF CV</t>
  </si>
  <si>
    <t>TRANSF DISTR AER OMI 1F/N 6,58KV 230/115V 5KVA CL2</t>
  </si>
  <si>
    <t>EA237A013</t>
  </si>
  <si>
    <t>TRANSF DISTR AER OMI 1F/N 12,70KV 230/115V 15KVA CL2</t>
  </si>
  <si>
    <t>23611-N</t>
  </si>
  <si>
    <t>TRANSF DISTR AER OMI 3F 11,4KV 380/220V 45KVA CL2</t>
  </si>
  <si>
    <t>TRANSF DISTR AEREO OLEO M/V 11,4KV 380V 75KVA TRIF CV</t>
  </si>
  <si>
    <t>D0068</t>
  </si>
  <si>
    <t>D2398</t>
  </si>
  <si>
    <t>SUCATA TRANSFORMADOR DIST 10KVA</t>
  </si>
  <si>
    <t>A-42389</t>
  </si>
  <si>
    <t>A2167819</t>
  </si>
  <si>
    <t>A1-100/79</t>
  </si>
  <si>
    <t>A118280</t>
  </si>
  <si>
    <t>TRAFO DST 3F 150KVA-TERC</t>
  </si>
  <si>
    <t>TRANSF DISTR AEREO OLEO M/V 11,4KV 220V 112,5KVA TRIF CV</t>
  </si>
  <si>
    <t>TRANSF DISTR AER OMI 1F/N 12,70KV 230/115V 10KVA CL2</t>
  </si>
  <si>
    <t>TRANSF DISTR AER OMI 1F/N 6,58KV 230V 10KVA CL2</t>
  </si>
  <si>
    <t>A287831</t>
  </si>
  <si>
    <t>BA0052A002</t>
  </si>
  <si>
    <t>3083A031</t>
  </si>
  <si>
    <t>A1182/80</t>
  </si>
  <si>
    <t>d1957</t>
  </si>
  <si>
    <t>BA1226A005</t>
  </si>
  <si>
    <t>BA106A004</t>
  </si>
  <si>
    <t>A11808012</t>
  </si>
  <si>
    <t>A11357944</t>
  </si>
  <si>
    <t>EA2478A010A</t>
  </si>
  <si>
    <t>EA2479A015A</t>
  </si>
  <si>
    <t>ba1227A001C</t>
  </si>
  <si>
    <t>4965-16</t>
  </si>
  <si>
    <t>BA0667A002C</t>
  </si>
  <si>
    <t>ba2180a001-a</t>
  </si>
  <si>
    <t>BA2168A005A</t>
  </si>
  <si>
    <t>D1862</t>
  </si>
  <si>
    <t>D2419</t>
  </si>
  <si>
    <t>DA3529A004A</t>
  </si>
  <si>
    <t>D8443</t>
  </si>
  <si>
    <t>110404N</t>
  </si>
  <si>
    <t>Total Geral</t>
  </si>
  <si>
    <t>B6278</t>
  </si>
  <si>
    <t>B6410</t>
  </si>
  <si>
    <t>B6412</t>
  </si>
  <si>
    <t>B7165</t>
  </si>
  <si>
    <t>B7197</t>
  </si>
  <si>
    <t>B6275</t>
  </si>
  <si>
    <t>B6277</t>
  </si>
  <si>
    <t>B6556</t>
  </si>
  <si>
    <t>E16281</t>
  </si>
  <si>
    <t>E03209</t>
  </si>
  <si>
    <t>F10555</t>
  </si>
  <si>
    <t>E06300</t>
  </si>
  <si>
    <t>F10533</t>
  </si>
  <si>
    <t>E12111</t>
  </si>
  <si>
    <t>E98690</t>
  </si>
  <si>
    <t>F10548</t>
  </si>
  <si>
    <t>E08329</t>
  </si>
  <si>
    <t>E01316</t>
  </si>
  <si>
    <t>E06252</t>
  </si>
  <si>
    <t>E06259</t>
  </si>
  <si>
    <t>E06257</t>
  </si>
  <si>
    <t>F08812</t>
  </si>
  <si>
    <t>E12114</t>
  </si>
  <si>
    <t>E12124</t>
  </si>
  <si>
    <t>E12122</t>
  </si>
  <si>
    <t>E13883</t>
  </si>
  <si>
    <t>E13886</t>
  </si>
  <si>
    <t>E19363</t>
  </si>
  <si>
    <t>E19362</t>
  </si>
  <si>
    <t>E19364</t>
  </si>
  <si>
    <t>E12165</t>
  </si>
  <si>
    <t>E01346</t>
  </si>
  <si>
    <t>E13968</t>
  </si>
  <si>
    <t>E13967</t>
  </si>
  <si>
    <t>E15039</t>
  </si>
  <si>
    <t>E04836</t>
  </si>
  <si>
    <t>E10372</t>
  </si>
  <si>
    <t>E15040</t>
  </si>
  <si>
    <t>E15038</t>
  </si>
  <si>
    <t>E11083</t>
  </si>
  <si>
    <t>E16280</t>
  </si>
  <si>
    <t>CP1303000110</t>
  </si>
  <si>
    <t>CP1303000112</t>
  </si>
  <si>
    <t>E08330</t>
  </si>
  <si>
    <t>E08298</t>
  </si>
  <si>
    <t>E08316</t>
  </si>
  <si>
    <t>E09231</t>
  </si>
  <si>
    <t>E09248</t>
  </si>
  <si>
    <t>E08208</t>
  </si>
  <si>
    <t>E08811</t>
  </si>
  <si>
    <t>E12163</t>
  </si>
  <si>
    <t>E12164</t>
  </si>
  <si>
    <t>E09247</t>
  </si>
  <si>
    <t>E09245</t>
  </si>
  <si>
    <t>E09244</t>
  </si>
  <si>
    <t>E16713</t>
  </si>
  <si>
    <t>E08758</t>
  </si>
  <si>
    <t>E13945</t>
  </si>
  <si>
    <t>E12104</t>
  </si>
  <si>
    <t>E06280</t>
  </si>
  <si>
    <t>E98692</t>
  </si>
  <si>
    <t>E06289</t>
  </si>
  <si>
    <t>E10374</t>
  </si>
  <si>
    <t>E98699</t>
  </si>
  <si>
    <t>E08768</t>
  </si>
  <si>
    <t>CP1203000040</t>
  </si>
  <si>
    <t>E08287</t>
  </si>
  <si>
    <t>E14813</t>
  </si>
  <si>
    <t>E14812</t>
  </si>
  <si>
    <t>E10694</t>
  </si>
  <si>
    <t>F10542</t>
  </si>
  <si>
    <t>E08351</t>
  </si>
  <si>
    <t>E10906</t>
  </si>
  <si>
    <t>E12147</t>
  </si>
  <si>
    <t>E12149</t>
  </si>
  <si>
    <t>E10376</t>
  </si>
  <si>
    <t>E09239</t>
  </si>
  <si>
    <t>E09243</t>
  </si>
  <si>
    <t>E09246</t>
  </si>
  <si>
    <t>E14212</t>
  </si>
  <si>
    <t>E13880</t>
  </si>
  <si>
    <t>E10378</t>
  </si>
  <si>
    <t>E16283</t>
  </si>
  <si>
    <t>E16284</t>
  </si>
  <si>
    <t>F16712</t>
  </si>
  <si>
    <t>E10373</t>
  </si>
  <si>
    <t>E10371</t>
  </si>
  <si>
    <t>E19369</t>
  </si>
  <si>
    <t>E09232</t>
  </si>
  <si>
    <t>E13947</t>
  </si>
  <si>
    <t>E09240</t>
  </si>
  <si>
    <t>E08754</t>
  </si>
  <si>
    <t>E08756</t>
  </si>
  <si>
    <t>E08755</t>
  </si>
  <si>
    <t>E01347</t>
  </si>
  <si>
    <t>E03211</t>
  </si>
  <si>
    <t>E07251</t>
  </si>
  <si>
    <t>E07247</t>
  </si>
  <si>
    <t>E07248</t>
  </si>
  <si>
    <t>E06258</t>
  </si>
  <si>
    <t>E08364</t>
  </si>
  <si>
    <t>E06254</t>
  </si>
  <si>
    <t>F10538</t>
  </si>
  <si>
    <t>E10558</t>
  </si>
  <si>
    <t>F10539</t>
  </si>
  <si>
    <t>E07258</t>
  </si>
  <si>
    <t>E07263</t>
  </si>
  <si>
    <t>E07261</t>
  </si>
  <si>
    <t>E08363</t>
  </si>
  <si>
    <t>E08344</t>
  </si>
  <si>
    <t>E08378</t>
  </si>
  <si>
    <t>E03210</t>
  </si>
  <si>
    <t>01R2FC</t>
  </si>
  <si>
    <t>F10442</t>
  </si>
  <si>
    <t>E11807</t>
  </si>
  <si>
    <t>E08358</t>
  </si>
  <si>
    <t>E06332</t>
  </si>
  <si>
    <t>E03273</t>
  </si>
  <si>
    <t>E13873</t>
  </si>
  <si>
    <t>F13875</t>
  </si>
  <si>
    <t>E08157</t>
  </si>
  <si>
    <t>E08250</t>
  </si>
  <si>
    <t>E07210</t>
  </si>
  <si>
    <t>E13877</t>
  </si>
  <si>
    <t>E07212</t>
  </si>
  <si>
    <t>E09251</t>
  </si>
  <si>
    <t>E10377</t>
  </si>
  <si>
    <t>E12156</t>
  </si>
  <si>
    <t>01651H</t>
  </si>
  <si>
    <t>F10560</t>
  </si>
  <si>
    <t>E01314</t>
  </si>
  <si>
    <t>E12117</t>
  </si>
  <si>
    <t>E10908</t>
  </si>
  <si>
    <t>E08399</t>
  </si>
  <si>
    <t>F11305</t>
  </si>
  <si>
    <t>E01323</t>
  </si>
  <si>
    <t>E98057</t>
  </si>
  <si>
    <t>E08338</t>
  </si>
  <si>
    <t>E11084</t>
  </si>
  <si>
    <t>F10565</t>
  </si>
  <si>
    <t>E09237</t>
  </si>
  <si>
    <t>F10544</t>
  </si>
  <si>
    <t>E09238</t>
  </si>
  <si>
    <t>E98700</t>
  </si>
  <si>
    <t>E98679</t>
  </si>
  <si>
    <t>E15068</t>
  </si>
  <si>
    <t>F10592</t>
  </si>
  <si>
    <t>F11308</t>
  </si>
  <si>
    <t>E09234</t>
  </si>
  <si>
    <t>F11304</t>
  </si>
  <si>
    <t>F11302</t>
  </si>
  <si>
    <t>E03250</t>
  </si>
  <si>
    <t>E03251</t>
  </si>
  <si>
    <t>E13875</t>
  </si>
  <si>
    <t>E06382</t>
  </si>
  <si>
    <t>F11306</t>
  </si>
  <si>
    <t>E03238</t>
  </si>
  <si>
    <t>E13889</t>
  </si>
  <si>
    <t>E13884</t>
  </si>
  <si>
    <t>E13890</t>
  </si>
  <si>
    <t>E01325</t>
  </si>
  <si>
    <t>E88030</t>
  </si>
  <si>
    <t>F16713</t>
  </si>
  <si>
    <t>E09236</t>
  </si>
  <si>
    <t>E09242</t>
  </si>
  <si>
    <t>E09233</t>
  </si>
  <si>
    <t>E09235</t>
  </si>
  <si>
    <t>E10370</t>
  </si>
  <si>
    <t>E13876</t>
  </si>
  <si>
    <t>E13879</t>
  </si>
  <si>
    <t>E01345</t>
  </si>
  <si>
    <t>E09230</t>
  </si>
  <si>
    <t>E13878</t>
  </si>
  <si>
    <t>E16285</t>
  </si>
  <si>
    <t>E10375</t>
  </si>
  <si>
    <t>E06331</t>
  </si>
  <si>
    <t>TSA</t>
  </si>
  <si>
    <t>Teste Rápido</t>
  </si>
  <si>
    <t>Laboratório</t>
  </si>
  <si>
    <t>KA1577A001H</t>
  </si>
  <si>
    <t>D8799</t>
  </si>
  <si>
    <t>KA1577A003H</t>
  </si>
  <si>
    <t>82426-a</t>
  </si>
  <si>
    <t>47499A</t>
  </si>
  <si>
    <t>KA1167A004A</t>
  </si>
  <si>
    <t>EA1798A009A</t>
  </si>
  <si>
    <t>D8803</t>
  </si>
  <si>
    <t>TRANSFORMADOR BIF 10KVA 13,8KV</t>
  </si>
  <si>
    <t>TRANSF DISTR AEREO OLEO M/V 13,8KV 380V 15KVA TRIF CV</t>
  </si>
  <si>
    <t>TRANSFORMADOR BIF5 KVA 13,8 KV</t>
  </si>
  <si>
    <t>TRANSFORMADOR BIF 15KVA 13,8KV</t>
  </si>
  <si>
    <t>TRANSF DISTR AEREO OLEO M/V 13,8KV 380V 75KVA TRIF CV</t>
  </si>
  <si>
    <t>TRANSF DISTR AEREO OLEO M/V 8,66KV 230V 15KVA 1F F/F CV</t>
  </si>
  <si>
    <t>TRANSF DISTR AEREO OLEO M/V 13,8KV 380V 30KVA TRIF CV</t>
  </si>
  <si>
    <t>TRANSF DISTR AEREO OLEO M/V 13,8KV 380V 112,5KVA TRIF CV</t>
  </si>
  <si>
    <t>TRANSF DISTR AER OMI 1F/N 7,969KV 230V 5KVA CL2 5TP</t>
  </si>
  <si>
    <t>TRANSF DISTR AEREO OLEO M/V 13,8KV 380V 45KVA TRIF CV</t>
  </si>
  <si>
    <t>47498A</t>
  </si>
  <si>
    <t>TRANSF DISTR AEREO OLEO M/V 13,8KV 380V 150KVA TRIF CV</t>
  </si>
  <si>
    <t>A25279285</t>
  </si>
  <si>
    <t>130456-N</t>
  </si>
  <si>
    <t>TRANSF DISTR AER OMI 1F/N 7,969KV 230V 10KVA CL2 5TP</t>
  </si>
  <si>
    <t>D3711</t>
  </si>
  <si>
    <t>ND</t>
  </si>
  <si>
    <t>137666N</t>
  </si>
  <si>
    <t>82748-A</t>
  </si>
  <si>
    <t>TRANSF DISTR AEREO OLEO M/V 15KV 380V 225KVA TRIF CV</t>
  </si>
  <si>
    <t>D3421</t>
  </si>
  <si>
    <t>47052A</t>
  </si>
  <si>
    <t xml:space="preserve">Sem descrição </t>
  </si>
  <si>
    <t>75962A</t>
  </si>
  <si>
    <t>47627-B</t>
  </si>
  <si>
    <t>70263A</t>
  </si>
  <si>
    <t>13530/2025</t>
  </si>
  <si>
    <t>14542/2025</t>
  </si>
  <si>
    <t>14507/2025</t>
  </si>
  <si>
    <t>14451/2025</t>
  </si>
  <si>
    <t>14444/2025</t>
  </si>
  <si>
    <t>MT2443</t>
  </si>
  <si>
    <t>D9033</t>
  </si>
  <si>
    <t>d6250</t>
  </si>
  <si>
    <t>D4722</t>
  </si>
  <si>
    <t>cm03436</t>
  </si>
  <si>
    <t>ka2427a05a</t>
  </si>
  <si>
    <t>KA2034A003H</t>
  </si>
  <si>
    <t>E256360</t>
  </si>
  <si>
    <t>MT3321</t>
  </si>
  <si>
    <t>MT2739</t>
  </si>
  <si>
    <t>TRAFO DST 3F 225KVA-TERC</t>
  </si>
  <si>
    <t>EA2957A055-A</t>
  </si>
  <si>
    <t>Ml2289</t>
  </si>
  <si>
    <t>KA1110A025A</t>
  </si>
  <si>
    <t>D8268</t>
  </si>
  <si>
    <t>KA2426A008A</t>
  </si>
  <si>
    <t>KA2034A025H</t>
  </si>
  <si>
    <t>EA09374004A</t>
  </si>
  <si>
    <t>KA2421A0</t>
  </si>
  <si>
    <t>47431A</t>
  </si>
  <si>
    <t>ka1170a010-a</t>
  </si>
  <si>
    <t>D4081</t>
  </si>
  <si>
    <t>EA2939A026A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</si>
</sst>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[$-416]mmm\-yy;@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14"/>
      <color theme="1" tint="0.499984740745262"/>
      <name val="Aptos Display"/>
      <family val="2"/>
      <scheme val="maj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Tahoma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70C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9FC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 style="medium">
        <color theme="0" tint="-0.14993743705557422"/>
      </right>
      <top/>
      <bottom/>
      <diagonal/>
    </border>
    <border>
      <left style="medium">
        <color theme="0" tint="-0.14993743705557422"/>
      </left>
      <right style="medium">
        <color theme="0" tint="-0.14993743705557422"/>
      </right>
      <top/>
      <bottom style="medium">
        <color theme="0" tint="-0.14993743705557422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/>
      <diagonal/>
    </border>
    <border>
      <left/>
      <right/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/>
      <top/>
      <bottom style="medium">
        <color theme="0" tint="-0.14993743705557422"/>
      </bottom>
      <diagonal/>
    </border>
    <border>
      <left/>
      <right/>
      <top/>
      <bottom style="medium">
        <color theme="0" tint="-0.14993743705557422"/>
      </bottom>
      <diagonal/>
    </border>
    <border>
      <left/>
      <right style="medium">
        <color theme="0" tint="-0.14993743705557422"/>
      </right>
      <top/>
      <bottom style="medium">
        <color theme="0" tint="-0.14993743705557422"/>
      </bottom>
      <diagonal/>
    </border>
    <border>
      <left style="medium">
        <color theme="0" tint="-0.14993743705557422"/>
      </left>
      <right/>
      <top/>
      <bottom/>
      <diagonal/>
    </border>
    <border>
      <left/>
      <right style="medium">
        <color theme="0" tint="-0.14993743705557422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/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rgb="FF8EA9DB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8EA9DB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57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9" fontId="0" fillId="0" borderId="6" xfId="1" applyFont="1" applyBorder="1" applyAlignment="1">
      <alignment horizontal="center" vertical="center" wrapText="1"/>
    </xf>
    <xf numFmtId="0" fontId="2" fillId="0" borderId="15" xfId="0" applyFont="1" applyBorder="1"/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9" fontId="2" fillId="0" borderId="9" xfId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9" fontId="0" fillId="0" borderId="27" xfId="1" applyFont="1" applyFill="1" applyBorder="1" applyAlignment="1">
      <alignment horizontal="center" vertical="center" wrapText="1"/>
    </xf>
    <xf numFmtId="9" fontId="0" fillId="0" borderId="0" xfId="0" applyNumberFormat="1"/>
    <xf numFmtId="9" fontId="0" fillId="0" borderId="0" xfId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0" borderId="0" xfId="0" applyFont="1"/>
    <xf numFmtId="9" fontId="4" fillId="0" borderId="0" xfId="1" applyFont="1" applyAlignment="1">
      <alignment horizontal="center"/>
    </xf>
    <xf numFmtId="17" fontId="3" fillId="3" borderId="28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9" fontId="5" fillId="0" borderId="28" xfId="1" applyFont="1" applyBorder="1" applyAlignment="1">
      <alignment horizontal="center" vertical="center"/>
    </xf>
    <xf numFmtId="0" fontId="3" fillId="2" borderId="28" xfId="0" applyFont="1" applyFill="1" applyBorder="1" applyAlignment="1">
      <alignment horizontal="left" vertical="center"/>
    </xf>
    <xf numFmtId="0" fontId="0" fillId="0" borderId="4" xfId="0" applyBorder="1"/>
    <xf numFmtId="14" fontId="0" fillId="0" borderId="5" xfId="0" applyNumberFormat="1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/>
    <xf numFmtId="0" fontId="0" fillId="0" borderId="17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9" fontId="0" fillId="0" borderId="17" xfId="1" applyFont="1" applyBorder="1" applyAlignment="1">
      <alignment horizontal="center" vertical="center"/>
    </xf>
    <xf numFmtId="9" fontId="0" fillId="0" borderId="18" xfId="1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9" fontId="0" fillId="4" borderId="8" xfId="1" applyFont="1" applyFill="1" applyBorder="1" applyAlignment="1">
      <alignment horizontal="center" vertical="center"/>
    </xf>
    <xf numFmtId="9" fontId="0" fillId="4" borderId="9" xfId="1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4" fontId="0" fillId="0" borderId="52" xfId="0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1" fontId="0" fillId="0" borderId="17" xfId="0" applyNumberFormat="1" applyBorder="1" applyAlignment="1">
      <alignment horizontal="center" vertical="center"/>
    </xf>
    <xf numFmtId="0" fontId="2" fillId="0" borderId="16" xfId="0" applyFont="1" applyBorder="1"/>
    <xf numFmtId="0" fontId="2" fillId="0" borderId="4" xfId="0" applyFont="1" applyBorder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2" fillId="0" borderId="61" xfId="0" applyFont="1" applyBorder="1"/>
    <xf numFmtId="0" fontId="8" fillId="0" borderId="18" xfId="2" applyBorder="1" applyAlignment="1">
      <alignment horizontal="center" vertical="center"/>
    </xf>
    <xf numFmtId="0" fontId="0" fillId="0" borderId="5" xfId="0" applyBorder="1"/>
    <xf numFmtId="0" fontId="2" fillId="0" borderId="5" xfId="0" applyFont="1" applyBorder="1"/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7" xfId="0" quotePrefix="1" applyNumberFormat="1" applyBorder="1" applyAlignment="1">
      <alignment horizontal="center" vertical="center"/>
    </xf>
    <xf numFmtId="0" fontId="8" fillId="0" borderId="6" xfId="2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8" fillId="0" borderId="9" xfId="2" applyBorder="1" applyAlignment="1">
      <alignment horizontal="center" vertical="center"/>
    </xf>
    <xf numFmtId="164" fontId="0" fillId="0" borderId="52" xfId="0" applyNumberFormat="1" applyBorder="1" applyAlignment="1">
      <alignment horizontal="center" vertical="center"/>
    </xf>
    <xf numFmtId="0" fontId="8" fillId="0" borderId="53" xfId="2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14" fontId="9" fillId="0" borderId="65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14" fontId="9" fillId="0" borderId="63" xfId="0" applyNumberFormat="1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65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49" fontId="9" fillId="0" borderId="63" xfId="0" applyNumberFormat="1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9" fillId="0" borderId="70" xfId="0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49" fontId="9" fillId="0" borderId="65" xfId="0" applyNumberFormat="1" applyFont="1" applyBorder="1" applyAlignment="1">
      <alignment horizontal="center"/>
    </xf>
    <xf numFmtId="49" fontId="10" fillId="0" borderId="63" xfId="0" applyNumberFormat="1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75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  <xf numFmtId="0" fontId="9" fillId="0" borderId="2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/>
    </xf>
    <xf numFmtId="0" fontId="12" fillId="0" borderId="76" xfId="0" applyFont="1" applyBorder="1" applyAlignment="1">
      <alignment horizontal="center"/>
    </xf>
    <xf numFmtId="0" fontId="0" fillId="0" borderId="78" xfId="0" applyBorder="1"/>
    <xf numFmtId="0" fontId="8" fillId="0" borderId="79" xfId="3" applyBorder="1" applyAlignment="1">
      <alignment horizontal="center"/>
    </xf>
    <xf numFmtId="0" fontId="0" fillId="0" borderId="82" xfId="0" applyBorder="1"/>
    <xf numFmtId="0" fontId="0" fillId="0" borderId="83" xfId="0" applyBorder="1" applyAlignment="1">
      <alignment horizontal="center" vertical="center"/>
    </xf>
    <xf numFmtId="14" fontId="0" fillId="0" borderId="83" xfId="0" applyNumberFormat="1" applyBorder="1" applyAlignment="1">
      <alignment horizontal="center" vertical="center"/>
    </xf>
    <xf numFmtId="0" fontId="0" fillId="0" borderId="86" xfId="0" applyBorder="1"/>
    <xf numFmtId="0" fontId="0" fillId="0" borderId="87" xfId="0" applyBorder="1" applyAlignment="1">
      <alignment horizontal="center" vertical="center"/>
    </xf>
    <xf numFmtId="14" fontId="0" fillId="0" borderId="87" xfId="0" applyNumberFormat="1" applyBorder="1" applyAlignment="1">
      <alignment horizontal="center" vertical="center"/>
    </xf>
    <xf numFmtId="0" fontId="2" fillId="0" borderId="89" xfId="0" applyFont="1" applyBorder="1"/>
    <xf numFmtId="14" fontId="0" fillId="0" borderId="27" xfId="0" applyNumberFormat="1" applyBorder="1" applyAlignment="1">
      <alignment horizontal="center" vertical="center"/>
    </xf>
    <xf numFmtId="0" fontId="10" fillId="0" borderId="90" xfId="0" applyFont="1" applyBorder="1" applyAlignment="1">
      <alignment horizontal="center"/>
    </xf>
    <xf numFmtId="0" fontId="8" fillId="0" borderId="91" xfId="3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indent="6"/>
    </xf>
    <xf numFmtId="0" fontId="8" fillId="0" borderId="80" xfId="3" applyBorder="1" applyAlignment="1">
      <alignment horizontal="center"/>
    </xf>
    <xf numFmtId="0" fontId="8" fillId="0" borderId="81" xfId="3" applyBorder="1" applyAlignment="1">
      <alignment horizontal="center"/>
    </xf>
    <xf numFmtId="0" fontId="11" fillId="0" borderId="76" xfId="0" applyFont="1" applyBorder="1" applyAlignment="1">
      <alignment horizontal="center"/>
    </xf>
    <xf numFmtId="17" fontId="9" fillId="0" borderId="63" xfId="0" applyNumberFormat="1" applyFont="1" applyBorder="1" applyAlignment="1">
      <alignment horizontal="center"/>
    </xf>
    <xf numFmtId="0" fontId="11" fillId="0" borderId="76" xfId="0" applyFont="1" applyBorder="1"/>
    <xf numFmtId="0" fontId="12" fillId="0" borderId="26" xfId="0" applyFont="1" applyBorder="1"/>
    <xf numFmtId="17" fontId="9" fillId="0" borderId="65" xfId="0" applyNumberFormat="1" applyFont="1" applyBorder="1" applyAlignment="1">
      <alignment horizontal="center"/>
    </xf>
    <xf numFmtId="0" fontId="12" fillId="0" borderId="76" xfId="0" applyFont="1" applyBorder="1"/>
    <xf numFmtId="0" fontId="11" fillId="5" borderId="76" xfId="0" applyFont="1" applyFill="1" applyBorder="1" applyAlignment="1">
      <alignment horizontal="center"/>
    </xf>
    <xf numFmtId="0" fontId="12" fillId="0" borderId="26" xfId="0" applyFont="1" applyBorder="1" applyAlignment="1">
      <alignment horizontal="center" indent="1"/>
    </xf>
    <xf numFmtId="0" fontId="9" fillId="0" borderId="71" xfId="0" applyFont="1" applyBorder="1" applyAlignment="1">
      <alignment horizontal="center"/>
    </xf>
    <xf numFmtId="17" fontId="9" fillId="0" borderId="71" xfId="0" applyNumberFormat="1" applyFont="1" applyBorder="1" applyAlignment="1">
      <alignment horizontal="center"/>
    </xf>
    <xf numFmtId="0" fontId="11" fillId="5" borderId="77" xfId="0" applyFont="1" applyFill="1" applyBorder="1" applyAlignment="1">
      <alignment horizontal="center"/>
    </xf>
    <xf numFmtId="0" fontId="11" fillId="0" borderId="77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9" fillId="0" borderId="74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5" xfId="0" applyFont="1" applyBorder="1"/>
    <xf numFmtId="0" fontId="9" fillId="0" borderId="26" xfId="0" applyFont="1" applyBorder="1"/>
    <xf numFmtId="0" fontId="9" fillId="0" borderId="74" xfId="0" applyFont="1" applyBorder="1"/>
    <xf numFmtId="0" fontId="9" fillId="0" borderId="11" xfId="0" applyFont="1" applyBorder="1"/>
    <xf numFmtId="0" fontId="9" fillId="0" borderId="76" xfId="0" applyFont="1" applyBorder="1"/>
    <xf numFmtId="0" fontId="11" fillId="5" borderId="76" xfId="0" applyFont="1" applyFill="1" applyBorder="1"/>
    <xf numFmtId="0" fontId="9" fillId="0" borderId="26" xfId="0" applyFont="1" applyBorder="1" applyAlignment="1">
      <alignment vertical="center"/>
    </xf>
    <xf numFmtId="0" fontId="11" fillId="0" borderId="26" xfId="0" applyFont="1" applyBorder="1" applyAlignment="1">
      <alignment vertical="center"/>
    </xf>
    <xf numFmtId="0" fontId="12" fillId="0" borderId="26" xfId="0" applyFont="1" applyBorder="1" applyAlignment="1">
      <alignment indent="1"/>
    </xf>
    <xf numFmtId="14" fontId="9" fillId="0" borderId="64" xfId="0" applyNumberFormat="1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72" xfId="0" applyFont="1" applyBorder="1" applyAlignment="1">
      <alignment horizontal="center"/>
    </xf>
    <xf numFmtId="0" fontId="11" fillId="0" borderId="79" xfId="0" applyFont="1" applyBorder="1" applyAlignment="1">
      <alignment horizontal="center"/>
    </xf>
    <xf numFmtId="0" fontId="9" fillId="0" borderId="81" xfId="0" applyFont="1" applyBorder="1" applyAlignment="1">
      <alignment horizontal="center"/>
    </xf>
    <xf numFmtId="0" fontId="12" fillId="0" borderId="74" xfId="0" applyFont="1" applyBorder="1" applyAlignment="1">
      <alignment horizontal="center"/>
    </xf>
    <xf numFmtId="0" fontId="12" fillId="0" borderId="74" xfId="0" applyFont="1" applyBorder="1"/>
    <xf numFmtId="0" fontId="11" fillId="0" borderId="94" xfId="0" applyFont="1" applyBorder="1" applyAlignment="1">
      <alignment horizontal="center" vertical="center" indent="6"/>
    </xf>
    <xf numFmtId="0" fontId="9" fillId="0" borderId="95" xfId="0" applyFont="1" applyBorder="1" applyAlignment="1">
      <alignment horizontal="center"/>
    </xf>
    <xf numFmtId="0" fontId="9" fillId="0" borderId="96" xfId="0" applyFont="1" applyBorder="1" applyAlignment="1">
      <alignment horizontal="center"/>
    </xf>
    <xf numFmtId="0" fontId="9" fillId="0" borderId="97" xfId="0" applyFont="1" applyBorder="1" applyAlignment="1">
      <alignment horizontal="center"/>
    </xf>
    <xf numFmtId="0" fontId="9" fillId="6" borderId="75" xfId="0" applyFont="1" applyFill="1" applyBorder="1" applyAlignment="1">
      <alignment horizontal="center"/>
    </xf>
    <xf numFmtId="0" fontId="9" fillId="0" borderId="98" xfId="0" applyFont="1" applyBorder="1" applyAlignment="1">
      <alignment horizontal="center"/>
    </xf>
    <xf numFmtId="165" fontId="11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vertical="center" indent="6"/>
    </xf>
    <xf numFmtId="0" fontId="11" fillId="0" borderId="17" xfId="0" applyFont="1" applyBorder="1" applyAlignment="1">
      <alignment vertical="center" indent="6"/>
    </xf>
    <xf numFmtId="0" fontId="12" fillId="0" borderId="70" xfId="0" applyFont="1" applyBorder="1" applyAlignment="1">
      <alignment horizontal="center"/>
    </xf>
    <xf numFmtId="0" fontId="11" fillId="5" borderId="88" xfId="0" applyFont="1" applyFill="1" applyBorder="1" applyAlignment="1">
      <alignment horizontal="center"/>
    </xf>
    <xf numFmtId="0" fontId="11" fillId="5" borderId="79" xfId="0" applyFont="1" applyFill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12" fillId="0" borderId="85" xfId="0" applyFont="1" applyBorder="1" applyAlignment="1">
      <alignment horizontal="center"/>
    </xf>
    <xf numFmtId="0" fontId="0" fillId="0" borderId="76" xfId="0" applyBorder="1"/>
    <xf numFmtId="0" fontId="0" fillId="0" borderId="75" xfId="0" applyBorder="1"/>
    <xf numFmtId="0" fontId="0" fillId="0" borderId="99" xfId="0" applyBorder="1"/>
    <xf numFmtId="0" fontId="0" fillId="0" borderId="77" xfId="0" applyBorder="1"/>
    <xf numFmtId="0" fontId="9" fillId="5" borderId="76" xfId="0" applyFont="1" applyFill="1" applyBorder="1" applyAlignment="1">
      <alignment horizontal="center"/>
    </xf>
    <xf numFmtId="0" fontId="0" fillId="0" borderId="100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71" xfId="0" applyBorder="1"/>
    <xf numFmtId="0" fontId="0" fillId="0" borderId="104" xfId="0" applyBorder="1" applyAlignment="1">
      <alignment horizontal="center" vertical="center"/>
    </xf>
    <xf numFmtId="14" fontId="0" fillId="0" borderId="104" xfId="0" applyNumberFormat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14" fontId="0" fillId="0" borderId="76" xfId="0" applyNumberFormat="1" applyBorder="1" applyAlignment="1">
      <alignment horizontal="center" vertical="center"/>
    </xf>
    <xf numFmtId="14" fontId="9" fillId="0" borderId="76" xfId="0" applyNumberFormat="1" applyFont="1" applyBorder="1" applyAlignment="1">
      <alignment horizontal="center"/>
    </xf>
    <xf numFmtId="0" fontId="0" fillId="0" borderId="106" xfId="0" applyBorder="1"/>
    <xf numFmtId="0" fontId="11" fillId="5" borderId="107" xfId="0" applyFont="1" applyFill="1" applyBorder="1" applyAlignment="1">
      <alignment horizontal="center"/>
    </xf>
    <xf numFmtId="0" fontId="11" fillId="5" borderId="104" xfId="0" applyFont="1" applyFill="1" applyBorder="1" applyAlignment="1">
      <alignment horizontal="center"/>
    </xf>
    <xf numFmtId="0" fontId="11" fillId="5" borderId="105" xfId="0" applyFont="1" applyFill="1" applyBorder="1" applyAlignment="1">
      <alignment horizontal="center"/>
    </xf>
    <xf numFmtId="0" fontId="9" fillId="0" borderId="107" xfId="0" applyFont="1" applyBorder="1" applyAlignment="1">
      <alignment horizontal="center"/>
    </xf>
    <xf numFmtId="0" fontId="9" fillId="0" borderId="108" xfId="0" applyFont="1" applyBorder="1" applyAlignment="1">
      <alignment horizontal="center"/>
    </xf>
    <xf numFmtId="49" fontId="9" fillId="0" borderId="105" xfId="0" applyNumberFormat="1" applyFont="1" applyBorder="1" applyAlignment="1">
      <alignment horizontal="center"/>
    </xf>
    <xf numFmtId="0" fontId="10" fillId="0" borderId="109" xfId="0" applyFont="1" applyBorder="1" applyAlignment="1">
      <alignment horizontal="center"/>
    </xf>
    <xf numFmtId="0" fontId="8" fillId="0" borderId="110" xfId="3" applyBorder="1" applyAlignment="1">
      <alignment horizontal="center"/>
    </xf>
    <xf numFmtId="0" fontId="9" fillId="0" borderId="111" xfId="0" applyFont="1" applyBorder="1" applyAlignment="1">
      <alignment horizontal="center"/>
    </xf>
    <xf numFmtId="0" fontId="11" fillId="5" borderId="111" xfId="0" applyFont="1" applyFill="1" applyBorder="1" applyAlignment="1">
      <alignment horizontal="center"/>
    </xf>
    <xf numFmtId="0" fontId="11" fillId="0" borderId="111" xfId="0" applyFont="1" applyBorder="1" applyAlignment="1">
      <alignment horizontal="center"/>
    </xf>
    <xf numFmtId="0" fontId="9" fillId="0" borderId="79" xfId="0" applyFont="1" applyBorder="1" applyAlignment="1">
      <alignment horizontal="center" vertical="center"/>
    </xf>
    <xf numFmtId="0" fontId="11" fillId="0" borderId="79" xfId="0" applyFont="1" applyBorder="1" applyAlignment="1">
      <alignment horizontal="center" vertical="center"/>
    </xf>
    <xf numFmtId="0" fontId="12" fillId="0" borderId="79" xfId="0" applyFont="1" applyBorder="1" applyAlignment="1">
      <alignment horizontal="center" indent="1"/>
    </xf>
    <xf numFmtId="0" fontId="12" fillId="0" borderId="111" xfId="0" applyFont="1" applyBorder="1" applyAlignment="1">
      <alignment horizontal="center"/>
    </xf>
    <xf numFmtId="0" fontId="11" fillId="0" borderId="102" xfId="0" applyFont="1" applyBorder="1" applyAlignment="1">
      <alignment horizontal="center" vertical="center"/>
    </xf>
    <xf numFmtId="165" fontId="11" fillId="0" borderId="102" xfId="0" applyNumberFormat="1" applyFont="1" applyBorder="1" applyAlignment="1">
      <alignment horizontal="center" vertical="center"/>
    </xf>
    <xf numFmtId="0" fontId="11" fillId="0" borderId="83" xfId="0" applyFont="1" applyBorder="1" applyAlignment="1">
      <alignment vertical="center" indent="6"/>
    </xf>
    <xf numFmtId="0" fontId="2" fillId="0" borderId="103" xfId="0" applyFont="1" applyBorder="1" applyAlignment="1">
      <alignment horizontal="center" vertical="center"/>
    </xf>
    <xf numFmtId="0" fontId="2" fillId="0" borderId="104" xfId="0" applyFont="1" applyBorder="1" applyAlignment="1">
      <alignment horizontal="center" vertical="center"/>
    </xf>
    <xf numFmtId="0" fontId="2" fillId="0" borderId="112" xfId="0" applyFont="1" applyBorder="1" applyAlignment="1">
      <alignment horizontal="center" vertical="center"/>
    </xf>
    <xf numFmtId="0" fontId="11" fillId="0" borderId="76" xfId="0" applyFont="1" applyBorder="1" applyAlignment="1">
      <alignment horizontal="center" vertical="center"/>
    </xf>
    <xf numFmtId="165" fontId="11" fillId="0" borderId="11" xfId="0" applyNumberFormat="1" applyFont="1" applyBorder="1" applyAlignment="1">
      <alignment horizontal="center" vertical="center"/>
    </xf>
    <xf numFmtId="14" fontId="9" fillId="0" borderId="26" xfId="0" applyNumberFormat="1" applyFont="1" applyBorder="1" applyAlignment="1">
      <alignment horizontal="center" vertical="center" indent="6"/>
    </xf>
    <xf numFmtId="14" fontId="11" fillId="0" borderId="26" xfId="0" applyNumberFormat="1" applyFont="1" applyBorder="1" applyAlignment="1">
      <alignment horizontal="center" vertical="center" indent="6"/>
    </xf>
    <xf numFmtId="0" fontId="11" fillId="0" borderId="5" xfId="0" applyFont="1" applyBorder="1" applyAlignment="1">
      <alignment horizontal="center" vertical="center" indent="6"/>
    </xf>
    <xf numFmtId="0" fontId="9" fillId="0" borderId="5" xfId="0" applyFont="1" applyBorder="1" applyAlignment="1">
      <alignment horizontal="center" vertical="center" indent="6"/>
    </xf>
    <xf numFmtId="0" fontId="9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76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17" fontId="9" fillId="0" borderId="17" xfId="0" applyNumberFormat="1" applyFont="1" applyBorder="1" applyAlignment="1">
      <alignment horizontal="center" vertical="center"/>
    </xf>
    <xf numFmtId="17" fontId="11" fillId="0" borderId="17" xfId="0" applyNumberFormat="1" applyFont="1" applyBorder="1" applyAlignment="1">
      <alignment horizontal="center" vertical="center"/>
    </xf>
    <xf numFmtId="14" fontId="11" fillId="0" borderId="17" xfId="0" applyNumberFormat="1" applyFont="1" applyBorder="1" applyAlignment="1">
      <alignment horizontal="center" vertical="center"/>
    </xf>
    <xf numFmtId="14" fontId="11" fillId="0" borderId="76" xfId="0" applyNumberFormat="1" applyFont="1" applyBorder="1" applyAlignment="1">
      <alignment horizontal="center" vertical="center"/>
    </xf>
    <xf numFmtId="17" fontId="11" fillId="0" borderId="76" xfId="0" applyNumberFormat="1" applyFont="1" applyBorder="1" applyAlignment="1">
      <alignment horizontal="center" vertical="center"/>
    </xf>
    <xf numFmtId="0" fontId="11" fillId="0" borderId="7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17" fontId="11" fillId="0" borderId="63" xfId="0" applyNumberFormat="1" applyFont="1" applyBorder="1" applyAlignment="1">
      <alignment horizontal="center" vertical="center"/>
    </xf>
    <xf numFmtId="14" fontId="11" fillId="0" borderId="63" xfId="0" applyNumberFormat="1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 wrapText="1"/>
    </xf>
    <xf numFmtId="17" fontId="9" fillId="0" borderId="76" xfId="0" applyNumberFormat="1" applyFont="1" applyBorder="1" applyAlignment="1">
      <alignment horizontal="center" vertical="center"/>
    </xf>
    <xf numFmtId="14" fontId="9" fillId="0" borderId="76" xfId="0" applyNumberFormat="1" applyFont="1" applyBorder="1" applyAlignment="1">
      <alignment horizontal="center" vertical="center"/>
    </xf>
    <xf numFmtId="0" fontId="12" fillId="0" borderId="76" xfId="0" applyFont="1" applyBorder="1" applyAlignment="1">
      <alignment horizontal="center" vertical="center" wrapText="1"/>
    </xf>
    <xf numFmtId="17" fontId="12" fillId="0" borderId="76" xfId="0" applyNumberFormat="1" applyFont="1" applyBorder="1" applyAlignment="1">
      <alignment horizontal="center" vertical="center"/>
    </xf>
    <xf numFmtId="17" fontId="12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14" fontId="9" fillId="0" borderId="55" xfId="0" applyNumberFormat="1" applyFont="1" applyBorder="1" applyAlignment="1">
      <alignment horizontal="center" vertical="center" indent="6"/>
    </xf>
    <xf numFmtId="14" fontId="11" fillId="0" borderId="55" xfId="0" applyNumberFormat="1" applyFont="1" applyBorder="1" applyAlignment="1">
      <alignment horizontal="center" vertical="center" indent="6"/>
    </xf>
    <xf numFmtId="14" fontId="12" fillId="0" borderId="26" xfId="0" applyNumberFormat="1" applyFont="1" applyBorder="1" applyAlignment="1">
      <alignment horizontal="center" indent="1"/>
    </xf>
    <xf numFmtId="0" fontId="9" fillId="0" borderId="17" xfId="0" applyFont="1" applyBorder="1" applyAlignment="1">
      <alignment horizontal="center" vertical="center" indent="6"/>
    </xf>
    <xf numFmtId="0" fontId="11" fillId="0" borderId="76" xfId="0" applyFont="1" applyBorder="1" applyAlignment="1">
      <alignment horizontal="center" vertical="center" indent="6"/>
    </xf>
    <xf numFmtId="0" fontId="11" fillId="0" borderId="77" xfId="0" applyFont="1" applyBorder="1" applyAlignment="1">
      <alignment horizontal="center" vertical="center" indent="6"/>
    </xf>
    <xf numFmtId="0" fontId="9" fillId="0" borderId="76" xfId="0" applyFont="1" applyBorder="1" applyAlignment="1">
      <alignment horizontal="center" vertical="center" indent="6"/>
    </xf>
    <xf numFmtId="0" fontId="9" fillId="0" borderId="113" xfId="0" applyFont="1" applyBorder="1" applyAlignment="1">
      <alignment horizontal="center" vertical="center" indent="6"/>
    </xf>
    <xf numFmtId="0" fontId="11" fillId="0" borderId="26" xfId="0" applyFont="1" applyBorder="1" applyAlignment="1">
      <alignment horizontal="center" vertical="center" indent="6"/>
    </xf>
    <xf numFmtId="0" fontId="9" fillId="0" borderId="26" xfId="0" applyFont="1" applyBorder="1" applyAlignment="1">
      <alignment horizontal="center" vertical="center" indent="6"/>
    </xf>
    <xf numFmtId="0" fontId="12" fillId="0" borderId="17" xfId="0" applyFont="1" applyBorder="1" applyAlignment="1">
      <alignment horizontal="center" indent="1"/>
    </xf>
    <xf numFmtId="49" fontId="11" fillId="0" borderId="76" xfId="0" applyNumberFormat="1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16" fontId="9" fillId="0" borderId="76" xfId="0" applyNumberFormat="1" applyFont="1" applyBorder="1" applyAlignment="1">
      <alignment horizontal="center" vertical="center"/>
    </xf>
    <xf numFmtId="14" fontId="11" fillId="0" borderId="74" xfId="0" applyNumberFormat="1" applyFont="1" applyBorder="1" applyAlignment="1">
      <alignment horizontal="center" vertical="center" indent="6"/>
    </xf>
    <xf numFmtId="14" fontId="11" fillId="0" borderId="76" xfId="0" applyNumberFormat="1" applyFont="1" applyBorder="1" applyAlignment="1">
      <alignment horizontal="center" vertical="center" indent="6"/>
    </xf>
    <xf numFmtId="0" fontId="11" fillId="0" borderId="99" xfId="0" applyFont="1" applyBorder="1" applyAlignment="1">
      <alignment horizontal="center" vertical="center" indent="6"/>
    </xf>
    <xf numFmtId="0" fontId="9" fillId="0" borderId="114" xfId="0" applyFont="1" applyBorder="1" applyAlignment="1">
      <alignment horizontal="center" vertical="center" indent="6"/>
    </xf>
    <xf numFmtId="0" fontId="9" fillId="0" borderId="115" xfId="0" applyFont="1" applyBorder="1" applyAlignment="1">
      <alignment horizontal="center" vertical="center" indent="6"/>
    </xf>
    <xf numFmtId="0" fontId="11" fillId="0" borderId="17" xfId="0" applyFont="1" applyBorder="1" applyAlignment="1">
      <alignment horizontal="center" indent="1"/>
    </xf>
    <xf numFmtId="0" fontId="13" fillId="0" borderId="17" xfId="0" applyFont="1" applyBorder="1" applyAlignment="1">
      <alignment horizontal="center" vertical="center"/>
    </xf>
    <xf numFmtId="14" fontId="13" fillId="0" borderId="26" xfId="0" applyNumberFormat="1" applyFont="1" applyBorder="1" applyAlignment="1">
      <alignment horizontal="center" vertical="center" indent="6"/>
    </xf>
    <xf numFmtId="0" fontId="13" fillId="0" borderId="17" xfId="0" applyFont="1" applyBorder="1" applyAlignment="1">
      <alignment horizontal="center" vertical="center" indent="6"/>
    </xf>
    <xf numFmtId="0" fontId="0" fillId="7" borderId="0" xfId="0" applyFill="1"/>
    <xf numFmtId="0" fontId="12" fillId="0" borderId="17" xfId="0" applyFont="1" applyBorder="1" applyAlignment="1">
      <alignment horizontal="center"/>
    </xf>
    <xf numFmtId="0" fontId="9" fillId="0" borderId="63" xfId="0" applyFont="1" applyBorder="1" applyAlignment="1">
      <alignment horizontal="center" vertical="center"/>
    </xf>
    <xf numFmtId="17" fontId="9" fillId="0" borderId="26" xfId="0" applyNumberFormat="1" applyFont="1" applyBorder="1" applyAlignment="1">
      <alignment horizontal="center"/>
    </xf>
    <xf numFmtId="14" fontId="9" fillId="6" borderId="26" xfId="0" applyNumberFormat="1" applyFont="1" applyFill="1" applyBorder="1" applyAlignment="1">
      <alignment horizontal="center"/>
    </xf>
    <xf numFmtId="0" fontId="9" fillId="6" borderId="26" xfId="0" applyFont="1" applyFill="1" applyBorder="1" applyAlignment="1">
      <alignment horizontal="center" vertical="center"/>
    </xf>
    <xf numFmtId="17" fontId="13" fillId="0" borderId="17" xfId="0" applyNumberFormat="1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 wrapText="1"/>
    </xf>
    <xf numFmtId="17" fontId="9" fillId="0" borderId="63" xfId="0" applyNumberFormat="1" applyFont="1" applyBorder="1" applyAlignment="1">
      <alignment horizontal="center" vertical="center"/>
    </xf>
    <xf numFmtId="14" fontId="9" fillId="0" borderId="63" xfId="0" applyNumberFormat="1" applyFont="1" applyBorder="1" applyAlignment="1">
      <alignment horizontal="center" vertical="center"/>
    </xf>
    <xf numFmtId="0" fontId="9" fillId="0" borderId="77" xfId="0" applyFont="1" applyBorder="1" applyAlignment="1">
      <alignment horizontal="center" vertical="center" indent="6"/>
    </xf>
    <xf numFmtId="0" fontId="9" fillId="6" borderId="26" xfId="0" applyFont="1" applyFill="1" applyBorder="1" applyAlignment="1">
      <alignment horizontal="center" wrapText="1"/>
    </xf>
    <xf numFmtId="14" fontId="9" fillId="0" borderId="55" xfId="0" applyNumberFormat="1" applyFont="1" applyBorder="1" applyAlignment="1">
      <alignment horizontal="center" vertical="center" indent="2"/>
    </xf>
    <xf numFmtId="0" fontId="11" fillId="0" borderId="17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63" xfId="0" applyFont="1" applyBorder="1" applyAlignment="1">
      <alignment horizontal="center"/>
    </xf>
    <xf numFmtId="0" fontId="11" fillId="0" borderId="95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17" fontId="3" fillId="3" borderId="29" xfId="0" applyNumberFormat="1" applyFont="1" applyFill="1" applyBorder="1" applyAlignment="1">
      <alignment horizontal="center" vertical="center"/>
    </xf>
    <xf numFmtId="17" fontId="3" fillId="3" borderId="30" xfId="0" applyNumberFormat="1" applyFont="1" applyFill="1" applyBorder="1" applyAlignment="1">
      <alignment horizontal="center" vertical="center"/>
    </xf>
    <xf numFmtId="17" fontId="3" fillId="3" borderId="31" xfId="0" applyNumberFormat="1" applyFont="1" applyFill="1" applyBorder="1" applyAlignment="1">
      <alignment horizontal="center" vertical="center"/>
    </xf>
    <xf numFmtId="17" fontId="3" fillId="3" borderId="32" xfId="0" applyNumberFormat="1" applyFont="1" applyFill="1" applyBorder="1" applyAlignment="1">
      <alignment horizontal="center" vertical="center"/>
    </xf>
    <xf numFmtId="17" fontId="3" fillId="3" borderId="33" xfId="0" applyNumberFormat="1" applyFont="1" applyFill="1" applyBorder="1" applyAlignment="1">
      <alignment horizontal="center" vertical="center"/>
    </xf>
    <xf numFmtId="17" fontId="3" fillId="3" borderId="34" xfId="0" applyNumberFormat="1" applyFont="1" applyFill="1" applyBorder="1" applyAlignment="1">
      <alignment horizontal="center" vertical="center"/>
    </xf>
    <xf numFmtId="17" fontId="3" fillId="3" borderId="35" xfId="0" applyNumberFormat="1" applyFont="1" applyFill="1" applyBorder="1" applyAlignment="1">
      <alignment horizontal="center" vertical="center"/>
    </xf>
    <xf numFmtId="17" fontId="3" fillId="3" borderId="36" xfId="0" applyNumberFormat="1" applyFont="1" applyFill="1" applyBorder="1" applyAlignment="1">
      <alignment horizontal="center" vertical="center"/>
    </xf>
    <xf numFmtId="17" fontId="3" fillId="3" borderId="37" xfId="0" applyNumberFormat="1" applyFont="1" applyFill="1" applyBorder="1" applyAlignment="1">
      <alignment horizontal="center" vertical="center"/>
    </xf>
    <xf numFmtId="17" fontId="3" fillId="3" borderId="38" xfId="0" applyNumberFormat="1" applyFont="1" applyFill="1" applyBorder="1" applyAlignment="1">
      <alignment horizontal="center" vertical="center"/>
    </xf>
    <xf numFmtId="17" fontId="3" fillId="3" borderId="39" xfId="0" applyNumberFormat="1" applyFont="1" applyFill="1" applyBorder="1" applyAlignment="1">
      <alignment horizontal="center" vertical="center"/>
    </xf>
    <xf numFmtId="17" fontId="3" fillId="3" borderId="40" xfId="0" applyNumberFormat="1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</cellXfs>
  <cellStyles count="4">
    <cellStyle name="Hiperlink" xfId="2" builtinId="8"/>
    <cellStyle name="Hyperlink" xfId="3" xr:uid="{00000000-000B-0000-0000-000008000000}"/>
    <cellStyle name="Normal" xfId="0" builtinId="0"/>
    <cellStyle name="Porcentagem" xfId="1" builtinId="5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9F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lena Ribeiro da Silva" id="{83A9D43C-0E4F-40E2-8E2F-DD087620CF81}" userId="S::milena.risilva@energisa.com.br::c74adf8f-8d6b-4b59-b4bc-146d0de2c445" providerId="AD"/>
  <person displayName="Nathalia Cristina de Souza Moura" id="{C02E6889-472F-41B1-99E4-94A9602295D2}" userId="S::nathalia.moura@energisa.com.br::dcd306e0-276a-45e0-8498-1366f408eae0" providerId="AD"/>
  <person displayName="Ionaldo de Araujo Silva" id="{7813E81B-A0F9-4D4B-868A-957B33A1E614}" userId="S::ionaldo.silva@energisaterceiros.com.br::9213910d-350a-4215-98bb-3e5090df5456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0" dT="2025-09-26T17:02:38.58" personId="{7813E81B-A0F9-4D4B-868A-957B33A1E614}" id="{9D92DA3B-FE35-405C-AA1C-1FD32026B80E}">
    <text>Alterado de 46 para 22 conforme atualização informada pela EPB</text>
  </threadedComment>
  <threadedComment ref="H12" dT="2025-09-26T17:03:46.11" personId="{7813E81B-A0F9-4D4B-868A-957B33A1E614}" id="{3667E1EF-ACE9-4174-8307-296009D714DE}">
    <text>Alterado de 83 para 87 conforme atualização enviada pela EPB</text>
  </threadedComment>
  <threadedComment ref="L22" dT="2025-09-25T20:00:34.69" personId="{7813E81B-A0F9-4D4B-868A-957B33A1E614}" id="{FBCB7BBE-3B15-460A-9BB4-8873C1F6D4F7}">
    <text>Aguardando validação do marlon a respeito da inexistencia desses equipamentos.</text>
  </threadedComment>
  <threadedComment ref="E42" dT="2025-09-25T14:38:58.82" personId="{7813E81B-A0F9-4D4B-868A-957B33A1E614}" id="{DDDC1692-8FFC-4DF2-A0BE-604548FE3B83}">
    <text>Informado pelo Ricardo Ferreira 33 laudos 25/09/25</text>
  </threadedComment>
  <threadedComment ref="I42" dT="2025-09-25T14:40:09.79" personId="{7813E81B-A0F9-4D4B-868A-957B33A1E614}" id="{A23E69A8-5F15-4A7E-AF02-AC8BFCAFF498}">
    <text>Informado pelo Ricardo Ferreira 5 laudos em 25/09/25</text>
  </threadedComment>
  <threadedComment ref="B45" dT="2025-09-24T14:05:28.25" personId="{C02E6889-472F-41B1-99E4-94A9602295D2}" id="{EA13A3A3-0EBC-4EFA-A57B-86DBEC224C5B}">
    <text>TSA - 127, CO - 124</text>
  </threadedComment>
  <threadedComment ref="D45" dT="2025-09-24T20:06:16.98" personId="{C02E6889-472F-41B1-99E4-94A9602295D2}" id="{01650094-8076-424C-81AD-E260FD475C2B}">
    <text>Substituído no plano de troca de selados</text>
  </threadedComment>
  <threadedComment ref="F45" dT="2025-09-25T14:36:57.99" personId="{7813E81B-A0F9-4D4B-868A-957B33A1E614}" id="{70CB337F-27C0-4B42-A614-334D8A320C08}">
    <text xml:space="preserve">9 TSAs substituidos no plano de Selados até 31/08/25
</text>
  </threadedComment>
  <threadedComment ref="L45" dT="2025-09-24T13:21:54.81" personId="{7813E81B-A0F9-4D4B-868A-957B33A1E614}" id="{C6E0CD86-091E-4E14-9A91-5A1F76F4AF05}">
    <text>Quantidade atualizada pela Thamara
28 - são Chaves Faca
96 - chaves a óleo, dessas, 80 tem pontos identificados visualmente (Maps). As demais não foram identificadas.</text>
  </threadedComment>
  <threadedComment ref="L55" dT="2025-09-24T14:24:03.01" personId="{7813E81B-A0F9-4D4B-868A-957B33A1E614}" id="{473628E9-FE7C-4AFE-B5CD-7339404AE6F7}">
    <text>Atualizado devido a cruzamento de dados utilizando o local de instalação do equipamento e dados levantados na revisão tarifária.
Restam 29 para visitação em campo para verificar a existência de placa de identificação.</text>
  </threadedComment>
  <threadedComment ref="B56" dT="2025-09-24T14:25:45.06" personId="{C02E6889-472F-41B1-99E4-94A9602295D2}" id="{8765C8C8-715F-49D6-B1B8-568A1AEFCF5C}">
    <text>97 TSA</text>
  </threadedComment>
  <threadedComment ref="J66" dT="2025-09-25T18:13:40.55" personId="{7813E81B-A0F9-4D4B-868A-957B33A1E614}" id="{B807E533-3D94-4670-89F1-4FFCACEFD18B}">
    <text>Pendente de evidência da sub-familia - 25/09/25 - Solicitado a Geovanna</text>
  </threadedComment>
  <threadedComment ref="B67" dT="2025-09-24T14:25:18.90" personId="{C02E6889-472F-41B1-99E4-94A9602295D2}" id="{8A875F63-A64E-420B-AEFC-0F74F6A94EF4}">
    <text>81 TSA</text>
  </threadedComment>
  <threadedComment ref="J67" dT="2025-09-26T13:46:03.97" personId="{7813E81B-A0F9-4D4B-868A-957B33A1E614}" id="{6808E486-9D9F-4674-92AB-6290147F5ABB}">
    <text>Reportado 4 TSAs com placas de identificação "Isento PCB" 26/09</text>
  </threadedComment>
  <threadedComment ref="J76" dT="2025-10-08T18:51:50.40" personId="{7813E81B-A0F9-4D4B-868A-957B33A1E614}" id="{775DAAD5-3753-41DB-ABE1-02F95D9CCBF4}">
    <text>Reportado 14 coletas em religadores</text>
  </threadedComment>
  <threadedComment ref="J77" dT="2025-10-08T18:29:44.40" personId="{7813E81B-A0F9-4D4B-868A-957B33A1E614}" id="{7A1E655E-5424-4B2C-8EA7-68525EFE0BF9}">
    <text xml:space="preserve">14 testes reportado em setembro
</text>
  </threadedComment>
  <threadedComment ref="C78" dT="2025-09-24T12:42:01.49" personId="{C02E6889-472F-41B1-99E4-94A9602295D2}" id="{6C41C8BE-D12B-4CE7-A82F-93FD1A73D6B1}">
    <text>22 TSA</text>
  </threadedComment>
  <threadedComment ref="G78" dT="2025-09-24T12:43:24.51" personId="{C02E6889-472F-41B1-99E4-94A9602295D2}" id="{B31175DB-BC5A-42E0-AA13-4DF917A9BA69}">
    <text>188 TSA</text>
  </threadedComment>
  <threadedComment ref="J78" dT="2025-10-08T18:48:00.94" personId="{7813E81B-A0F9-4D4B-868A-957B33A1E614}" id="{11BAE35C-7B33-465D-91EB-D3AFD7D6C34D}">
    <text>Reportado 47 testes, dentre esses, 21 são fotos de placa com "isento PCB"</text>
  </threadedComment>
  <threadedComment ref="F89" dT="2025-10-08T16:26:26.56" personId="{7813E81B-A0F9-4D4B-868A-957B33A1E614}" id="{30ACE983-44E4-4CC4-85BF-75C9A4DE3A60}">
    <text>Reportado 12 testes, totalizando106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59" dT="2025-09-26T22:00:51.82" personId="{7813E81B-A0F9-4D4B-868A-957B33A1E614}" id="{D962BB5E-6B3C-4E46-9C45-016A34DE1232}">
    <text>Resultados &lt;2 são apresentados como zero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59" dT="2025-09-26T22:00:51.82" personId="{7813E81B-A0F9-4D4B-868A-957B33A1E614}" id="{89919670-1CD4-43FB-8C34-3A2939E4A6FD}">
    <text>Resultados &lt;2 são apresentados como zero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K59" dT="2025-09-26T22:00:51.82" personId="{7813E81B-A0F9-4D4B-868A-957B33A1E614}" id="{DCDC9F46-027B-4F81-A448-CCCFA1F1EA6A}">
    <text>Resultados &lt;2 são apresentados como zero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K59" dT="2025-09-26T22:00:51.82" personId="{7813E81B-A0F9-4D4B-868A-957B33A1E614}" id="{BD62D81B-59AE-4411-8F93-4AA8E05D703E}">
    <text>Resultados &lt;2 são apresentados como zero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59" dT="2025-09-26T22:00:51.82" personId="{7813E81B-A0F9-4D4B-868A-957B33A1E614}" id="{5E360E93-E53B-4744-9671-112C2953710B}">
    <text>Resultados &lt;2 são apresentados como zero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K59" dT="2025-09-26T22:00:51.82" personId="{7813E81B-A0F9-4D4B-868A-957B33A1E614}" id="{D730218D-9FFC-4B2E-924F-1F059FC1AF16}">
    <text>Resultados &lt;2 são apresentados como zero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K59" dT="2025-09-26T22:00:51.82" personId="{7813E81B-A0F9-4D4B-868A-957B33A1E614}" id="{D52D0882-0125-4501-934D-2B84EAE8F9E3}">
    <text>Resultados &lt;2 são apresentados como zero</text>
  </threadedComment>
  <threadedComment ref="I1374" dT="2025-11-14T16:53:13.10" personId="{83A9D43C-0E4F-40E2-8E2F-DD087620CF81}" id="{242FD81C-7E1E-48DA-9A20-2D99FAF761AE}">
    <text>sem oléo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K19" dT="2025-10-21T20:17:20.48" personId="{7813E81B-A0F9-4D4B-868A-957B33A1E614}" id="{4FF85E74-0EAD-4EDA-9A72-C44F25D1C7B4}">
    <text>Não indica o valor real do teste, indica que é não contaminado &lt;50</text>
  </threadedComment>
  <threadedComment ref="K21" dT="2025-10-21T20:17:49.66" personId="{7813E81B-A0F9-4D4B-868A-957B33A1E614}" id="{722CBE8E-1AB0-46A8-9B16-83434ED0B6C3}">
    <text>Não indica o valor real do teste, indica que é Contaminado &gt;50</text>
  </threadedComment>
  <threadedComment ref="K25" dT="2025-10-21T20:18:43.19" personId="{7813E81B-A0F9-4D4B-868A-957B33A1E614}" id="{6B39CEF3-67F8-45D1-885B-E82B9FFFE22A}">
    <text>Não indica o valor real do teste, indica que é não Contaminado,&lt;50</text>
  </threadedComment>
  <threadedComment ref="K40" dT="2025-10-22T03:14:54.64" personId="{7813E81B-A0F9-4D4B-868A-957B33A1E614}" id="{9678D6A6-43D8-4191-97B4-A8A3EBA90497}">
    <text>Resultado &lt;2</text>
  </threadedComment>
  <threadedComment ref="K60" dT="2025-09-26T22:00:51.82" personId="{7813E81B-A0F9-4D4B-868A-957B33A1E614}" id="{2ED1026D-FD0C-4483-8CA4-C2B357857AEF}">
    <text>Resultados &lt;2 são apresentados como zero</text>
  </threadedComment>
  <threadedComment ref="K71" dT="2025-10-31T15:16:47.56" personId="{7813E81B-A0F9-4D4B-868A-957B33A1E614}" id="{F24A49CD-412D-470E-B487-FE21EA91C3C6}">
    <text>Considerado não contaminado, o valor do resultado não reflete o PPM real.</text>
  </threadedComment>
  <threadedComment ref="K71" dT="2025-10-31T15:17:05.54" personId="{7813E81B-A0F9-4D4B-868A-957B33A1E614}" id="{79A1CB92-92FE-4254-AF40-557FC2475300}" parentId="{F24A49CD-412D-470E-B487-FE21EA91C3C6}">
    <text>Considerado &lt;50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K32" dT="2025-09-26T22:00:51.82" personId="{7813E81B-A0F9-4D4B-868A-957B33A1E614}" id="{7A93DA3F-D7DF-46C8-8CC7-4D93B3CF2186}">
    <text>Resultados &lt;2 são apresentados como zero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J10" dT="2025-11-10T18:50:10.44" personId="{83A9D43C-0E4F-40E2-8E2F-DD087620CF81}" id="{B5829A3C-8A36-4097-8BD5-EB6F5E8B0415}">
    <text xml:space="preserve">sem óleo </text>
  </threadedComment>
  <threadedComment ref="J12" dT="2025-11-10T18:50:10.44" personId="{83A9D43C-0E4F-40E2-8E2F-DD087620CF81}" id="{24220D88-2DEC-48BA-9ECC-178BC9391DEC}">
    <text xml:space="preserve">sem óleo </text>
  </threadedComment>
  <threadedComment ref="J25" dT="2025-11-10T18:50:10.44" personId="{83A9D43C-0E4F-40E2-8E2F-DD087620CF81}" id="{9F8598A4-EF70-469F-8D17-3A7BCF8CD041}">
    <text xml:space="preserve">sem óleo </text>
  </threadedComment>
  <threadedComment ref="J29" dT="2025-11-10T18:50:10.44" personId="{83A9D43C-0E4F-40E2-8E2F-DD087620CF81}" id="{A9B05AE4-A8E9-474E-8FF6-47671E495E97}">
    <text xml:space="preserve">sem óleo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010003088400-2%20-%20L100.pdf?csf=1&amp;web=1&amp;e=0TylYv" TargetMode="External"/><Relationship Id="rId21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8319%20Nr%20Serie%20858599.PDF?csf=1&amp;web=1&amp;e=LbinxC" TargetMode="External"/><Relationship Id="rId42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0969%20Nr%20Serie%20399327.PDF?csf=1&amp;web=1&amp;e=huzPu6" TargetMode="External"/><Relationship Id="rId63" Type="http://schemas.openxmlformats.org/officeDocument/2006/relationships/hyperlink" Target="../../../../../../../../../../../../../:b:/r/sites/TIME-CoordenaodeTransportes-GestoLogReversa/Documentos%20Compartilhados/CPFL/Laudos%20PCB%20Antes%20Reforma/EMS%20-%20MATO%20GROSSO%20DO%20SUL/Relatorio%20de%20ensaio%20de%20PCB%20146447_70403.pdf?csf=1&amp;web=1&amp;e=qHdWe1" TargetMode="External"/><Relationship Id="rId84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37%20Nr%20Serie%2028621957.PDF?csf=1&amp;web=1&amp;e=KmsXl5" TargetMode="External"/><Relationship Id="rId138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2190%20-%20L72.pdf?csf=1&amp;web=1&amp;e=gsDqak" TargetMode="External"/><Relationship Id="rId107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5391%20Nr%20Serie%20102217.PDF?csf=1&amp;web=1&amp;e=2c79Ai" TargetMode="External"/><Relationship Id="rId11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6353%20Nr%20Serie%201146011.PDF?csf=1&amp;web=1&amp;e=Kk1PKG" TargetMode="External"/><Relationship Id="rId32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0024%20Nr%20Serie%20294268.PDF?csf=1&amp;web=1&amp;e=QZh9U3" TargetMode="External"/><Relationship Id="rId53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2784%20Nr%20Serie%20426225.PDF?csf=1&amp;web=1&amp;e=DPIbuc" TargetMode="External"/><Relationship Id="rId74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581%20Nr%20Serie%20619243.PDF?csf=1&amp;web=1&amp;e=yxikEZ" TargetMode="External"/><Relationship Id="rId128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4245%20-%20L117.pdf?csf=1&amp;web=1&amp;e=htxPHP" TargetMode="External"/><Relationship Id="rId149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8176%20-%20L108.pdf?csf=1&amp;web=1&amp;e=6j0e4A" TargetMode="External"/><Relationship Id="rId5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5374%20Nr%20Serie%20266714.PDF?csf=1&amp;web=1&amp;e=qtY6Yj" TargetMode="External"/><Relationship Id="rId95" Type="http://schemas.openxmlformats.org/officeDocument/2006/relationships/hyperlink" Target="../../../../../../../../../../../../../:b:/r/sites/TIME-CoordenaodeTransportes-GestoLogReversa/Documentos%20Compartilhados/TRAEL/Laudos%20PCB%20Antes%20Reforma/TRAEL%20-%20MT/Laudos%20Sucatas/N.257271%20AM13505.pdf?csf=1&amp;web=1&amp;e=P1pNoj" TargetMode="External"/><Relationship Id="rId22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8333%20Nr%20Serie%20905300.PDF?csf=1&amp;web=1&amp;e=VzrUKe" TargetMode="External"/><Relationship Id="rId43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0941%20Nr%20Serie%20422802.PDF?csf=1&amp;web=1&amp;e=8E6nrp" TargetMode="External"/><Relationship Id="rId64" Type="http://schemas.openxmlformats.org/officeDocument/2006/relationships/hyperlink" Target="../../../../../../../../../../../../../:b:/r/sites/TIME-CoordenaodeTransportes-GestoLogReversa/Documentos%20Compartilhados/CPFL/Laudos%20PCB%20Antes%20Reforma/EMS%20-%20MATO%20GROSSO%20DO%20SUL/Relatorio%20de%20ensaio%20de%20PCB%201227273_74462.pdf?csf=1&amp;web=1&amp;e=EbB2Yy" TargetMode="External"/><Relationship Id="rId118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010004004400-1%20-%20L115.pdf?csf=1&amp;web=1&amp;e=Uzizxe" TargetMode="External"/><Relationship Id="rId139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26902%20-%20L122.pdf?csf=1&amp;web=1&amp;e=zkS3cn" TargetMode="External"/><Relationship Id="rId80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34%20Nr%20Serie%201028671.PDF?csf=1&amp;web=1&amp;e=dJBWbt" TargetMode="External"/><Relationship Id="rId85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36%20Nr%20Serie%20812928.PDF?csf=1&amp;web=1&amp;e=foSSlK" TargetMode="External"/><Relationship Id="rId150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EO1700%20-%20L71.pdf?csf=1&amp;web=1&amp;e=RClGvm" TargetMode="External"/><Relationship Id="rId155" Type="http://schemas.openxmlformats.org/officeDocument/2006/relationships/vmlDrawing" Target="../drawings/vmlDrawing2.vml"/><Relationship Id="rId12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6356%20Nr%20Serie%20927419.PDF?csf=1&amp;web=1&amp;e=mVAgR2" TargetMode="External"/><Relationship Id="rId17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6347%20Nr%20Serie%201131639.PDF?csf=1&amp;web=1&amp;e=S4tGzl" TargetMode="External"/><Relationship Id="rId33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0015%20Nr%20Serie%201131397.PDF?csf=1&amp;web=1&amp;e=2F0hQ5" TargetMode="External"/><Relationship Id="rId38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0151%20Nr%20Serie%201278042.PDF?csf=1&amp;web=1&amp;e=ucNKFx" TargetMode="External"/><Relationship Id="rId59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57004%20Nr%20Serie%201268928.PDF?csf=1&amp;web=1&amp;e=PvTvfR" TargetMode="External"/><Relationship Id="rId103" Type="http://schemas.openxmlformats.org/officeDocument/2006/relationships/hyperlink" Target="../../../../../../../../../../../../../:b:/r/sites/TIME-CoordenaodeTransportes-GestoLogReversa/Documentos%20Compartilhados/TRAEL/Laudos%20PCB%20Antes%20Reforma/TRAEL%20-%20MT/Laudos%20Sucatas/N.821630%20AM13513.pdf?csf=1&amp;web=1&amp;e=5V5hw2" TargetMode="External"/><Relationship Id="rId108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5394%20Nr%20Serie%20861250.PDF?csf=1&amp;web=1&amp;e=TxFrQY" TargetMode="External"/><Relationship Id="rId124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1117%20-%20L70.pdf?csf=1&amp;web=1&amp;e=Qg2aGr" TargetMode="External"/><Relationship Id="rId129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4247%20-%20L118.pdf?csf=1&amp;web=1&amp;e=5IqIss" TargetMode="External"/><Relationship Id="rId54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5337%20Nr%20Serie%20152554.PDF?csf=1&amp;web=1&amp;e=fhYQMB" TargetMode="External"/><Relationship Id="rId70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583%20Nr%20Serie%20518649.PDF?csf=1&amp;web=1&amp;e=ymw6Y3" TargetMode="External"/><Relationship Id="rId75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15%20Nr%20Serie%20150345.PDF?csf=1&amp;web=1&amp;e=dMdee9" TargetMode="External"/><Relationship Id="rId91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10%20Nr%20Serie%20894974.PDF?csf=1&amp;web=1&amp;e=bl5QL4" TargetMode="External"/><Relationship Id="rId96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5134%20Nr%20Serie%201019435.PDF?csf=1&amp;web=1&amp;e=ZnVIm4" TargetMode="External"/><Relationship Id="rId140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3119%20-%20L76.pdf?csf=1&amp;web=1&amp;e=AgGdWg" TargetMode="External"/><Relationship Id="rId145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4974%20-%20L78.pdf?csf=1&amp;web=1&amp;e=Ff4n87" TargetMode="External"/><Relationship Id="rId1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522%20Nr%20Serie%2031837898.PDF?csf=1&amp;web=1&amp;e=DrNLsJ" TargetMode="External"/><Relationship Id="rId6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6329%20Nr%20Serie%201080296.PDF?csf=1&amp;web=1&amp;e=oajoTV" TargetMode="External"/><Relationship Id="rId23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8332%20Nr%20Serie%20816033.PDF?csf=1&amp;web=1&amp;e=dcYntt" TargetMode="External"/><Relationship Id="rId28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9216%20Nr%20Serie%201228146.PDF?csf=1&amp;web=1&amp;e=hNY8GJ" TargetMode="External"/><Relationship Id="rId49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1244%20Nr%20Serie%20463738.PDF?csf=1&amp;web=1&amp;e=CecLRf" TargetMode="External"/><Relationship Id="rId114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8310%20Nr%20Serie%201200158.PDF?csf=1&amp;web=1&amp;e=W3Bj8X" TargetMode="External"/><Relationship Id="rId119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010004004400-2%20-%20L116.pdf?csf=1&amp;web=1&amp;e=QNhqxm" TargetMode="External"/><Relationship Id="rId44" Type="http://schemas.openxmlformats.org/officeDocument/2006/relationships/hyperlink" Target="../../../../../../../../../../../../../:b:/r/sites/TIME-CoordenaodeTransportes-GestoLogReversa/Documentos%20Compartilhados/TRAEL/Laudos%20PCB%20Antes%20Reforma/TRAEL%20-%20MT/Laudos%20Sucatas/N.274959%20AM10853.pdf?csf=1&amp;web=1&amp;e=4lLMN5" TargetMode="External"/><Relationship Id="rId60" Type="http://schemas.openxmlformats.org/officeDocument/2006/relationships/hyperlink" Target="../../../../../../../../../../../../../:b:/r/sites/TIME-CoordenaodeTransportes-GestoLogReversa/Documentos%20Compartilhados/CPFL/Laudos%20PCB%20Antes%20Reforma/EMS%20-%20MATO%20GROSSO%20DO%20SUL/Relatorio%20de%20ensaio%20de%20PCB%201144742.pdf?csf=1&amp;web=1&amp;e=C6J6jf" TargetMode="External"/><Relationship Id="rId65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6001%20Nr%20Serie%20900605.PDF?csf=1&amp;web=1&amp;e=25VNMz" TargetMode="External"/><Relationship Id="rId81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31%20Nr%20Serie%20919841.PDF?csf=1&amp;web=1&amp;e=6g1cTK" TargetMode="External"/><Relationship Id="rId86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22%20Nr%20Serie%201043831749.PDF?csf=1&amp;web=1&amp;e=e77UaQ" TargetMode="External"/><Relationship Id="rId130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4253%20-%20L109.pdf?csf=1&amp;web=1&amp;e=4mIFOE" TargetMode="External"/><Relationship Id="rId135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4276%20-%20L106.pdf?csf=1&amp;web=1&amp;e=bmbBjr" TargetMode="External"/><Relationship Id="rId151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F04175%20-%20L105.pdf?csf=1&amp;web=1&amp;e=FcL3sq" TargetMode="External"/><Relationship Id="rId156" Type="http://schemas.openxmlformats.org/officeDocument/2006/relationships/comments" Target="../comments2.xml"/><Relationship Id="rId13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6312%20Nr%20Serie%201200508.PDF?csf=1&amp;web=1&amp;e=ztWlqy" TargetMode="External"/><Relationship Id="rId18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7035%20Nr%20Serie%201280958.PDF?csf=1&amp;web=1&amp;e=QKKrbb" TargetMode="External"/><Relationship Id="rId39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0541%20Nr%20Serie%201284816.PDF?csf=1&amp;web=1&amp;e=U8bNYb" TargetMode="External"/><Relationship Id="rId109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5387%20Nr%20Serie%201179604.PDF?csf=1&amp;web=1&amp;e=1aJWvf" TargetMode="External"/><Relationship Id="rId34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7061%20Nr%20Serie%2098737.PDF?csf=1&amp;web=1&amp;e=tdLYse" TargetMode="External"/><Relationship Id="rId50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1256%20Nr%20Serie%201043376660.PDF?csf=1&amp;web=1&amp;e=7P5BCa" TargetMode="External"/><Relationship Id="rId55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5322%20Nr%20Serie%201285150.PDF?csf=1&amp;web=1&amp;e=uKQwSR" TargetMode="External"/><Relationship Id="rId76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27%20Nr%20Serie%201041814516.PDF?csf=1&amp;web=1&amp;e=r1NNSd" TargetMode="External"/><Relationship Id="rId97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26%20Nr%20Serie%20943973.PDF?csf=1&amp;web=1&amp;e=5SBm0f" TargetMode="External"/><Relationship Id="rId104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5372%20Nr%20Serie%20518516.PDF?csf=1&amp;web=1&amp;e=BRioWB" TargetMode="External"/><Relationship Id="rId120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010004004400-3%20-%20L114.pdf?csf=1&amp;web=1&amp;e=SIFegf" TargetMode="External"/><Relationship Id="rId125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4232%20-%20L102.pdf?csf=1&amp;web=1&amp;e=vxYT0g" TargetMode="External"/><Relationship Id="rId141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3124%20-%20L99.pdf?csf=1&amp;web=1&amp;e=Fg7TwP" TargetMode="External"/><Relationship Id="rId146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5848%20-%20L74.pdf?csf=1&amp;web=1&amp;e=gDbjOf" TargetMode="External"/><Relationship Id="rId7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6350%20Nr%20Serie%201019646.PDF?csf=1&amp;web=1&amp;e=Pc3JiA" TargetMode="External"/><Relationship Id="rId71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16%20Nr%20Serie%20306514.PDF?csf=1&amp;web=1&amp;e=vqCPEX" TargetMode="External"/><Relationship Id="rId92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14%20Nr%20Serie%20999130.PDF?csf=1&amp;web=1&amp;e=JdC5Xh" TargetMode="External"/><Relationship Id="rId2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582%20Nr%20Serie%20822419.PDF?csf=1&amp;web=1&amp;e=9frLdS" TargetMode="External"/><Relationship Id="rId29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9241%20Nr%20Serie%201281424.PDF?csf=1&amp;web=1&amp;e=dkMw8E" TargetMode="External"/><Relationship Id="rId24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8332%20Nr%20Serie%20816033.PDF?csf=1&amp;web=1&amp;e=OKo2xp" TargetMode="External"/><Relationship Id="rId40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0967%20Nr%20Serie%20921977.PDF?csf=1&amp;web=1&amp;e=eHpUTk" TargetMode="External"/><Relationship Id="rId45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0949%20Nr%20Serie%20515833.PDF?csf=1&amp;web=1&amp;e=buzPU5" TargetMode="External"/><Relationship Id="rId66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587%20Nr%20Serie%201219946.PDF?csf=1&amp;web=1&amp;e=Ebgq4d" TargetMode="External"/><Relationship Id="rId87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35%20Nr%20Serie%20895135.PDF?csf=1&amp;web=1&amp;e=0DaWn2" TargetMode="External"/><Relationship Id="rId110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5388%20Nr%20Serie%201042015990.PDF?csf=1&amp;web=1&amp;e=QYEGNe" TargetMode="External"/><Relationship Id="rId115" Type="http://schemas.openxmlformats.org/officeDocument/2006/relationships/hyperlink" Target="../../../../../../../../../../../../../:b:/r/sites/TIME-CoordenaodeTransportes-GestoLogReversa/Documentos%20Compartilhados/CPFL/Laudos%20PCB%20Ap&#243;s%20Reforma/MATO%20GROSSO/S&#233;rie%201042992893/EMT%20-%20MATO%20GROSSO%20-%20PCB%2035367%20Nr%20Serie%201042992893.PDF?csf=1&amp;web=1&amp;e=AzqvVR" TargetMode="External"/><Relationship Id="rId131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4265%20-%20L119.pdf?csf=1&amp;web=1&amp;e=ACdOQt" TargetMode="External"/><Relationship Id="rId136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4279%20-%20L98.pdf?csf=1&amp;web=1&amp;e=iiB4Hx" TargetMode="External"/><Relationship Id="rId157" Type="http://schemas.microsoft.com/office/2017/10/relationships/threadedComment" Target="../threadedComments/threadedComment2.xml"/><Relationship Id="rId61" Type="http://schemas.openxmlformats.org/officeDocument/2006/relationships/hyperlink" Target="../../../../../../../../../../../../../:b:/r/sites/TIME-CoordenaodeTransportes-GestoLogReversa/Documentos%20Compartilhados/CPFL/Laudos%20PCB%20Antes%20Reforma/EMS%20-%20MATO%20GROSSO%20DO%20SUL/Relatorio%20de%20ensaio%20de%20PCB%20329292.pdf?csf=1&amp;web=1&amp;e=xujib6" TargetMode="External"/><Relationship Id="rId82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08%20Nr%20Serie%20825926.PDF?csf=1&amp;web=1&amp;e=vDiOMq" TargetMode="External"/><Relationship Id="rId152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F13126%20-%20L77.pdf?csf=1&amp;web=1&amp;e=eA28h2" TargetMode="External"/><Relationship Id="rId19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9452%20Nr%20Serie%2098737.PDF?csf=1&amp;web=1&amp;e=956iUA" TargetMode="External"/><Relationship Id="rId14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6339%20Nr%20Serie%201279539.PDF?csf=1&amp;web=1&amp;e=9b2F7E" TargetMode="External"/><Relationship Id="rId30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0026%20Nr%20Serie%20213592.PDF?csf=1&amp;web=1&amp;e=ZmVb42" TargetMode="External"/><Relationship Id="rId35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0127%20Nr%20Serie%20395763.PDF?csf=1&amp;web=1&amp;e=cEmNXA" TargetMode="External"/><Relationship Id="rId56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5301%20Nr%20Serie%201348051.PDF?csf=1&amp;web=1&amp;e=7BZrfs" TargetMode="External"/><Relationship Id="rId77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17%20Nr%20Serie%20375397.PDF?csf=1&amp;web=1&amp;e=dwj75j" TargetMode="External"/><Relationship Id="rId100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33%20Nr%20Serie%201043831783.PDF?csf=1&amp;web=1&amp;e=1zdcWT" TargetMode="External"/><Relationship Id="rId105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5392%20Nr%20Serie%20518534.PDF?csf=1&amp;web=1&amp;e=B7TKdN" TargetMode="External"/><Relationship Id="rId126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4233%20-%20L104.pdf?csf=1&amp;web=1&amp;e=TY0hNE" TargetMode="External"/><Relationship Id="rId147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6460%20-%20L79.pdf?csf=1&amp;web=1&amp;e=2EvFza" TargetMode="External"/><Relationship Id="rId8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6328%20Nr%20Serie%201268927.PDF?csf=1&amp;web=1&amp;e=KwFfTu" TargetMode="External"/><Relationship Id="rId51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7073%20Nr%20Serie%201036255015.PDF?csf=1&amp;web=1&amp;e=hIadLA" TargetMode="External"/><Relationship Id="rId72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520%20Nr%20Serie%201042015980.PDF?csf=1&amp;web=1&amp;e=Qeeya8" TargetMode="External"/><Relationship Id="rId93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18%20Nr%20Serie%2030800647.PDF?csf=1&amp;web=1&amp;e=hmZP6w" TargetMode="External"/><Relationship Id="rId98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23%20Nr%20Serie%201215434.PDF?csf=1&amp;web=1&amp;e=F5VAJa" TargetMode="External"/><Relationship Id="rId121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0293%20-%20L111.pdf?csf=1&amp;web=1&amp;e=a20a28" TargetMode="External"/><Relationship Id="rId142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3374604821-9%20-%20L101.pdf?csf=1&amp;web=1&amp;e=yfZxhw" TargetMode="External"/><Relationship Id="rId3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12%20Nr%20Serie%20955947.PDF?csf=1&amp;web=1&amp;e=pLLc7h" TargetMode="External"/><Relationship Id="rId25" Type="http://schemas.openxmlformats.org/officeDocument/2006/relationships/hyperlink" Target="../../../../../../../../../../../../../:b:/r/sites/TIME-CoordenaodeTransportes-GestoLogReversa/Documentos%20Compartilhados/TRAEL/Laudos%20PCB%20Antes%20Reforma/TRAEL%20-%20MT/Laudos%20Sucatas/N.2507%20AM10526.pdf?csf=1&amp;web=1&amp;e=FqNW3f" TargetMode="External"/><Relationship Id="rId46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0918%20Nr%20Serie%201036534986.PDF?csf=1&amp;web=1&amp;e=YRsCIx" TargetMode="External"/><Relationship Id="rId67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524%20Nr%20Serie%201047030868.PDF?csf=1&amp;web=1&amp;e=9f3TOA" TargetMode="External"/><Relationship Id="rId116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5390%20Nr%20Serie%2029257782.PDF?csf=1&amp;web=1&amp;e=F4lrZe" TargetMode="External"/><Relationship Id="rId137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494%20-%20L75.pdf?csf=1&amp;web=1&amp;e=LPcm6b" TargetMode="External"/><Relationship Id="rId20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8337%20Nr%20Serie%201019547.PDF?csf=1&amp;web=1&amp;e=b2QycL" TargetMode="External"/><Relationship Id="rId41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0966%20Nr%20Serie%201171197.PDF?csf=1&amp;web=1&amp;e=HDI5XH" TargetMode="External"/><Relationship Id="rId62" Type="http://schemas.openxmlformats.org/officeDocument/2006/relationships/hyperlink" Target="../../../../../../../../../../../../../:b:/r/sites/TIME-CoordenaodeTransportes-GestoLogReversa/Documentos%20Compartilhados/CPFL/Laudos%20PCB%20Antes%20Reforma/EMS%20-%20MATO%20GROSSO%20DO%20SUL/Relatorio%20de%20ensaio%20de%20PCB%20763914_69605.pdf?csf=1&amp;web=1&amp;e=gtgcSR" TargetMode="External"/><Relationship Id="rId83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38%20Nr%20Serie%20955958.PDF?csf=1&amp;web=1&amp;e=uZ6dV1" TargetMode="External"/><Relationship Id="rId88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30%20Nr%20Serie%20894976.PDF?csf=1&amp;web=1&amp;e=puyLTf" TargetMode="External"/><Relationship Id="rId111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5376%20Nr%20Serie%20527050.PDF?csf=1&amp;web=1&amp;e=lKzWUt" TargetMode="External"/><Relationship Id="rId132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4266%20-%20L107.pdf?csf=1&amp;web=1&amp;e=XGgNJh" TargetMode="External"/><Relationship Id="rId153" Type="http://schemas.openxmlformats.org/officeDocument/2006/relationships/hyperlink" Target="../../../../../../../../../../../../../:b:/r/sites/TIME-CoordenaodeTransportes-GestoLogReversa/Documentos%20Compartilhados/CPFL/Laudos%20PCB%20Antes%20Reforma/EMS%20-%20MATO%20GROSSO%20DO%20SUL/Relatorio%20de%20ensaio%20de%20PCB%2014860_72028.pdf?csf=1&amp;web=1&amp;e=UnbB7a" TargetMode="External"/><Relationship Id="rId15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6351%20Nr%20Serie%201203079.PDF?csf=1&amp;web=1&amp;e=7qi1H5" TargetMode="External"/><Relationship Id="rId36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0126%20Nr%20Serie%201200505.PDF?csf=1&amp;web=1&amp;e=cA0rc1" TargetMode="External"/><Relationship Id="rId57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5311%20Nr%20Serie%20468277.PDF?csf=1&amp;web=1&amp;e=qcjHXu" TargetMode="External"/><Relationship Id="rId106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5393%20Nr%20Serie%20102469.PDF?csf=1&amp;web=1&amp;e=mTVSI6" TargetMode="External"/><Relationship Id="rId127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4243%20-%20L103.pdf?csf=1&amp;web=1&amp;e=17oiz3" TargetMode="External"/><Relationship Id="rId10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6332%20Nr%20Serie%201174268.PDF?csf=1&amp;web=1&amp;e=21Gz7U" TargetMode="External"/><Relationship Id="rId31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0032%20Nr%20Serie%201086137.PDF?csf=1&amp;web=1&amp;e=nbaJdK" TargetMode="External"/><Relationship Id="rId52" Type="http://schemas.openxmlformats.org/officeDocument/2006/relationships/hyperlink" Target="../../../../../../../../../../../../../:b:/r/sites/TIME-CoordenaodeTransportes-GestoLogReversa/Documentos%20Compartilhados/TRAEL/Laudos%20PCB%20Antes%20Reforma/TRAEL%20-%20MT/Laudos%20Sucatas/N.99013805%20AM11709.pdf?csf=1&amp;web=1&amp;e=64DgLW" TargetMode="External"/><Relationship Id="rId73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585%20Nr%20Serie%20602866.PDF?csf=1&amp;web=1&amp;e=U3Erb1" TargetMode="External"/><Relationship Id="rId78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09%20Nr%20Serie%20390909.PDF?csf=1&amp;web=1&amp;e=DBqCvr" TargetMode="External"/><Relationship Id="rId94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13%20Nr%20Serie%201200076.PDF?csf=1&amp;web=1&amp;e=YlieFv" TargetMode="External"/><Relationship Id="rId99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20%20Nr%20Serie%201036849888.PDF?csf=1&amp;web=1&amp;e=bXLHMI" TargetMode="External"/><Relationship Id="rId101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24%20Nr%20Serie%201018070.PDF?csf=1&amp;web=1&amp;e=wYDEyq" TargetMode="External"/><Relationship Id="rId122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0294%20-%20L112.pdf?csf=1&amp;web=1&amp;e=ekKlXq" TargetMode="External"/><Relationship Id="rId143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33746048214-9%20-%20L110.pdf?csf=1&amp;web=1&amp;e=6qkcFO" TargetMode="External"/><Relationship Id="rId148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6633%20-%20LREG%20040.pdf?csf=1&amp;web=1&amp;e=6LDEk7" TargetMode="External"/><Relationship Id="rId4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582%20Nr%20Serie%20822419.PDF?csf=1&amp;web=1&amp;e=PYIKYz" TargetMode="External"/><Relationship Id="rId9" Type="http://schemas.openxmlformats.org/officeDocument/2006/relationships/hyperlink" Target="../../../../../../../../../../../../../:b:/r/sites/TIME-CoordenaodeTransportes-GestoLogReversa/Documentos%20Compartilhados/TRAEL/Certificados%20-%20Equipamentos%20de%2050%20a%20500%20ppm/TRAEL%20-%20MT/137%20PE&#199;AS/S&#211;LIDOS%20PERME&#193;VEIS/SP%2029390.pdf?csf=1&amp;web=1&amp;e=eJ38pe" TargetMode="External"/><Relationship Id="rId26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9246%20Nr%20Serie%201079781.PDF?csf=1&amp;web=1&amp;e=AxJXUf" TargetMode="External"/><Relationship Id="rId47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0914%20Nr%20Serie%201066001.PDF?csf=1&amp;web=1&amp;e=VbufdO" TargetMode="External"/><Relationship Id="rId68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523%20Nr%20Serie%20451233.PDF?csf=1&amp;web=1&amp;e=pxxShv" TargetMode="External"/><Relationship Id="rId89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29%20Nr%20Serie%201036671970.PDF?csf=1&amp;web=1&amp;e=pwwbY6" TargetMode="External"/><Relationship Id="rId112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5398%20Nr%20Serie%201237407.PDF?csf=1&amp;web=1&amp;e=MFCjud" TargetMode="External"/><Relationship Id="rId133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4273%20-%20L120.pdf?csf=1&amp;web=1&amp;e=hdIyiP" TargetMode="External"/><Relationship Id="rId154" Type="http://schemas.openxmlformats.org/officeDocument/2006/relationships/printerSettings" Target="../printerSettings/printerSettings2.bin"/><Relationship Id="rId16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6343%20Nr%20Serie%201117276.PDF?csf=1&amp;web=1&amp;e=zNtI4O" TargetMode="External"/><Relationship Id="rId37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0153%20Nr%20Serie%201093587.PDF?csf=1&amp;web=1&amp;e=hTSTDu" TargetMode="External"/><Relationship Id="rId58" Type="http://schemas.openxmlformats.org/officeDocument/2006/relationships/hyperlink" Target="../../../../../../../../../../../../../:b:/r/sites/TIME-CoordenaodeTransportes-GestoLogReversa/Documentos%20Compartilhados/CPFL/Laudos%20PCB%20Antes%20Reforma/EMS%20-%20MATO%20GROSSO%20DO%20SUL/EMS%20-%20MATO%20GROSSO%20DO%20SUL%20-%20PCB%2034750%20Nr%20Serie%20230922.PDF?csf=1&amp;web=1&amp;e=elSg2A" TargetMode="External"/><Relationship Id="rId79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19%20Nr%20Serie%20857993.PDF?csf=1&amp;web=1&amp;e=gZgcEY" TargetMode="External"/><Relationship Id="rId102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21%20Nr%20Serie%201019659.PDF?csf=1&amp;web=1&amp;e=vLU2S5" TargetMode="External"/><Relationship Id="rId123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0295%20-%20L113.pdf?csf=1&amp;web=1&amp;e=FqR2eH" TargetMode="External"/><Relationship Id="rId144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3861%20-%20L73.pdf?csf=1&amp;web=1&amp;e=KqOYWa" TargetMode="External"/><Relationship Id="rId90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211%20Nr%20Serie%2027744832.PDF?csf=1&amp;web=1&amp;e=aZlhZ1" TargetMode="External"/><Relationship Id="rId27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9217%20Nr%20Serie%201339644.PDF?csf=1&amp;web=1&amp;e=LWn7AA" TargetMode="External"/><Relationship Id="rId48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41264%20Nr%20Serie%20199131.PDF?csf=1&amp;web=1&amp;e=YWbwJv" TargetMode="External"/><Relationship Id="rId69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4521%20Nr%20Serie%20919867.PDF?csf=1&amp;web=1&amp;e=gVWfVF" TargetMode="External"/><Relationship Id="rId113" Type="http://schemas.openxmlformats.org/officeDocument/2006/relationships/hyperlink" Target="../../../../../../../../../../../../../:b:/r/sites/TIME-CoordenaodeTransportes-GestoLogReversa/Documentos%20Compartilhados/CPFL/Laudos%20PCB%20Antes%20Reforma/MT%20-%20MATO%20GROSSO/EMT%20-%20MATO%20GROSSO%20-%20PCB%2035396%20Nr%20Serie%201041490839.PDF?csf=1&amp;web=1&amp;e=4NruLu" TargetMode="External"/><Relationship Id="rId134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S/Laudos%20Testes%20EPP/2024/Reguladores%20de%20Tens&#227;o/EMS%20N.14275%20-%20L121.pdf?csf=1&amp;web=1&amp;e=bS73L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8.xm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../../../../../../../../:b:/r/sites/EscritrioDigitalGTD/Documentos%20Compartilhados/03.%20Projetos/01.%20Gest&#227;o%20de%20Ativos/08.%20PCB/03.%20Material%20de%20Apoio/Invent&#225;rio%20EPP/1%20-%20EMR/Relat&#243;rios%20e%20Laudos%20EPP/NS_224722%20PCB%2018032025.pdf?csf=1&amp;web=1&amp;e=BNJ9Oy" TargetMode="External"/><Relationship Id="rId18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409524%20N&#186;%203%20%20PCB%2004042024.pdf?csf=1&amp;web=1&amp;e=QLCRry" TargetMode="External"/><Relationship Id="rId26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B%202269%20PCB%2012122023%20SE%20DVN%20DJ%20BC.pdf?csf=1&amp;web=1&amp;e=3qb2TV" TargetMode="External"/><Relationship Id="rId39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Religadores/NS_B5664%20PCB%2020032024.pdf?csf=1&amp;web=1&amp;e=OlfU0K" TargetMode="External"/><Relationship Id="rId21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B%203547%20PCB%2020122023%20SE%20ALP%20DJ%20BC.pdf?csf=1&amp;web=1&amp;e=4jyJYM" TargetMode="External"/><Relationship Id="rId34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Religadores/NS_B%205653%20PCB%2021022024.pdf?csf=1&amp;web=1&amp;e=sPHoR9" TargetMode="External"/><Relationship Id="rId42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Religadores/(RE)ENERGISA-COFE-RTST-N&#186;0131-2024-Laudo-PCB%20Colorimetria%20NS_B5660%20Reserva.pdf?csf=1&amp;web=1&amp;e=9MGGBp" TargetMode="External"/><Relationship Id="rId47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Reguladores%20de%20Tens&#227;o/NS_23739%20PCB%2016022024%20-%20SE%20ASD%20REGULADOR.pdf?csf=1&amp;web=1&amp;e=ekJK46" TargetMode="External"/><Relationship Id="rId50" Type="http://schemas.openxmlformats.org/officeDocument/2006/relationships/vmlDrawing" Target="../drawings/vmlDrawing9.vml"/><Relationship Id="rId7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DJ%20SE%20RIN%20NS_B%202564%2015122023%20COFE-RETC%20N&#186;0077-2023%20Teor%20de%20Clorados.pdf?csf=1&amp;web=1&amp;e=FLwD8h" TargetMode="External"/><Relationship Id="rId2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B%202662%20PCB%2008112023%20SE%20MAO%20DJ%20BC.pdf?csf=1&amp;web=1&amp;e=gByuxA" TargetMode="External"/><Relationship Id="rId16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409500%20PCB%2004042024.pdf?csf=1&amp;web=1&amp;e=lo1JtP" TargetMode="External"/><Relationship Id="rId29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B2266%20PCB%2020032024.pdf?csf=1&amp;web=1&amp;e=zwNX5D" TargetMode="External"/><Relationship Id="rId11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1188311%20PCB%2004042024.pdf?csf=1&amp;web=1&amp;e=53pBY0" TargetMode="External"/><Relationship Id="rId24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B%205053%20PCB%2021122023%20SE%20CBA%20DJ%20BC.pdf?csf=1&amp;web=1&amp;e=FQElv7" TargetMode="External"/><Relationship Id="rId32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Religadores/NS_B5420%20PCB%2019072024.pdf?csf=1&amp;web=1&amp;e=6oXs1O" TargetMode="External"/><Relationship Id="rId37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Religadores/NS_B5665%20PCB%2020032024.pdf?csf=1&amp;web=1&amp;e=IFqXGQ" TargetMode="External"/><Relationship Id="rId40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Religadores/NS_B5663%20PCB%2020032024.pdf?csf=1&amp;web=1&amp;e=b9EvBo" TargetMode="External"/><Relationship Id="rId45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Religadores/NS_B5658%20PCB%2011092024.pdf?csf=1&amp;web=1&amp;e=o4FBgy" TargetMode="External"/><Relationship Id="rId5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B%205652%20PCB%2001112023%20SE%20MRE%202%20DJ%20BC%201.pdf?csf=1&amp;web=1&amp;e=RR11DZ" TargetMode="External"/><Relationship Id="rId15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3939%20PCB%2014072024.pdf?csf=1&amp;web=1&amp;e=ewfn60" TargetMode="External"/><Relationship Id="rId23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B3558%20PCB%2014032024.pdf?csf=1&amp;web=1&amp;e=XhmyFF" TargetMode="External"/><Relationship Id="rId28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B%205655%20PCB%2021122023%20SE%20VRB%202%20DJ%20BC.pdf?csf=1&amp;web=1&amp;e=79aquw" TargetMode="External"/><Relationship Id="rId36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Religadores/NS_B5662%20PCB%2020032024.pdf?csf=1&amp;web=1&amp;e=voEthV" TargetMode="External"/><Relationship Id="rId49" Type="http://schemas.openxmlformats.org/officeDocument/2006/relationships/printerSettings" Target="../printerSettings/printerSettings9.bin"/><Relationship Id="rId10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116371-6%20PCB%2004042024.pdf?csf=1&amp;web=1&amp;e=W9N39q" TargetMode="External"/><Relationship Id="rId19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409524%20PCB%2005122024.pdf?csf=1&amp;web=1&amp;e=CCmm9C" TargetMode="External"/><Relationship Id="rId31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Religadores/NS_B3548%20PCB%2011072024.pdf?csf=1&amp;web=1&amp;e=jRH4nV" TargetMode="External"/><Relationship Id="rId44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Religadores/NS_B5659%20PCB%2011092024.pdf?csf=1&amp;web=1&amp;e=mscW1E" TargetMode="External"/><Relationship Id="rId52" Type="http://schemas.microsoft.com/office/2017/10/relationships/threadedComment" Target="../threadedComments/threadedComment9.xml"/><Relationship Id="rId4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B%202664%20PCB%2001112023%20SE%20MRE%202%20DJ%20BC%202.pdf?csf=1&amp;web=1&amp;e=TfrBmz" TargetMode="External"/><Relationship Id="rId9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1163713%20PCB%2004042024.pdf?csf=1&amp;web=1&amp;e=BNhfKP" TargetMode="External"/><Relationship Id="rId14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227%20PCB%2021062024.pdf?csf=1&amp;web=1&amp;e=oaa07O" TargetMode="External"/><Relationship Id="rId22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B2553%20PCB%2027032024.pdf?csf=1&amp;web=1&amp;e=gpBskq" TargetMode="External"/><Relationship Id="rId27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B3396%20PCB%2011072024.pdf?csf=1&amp;web=1&amp;e=MFaQRp" TargetMode="External"/><Relationship Id="rId30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B2272%20PCB%2020032024.pdf?csf=1&amp;web=1&amp;e=xPg0at" TargetMode="External"/><Relationship Id="rId35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Religadores/NS_B%205654%20PCB%2021022024.pdf?csf=1&amp;web=1&amp;e=6HE7sJ" TargetMode="External"/><Relationship Id="rId43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Religadores/NS_B5656%20PCB%2011092024.pdf?csf=1&amp;web=1&amp;e=Fw9Lo5" TargetMode="External"/><Relationship Id="rId48" Type="http://schemas.openxmlformats.org/officeDocument/2006/relationships/hyperlink" Target="../../../../../../../../../../../../../:b:/r/sites/TIME-CoordenaodeTransportes-GestoLogReversa/Documentos%20Compartilhados/CPFL/Laudos%20PCB%20Antes%20Reforma/ESS%20-%20SUL%20SUDESTE/ESS%20-%20SUL-SUDESTE%20-%20PCB%2037229%20Nr%20Serie%2029336.PDF?csf=1&amp;web=1&amp;e=ytKmzO" TargetMode="External"/><Relationship Id="rId8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1033%20PCB%2027032024.pdf?csf=1&amp;web=1&amp;e=7NDAcd" TargetMode="External"/><Relationship Id="rId51" Type="http://schemas.openxmlformats.org/officeDocument/2006/relationships/comments" Target="../comments9.xml"/><Relationship Id="rId3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B%203546%20PCB%2001112023%20SE%20MRE%201%20DJ%20BC.pdf?csf=1&amp;web=1&amp;e=3EOOIy" TargetMode="External"/><Relationship Id="rId12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1981119927%20PCB%2011042024.pdf?csf=1&amp;web=1&amp;e=whOyU9" TargetMode="External"/><Relationship Id="rId17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409524%20N&#186;%202%20%20PCB%2004042024.pdf?csf=1&amp;web=1&amp;e=oXQ18J" TargetMode="External"/><Relationship Id="rId25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B%203544%20PCB%2021122023%20SE%20RCO%20DJ%20BC.pdf?csf=1&amp;web=1&amp;e=bUjedx" TargetMode="External"/><Relationship Id="rId33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Religadores/NS_B%205651%20PCB%2021022024.pdf?csf=1&amp;web=1&amp;e=xZQYoA" TargetMode="External"/><Relationship Id="rId38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Religadores/NS_B5661%20PCB%2020032024.pdf?csf=1&amp;web=1&amp;e=ajWBXs" TargetMode="External"/><Relationship Id="rId46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Religadores/NS_B5657%20PCB%2011092024.pdf?csf=1&amp;web=1&amp;e=nnRJr0" TargetMode="External"/><Relationship Id="rId20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409541%20PCB%2024072024.pdf?csf=1&amp;web=1&amp;e=I4B2fl" TargetMode="External"/><Relationship Id="rId41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Religadores/NS_B5666%20PCB%2020032024.pdf?csf=1&amp;web=1&amp;e=d0aXJ0" TargetMode="External"/><Relationship Id="rId1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(RE)ENERGISA-COFE-RTST-N&#186;0110-2024-Laudo-PCB%20Colorimetria%20NS_230%20DJ%20SE%20M&#243;vel.pdf?csf=1&amp;web=1&amp;e=OYorT9" TargetMode="External"/><Relationship Id="rId6" Type="http://schemas.openxmlformats.org/officeDocument/2006/relationships/hyperlink" Target="../../../../../../../../../../../../../:b:/r/sites/EscritrioDigitalGTD/Documentos%20Compartilhados/03.%20Projetos/01.%20Gest&#227;o%20de%20Ativos/08.%20PCB/03.%20Material%20de%20Apoio/ACOMPANHAMENTO_2025/EMR/Laudos%20Testes%20EPP/2024/Disjuntores/NS_B%202563%20PCB%2013122023%20SE%20PAO%20DJ%20BC.pdf?csf=1&amp;web=1&amp;e=1A01pj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0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39082%20Nr%20Serie%2075644.PDF?csf=1&amp;web=1&amp;e=w4HyBy" TargetMode="External"/><Relationship Id="rId13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4228%20Nr%20Serie%2041943.PDF?csf=1&amp;web=1&amp;e=DeUGj3" TargetMode="External"/><Relationship Id="rId18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7053%20Nr%20Serie%2021252%20(1).PDF?csf=1&amp;web=1&amp;e=9rqyGU" TargetMode="External"/><Relationship Id="rId26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8057%20Nr%20Serie%2043456.PDF?csf=1&amp;web=1&amp;e=iEdQZ3" TargetMode="External"/><Relationship Id="rId3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ENERGISA%20-%20PARA%C3%8DBA%20-%20PCB%2025348%20Nr%20Serie%205478.PDF?csf=1&amp;web=1&amp;e=Ar4nRz" TargetMode="External"/><Relationship Id="rId21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7047%20Nr%20Serie%2073289%20(1).PDF?csf=1&amp;web=1&amp;e=6E8jlY" TargetMode="External"/><Relationship Id="rId7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39074%20Nr%20Serie%208536625.PDF?csf=1&amp;web=1&amp;e=zbAe3n" TargetMode="External"/><Relationship Id="rId12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8930%20Nr%20Serie%20138362.PDF?csf=1&amp;web=1&amp;e=i0bSJT" TargetMode="External"/><Relationship Id="rId17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4704%20Nr%20Serie%20123188.PDF?csf=1&amp;web=1&amp;e=ZrrYaY" TargetMode="External"/><Relationship Id="rId25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8030%20Nr%20Serie%2043808.PDF?csf=1&amp;web=1&amp;e=INIfym" TargetMode="External"/><Relationship Id="rId2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4304%20Nr%20Serie%20111350.PDF?csf=1&amp;web=1&amp;e=EVei2T" TargetMode="External"/><Relationship Id="rId16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4674%20Nr%20Serie%202742.PDF?csf=1&amp;web=1&amp;e=pKmChZ" TargetMode="External"/><Relationship Id="rId20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7063%20Nr%20Serie%2043701%20(1).PDF?csf=1&amp;web=1&amp;e=NyFjbT" TargetMode="External"/><Relationship Id="rId29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8342%20Nr%20Serie%2024974.PDF?csf=1&amp;web=1&amp;e=Ba906z" TargetMode="External"/><Relationship Id="rId1" Type="http://schemas.openxmlformats.org/officeDocument/2006/relationships/hyperlink" Target="https://energisa.sharepoint.com/:b:/r/sites/TIME-CoordenaodeTransportes-GestoLogReversa/Documentos%20Compartilhados/CPFL/Laudos%20PCB%20Antes%20Reforma/EPB%20-%20PARA%C3%8DBA/Relatorio%20de%20ensaio%20de%20PCB%208415696_62949.pdf?csf=1&amp;web=1&amp;e=zvr2fE" TargetMode="External"/><Relationship Id="rId6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39073%20Nr%20Serie%209016.PDF?csf=1&amp;web=1&amp;e=S5KULG" TargetMode="External"/><Relationship Id="rId11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8907%20Nr%20Serie%20309213.PDF?csf=1&amp;web=1&amp;e=gseZSm" TargetMode="External"/><Relationship Id="rId24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7964%20Nr%20Serie%2026937.PDF?csf=1&amp;web=1&amp;e=O23Xzi" TargetMode="External"/><Relationship Id="rId32" Type="http://schemas.microsoft.com/office/2017/10/relationships/threadedComment" Target="../threadedComments/threadedComment11.xml"/><Relationship Id="rId5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39019%20Nr%20Serie%2026902.PDF?csf=1&amp;web=1&amp;e=YdiSXw" TargetMode="External"/><Relationship Id="rId15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4707%20Nr%20Serie%20603742.PDF?csf=1&amp;web=1&amp;e=WcOV9z" TargetMode="External"/><Relationship Id="rId23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7987%20Nr%20Serie%20869717.PDF?csf=1&amp;web=1&amp;e=oCjmVS" TargetMode="External"/><Relationship Id="rId28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8359%20Nr%20Serie%2024813.PDF?csf=1&amp;web=1&amp;e=9LmLg6" TargetMode="External"/><Relationship Id="rId10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39065%20Nr%20Serie%20103752.PDF?csf=1&amp;web=1&amp;e=3dArHR" TargetMode="External"/><Relationship Id="rId19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7059%20Nr%20Serie%2047499A%20(1).PDF?csf=1&amp;web=1&amp;e=hDcjxW" TargetMode="External"/><Relationship Id="rId31" Type="http://schemas.openxmlformats.org/officeDocument/2006/relationships/comments" Target="../comments11.xml"/><Relationship Id="rId4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8322%20Nr%20Serie%203701.PDF?csf=1&amp;web=1&amp;e=1hnIoN" TargetMode="External"/><Relationship Id="rId9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39045%20Nr%20Serie%2082426a.PDF?csf=1&amp;web=1&amp;e=g47tE3" TargetMode="External"/><Relationship Id="rId14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4242%20Nr%20Serie%208620502.PDF?csf=1&amp;web=1&amp;e=Hejnu5" TargetMode="External"/><Relationship Id="rId22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8058%20Nr%20Serie%20588545.PDF?csf=1&amp;web=1&amp;e=EsJTaW" TargetMode="External"/><Relationship Id="rId27" Type="http://schemas.openxmlformats.org/officeDocument/2006/relationships/hyperlink" Target="https://energisa.sharepoint.com/:b:/r/sites/TIME-CoordenaodeTransportes-GestoLogReversa/Documentos%20Compartilhados/CPFL/Laudos%20PCB%20Antes%20Reforma/EPB%20-%20PARA%C3%8DBA/EPB%20-%20PARA%C3%8DBA%20-%20PCB%2048344%20Nr%20Serie%208236.PDF?csf=1&amp;web=1&amp;e=eZwfMZ" TargetMode="External"/><Relationship Id="rId30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DBBB-A791-4EBA-9DF0-C8CF35E63855}">
  <dimension ref="A2:AI112"/>
  <sheetViews>
    <sheetView showGridLines="0" zoomScaleNormal="100" workbookViewId="0">
      <selection activeCell="G12" sqref="G12"/>
    </sheetView>
  </sheetViews>
  <sheetFormatPr defaultRowHeight="15" outlineLevelCol="1"/>
  <cols>
    <col min="2" max="2" width="45" customWidth="1"/>
    <col min="3" max="3" width="10.85546875" customWidth="1" outlineLevel="1"/>
    <col min="4" max="4" width="10.140625" customWidth="1" outlineLevel="1"/>
    <col min="5" max="6" width="10.7109375" customWidth="1" outlineLevel="1"/>
    <col min="7" max="7" width="10.85546875" customWidth="1" outlineLevel="1"/>
    <col min="8" max="8" width="10.140625" customWidth="1" outlineLevel="1"/>
    <col min="9" max="10" width="10.7109375" customWidth="1" outlineLevel="1"/>
    <col min="11" max="11" width="10.85546875" customWidth="1" outlineLevel="1"/>
    <col min="12" max="12" width="10.140625" customWidth="1" outlineLevel="1"/>
    <col min="13" max="14" width="10.7109375" customWidth="1" outlineLevel="1"/>
    <col min="15" max="15" width="12.140625" bestFit="1" customWidth="1"/>
    <col min="16" max="16" width="10.140625" bestFit="1" customWidth="1"/>
    <col min="17" max="18" width="11.28515625" bestFit="1" customWidth="1"/>
    <col min="19" max="19" width="12.7109375" bestFit="1" customWidth="1"/>
    <col min="20" max="20" width="13.85546875" bestFit="1" customWidth="1"/>
    <col min="21" max="21" width="10" customWidth="1"/>
    <col min="22" max="28" width="7.85546875" customWidth="1"/>
  </cols>
  <sheetData>
    <row r="2" spans="1:35">
      <c r="B2" s="309" t="s">
        <v>0</v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</row>
    <row r="3" spans="1:35"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</row>
    <row r="4" spans="1:35" ht="15.75" thickBot="1"/>
    <row r="5" spans="1:35" ht="15.75" thickBot="1">
      <c r="A5" s="299" t="s">
        <v>1</v>
      </c>
      <c r="B5" s="299" t="s">
        <v>2</v>
      </c>
      <c r="C5" s="301" t="s">
        <v>3</v>
      </c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3"/>
      <c r="O5" s="307" t="s">
        <v>4</v>
      </c>
      <c r="P5" s="279"/>
      <c r="Q5" s="279"/>
      <c r="R5" s="279"/>
      <c r="S5" s="279"/>
      <c r="T5" s="279"/>
      <c r="U5" s="280"/>
      <c r="V5" s="278" t="s">
        <v>5</v>
      </c>
      <c r="W5" s="279"/>
      <c r="X5" s="279"/>
      <c r="Y5" s="279"/>
      <c r="Z5" s="279"/>
      <c r="AA5" s="279"/>
      <c r="AB5" s="280"/>
      <c r="AD5" t="s">
        <v>6</v>
      </c>
      <c r="AE5" t="s">
        <v>7</v>
      </c>
    </row>
    <row r="6" spans="1:35">
      <c r="A6" s="300"/>
      <c r="B6" s="300"/>
      <c r="C6" s="304" t="s">
        <v>8</v>
      </c>
      <c r="D6" s="305"/>
      <c r="E6" s="305"/>
      <c r="F6" s="306"/>
      <c r="G6" s="304" t="s">
        <v>9</v>
      </c>
      <c r="H6" s="305"/>
      <c r="I6" s="305"/>
      <c r="J6" s="306"/>
      <c r="K6" s="304" t="s">
        <v>10</v>
      </c>
      <c r="L6" s="305"/>
      <c r="M6" s="305"/>
      <c r="N6" s="306"/>
      <c r="O6" s="308"/>
      <c r="P6" s="282"/>
      <c r="Q6" s="282"/>
      <c r="R6" s="282"/>
      <c r="S6" s="282"/>
      <c r="T6" s="282"/>
      <c r="U6" s="283"/>
      <c r="V6" s="281"/>
      <c r="W6" s="282"/>
      <c r="X6" s="282"/>
      <c r="Y6" s="282"/>
      <c r="Z6" s="282"/>
      <c r="AA6" s="282"/>
      <c r="AB6" s="283"/>
      <c r="AD6" s="24" cm="1">
        <f t="array" ref="AD6">(SUM((IF(I8:I12&lt;=H8:H12,I8:I12,H8:H12)),(IF(E8:E12&lt;=D8:D12,E8:E12,D8:D12)),(IF(M8:M12&lt;=L8:L12,M8:M12,L8:L12))))/P13</f>
        <v>0.32758620689655171</v>
      </c>
      <c r="AE6" s="24" cm="1">
        <f t="array" ref="AE6">IF(AD6&gt;=1,"N/A",SUM((IF((E8:E12+F8:F12)&gt;D8:D12,ABS(D8:D12-E8:E12),F8:F12)),(IF((I8:I12+J8:J12)&gt;H8:H12,ABS(H8:H12-I8:I12),J8:J12)),(IF((M8:M12+N8:N12)&gt;L8:L12,ABS(L8:L12-M8:M12),N8:N12)))/(P13-Q13))</f>
        <v>1</v>
      </c>
      <c r="AI6" s="23">
        <f>AVERAGE(AE6,AE17,AE39,AE50,AE61,AE72,AE83)</f>
        <v>0.52477387990220148</v>
      </c>
    </row>
    <row r="7" spans="1:35">
      <c r="A7" s="300"/>
      <c r="B7" s="300"/>
      <c r="C7" s="7" t="s">
        <v>11</v>
      </c>
      <c r="D7" s="1" t="s">
        <v>12</v>
      </c>
      <c r="E7" s="1" t="s">
        <v>13</v>
      </c>
      <c r="F7" s="2" t="s">
        <v>14</v>
      </c>
      <c r="G7" s="7" t="s">
        <v>11</v>
      </c>
      <c r="H7" s="1" t="s">
        <v>12</v>
      </c>
      <c r="I7" s="1" t="s">
        <v>13</v>
      </c>
      <c r="J7" s="2" t="s">
        <v>14</v>
      </c>
      <c r="K7" s="7" t="s">
        <v>11</v>
      </c>
      <c r="L7" s="1" t="s">
        <v>12</v>
      </c>
      <c r="M7" s="1" t="s">
        <v>13</v>
      </c>
      <c r="N7" s="2" t="s">
        <v>14</v>
      </c>
      <c r="O7" s="9" t="s">
        <v>15</v>
      </c>
      <c r="P7" s="3" t="s">
        <v>12</v>
      </c>
      <c r="Q7" s="3" t="s">
        <v>13</v>
      </c>
      <c r="R7" s="3" t="s">
        <v>14</v>
      </c>
      <c r="S7" s="3" t="s">
        <v>16</v>
      </c>
      <c r="T7" s="3" t="s">
        <v>17</v>
      </c>
      <c r="U7" s="10" t="s">
        <v>18</v>
      </c>
      <c r="V7" s="290" t="s">
        <v>19</v>
      </c>
      <c r="W7" s="291"/>
      <c r="X7" s="291"/>
      <c r="Y7" s="291"/>
      <c r="Z7" s="291"/>
      <c r="AA7" s="291"/>
      <c r="AB7" s="292"/>
    </row>
    <row r="8" spans="1:35">
      <c r="A8" s="300"/>
      <c r="B8" s="6" t="s">
        <v>20</v>
      </c>
      <c r="C8" s="7">
        <v>0</v>
      </c>
      <c r="D8" s="1">
        <v>0</v>
      </c>
      <c r="E8" s="1"/>
      <c r="F8" s="2"/>
      <c r="G8" s="7">
        <v>0</v>
      </c>
      <c r="H8" s="1">
        <v>0</v>
      </c>
      <c r="I8" s="1"/>
      <c r="J8" s="2"/>
      <c r="K8" s="7">
        <v>0</v>
      </c>
      <c r="L8" s="1">
        <v>0</v>
      </c>
      <c r="M8" s="1"/>
      <c r="N8" s="2"/>
      <c r="O8" s="11">
        <f>SUM(C8,G8,K8)</f>
        <v>0</v>
      </c>
      <c r="P8" s="4">
        <f>SUM(D8,H8,L8)</f>
        <v>0</v>
      </c>
      <c r="Q8" s="4" t="str">
        <f>IF(P8=0,"-",SUM(E8,I8,M8))</f>
        <v>-</v>
      </c>
      <c r="R8" s="4" t="str">
        <f>IF(P8=0,"-",SUM(F8,J8,N8))</f>
        <v>-</v>
      </c>
      <c r="S8" s="4" t="str">
        <f>IF(P8=0,"-",SUM((IF((E8+F8)&gt;228,D8,IF((E8+F8)&gt;D8,D8,(E8+F8)))),IF((I8+J8)&gt;228,H8,IF((I8+J8)&gt;H8,H8,(I8+J8))),(IF((M8+N8)&gt;228,L8,IF((M8+N8)&gt;L8,L8,(M8+N8))))))</f>
        <v>-</v>
      </c>
      <c r="T8" s="4" t="str">
        <f>IF(P8=0,"-",(P8-S8))</f>
        <v>-</v>
      </c>
      <c r="U8" s="12" t="str">
        <f>IF(P8=0,"-",(1-(T8/P8)))</f>
        <v>-</v>
      </c>
      <c r="V8" s="290"/>
      <c r="W8" s="291"/>
      <c r="X8" s="291"/>
      <c r="Y8" s="291"/>
      <c r="Z8" s="291"/>
      <c r="AA8" s="291"/>
      <c r="AB8" s="292"/>
    </row>
    <row r="9" spans="1:35">
      <c r="A9" s="300"/>
      <c r="B9" s="6" t="s">
        <v>21</v>
      </c>
      <c r="C9" s="7">
        <v>0</v>
      </c>
      <c r="D9" s="1">
        <v>0</v>
      </c>
      <c r="E9" s="1"/>
      <c r="F9" s="2"/>
      <c r="G9" s="7">
        <v>0</v>
      </c>
      <c r="H9" s="1">
        <v>0</v>
      </c>
      <c r="I9" s="1"/>
      <c r="J9" s="2"/>
      <c r="K9" s="7">
        <v>0</v>
      </c>
      <c r="L9" s="1">
        <v>0</v>
      </c>
      <c r="M9" s="1"/>
      <c r="N9" s="2"/>
      <c r="O9" s="11">
        <f t="shared" ref="O9:O12" si="0">SUM(C9,G9,K9)</f>
        <v>0</v>
      </c>
      <c r="P9" s="4">
        <f t="shared" ref="P9:P12" si="1">SUM(D9,H9,L9)</f>
        <v>0</v>
      </c>
      <c r="Q9" s="4" t="str">
        <f t="shared" ref="Q9:Q12" si="2">IF(P9=0,"-",SUM(E9,I9,M9))</f>
        <v>-</v>
      </c>
      <c r="R9" s="4" t="str">
        <f t="shared" ref="R9:R12" si="3">IF(P9=0,"-",SUM(F9,J9,N9))</f>
        <v>-</v>
      </c>
      <c r="S9" s="4" t="str">
        <f t="shared" ref="S9:S12" si="4">IF(P9=0,"-",SUM((IF((E9+F9)&gt;228,D9,IF((E9+F9)&gt;D9,D9,(E9+F9)))),IF((I9+J9)&gt;228,H9,IF((I9+J9)&gt;H9,H9,(I9+J9))),(IF((M9+N9)&gt;228,L9,IF((M9+N9)&gt;L9,L9,(M9+N9))))))</f>
        <v>-</v>
      </c>
      <c r="T9" s="4" t="str">
        <f t="shared" ref="T9:T12" si="5">IF(P9=0,"-",(P9-S9))</f>
        <v>-</v>
      </c>
      <c r="U9" s="12" t="str">
        <f t="shared" ref="U9:U12" si="6">IF(P9=0,"-",(1-(T9/P9)))</f>
        <v>-</v>
      </c>
      <c r="V9" s="290"/>
      <c r="W9" s="291"/>
      <c r="X9" s="291"/>
      <c r="Y9" s="291"/>
      <c r="Z9" s="291"/>
      <c r="AA9" s="291"/>
      <c r="AB9" s="292"/>
    </row>
    <row r="10" spans="1:35">
      <c r="A10" s="300"/>
      <c r="B10" s="6" t="s">
        <v>22</v>
      </c>
      <c r="C10" s="7">
        <v>0</v>
      </c>
      <c r="D10" s="1">
        <v>0</v>
      </c>
      <c r="E10" s="1"/>
      <c r="F10" s="2"/>
      <c r="G10" s="7">
        <v>46</v>
      </c>
      <c r="H10" s="1">
        <v>22</v>
      </c>
      <c r="I10" s="1"/>
      <c r="J10" s="2">
        <v>22</v>
      </c>
      <c r="K10" s="7">
        <v>0</v>
      </c>
      <c r="L10" s="1">
        <v>0</v>
      </c>
      <c r="M10" s="1"/>
      <c r="N10" s="2"/>
      <c r="O10" s="11">
        <f t="shared" si="0"/>
        <v>46</v>
      </c>
      <c r="P10" s="4">
        <f t="shared" si="1"/>
        <v>22</v>
      </c>
      <c r="Q10" s="4">
        <f t="shared" si="2"/>
        <v>0</v>
      </c>
      <c r="R10" s="4">
        <f t="shared" si="3"/>
        <v>22</v>
      </c>
      <c r="S10" s="4">
        <f t="shared" si="4"/>
        <v>22</v>
      </c>
      <c r="T10" s="4">
        <f t="shared" si="5"/>
        <v>0</v>
      </c>
      <c r="U10" s="12">
        <f t="shared" si="6"/>
        <v>1</v>
      </c>
      <c r="V10" s="290"/>
      <c r="W10" s="291"/>
      <c r="X10" s="291"/>
      <c r="Y10" s="291"/>
      <c r="Z10" s="291"/>
      <c r="AA10" s="291"/>
      <c r="AB10" s="292"/>
    </row>
    <row r="11" spans="1:35">
      <c r="A11" s="300"/>
      <c r="B11" s="6" t="s">
        <v>23</v>
      </c>
      <c r="C11" s="7">
        <v>6</v>
      </c>
      <c r="D11" s="1">
        <v>0</v>
      </c>
      <c r="E11" s="1"/>
      <c r="F11" s="2"/>
      <c r="G11" s="7">
        <v>228</v>
      </c>
      <c r="H11" s="1">
        <v>228</v>
      </c>
      <c r="I11" s="1">
        <v>95</v>
      </c>
      <c r="J11" s="2">
        <f>(114+116)</f>
        <v>230</v>
      </c>
      <c r="K11" s="7">
        <v>228</v>
      </c>
      <c r="L11" s="1">
        <v>0</v>
      </c>
      <c r="M11" s="1"/>
      <c r="N11" s="2">
        <f>(5+2)</f>
        <v>7</v>
      </c>
      <c r="O11" s="11">
        <f t="shared" si="0"/>
        <v>462</v>
      </c>
      <c r="P11" s="4">
        <f t="shared" si="1"/>
        <v>228</v>
      </c>
      <c r="Q11" s="4">
        <f t="shared" si="2"/>
        <v>95</v>
      </c>
      <c r="R11" s="4">
        <f t="shared" si="3"/>
        <v>237</v>
      </c>
      <c r="S11" s="4">
        <f t="shared" si="4"/>
        <v>228</v>
      </c>
      <c r="T11" s="4">
        <f t="shared" si="5"/>
        <v>0</v>
      </c>
      <c r="U11" s="12">
        <f t="shared" si="6"/>
        <v>1</v>
      </c>
      <c r="V11" s="290"/>
      <c r="W11" s="291"/>
      <c r="X11" s="291"/>
      <c r="Y11" s="291"/>
      <c r="Z11" s="291"/>
      <c r="AA11" s="291"/>
      <c r="AB11" s="292"/>
    </row>
    <row r="12" spans="1:35">
      <c r="A12" s="300"/>
      <c r="B12" s="6" t="s">
        <v>24</v>
      </c>
      <c r="C12" s="7">
        <v>7</v>
      </c>
      <c r="D12" s="1">
        <v>9</v>
      </c>
      <c r="E12" s="1">
        <v>1</v>
      </c>
      <c r="F12" s="2">
        <v>8</v>
      </c>
      <c r="G12" s="7">
        <v>83</v>
      </c>
      <c r="H12" s="1">
        <v>87</v>
      </c>
      <c r="I12" s="1">
        <v>18</v>
      </c>
      <c r="J12" s="2">
        <v>69</v>
      </c>
      <c r="K12" s="7">
        <v>4</v>
      </c>
      <c r="L12" s="1">
        <v>2</v>
      </c>
      <c r="M12" s="1"/>
      <c r="N12" s="2">
        <v>4</v>
      </c>
      <c r="O12" s="11">
        <f t="shared" si="0"/>
        <v>94</v>
      </c>
      <c r="P12" s="4">
        <f t="shared" si="1"/>
        <v>98</v>
      </c>
      <c r="Q12" s="4">
        <f t="shared" si="2"/>
        <v>19</v>
      </c>
      <c r="R12" s="4">
        <f t="shared" si="3"/>
        <v>81</v>
      </c>
      <c r="S12" s="4">
        <f t="shared" si="4"/>
        <v>98</v>
      </c>
      <c r="T12" s="4">
        <f t="shared" si="5"/>
        <v>0</v>
      </c>
      <c r="U12" s="12">
        <f t="shared" si="6"/>
        <v>1</v>
      </c>
      <c r="V12" s="290"/>
      <c r="W12" s="291"/>
      <c r="X12" s="291"/>
      <c r="Y12" s="291"/>
      <c r="Z12" s="291"/>
      <c r="AA12" s="291"/>
      <c r="AB12" s="292"/>
    </row>
    <row r="13" spans="1:35" ht="15.75" thickBot="1">
      <c r="A13" s="316"/>
      <c r="B13" s="13" t="s">
        <v>4</v>
      </c>
      <c r="C13" s="17">
        <f>SUM(C8:C12)</f>
        <v>13</v>
      </c>
      <c r="D13" s="15">
        <f>SUM(D8:D12)</f>
        <v>9</v>
      </c>
      <c r="E13" s="15">
        <f>SUM(E8:E12)</f>
        <v>1</v>
      </c>
      <c r="F13" s="16">
        <f>SUM(F8:F12)</f>
        <v>8</v>
      </c>
      <c r="G13" s="17">
        <f t="shared" ref="G13:N13" si="7">SUM(G8:G12)</f>
        <v>357</v>
      </c>
      <c r="H13" s="15">
        <f t="shared" si="7"/>
        <v>337</v>
      </c>
      <c r="I13" s="15">
        <f t="shared" si="7"/>
        <v>113</v>
      </c>
      <c r="J13" s="16">
        <f t="shared" si="7"/>
        <v>321</v>
      </c>
      <c r="K13" s="17">
        <f t="shared" si="7"/>
        <v>232</v>
      </c>
      <c r="L13" s="15">
        <f t="shared" si="7"/>
        <v>2</v>
      </c>
      <c r="M13" s="15">
        <f t="shared" si="7"/>
        <v>0</v>
      </c>
      <c r="N13" s="16">
        <f t="shared" si="7"/>
        <v>11</v>
      </c>
      <c r="O13" s="21">
        <f>SUM(O8:O12)</f>
        <v>602</v>
      </c>
      <c r="P13" s="19">
        <f t="shared" ref="P13:R13" si="8">SUM(P8:P12)</f>
        <v>348</v>
      </c>
      <c r="Q13" s="19">
        <f t="shared" si="8"/>
        <v>114</v>
      </c>
      <c r="R13" s="19">
        <f t="shared" si="8"/>
        <v>340</v>
      </c>
      <c r="S13" s="19">
        <f>SUM(S8:S12)</f>
        <v>348</v>
      </c>
      <c r="T13" s="19">
        <f>(P13-S13)</f>
        <v>0</v>
      </c>
      <c r="U13" s="20">
        <f>IF(P13=0,"-",(1-(T13/P13)))</f>
        <v>1</v>
      </c>
      <c r="V13" s="293"/>
      <c r="W13" s="294"/>
      <c r="X13" s="294"/>
      <c r="Y13" s="294"/>
      <c r="Z13" s="294"/>
      <c r="AA13" s="294"/>
      <c r="AB13" s="295"/>
    </row>
    <row r="14" spans="1:35">
      <c r="R14" s="22"/>
    </row>
    <row r="15" spans="1:35" ht="15.75" thickBot="1"/>
    <row r="16" spans="1:35" ht="15.75" thickBot="1">
      <c r="A16" s="296" t="s">
        <v>25</v>
      </c>
      <c r="B16" s="296" t="s">
        <v>2</v>
      </c>
      <c r="C16" s="320" t="s">
        <v>3</v>
      </c>
      <c r="D16" s="321"/>
      <c r="E16" s="321"/>
      <c r="F16" s="321"/>
      <c r="G16" s="321"/>
      <c r="H16" s="321"/>
      <c r="I16" s="321"/>
      <c r="J16" s="321"/>
      <c r="K16" s="321"/>
      <c r="L16" s="321"/>
      <c r="M16" s="321"/>
      <c r="N16" s="322"/>
      <c r="O16" s="310" t="s">
        <v>4</v>
      </c>
      <c r="P16" s="311"/>
      <c r="Q16" s="311"/>
      <c r="R16" s="311"/>
      <c r="S16" s="311"/>
      <c r="T16" s="311"/>
      <c r="U16" s="312"/>
      <c r="V16" s="278" t="s">
        <v>5</v>
      </c>
      <c r="W16" s="279"/>
      <c r="X16" s="279"/>
      <c r="Y16" s="279"/>
      <c r="Z16" s="279"/>
      <c r="AA16" s="279"/>
      <c r="AB16" s="280"/>
      <c r="AD16" t="s">
        <v>6</v>
      </c>
      <c r="AE16" t="s">
        <v>7</v>
      </c>
    </row>
    <row r="17" spans="1:31">
      <c r="A17" s="297"/>
      <c r="B17" s="297"/>
      <c r="C17" s="323" t="s">
        <v>8</v>
      </c>
      <c r="D17" s="324"/>
      <c r="E17" s="324"/>
      <c r="F17" s="325"/>
      <c r="G17" s="323" t="s">
        <v>9</v>
      </c>
      <c r="H17" s="324"/>
      <c r="I17" s="324"/>
      <c r="J17" s="325"/>
      <c r="K17" s="323" t="s">
        <v>10</v>
      </c>
      <c r="L17" s="324"/>
      <c r="M17" s="324"/>
      <c r="N17" s="325"/>
      <c r="O17" s="313"/>
      <c r="P17" s="314"/>
      <c r="Q17" s="314"/>
      <c r="R17" s="314"/>
      <c r="S17" s="314"/>
      <c r="T17" s="314"/>
      <c r="U17" s="315"/>
      <c r="V17" s="281"/>
      <c r="W17" s="282"/>
      <c r="X17" s="282"/>
      <c r="Y17" s="282"/>
      <c r="Z17" s="282"/>
      <c r="AA17" s="282"/>
      <c r="AB17" s="283"/>
      <c r="AD17" s="24" cm="1">
        <f t="array" ref="AD17">(SUM((IF(I19:I23&lt;=H19:H23,I19:I23,H19:H23)),(IF(E19:E23&lt;=D19:D23,E19:E23,D19:D23)),(IF(M19:M23&lt;=L19:L23,M19:M23,L19:L23))))/P24</f>
        <v>0.2857142857142857</v>
      </c>
      <c r="AE17" s="24" cm="1">
        <f t="array" ref="AE17">SUM((IF((E19:E23+F19:F23)&gt;D19:D23,ABS(D19:D23-E19:E23),F19:F23)),(IF((I19:I23+J19:J23)&gt;H19:H23,ABS(H19:H23-I19:I23),J19:J23)),(IF((M19:M23+N19:N23)&gt;L19:L23,ABS(L19:L23-M19:M23),N19:N23)))/(P24-Q24)</f>
        <v>0</v>
      </c>
    </row>
    <row r="18" spans="1:31">
      <c r="A18" s="297"/>
      <c r="B18" s="319"/>
      <c r="C18" s="5" t="s">
        <v>11</v>
      </c>
      <c r="D18" s="1" t="s">
        <v>12</v>
      </c>
      <c r="E18" s="1" t="s">
        <v>13</v>
      </c>
      <c r="F18" s="2" t="s">
        <v>14</v>
      </c>
      <c r="G18" s="7" t="s">
        <v>11</v>
      </c>
      <c r="H18" s="1" t="s">
        <v>12</v>
      </c>
      <c r="I18" s="1" t="s">
        <v>13</v>
      </c>
      <c r="J18" s="2" t="s">
        <v>14</v>
      </c>
      <c r="K18" s="7" t="s">
        <v>11</v>
      </c>
      <c r="L18" s="1" t="s">
        <v>12</v>
      </c>
      <c r="M18" s="1" t="s">
        <v>13</v>
      </c>
      <c r="N18" s="2" t="s">
        <v>14</v>
      </c>
      <c r="O18" s="9" t="s">
        <v>15</v>
      </c>
      <c r="P18" s="3" t="s">
        <v>12</v>
      </c>
      <c r="Q18" s="3" t="s">
        <v>13</v>
      </c>
      <c r="R18" s="3" t="s">
        <v>14</v>
      </c>
      <c r="S18" s="3" t="s">
        <v>16</v>
      </c>
      <c r="T18" s="3" t="s">
        <v>17</v>
      </c>
      <c r="U18" s="10" t="s">
        <v>18</v>
      </c>
      <c r="V18" s="284" t="s">
        <v>26</v>
      </c>
      <c r="W18" s="285"/>
      <c r="X18" s="285"/>
      <c r="Y18" s="285"/>
      <c r="Z18" s="285"/>
      <c r="AA18" s="285"/>
      <c r="AB18" s="286"/>
    </row>
    <row r="19" spans="1:31">
      <c r="A19" s="297"/>
      <c r="B19" s="6" t="s">
        <v>20</v>
      </c>
      <c r="C19" s="5"/>
      <c r="D19" s="1"/>
      <c r="E19" s="1"/>
      <c r="F19" s="2"/>
      <c r="G19" s="7">
        <v>22</v>
      </c>
      <c r="H19" s="1">
        <v>0</v>
      </c>
      <c r="I19" s="1"/>
      <c r="J19" s="2"/>
      <c r="K19" s="7">
        <v>6</v>
      </c>
      <c r="L19" s="1">
        <v>6</v>
      </c>
      <c r="M19" s="1"/>
      <c r="N19" s="2"/>
      <c r="O19" s="11">
        <f>SUM(C19,G19,K19)</f>
        <v>28</v>
      </c>
      <c r="P19" s="4">
        <f>SUM(D19,H19,L19)</f>
        <v>6</v>
      </c>
      <c r="Q19" s="4">
        <f>IF(P19=0,"-",SUM(E19,I19,M19))</f>
        <v>0</v>
      </c>
      <c r="R19" s="4">
        <f>IF(P19=0,"-",SUM(F19,J19,N19))</f>
        <v>0</v>
      </c>
      <c r="S19" s="4">
        <f>IF(P19=0,"-",SUM((IF((E19+F19)&gt;228,D19,IF((E19+F19)&gt;D19,D19,(E19+F19)))),IF((I19+J19)&gt;228,H19,IF((I19+J19)&gt;H19,H19,(I19+J19))),(IF((M19+N19)&gt;228,L19,IF((M19+N19)&gt;L19,L19,(M19+N19))))))</f>
        <v>0</v>
      </c>
      <c r="T19" s="4">
        <f>IF(P19=0,"-",(P19-S19))</f>
        <v>6</v>
      </c>
      <c r="U19" s="12">
        <f>IF(P19=0,"-",(1-(T19/P19)))</f>
        <v>0</v>
      </c>
      <c r="V19" s="284"/>
      <c r="W19" s="285"/>
      <c r="X19" s="285"/>
      <c r="Y19" s="285"/>
      <c r="Z19" s="285"/>
      <c r="AA19" s="285"/>
      <c r="AB19" s="286"/>
    </row>
    <row r="20" spans="1:31">
      <c r="A20" s="297"/>
      <c r="B20" s="6" t="s">
        <v>21</v>
      </c>
      <c r="C20" s="5">
        <v>1</v>
      </c>
      <c r="D20" s="1">
        <v>1</v>
      </c>
      <c r="E20" s="1"/>
      <c r="F20" s="2"/>
      <c r="G20" s="7">
        <v>6</v>
      </c>
      <c r="H20" s="1"/>
      <c r="I20" s="1"/>
      <c r="J20" s="2"/>
      <c r="K20" s="7"/>
      <c r="L20" s="1"/>
      <c r="M20" s="1"/>
      <c r="N20" s="2"/>
      <c r="O20" s="11">
        <f t="shared" ref="O20:O23" si="9">SUM(C20,G20,K20)</f>
        <v>7</v>
      </c>
      <c r="P20" s="4">
        <f t="shared" ref="P20:P23" si="10">SUM(D20,H20,L20)</f>
        <v>1</v>
      </c>
      <c r="Q20" s="4">
        <f t="shared" ref="Q20:Q23" si="11">IF(P20=0,"-",SUM(E20,I20,M20))</f>
        <v>0</v>
      </c>
      <c r="R20" s="4">
        <f t="shared" ref="R20:R23" si="12">IF(P20=0,"-",SUM(F20,J20,N20))</f>
        <v>0</v>
      </c>
      <c r="S20" s="4">
        <f t="shared" ref="S20:S23" si="13">IF(P20=0,"-",SUM((IF((E20+F20)&gt;228,D20,IF((E20+F20)&gt;D20,D20,(E20+F20)))),IF((I20+J20)&gt;228,H20,IF((I20+J20)&gt;H20,H20,(I20+J20))),(IF((M20+N20)&gt;228,L20,IF((M20+N20)&gt;L20,L20,(M20+N20))))))</f>
        <v>0</v>
      </c>
      <c r="T20" s="4">
        <f t="shared" ref="T20:T23" si="14">IF(P20=0,"-",(P20-S20))</f>
        <v>1</v>
      </c>
      <c r="U20" s="12">
        <f t="shared" ref="U20:U23" si="15">IF(P20=0,"-",(1-(T20/P20)))</f>
        <v>0</v>
      </c>
      <c r="V20" s="284"/>
      <c r="W20" s="285"/>
      <c r="X20" s="285"/>
      <c r="Y20" s="285"/>
      <c r="Z20" s="285"/>
      <c r="AA20" s="285"/>
      <c r="AB20" s="286"/>
    </row>
    <row r="21" spans="1:31">
      <c r="A21" s="297"/>
      <c r="B21" s="6" t="s">
        <v>22</v>
      </c>
      <c r="C21" s="5"/>
      <c r="D21" s="1"/>
      <c r="E21" s="1"/>
      <c r="F21" s="2"/>
      <c r="G21" s="7">
        <v>121</v>
      </c>
      <c r="H21" s="1">
        <v>0</v>
      </c>
      <c r="I21" s="1"/>
      <c r="J21" s="2"/>
      <c r="K21" s="7">
        <v>55</v>
      </c>
      <c r="L21" s="1">
        <v>0</v>
      </c>
      <c r="M21" s="1"/>
      <c r="N21" s="2"/>
      <c r="O21" s="11">
        <f t="shared" si="9"/>
        <v>176</v>
      </c>
      <c r="P21" s="4">
        <f t="shared" si="10"/>
        <v>0</v>
      </c>
      <c r="Q21" s="4" t="str">
        <f t="shared" si="11"/>
        <v>-</v>
      </c>
      <c r="R21" s="4" t="str">
        <f t="shared" si="12"/>
        <v>-</v>
      </c>
      <c r="S21" s="4" t="str">
        <f t="shared" si="13"/>
        <v>-</v>
      </c>
      <c r="T21" s="4" t="str">
        <f t="shared" si="14"/>
        <v>-</v>
      </c>
      <c r="U21" s="12" t="str">
        <f t="shared" si="15"/>
        <v>-</v>
      </c>
      <c r="V21" s="284"/>
      <c r="W21" s="285"/>
      <c r="X21" s="285"/>
      <c r="Y21" s="285"/>
      <c r="Z21" s="285"/>
      <c r="AA21" s="285"/>
      <c r="AB21" s="286"/>
    </row>
    <row r="22" spans="1:31">
      <c r="A22" s="297"/>
      <c r="B22" s="6" t="s">
        <v>23</v>
      </c>
      <c r="C22" s="5"/>
      <c r="D22" s="1"/>
      <c r="E22" s="1"/>
      <c r="F22" s="2"/>
      <c r="G22" s="7">
        <v>179</v>
      </c>
      <c r="H22" s="1">
        <v>179</v>
      </c>
      <c r="I22" s="1">
        <v>120</v>
      </c>
      <c r="J22" s="2"/>
      <c r="K22" s="7">
        <v>113</v>
      </c>
      <c r="L22" s="1">
        <v>113</v>
      </c>
      <c r="M22" s="1"/>
      <c r="N22" s="2"/>
      <c r="O22" s="11">
        <f t="shared" si="9"/>
        <v>292</v>
      </c>
      <c r="P22" s="4">
        <f t="shared" si="10"/>
        <v>292</v>
      </c>
      <c r="Q22" s="4">
        <f t="shared" si="11"/>
        <v>120</v>
      </c>
      <c r="R22" s="4">
        <f t="shared" si="12"/>
        <v>0</v>
      </c>
      <c r="S22" s="4">
        <f t="shared" si="13"/>
        <v>120</v>
      </c>
      <c r="T22" s="4">
        <f t="shared" si="14"/>
        <v>172</v>
      </c>
      <c r="U22" s="12">
        <f t="shared" si="15"/>
        <v>0.41095890410958902</v>
      </c>
      <c r="V22" s="284"/>
      <c r="W22" s="285"/>
      <c r="X22" s="285"/>
      <c r="Y22" s="285"/>
      <c r="Z22" s="285"/>
      <c r="AA22" s="285"/>
      <c r="AB22" s="286"/>
    </row>
    <row r="23" spans="1:31">
      <c r="A23" s="297"/>
      <c r="B23" s="6" t="s">
        <v>24</v>
      </c>
      <c r="C23" s="5">
        <v>12</v>
      </c>
      <c r="D23" s="1">
        <v>12</v>
      </c>
      <c r="E23" s="1"/>
      <c r="F23" s="2"/>
      <c r="G23" s="7">
        <v>110</v>
      </c>
      <c r="H23" s="1"/>
      <c r="I23" s="1"/>
      <c r="J23" s="2"/>
      <c r="K23" s="7">
        <v>109</v>
      </c>
      <c r="L23" s="1">
        <v>109</v>
      </c>
      <c r="M23" s="1"/>
      <c r="N23" s="2"/>
      <c r="O23" s="11">
        <f t="shared" si="9"/>
        <v>231</v>
      </c>
      <c r="P23" s="4">
        <f t="shared" si="10"/>
        <v>121</v>
      </c>
      <c r="Q23" s="4">
        <f t="shared" si="11"/>
        <v>0</v>
      </c>
      <c r="R23" s="4">
        <f t="shared" si="12"/>
        <v>0</v>
      </c>
      <c r="S23" s="4">
        <f t="shared" si="13"/>
        <v>0</v>
      </c>
      <c r="T23" s="4">
        <f t="shared" si="14"/>
        <v>121</v>
      </c>
      <c r="U23" s="12">
        <f t="shared" si="15"/>
        <v>0</v>
      </c>
      <c r="V23" s="284"/>
      <c r="W23" s="285"/>
      <c r="X23" s="285"/>
      <c r="Y23" s="285"/>
      <c r="Z23" s="285"/>
      <c r="AA23" s="285"/>
      <c r="AB23" s="286"/>
    </row>
    <row r="24" spans="1:31" ht="15.75" thickBot="1">
      <c r="A24" s="298"/>
      <c r="B24" s="13" t="s">
        <v>4</v>
      </c>
      <c r="C24" s="14">
        <f>SUM(C19:C23)</f>
        <v>13</v>
      </c>
      <c r="D24" s="15">
        <f>SUM(D19:D23)</f>
        <v>13</v>
      </c>
      <c r="E24" s="15">
        <f>SUM(E19:E23)</f>
        <v>0</v>
      </c>
      <c r="F24" s="16">
        <f>SUM(F19:F23)</f>
        <v>0</v>
      </c>
      <c r="G24" s="17">
        <f t="shared" ref="G24:N24" si="16">SUM(G19:G23)</f>
        <v>438</v>
      </c>
      <c r="H24" s="15">
        <f t="shared" si="16"/>
        <v>179</v>
      </c>
      <c r="I24" s="15">
        <f t="shared" si="16"/>
        <v>120</v>
      </c>
      <c r="J24" s="16">
        <f t="shared" si="16"/>
        <v>0</v>
      </c>
      <c r="K24" s="17">
        <f t="shared" si="16"/>
        <v>283</v>
      </c>
      <c r="L24" s="15">
        <f t="shared" si="16"/>
        <v>228</v>
      </c>
      <c r="M24" s="15">
        <f t="shared" si="16"/>
        <v>0</v>
      </c>
      <c r="N24" s="16">
        <f t="shared" si="16"/>
        <v>0</v>
      </c>
      <c r="O24" s="21">
        <f>SUM(O19:O23)</f>
        <v>734</v>
      </c>
      <c r="P24" s="19">
        <f t="shared" ref="P24" si="17">SUM(P19:P23)</f>
        <v>420</v>
      </c>
      <c r="Q24" s="19">
        <f t="shared" ref="Q24" si="18">SUM(Q19:Q23)</f>
        <v>120</v>
      </c>
      <c r="R24" s="19">
        <f t="shared" ref="R24" si="19">SUM(R19:R23)</f>
        <v>0</v>
      </c>
      <c r="S24" s="19">
        <f>SUM(S19:S23)</f>
        <v>120</v>
      </c>
      <c r="T24" s="19">
        <f>(P24-S24)</f>
        <v>300</v>
      </c>
      <c r="U24" s="20">
        <f>IF(P24=0,"-",(1-(T24/P24)))</f>
        <v>0.2857142857142857</v>
      </c>
      <c r="V24" s="287"/>
      <c r="W24" s="288"/>
      <c r="X24" s="288"/>
      <c r="Y24" s="288"/>
      <c r="Z24" s="288"/>
      <c r="AA24" s="288"/>
      <c r="AB24" s="289"/>
    </row>
    <row r="26" spans="1:31" ht="15.75" thickBot="1"/>
    <row r="27" spans="1:31" ht="15.75" thickBot="1">
      <c r="A27" s="299" t="s">
        <v>27</v>
      </c>
      <c r="B27" s="299" t="s">
        <v>2</v>
      </c>
      <c r="C27" s="317" t="s">
        <v>3</v>
      </c>
      <c r="D27" s="302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278" t="s">
        <v>4</v>
      </c>
      <c r="P27" s="279"/>
      <c r="Q27" s="279"/>
      <c r="R27" s="279"/>
      <c r="S27" s="279"/>
      <c r="T27" s="279"/>
      <c r="U27" s="280"/>
      <c r="V27" s="278" t="s">
        <v>5</v>
      </c>
      <c r="W27" s="279"/>
      <c r="X27" s="279"/>
      <c r="Y27" s="279"/>
      <c r="Z27" s="279"/>
      <c r="AA27" s="279"/>
      <c r="AB27" s="280"/>
      <c r="AD27" t="s">
        <v>6</v>
      </c>
      <c r="AE27" t="s">
        <v>7</v>
      </c>
    </row>
    <row r="28" spans="1:31">
      <c r="A28" s="300"/>
      <c r="B28" s="300"/>
      <c r="C28" s="318" t="s">
        <v>8</v>
      </c>
      <c r="D28" s="305"/>
      <c r="E28" s="305"/>
      <c r="F28" s="306"/>
      <c r="G28" s="304" t="s">
        <v>9</v>
      </c>
      <c r="H28" s="305"/>
      <c r="I28" s="305"/>
      <c r="J28" s="306"/>
      <c r="K28" s="304" t="s">
        <v>10</v>
      </c>
      <c r="L28" s="305"/>
      <c r="M28" s="305"/>
      <c r="N28" s="306"/>
      <c r="O28" s="281"/>
      <c r="P28" s="282"/>
      <c r="Q28" s="282"/>
      <c r="R28" s="282"/>
      <c r="S28" s="282"/>
      <c r="T28" s="282"/>
      <c r="U28" s="283"/>
      <c r="V28" s="281"/>
      <c r="W28" s="282"/>
      <c r="X28" s="282"/>
      <c r="Y28" s="282"/>
      <c r="Z28" s="282"/>
      <c r="AA28" s="282"/>
      <c r="AB28" s="283"/>
      <c r="AD28" s="24" cm="1">
        <f t="array" ref="AD28">(SUM((IF(I30:I34&lt;=H30:H34,I30:I34,H30:H34)),(IF(E30:E34&lt;=D30:D34,E30:E34,D30:D34)),(IF(M30:M34&lt;=L30:L34,M30:M34,L30:L34))))/P35</f>
        <v>1</v>
      </c>
      <c r="AE28" s="24" t="str" cm="1">
        <f t="array" ref="AE28">IF(AD28&gt;=1,"N/A",SUM((IF((E30:E34+F30:F34)&gt;D30:D34,ABS(D30:D34-E30:E34),F30:F34)),(IF((I30:I34+J30:J34)&gt;H30:H34,ABS(H30:H34-I30:I34),J30:J34)),(IF((M30:M34+N30:N34)&gt;L30:L34,ABS(L30:L34-M30:M34),N30:N34)))/(P35-Q35))</f>
        <v>N/A</v>
      </c>
    </row>
    <row r="29" spans="1:31">
      <c r="A29" s="300"/>
      <c r="B29" s="300"/>
      <c r="C29" s="5" t="s">
        <v>11</v>
      </c>
      <c r="D29" s="1" t="s">
        <v>12</v>
      </c>
      <c r="E29" s="1" t="s">
        <v>13</v>
      </c>
      <c r="F29" s="2" t="s">
        <v>14</v>
      </c>
      <c r="G29" s="7" t="s">
        <v>11</v>
      </c>
      <c r="H29" s="1" t="s">
        <v>12</v>
      </c>
      <c r="I29" s="1" t="s">
        <v>13</v>
      </c>
      <c r="J29" s="2" t="s">
        <v>14</v>
      </c>
      <c r="K29" s="7" t="s">
        <v>11</v>
      </c>
      <c r="L29" s="1" t="s">
        <v>12</v>
      </c>
      <c r="M29" s="1" t="s">
        <v>13</v>
      </c>
      <c r="N29" s="2" t="s">
        <v>14</v>
      </c>
      <c r="O29" s="8" t="s">
        <v>15</v>
      </c>
      <c r="P29" s="3" t="s">
        <v>12</v>
      </c>
      <c r="Q29" s="3" t="s">
        <v>13</v>
      </c>
      <c r="R29" s="3" t="s">
        <v>14</v>
      </c>
      <c r="S29" s="3" t="s">
        <v>16</v>
      </c>
      <c r="T29" s="3" t="s">
        <v>17</v>
      </c>
      <c r="U29" s="10" t="s">
        <v>18</v>
      </c>
      <c r="V29" s="290"/>
      <c r="W29" s="291"/>
      <c r="X29" s="291"/>
      <c r="Y29" s="291"/>
      <c r="Z29" s="291"/>
      <c r="AA29" s="291"/>
      <c r="AB29" s="292"/>
    </row>
    <row r="30" spans="1:31">
      <c r="A30" s="300"/>
      <c r="B30" s="6" t="s">
        <v>20</v>
      </c>
      <c r="C30" s="5"/>
      <c r="D30" s="1"/>
      <c r="E30" s="1"/>
      <c r="F30" s="2"/>
      <c r="G30" s="7"/>
      <c r="H30" s="1"/>
      <c r="I30" s="1"/>
      <c r="J30" s="2"/>
      <c r="K30" s="7"/>
      <c r="L30" s="1"/>
      <c r="M30" s="1"/>
      <c r="N30" s="2"/>
      <c r="O30" s="11">
        <f>SUM(C30,G30,K30)</f>
        <v>0</v>
      </c>
      <c r="P30" s="4">
        <f>SUM(D30,H30,L30)</f>
        <v>0</v>
      </c>
      <c r="Q30" s="4" t="str">
        <f>IF(P30=0,"-",SUM(E30,I30,M30))</f>
        <v>-</v>
      </c>
      <c r="R30" s="4" t="str">
        <f>IF(P30=0,"-",SUM(F30,J30,N30))</f>
        <v>-</v>
      </c>
      <c r="S30" s="4" t="str">
        <f>IF(P30=0,"-",SUM((IF((E30+F30)&gt;228,D30,IF((E30+F30)&gt;D30,D30,(E30+F30)))),IF((I30+J30)&gt;228,H30,IF((I30+J30)&gt;H30,H30,(I30+J30))),(IF((M30+N30)&gt;228,L30,IF((M30+N30)&gt;L30,L30,(M30+N30))))))</f>
        <v>-</v>
      </c>
      <c r="T30" s="4" t="str">
        <f>IF(P30=0,"-",(P30-S30))</f>
        <v>-</v>
      </c>
      <c r="U30" s="12" t="str">
        <f>IF(P30=0,"-",(1-(T30/P30)))</f>
        <v>-</v>
      </c>
      <c r="V30" s="290"/>
      <c r="W30" s="291"/>
      <c r="X30" s="291"/>
      <c r="Y30" s="291"/>
      <c r="Z30" s="291"/>
      <c r="AA30" s="291"/>
      <c r="AB30" s="292"/>
    </row>
    <row r="31" spans="1:31">
      <c r="A31" s="300"/>
      <c r="B31" s="6" t="s">
        <v>21</v>
      </c>
      <c r="C31" s="5">
        <v>15</v>
      </c>
      <c r="D31" s="1">
        <v>15</v>
      </c>
      <c r="E31" s="1">
        <v>15</v>
      </c>
      <c r="F31" s="2"/>
      <c r="G31" s="7">
        <v>14</v>
      </c>
      <c r="H31" s="1">
        <v>14</v>
      </c>
      <c r="I31" s="1">
        <v>14</v>
      </c>
      <c r="J31" s="2"/>
      <c r="K31" s="7"/>
      <c r="L31" s="1"/>
      <c r="M31" s="1"/>
      <c r="N31" s="2"/>
      <c r="O31" s="11">
        <f t="shared" ref="O31:O34" si="20">SUM(C31,G31,K31)</f>
        <v>29</v>
      </c>
      <c r="P31" s="4">
        <f t="shared" ref="P31:P34" si="21">SUM(D31,H31,L31)</f>
        <v>29</v>
      </c>
      <c r="Q31" s="4">
        <f t="shared" ref="Q31:Q34" si="22">IF(P31=0,"-",SUM(E31,I31,M31))</f>
        <v>29</v>
      </c>
      <c r="R31" s="4">
        <f t="shared" ref="R31:R34" si="23">IF(P31=0,"-",SUM(F31,J31,N31))</f>
        <v>0</v>
      </c>
      <c r="S31" s="4">
        <f t="shared" ref="S31:S34" si="24">IF(P31=0,"-",SUM((IF((E31+F31)&gt;228,D31,IF((E31+F31)&gt;D31,D31,(E31+F31)))),IF((I31+J31)&gt;228,H31,IF((I31+J31)&gt;H31,H31,(I31+J31))),(IF((M31+N31)&gt;228,L31,IF((M31+N31)&gt;L31,L31,(M31+N31))))))</f>
        <v>29</v>
      </c>
      <c r="T31" s="4">
        <f t="shared" ref="T31:T34" si="25">IF(P31=0,"-",(P31-S31))</f>
        <v>0</v>
      </c>
      <c r="U31" s="12">
        <f t="shared" ref="U31:U34" si="26">IF(P31=0,"-",(1-(T31/P31)))</f>
        <v>1</v>
      </c>
      <c r="V31" s="290"/>
      <c r="W31" s="291"/>
      <c r="X31" s="291"/>
      <c r="Y31" s="291"/>
      <c r="Z31" s="291"/>
      <c r="AA31" s="291"/>
      <c r="AB31" s="292"/>
    </row>
    <row r="32" spans="1:31">
      <c r="A32" s="300"/>
      <c r="B32" s="6" t="s">
        <v>22</v>
      </c>
      <c r="C32" s="5"/>
      <c r="D32" s="1"/>
      <c r="E32" s="1"/>
      <c r="F32" s="2"/>
      <c r="G32" s="7">
        <v>18</v>
      </c>
      <c r="H32" s="1">
        <v>18</v>
      </c>
      <c r="I32" s="1">
        <v>18</v>
      </c>
      <c r="J32" s="2"/>
      <c r="K32" s="7"/>
      <c r="L32" s="1"/>
      <c r="M32" s="1"/>
      <c r="N32" s="2"/>
      <c r="O32" s="11">
        <f t="shared" si="20"/>
        <v>18</v>
      </c>
      <c r="P32" s="4">
        <f t="shared" si="21"/>
        <v>18</v>
      </c>
      <c r="Q32" s="4">
        <f t="shared" si="22"/>
        <v>18</v>
      </c>
      <c r="R32" s="4">
        <f t="shared" si="23"/>
        <v>0</v>
      </c>
      <c r="S32" s="4">
        <f t="shared" si="24"/>
        <v>18</v>
      </c>
      <c r="T32" s="4">
        <f t="shared" si="25"/>
        <v>0</v>
      </c>
      <c r="U32" s="12">
        <f t="shared" si="26"/>
        <v>1</v>
      </c>
      <c r="V32" s="290"/>
      <c r="W32" s="291"/>
      <c r="X32" s="291"/>
      <c r="Y32" s="291"/>
      <c r="Z32" s="291"/>
      <c r="AA32" s="291"/>
      <c r="AB32" s="292"/>
    </row>
    <row r="33" spans="1:31">
      <c r="A33" s="300"/>
      <c r="B33" s="6" t="s">
        <v>23</v>
      </c>
      <c r="C33" s="5">
        <v>4</v>
      </c>
      <c r="D33" s="1">
        <v>4</v>
      </c>
      <c r="E33" s="1">
        <v>4</v>
      </c>
      <c r="F33" s="2"/>
      <c r="G33" s="7">
        <v>228</v>
      </c>
      <c r="H33" s="1">
        <v>228</v>
      </c>
      <c r="I33" s="1">
        <v>228</v>
      </c>
      <c r="J33" s="2"/>
      <c r="K33" s="7">
        <v>11</v>
      </c>
      <c r="L33" s="1">
        <v>11</v>
      </c>
      <c r="M33" s="1">
        <v>11</v>
      </c>
      <c r="N33" s="2"/>
      <c r="O33" s="11">
        <f t="shared" si="20"/>
        <v>243</v>
      </c>
      <c r="P33" s="4">
        <f t="shared" si="21"/>
        <v>243</v>
      </c>
      <c r="Q33" s="4">
        <f t="shared" si="22"/>
        <v>243</v>
      </c>
      <c r="R33" s="4">
        <f t="shared" si="23"/>
        <v>0</v>
      </c>
      <c r="S33" s="4">
        <f t="shared" si="24"/>
        <v>243</v>
      </c>
      <c r="T33" s="4">
        <f t="shared" si="25"/>
        <v>0</v>
      </c>
      <c r="U33" s="12">
        <f t="shared" si="26"/>
        <v>1</v>
      </c>
      <c r="V33" s="290"/>
      <c r="W33" s="291"/>
      <c r="X33" s="291"/>
      <c r="Y33" s="291"/>
      <c r="Z33" s="291"/>
      <c r="AA33" s="291"/>
      <c r="AB33" s="292"/>
    </row>
    <row r="34" spans="1:31">
      <c r="A34" s="300"/>
      <c r="B34" s="6" t="s">
        <v>24</v>
      </c>
      <c r="C34" s="5">
        <v>9</v>
      </c>
      <c r="D34" s="1">
        <v>9</v>
      </c>
      <c r="E34" s="1">
        <v>9</v>
      </c>
      <c r="F34" s="2"/>
      <c r="G34" s="7">
        <v>45</v>
      </c>
      <c r="H34" s="1">
        <v>45</v>
      </c>
      <c r="I34" s="1">
        <v>45</v>
      </c>
      <c r="J34" s="2"/>
      <c r="K34" s="7">
        <v>55</v>
      </c>
      <c r="L34" s="1">
        <v>55</v>
      </c>
      <c r="M34" s="1">
        <v>55</v>
      </c>
      <c r="N34" s="2"/>
      <c r="O34" s="11">
        <f t="shared" si="20"/>
        <v>109</v>
      </c>
      <c r="P34" s="4">
        <f t="shared" si="21"/>
        <v>109</v>
      </c>
      <c r="Q34" s="4">
        <f t="shared" si="22"/>
        <v>109</v>
      </c>
      <c r="R34" s="4">
        <f t="shared" si="23"/>
        <v>0</v>
      </c>
      <c r="S34" s="4">
        <f t="shared" si="24"/>
        <v>109</v>
      </c>
      <c r="T34" s="4">
        <f t="shared" si="25"/>
        <v>0</v>
      </c>
      <c r="U34" s="12">
        <f t="shared" si="26"/>
        <v>1</v>
      </c>
      <c r="V34" s="290"/>
      <c r="W34" s="291"/>
      <c r="X34" s="291"/>
      <c r="Y34" s="291"/>
      <c r="Z34" s="291"/>
      <c r="AA34" s="291"/>
      <c r="AB34" s="292"/>
    </row>
    <row r="35" spans="1:31" ht="15.75" thickBot="1">
      <c r="A35" s="316"/>
      <c r="B35" s="13" t="s">
        <v>4</v>
      </c>
      <c r="C35" s="14">
        <f>SUM(C30:C34)</f>
        <v>28</v>
      </c>
      <c r="D35" s="15">
        <f>SUM(D30:D34)</f>
        <v>28</v>
      </c>
      <c r="E35" s="15">
        <f>SUM(E30:E34)</f>
        <v>28</v>
      </c>
      <c r="F35" s="16">
        <f>SUM(F30:F34)</f>
        <v>0</v>
      </c>
      <c r="G35" s="17">
        <f>SUM(G30:G34)</f>
        <v>305</v>
      </c>
      <c r="H35" s="15">
        <f t="shared" ref="H35:N35" si="27">SUM(H30:H34)</f>
        <v>305</v>
      </c>
      <c r="I35" s="15">
        <f t="shared" si="27"/>
        <v>305</v>
      </c>
      <c r="J35" s="16">
        <f t="shared" si="27"/>
        <v>0</v>
      </c>
      <c r="K35" s="17">
        <f t="shared" si="27"/>
        <v>66</v>
      </c>
      <c r="L35" s="15">
        <f t="shared" si="27"/>
        <v>66</v>
      </c>
      <c r="M35" s="15">
        <f t="shared" si="27"/>
        <v>66</v>
      </c>
      <c r="N35" s="16">
        <f t="shared" si="27"/>
        <v>0</v>
      </c>
      <c r="O35" s="18">
        <f>SUM(O30:O34)</f>
        <v>399</v>
      </c>
      <c r="P35" s="19">
        <f t="shared" ref="P35" si="28">SUM(P30:P34)</f>
        <v>399</v>
      </c>
      <c r="Q35" s="19">
        <f t="shared" ref="Q35" si="29">SUM(Q30:Q34)</f>
        <v>399</v>
      </c>
      <c r="R35" s="19">
        <f t="shared" ref="R35" si="30">SUM(R30:R34)</f>
        <v>0</v>
      </c>
      <c r="S35" s="19">
        <f>SUM(S30:S34)</f>
        <v>399</v>
      </c>
      <c r="T35" s="19">
        <f>(P35-S35)</f>
        <v>0</v>
      </c>
      <c r="U35" s="20">
        <f>IF(P35=0,"-",(1-(T35/P35)))</f>
        <v>1</v>
      </c>
      <c r="V35" s="293"/>
      <c r="W35" s="294"/>
      <c r="X35" s="294"/>
      <c r="Y35" s="294"/>
      <c r="Z35" s="294"/>
      <c r="AA35" s="294"/>
      <c r="AB35" s="295"/>
    </row>
    <row r="36" spans="1:31">
      <c r="R36" s="22"/>
    </row>
    <row r="37" spans="1:31" ht="15.75" thickBot="1"/>
    <row r="38" spans="1:31" ht="15.75" thickBot="1">
      <c r="A38" s="296" t="s">
        <v>28</v>
      </c>
      <c r="B38" s="299" t="s">
        <v>2</v>
      </c>
      <c r="C38" s="301" t="s">
        <v>3</v>
      </c>
      <c r="D38" s="302"/>
      <c r="E38" s="302"/>
      <c r="F38" s="302"/>
      <c r="G38" s="302"/>
      <c r="H38" s="302"/>
      <c r="I38" s="302"/>
      <c r="J38" s="302"/>
      <c r="K38" s="302"/>
      <c r="L38" s="302"/>
      <c r="M38" s="302"/>
      <c r="N38" s="303"/>
      <c r="O38" s="278" t="s">
        <v>4</v>
      </c>
      <c r="P38" s="279"/>
      <c r="Q38" s="279"/>
      <c r="R38" s="279"/>
      <c r="S38" s="279"/>
      <c r="T38" s="279"/>
      <c r="U38" s="280"/>
      <c r="V38" s="278" t="s">
        <v>5</v>
      </c>
      <c r="W38" s="279"/>
      <c r="X38" s="279"/>
      <c r="Y38" s="279"/>
      <c r="Z38" s="279"/>
      <c r="AA38" s="279"/>
      <c r="AB38" s="280"/>
      <c r="AD38" t="s">
        <v>6</v>
      </c>
      <c r="AE38" t="s">
        <v>7</v>
      </c>
    </row>
    <row r="39" spans="1:31">
      <c r="A39" s="297"/>
      <c r="B39" s="300"/>
      <c r="C39" s="304" t="s">
        <v>8</v>
      </c>
      <c r="D39" s="305"/>
      <c r="E39" s="305"/>
      <c r="F39" s="306"/>
      <c r="G39" s="304" t="s">
        <v>9</v>
      </c>
      <c r="H39" s="305"/>
      <c r="I39" s="305"/>
      <c r="J39" s="306"/>
      <c r="K39" s="304" t="s">
        <v>10</v>
      </c>
      <c r="L39" s="305"/>
      <c r="M39" s="305"/>
      <c r="N39" s="306"/>
      <c r="O39" s="281"/>
      <c r="P39" s="282"/>
      <c r="Q39" s="282"/>
      <c r="R39" s="282"/>
      <c r="S39" s="282"/>
      <c r="T39" s="282"/>
      <c r="U39" s="283"/>
      <c r="V39" s="281"/>
      <c r="W39" s="282"/>
      <c r="X39" s="282"/>
      <c r="Y39" s="282"/>
      <c r="Z39" s="282"/>
      <c r="AA39" s="282"/>
      <c r="AB39" s="283"/>
      <c r="AD39" s="24" cm="1">
        <f t="array" ref="AD39">(SUM((IF(I41:I45&lt;=H41:H45,I41:I45,H41:H45)),(IF(E41:E45&lt;=D41:D45,E41:E45,D41:D45)),(IF(M41:M45&lt;=L41:L45,M41:M45,L41:L45))))/P46</f>
        <v>0.38878842676311032</v>
      </c>
      <c r="AE39" s="24" cm="1">
        <f t="array" ref="AE39">SUM((IF((E41:E45+F41:F45)&gt;D41:D45,ABS(D41:D45-E41:E45),F41:F45)),(IF((I41:I45+J41:J45)&gt;H41:H45,ABS(H41:H45-I41:I45),J41:J45)),(IF((M41:M45+N41:N45)&gt;L41:L45,ABS(L41:L45-M41:M45),N41:N45)))/(P46-Q46)</f>
        <v>0.48816568047337278</v>
      </c>
    </row>
    <row r="40" spans="1:31">
      <c r="A40" s="297"/>
      <c r="B40" s="300"/>
      <c r="C40" s="7" t="s">
        <v>11</v>
      </c>
      <c r="D40" s="1" t="s">
        <v>12</v>
      </c>
      <c r="E40" s="1" t="s">
        <v>13</v>
      </c>
      <c r="F40" s="2" t="s">
        <v>14</v>
      </c>
      <c r="G40" s="7" t="s">
        <v>11</v>
      </c>
      <c r="H40" s="1" t="s">
        <v>12</v>
      </c>
      <c r="I40" s="1" t="s">
        <v>13</v>
      </c>
      <c r="J40" s="2" t="s">
        <v>14</v>
      </c>
      <c r="K40" s="7" t="s">
        <v>11</v>
      </c>
      <c r="L40" s="1" t="s">
        <v>12</v>
      </c>
      <c r="M40" s="1" t="s">
        <v>13</v>
      </c>
      <c r="N40" s="2" t="s">
        <v>14</v>
      </c>
      <c r="O40" s="8" t="s">
        <v>15</v>
      </c>
      <c r="P40" s="3" t="s">
        <v>12</v>
      </c>
      <c r="Q40" s="3" t="s">
        <v>13</v>
      </c>
      <c r="R40" s="3" t="s">
        <v>14</v>
      </c>
      <c r="S40" s="3" t="s">
        <v>16</v>
      </c>
      <c r="T40" s="3" t="s">
        <v>17</v>
      </c>
      <c r="U40" s="10" t="s">
        <v>18</v>
      </c>
      <c r="V40" s="284" t="s">
        <v>29</v>
      </c>
      <c r="W40" s="285"/>
      <c r="X40" s="285"/>
      <c r="Y40" s="285"/>
      <c r="Z40" s="285"/>
      <c r="AA40" s="285"/>
      <c r="AB40" s="286"/>
    </row>
    <row r="41" spans="1:31">
      <c r="A41" s="297"/>
      <c r="B41" s="6" t="s">
        <v>20</v>
      </c>
      <c r="C41" s="7">
        <v>0</v>
      </c>
      <c r="D41" s="1"/>
      <c r="E41" s="1"/>
      <c r="F41" s="2"/>
      <c r="G41" s="7">
        <v>64</v>
      </c>
      <c r="H41" s="1">
        <v>10</v>
      </c>
      <c r="I41" s="1"/>
      <c r="J41" s="2"/>
      <c r="K41" s="7">
        <v>167</v>
      </c>
      <c r="L41" s="1">
        <v>0</v>
      </c>
      <c r="M41" s="1"/>
      <c r="N41" s="2"/>
      <c r="O41" s="11">
        <f>SUM(C41,G41,K41)</f>
        <v>231</v>
      </c>
      <c r="P41" s="4">
        <f>SUM(D41,H41,L41)</f>
        <v>10</v>
      </c>
      <c r="Q41" s="4">
        <f>IF(P41=0,"-",SUM(E41,I41,M41))</f>
        <v>0</v>
      </c>
      <c r="R41" s="4">
        <f>IF(P41=0,"-",SUM(F41,J41,N41))</f>
        <v>0</v>
      </c>
      <c r="S41" s="4">
        <f>IF(P41=0,"-",SUM((IF((E41+F41)&gt;228,D41,IF((E41+F41)&gt;D41,D41,(E41+F41)))),IF((I41+J41)&gt;228,H41,IF((I41+J41)&gt;H41,H41,(I41+J41))),(IF((M41+N41)&gt;228,L41,IF((M41+N41)&gt;L41,L41,(M41+N41))))))</f>
        <v>0</v>
      </c>
      <c r="T41" s="4">
        <f>IF(P41=0,"-",(P41-S41))</f>
        <v>10</v>
      </c>
      <c r="U41" s="12">
        <f>IF(P41=0,"-",(1-(T41/P41)))</f>
        <v>0</v>
      </c>
      <c r="V41" s="284"/>
      <c r="W41" s="285"/>
      <c r="X41" s="285"/>
      <c r="Y41" s="285"/>
      <c r="Z41" s="285"/>
      <c r="AA41" s="285"/>
      <c r="AB41" s="286"/>
    </row>
    <row r="42" spans="1:31">
      <c r="A42" s="297"/>
      <c r="B42" s="6" t="s">
        <v>21</v>
      </c>
      <c r="C42" s="7">
        <v>33</v>
      </c>
      <c r="D42" s="1">
        <v>33</v>
      </c>
      <c r="E42" s="1">
        <v>33</v>
      </c>
      <c r="F42" s="2"/>
      <c r="G42" s="7">
        <v>5</v>
      </c>
      <c r="H42" s="1">
        <v>5</v>
      </c>
      <c r="I42" s="1">
        <v>5</v>
      </c>
      <c r="J42" s="2"/>
      <c r="K42" s="7"/>
      <c r="L42" s="1"/>
      <c r="M42" s="1"/>
      <c r="N42" s="2"/>
      <c r="O42" s="11">
        <f t="shared" ref="O42:O45" si="31">SUM(C42,G42,K42)</f>
        <v>38</v>
      </c>
      <c r="P42" s="4">
        <f t="shared" ref="P42:P45" si="32">SUM(D42,H42,L42)</f>
        <v>38</v>
      </c>
      <c r="Q42" s="4">
        <f t="shared" ref="Q42:Q45" si="33">IF(P42=0,"-",SUM(E42,I42,M42))</f>
        <v>38</v>
      </c>
      <c r="R42" s="4">
        <f t="shared" ref="R42:R45" si="34">IF(P42=0,"-",SUM(F42,J42,N42))</f>
        <v>0</v>
      </c>
      <c r="S42" s="4">
        <f t="shared" ref="S42:S45" si="35">IF(P42=0,"-",SUM((IF((E42+F42)&gt;228,D42,IF((E42+F42)&gt;D42,D42,(E42+F42)))),IF((I42+J42)&gt;228,H42,IF((I42+J42)&gt;H42,H42,(I42+J42))),(IF((M42+N42)&gt;228,L42,IF((M42+N42)&gt;L42,L42,(M42+N42))))))</f>
        <v>38</v>
      </c>
      <c r="T42" s="4">
        <f t="shared" ref="T42:T45" si="36">IF(P42=0,"-",(P42-S42))</f>
        <v>0</v>
      </c>
      <c r="U42" s="12">
        <f t="shared" ref="U42:U45" si="37">IF(P42=0,"-",(1-(T42/P42)))</f>
        <v>1</v>
      </c>
      <c r="V42" s="284"/>
      <c r="W42" s="285"/>
      <c r="X42" s="285"/>
      <c r="Y42" s="285"/>
      <c r="Z42" s="285"/>
      <c r="AA42" s="285"/>
      <c r="AB42" s="286"/>
    </row>
    <row r="43" spans="1:31">
      <c r="A43" s="297"/>
      <c r="B43" s="6" t="s">
        <v>22</v>
      </c>
      <c r="C43" s="7">
        <v>2</v>
      </c>
      <c r="D43" s="1">
        <v>0</v>
      </c>
      <c r="E43" s="1"/>
      <c r="F43" s="2"/>
      <c r="G43" s="7">
        <v>139</v>
      </c>
      <c r="H43" s="1">
        <v>2</v>
      </c>
      <c r="I43" s="1"/>
      <c r="J43" s="2"/>
      <c r="K43" s="7">
        <v>5</v>
      </c>
      <c r="L43" s="1">
        <v>0</v>
      </c>
      <c r="M43" s="1"/>
      <c r="N43" s="2"/>
      <c r="O43" s="11">
        <f t="shared" si="31"/>
        <v>146</v>
      </c>
      <c r="P43" s="4">
        <f t="shared" si="32"/>
        <v>2</v>
      </c>
      <c r="Q43" s="4">
        <f t="shared" si="33"/>
        <v>0</v>
      </c>
      <c r="R43" s="4">
        <f t="shared" si="34"/>
        <v>0</v>
      </c>
      <c r="S43" s="4">
        <f t="shared" si="35"/>
        <v>0</v>
      </c>
      <c r="T43" s="4">
        <f t="shared" si="36"/>
        <v>2</v>
      </c>
      <c r="U43" s="12">
        <f t="shared" si="37"/>
        <v>0</v>
      </c>
      <c r="V43" s="284"/>
      <c r="W43" s="285"/>
      <c r="X43" s="285"/>
      <c r="Y43" s="285"/>
      <c r="Z43" s="285"/>
      <c r="AA43" s="285"/>
      <c r="AB43" s="286"/>
    </row>
    <row r="44" spans="1:31">
      <c r="A44" s="297"/>
      <c r="B44" s="6" t="s">
        <v>23</v>
      </c>
      <c r="C44" s="7">
        <v>9</v>
      </c>
      <c r="D44" s="1">
        <v>9</v>
      </c>
      <c r="E44" s="1"/>
      <c r="F44" s="2"/>
      <c r="G44" s="7">
        <v>228</v>
      </c>
      <c r="H44" s="1">
        <v>228</v>
      </c>
      <c r="I44" s="1">
        <v>72</v>
      </c>
      <c r="J44" s="2">
        <v>313</v>
      </c>
      <c r="K44" s="7">
        <v>15</v>
      </c>
      <c r="L44" s="1">
        <v>15</v>
      </c>
      <c r="M44" s="1"/>
      <c r="N44" s="2"/>
      <c r="O44" s="11">
        <f t="shared" si="31"/>
        <v>252</v>
      </c>
      <c r="P44" s="4">
        <f t="shared" si="32"/>
        <v>252</v>
      </c>
      <c r="Q44" s="4">
        <f t="shared" si="33"/>
        <v>72</v>
      </c>
      <c r="R44" s="4">
        <f t="shared" si="34"/>
        <v>313</v>
      </c>
      <c r="S44" s="4">
        <f t="shared" si="35"/>
        <v>228</v>
      </c>
      <c r="T44" s="4">
        <f t="shared" si="36"/>
        <v>24</v>
      </c>
      <c r="U44" s="12">
        <f t="shared" si="37"/>
        <v>0.90476190476190477</v>
      </c>
      <c r="V44" s="284"/>
      <c r="W44" s="285"/>
      <c r="X44" s="285"/>
      <c r="Y44" s="285"/>
      <c r="Z44" s="285"/>
      <c r="AA44" s="285"/>
      <c r="AB44" s="286"/>
    </row>
    <row r="45" spans="1:31">
      <c r="A45" s="297"/>
      <c r="B45" s="6" t="s">
        <v>24</v>
      </c>
      <c r="C45" s="7">
        <v>14</v>
      </c>
      <c r="D45" s="1">
        <v>14</v>
      </c>
      <c r="E45" s="1"/>
      <c r="F45" s="2">
        <v>9</v>
      </c>
      <c r="G45" s="7">
        <v>113</v>
      </c>
      <c r="H45" s="1">
        <v>113</v>
      </c>
      <c r="I45" s="1">
        <v>105</v>
      </c>
      <c r="J45" s="2"/>
      <c r="K45" s="7">
        <v>124</v>
      </c>
      <c r="L45" s="1">
        <v>124</v>
      </c>
      <c r="M45" s="1"/>
      <c r="N45" s="2"/>
      <c r="O45" s="11">
        <f t="shared" si="31"/>
        <v>251</v>
      </c>
      <c r="P45" s="4">
        <f t="shared" si="32"/>
        <v>251</v>
      </c>
      <c r="Q45" s="4">
        <f t="shared" si="33"/>
        <v>105</v>
      </c>
      <c r="R45" s="4">
        <f t="shared" si="34"/>
        <v>9</v>
      </c>
      <c r="S45" s="4">
        <f t="shared" si="35"/>
        <v>114</v>
      </c>
      <c r="T45" s="4">
        <f t="shared" si="36"/>
        <v>137</v>
      </c>
      <c r="U45" s="12">
        <f t="shared" si="37"/>
        <v>0.45418326693227096</v>
      </c>
      <c r="V45" s="284"/>
      <c r="W45" s="285"/>
      <c r="X45" s="285"/>
      <c r="Y45" s="285"/>
      <c r="Z45" s="285"/>
      <c r="AA45" s="285"/>
      <c r="AB45" s="286"/>
    </row>
    <row r="46" spans="1:31" ht="15.75" thickBot="1">
      <c r="A46" s="298"/>
      <c r="B46" s="13" t="s">
        <v>4</v>
      </c>
      <c r="C46" s="17">
        <f>SUM(C41:C45)</f>
        <v>58</v>
      </c>
      <c r="D46" s="15">
        <f>SUM(D41:D45)</f>
        <v>56</v>
      </c>
      <c r="E46" s="15">
        <f>SUM(E41:E45)</f>
        <v>33</v>
      </c>
      <c r="F46" s="16">
        <f>SUM(F41:F45)</f>
        <v>9</v>
      </c>
      <c r="G46" s="17">
        <f t="shared" ref="G46:N46" si="38">SUM(G41:G45)</f>
        <v>549</v>
      </c>
      <c r="H46" s="15">
        <f t="shared" si="38"/>
        <v>358</v>
      </c>
      <c r="I46" s="15">
        <f t="shared" si="38"/>
        <v>182</v>
      </c>
      <c r="J46" s="16">
        <f t="shared" si="38"/>
        <v>313</v>
      </c>
      <c r="K46" s="17">
        <f t="shared" si="38"/>
        <v>311</v>
      </c>
      <c r="L46" s="15">
        <f t="shared" si="38"/>
        <v>139</v>
      </c>
      <c r="M46" s="15">
        <f t="shared" si="38"/>
        <v>0</v>
      </c>
      <c r="N46" s="16">
        <f t="shared" si="38"/>
        <v>0</v>
      </c>
      <c r="O46" s="18">
        <f>SUM(O41:O45)</f>
        <v>918</v>
      </c>
      <c r="P46" s="19">
        <f t="shared" ref="P46" si="39">SUM(P41:P45)</f>
        <v>553</v>
      </c>
      <c r="Q46" s="19">
        <f t="shared" ref="Q46" si="40">SUM(Q41:Q45)</f>
        <v>215</v>
      </c>
      <c r="R46" s="19">
        <f t="shared" ref="R46" si="41">SUM(R41:R45)</f>
        <v>322</v>
      </c>
      <c r="S46" s="19">
        <f>SUM(S41:S45)</f>
        <v>380</v>
      </c>
      <c r="T46" s="19">
        <f>(P46-S46)</f>
        <v>173</v>
      </c>
      <c r="U46" s="20">
        <f>IF(P46=0,"-",(1-(T46/P46)))</f>
        <v>0.68716094032549724</v>
      </c>
      <c r="V46" s="287"/>
      <c r="W46" s="288"/>
      <c r="X46" s="288"/>
      <c r="Y46" s="288"/>
      <c r="Z46" s="288"/>
      <c r="AA46" s="288"/>
      <c r="AB46" s="289"/>
    </row>
    <row r="47" spans="1:31">
      <c r="R47" s="22"/>
    </row>
    <row r="48" spans="1:31" ht="15.75" thickBot="1"/>
    <row r="49" spans="1:31" ht="15.75" thickBot="1">
      <c r="A49" s="296" t="s">
        <v>30</v>
      </c>
      <c r="B49" s="299" t="s">
        <v>2</v>
      </c>
      <c r="C49" s="301" t="s">
        <v>3</v>
      </c>
      <c r="D49" s="302"/>
      <c r="E49" s="302"/>
      <c r="F49" s="302"/>
      <c r="G49" s="302"/>
      <c r="H49" s="302"/>
      <c r="I49" s="302"/>
      <c r="J49" s="302"/>
      <c r="K49" s="302"/>
      <c r="L49" s="302"/>
      <c r="M49" s="302"/>
      <c r="N49" s="303"/>
      <c r="O49" s="278" t="s">
        <v>4</v>
      </c>
      <c r="P49" s="279"/>
      <c r="Q49" s="279"/>
      <c r="R49" s="279"/>
      <c r="S49" s="279"/>
      <c r="T49" s="279"/>
      <c r="U49" s="280"/>
      <c r="V49" s="278" t="s">
        <v>5</v>
      </c>
      <c r="W49" s="279"/>
      <c r="X49" s="279"/>
      <c r="Y49" s="279"/>
      <c r="Z49" s="279"/>
      <c r="AA49" s="279"/>
      <c r="AB49" s="280"/>
      <c r="AD49" t="s">
        <v>6</v>
      </c>
      <c r="AE49" t="s">
        <v>7</v>
      </c>
    </row>
    <row r="50" spans="1:31">
      <c r="A50" s="297"/>
      <c r="B50" s="300"/>
      <c r="C50" s="304" t="s">
        <v>8</v>
      </c>
      <c r="D50" s="305"/>
      <c r="E50" s="305"/>
      <c r="F50" s="306"/>
      <c r="G50" s="304" t="s">
        <v>9</v>
      </c>
      <c r="H50" s="305"/>
      <c r="I50" s="305"/>
      <c r="J50" s="306"/>
      <c r="K50" s="304" t="s">
        <v>10</v>
      </c>
      <c r="L50" s="305"/>
      <c r="M50" s="305"/>
      <c r="N50" s="306"/>
      <c r="O50" s="281"/>
      <c r="P50" s="282"/>
      <c r="Q50" s="282"/>
      <c r="R50" s="282"/>
      <c r="S50" s="282"/>
      <c r="T50" s="282"/>
      <c r="U50" s="283"/>
      <c r="V50" s="281"/>
      <c r="W50" s="282"/>
      <c r="X50" s="282"/>
      <c r="Y50" s="282"/>
      <c r="Z50" s="282"/>
      <c r="AA50" s="282"/>
      <c r="AB50" s="283"/>
      <c r="AD50" s="24" cm="1">
        <f t="array" ref="AD50">(SUM((IF(I52:I56&lt;=H52:H56,I52:I56,H52:H56)),(IF(E52:E56&lt;=D52:D56,E52:E56,D52:D56)),(IF(M52:M56&lt;=L52:L56,M52:M56,L52:L56))))/P57</f>
        <v>0.38418079096045199</v>
      </c>
      <c r="AE50" s="24" cm="1">
        <f t="array" ref="AE50">SUM((IF((E52:E56+F52:F56)&gt;D52:D56,ABS(D52:D56-E52:E56),F52:F56)),(IF((I52:I56+J52:J56)&gt;H52:H56,ABS(H52:H56-I52:I56),J52:J56)),(IF((M52:M56+N52:N56)&gt;L52:L56,ABS(L52:L56-M52:M56),N52:N56)))/(P57-Q57)</f>
        <v>0.52293577981651373</v>
      </c>
    </row>
    <row r="51" spans="1:31">
      <c r="A51" s="297"/>
      <c r="B51" s="300"/>
      <c r="C51" s="7" t="s">
        <v>11</v>
      </c>
      <c r="D51" s="1" t="s">
        <v>12</v>
      </c>
      <c r="E51" s="1" t="s">
        <v>13</v>
      </c>
      <c r="F51" s="2" t="s">
        <v>14</v>
      </c>
      <c r="G51" s="7" t="s">
        <v>11</v>
      </c>
      <c r="H51" s="1" t="s">
        <v>12</v>
      </c>
      <c r="I51" s="1" t="s">
        <v>13</v>
      </c>
      <c r="J51" s="2" t="s">
        <v>14</v>
      </c>
      <c r="K51" s="7" t="s">
        <v>11</v>
      </c>
      <c r="L51" s="1" t="s">
        <v>12</v>
      </c>
      <c r="M51" s="1" t="s">
        <v>13</v>
      </c>
      <c r="N51" s="2" t="s">
        <v>14</v>
      </c>
      <c r="O51" s="8" t="s">
        <v>15</v>
      </c>
      <c r="P51" s="3" t="s">
        <v>12</v>
      </c>
      <c r="Q51" s="3" t="s">
        <v>13</v>
      </c>
      <c r="R51" s="3" t="s">
        <v>14</v>
      </c>
      <c r="S51" s="3" t="s">
        <v>16</v>
      </c>
      <c r="T51" s="3" t="s">
        <v>17</v>
      </c>
      <c r="U51" s="10" t="s">
        <v>18</v>
      </c>
      <c r="V51" s="284" t="s">
        <v>31</v>
      </c>
      <c r="W51" s="285"/>
      <c r="X51" s="285"/>
      <c r="Y51" s="285"/>
      <c r="Z51" s="285"/>
      <c r="AA51" s="285"/>
      <c r="AB51" s="286"/>
    </row>
    <row r="52" spans="1:31">
      <c r="A52" s="297"/>
      <c r="B52" s="6" t="s">
        <v>20</v>
      </c>
      <c r="C52" s="7"/>
      <c r="D52" s="1"/>
      <c r="E52" s="1"/>
      <c r="F52" s="2"/>
      <c r="G52" s="7"/>
      <c r="H52" s="1"/>
      <c r="I52" s="1"/>
      <c r="J52" s="2"/>
      <c r="K52" s="7"/>
      <c r="L52" s="1"/>
      <c r="M52" s="1"/>
      <c r="N52" s="2"/>
      <c r="O52" s="11">
        <f>SUM(C52,G52,K52)</f>
        <v>0</v>
      </c>
      <c r="P52" s="4">
        <f>SUM(D52,H52,L52)</f>
        <v>0</v>
      </c>
      <c r="Q52" s="4" t="str">
        <f>IF(P52=0,"-",SUM(E52,I52,M52))</f>
        <v>-</v>
      </c>
      <c r="R52" s="4" t="str">
        <f>IF(P52=0,"-",SUM(F52,J52,N52))</f>
        <v>-</v>
      </c>
      <c r="S52" s="4" t="str">
        <f>IF(P52=0,"-",SUM((IF((E52+F52)&gt;228,D52,IF((E52+F52)&gt;D52,D52,(E52+F52)))),IF((I52+J52)&gt;228,H52,IF((I52+J52)&gt;H52,H52,(I52+J52))),(IF((M52+N52)&gt;228,L52,IF((M52+N52)&gt;L52,L52,(M52+N52))))))</f>
        <v>-</v>
      </c>
      <c r="T52" s="4" t="str">
        <f>IF(P52=0,"-",(P52-S52))</f>
        <v>-</v>
      </c>
      <c r="U52" s="12" t="str">
        <f>IF(P52=0,"-",(1-(T52/P52)))</f>
        <v>-</v>
      </c>
      <c r="V52" s="284"/>
      <c r="W52" s="285"/>
      <c r="X52" s="285"/>
      <c r="Y52" s="285"/>
      <c r="Z52" s="285"/>
      <c r="AA52" s="285"/>
      <c r="AB52" s="286"/>
    </row>
    <row r="53" spans="1:31">
      <c r="A53" s="297"/>
      <c r="B53" s="6" t="s">
        <v>21</v>
      </c>
      <c r="C53" s="7"/>
      <c r="D53" s="1"/>
      <c r="E53" s="1"/>
      <c r="F53" s="2"/>
      <c r="G53" s="7"/>
      <c r="H53" s="1"/>
      <c r="I53" s="1"/>
      <c r="J53" s="2"/>
      <c r="K53" s="7"/>
      <c r="L53" s="1"/>
      <c r="M53" s="1"/>
      <c r="N53" s="2"/>
      <c r="O53" s="11">
        <f t="shared" ref="O53:O56" si="42">SUM(C53,G53,K53)</f>
        <v>0</v>
      </c>
      <c r="P53" s="4">
        <f t="shared" ref="P53:P56" si="43">SUM(D53,H53,L53)</f>
        <v>0</v>
      </c>
      <c r="Q53" s="4" t="str">
        <f t="shared" ref="Q53:Q56" si="44">IF(P53=0,"-",SUM(E53,I53,M53))</f>
        <v>-</v>
      </c>
      <c r="R53" s="4" t="str">
        <f t="shared" ref="R53:R56" si="45">IF(P53=0,"-",SUM(F53,J53,N53))</f>
        <v>-</v>
      </c>
      <c r="S53" s="4" t="str">
        <f t="shared" ref="S53:S56" si="46">IF(P53=0,"-",SUM((IF((E53+F53)&gt;228,D53,IF((E53+F53)&gt;D53,D53,(E53+F53)))),IF((I53+J53)&gt;228,H53,IF((I53+J53)&gt;H53,H53,(I53+J53))),(IF((M53+N53)&gt;228,L53,IF((M53+N53)&gt;L53,L53,(M53+N53))))))</f>
        <v>-</v>
      </c>
      <c r="T53" s="4" t="str">
        <f t="shared" ref="T53:T56" si="47">IF(P53=0,"-",(P53-S53))</f>
        <v>-</v>
      </c>
      <c r="U53" s="12" t="str">
        <f t="shared" ref="U53:U56" si="48">IF(P53=0,"-",(1-(T53/P53)))</f>
        <v>-</v>
      </c>
      <c r="V53" s="284"/>
      <c r="W53" s="285"/>
      <c r="X53" s="285"/>
      <c r="Y53" s="285"/>
      <c r="Z53" s="285"/>
      <c r="AA53" s="285"/>
      <c r="AB53" s="286"/>
    </row>
    <row r="54" spans="1:31">
      <c r="A54" s="297"/>
      <c r="B54" s="6" t="s">
        <v>22</v>
      </c>
      <c r="C54" s="7"/>
      <c r="D54" s="1"/>
      <c r="E54" s="1"/>
      <c r="F54" s="2"/>
      <c r="G54" s="7"/>
      <c r="H54" s="1"/>
      <c r="I54" s="1"/>
      <c r="J54" s="2"/>
      <c r="K54" s="7"/>
      <c r="L54" s="1"/>
      <c r="M54" s="1"/>
      <c r="N54" s="2"/>
      <c r="O54" s="11">
        <f t="shared" si="42"/>
        <v>0</v>
      </c>
      <c r="P54" s="4">
        <f t="shared" si="43"/>
        <v>0</v>
      </c>
      <c r="Q54" s="4" t="str">
        <f t="shared" si="44"/>
        <v>-</v>
      </c>
      <c r="R54" s="4" t="str">
        <f t="shared" si="45"/>
        <v>-</v>
      </c>
      <c r="S54" s="4" t="str">
        <f t="shared" si="46"/>
        <v>-</v>
      </c>
      <c r="T54" s="4" t="str">
        <f t="shared" si="47"/>
        <v>-</v>
      </c>
      <c r="U54" s="12" t="str">
        <f t="shared" si="48"/>
        <v>-</v>
      </c>
      <c r="V54" s="284"/>
      <c r="W54" s="285"/>
      <c r="X54" s="285"/>
      <c r="Y54" s="285"/>
      <c r="Z54" s="285"/>
      <c r="AA54" s="285"/>
      <c r="AB54" s="286"/>
    </row>
    <row r="55" spans="1:31">
      <c r="A55" s="297"/>
      <c r="B55" s="6" t="s">
        <v>23</v>
      </c>
      <c r="C55" s="7"/>
      <c r="D55" s="1"/>
      <c r="E55" s="1"/>
      <c r="F55" s="2"/>
      <c r="G55" s="7">
        <v>228</v>
      </c>
      <c r="H55" s="1">
        <v>228</v>
      </c>
      <c r="I55" s="1">
        <v>131</v>
      </c>
      <c r="J55" s="2">
        <v>215</v>
      </c>
      <c r="K55" s="7">
        <v>126</v>
      </c>
      <c r="L55" s="1">
        <v>29</v>
      </c>
      <c r="M55" s="1">
        <v>2</v>
      </c>
      <c r="N55" s="2"/>
      <c r="O55" s="11">
        <f t="shared" si="42"/>
        <v>354</v>
      </c>
      <c r="P55" s="4">
        <f t="shared" si="43"/>
        <v>257</v>
      </c>
      <c r="Q55" s="4">
        <f t="shared" si="44"/>
        <v>133</v>
      </c>
      <c r="R55" s="4">
        <f t="shared" si="45"/>
        <v>215</v>
      </c>
      <c r="S55" s="4">
        <f t="shared" si="46"/>
        <v>230</v>
      </c>
      <c r="T55" s="4">
        <f t="shared" si="47"/>
        <v>27</v>
      </c>
      <c r="U55" s="12">
        <f t="shared" si="48"/>
        <v>0.89494163424124518</v>
      </c>
      <c r="V55" s="284"/>
      <c r="W55" s="285"/>
      <c r="X55" s="285"/>
      <c r="Y55" s="285"/>
      <c r="Z55" s="285"/>
      <c r="AA55" s="285"/>
      <c r="AB55" s="286"/>
    </row>
    <row r="56" spans="1:31">
      <c r="A56" s="297"/>
      <c r="B56" s="6" t="s">
        <v>24</v>
      </c>
      <c r="C56" s="7"/>
      <c r="D56" s="1"/>
      <c r="E56" s="1"/>
      <c r="F56" s="2"/>
      <c r="G56" s="7">
        <v>97</v>
      </c>
      <c r="H56" s="1">
        <v>97</v>
      </c>
      <c r="I56" s="1">
        <v>3</v>
      </c>
      <c r="J56" s="2">
        <f>17</f>
        <v>17</v>
      </c>
      <c r="K56" s="7"/>
      <c r="L56" s="1"/>
      <c r="M56" s="1"/>
      <c r="N56" s="2"/>
      <c r="O56" s="11">
        <f t="shared" si="42"/>
        <v>97</v>
      </c>
      <c r="P56" s="4">
        <f t="shared" si="43"/>
        <v>97</v>
      </c>
      <c r="Q56" s="4">
        <f t="shared" si="44"/>
        <v>3</v>
      </c>
      <c r="R56" s="4">
        <f t="shared" si="45"/>
        <v>17</v>
      </c>
      <c r="S56" s="4">
        <f t="shared" si="46"/>
        <v>20</v>
      </c>
      <c r="T56" s="4">
        <f t="shared" si="47"/>
        <v>77</v>
      </c>
      <c r="U56" s="12">
        <f t="shared" si="48"/>
        <v>0.20618556701030932</v>
      </c>
      <c r="V56" s="284"/>
      <c r="W56" s="285"/>
      <c r="X56" s="285"/>
      <c r="Y56" s="285"/>
      <c r="Z56" s="285"/>
      <c r="AA56" s="285"/>
      <c r="AB56" s="286"/>
    </row>
    <row r="57" spans="1:31" ht="15.75" thickBot="1">
      <c r="A57" s="298"/>
      <c r="B57" s="13" t="s">
        <v>4</v>
      </c>
      <c r="C57" s="17">
        <f>SUM(C52:C56)</f>
        <v>0</v>
      </c>
      <c r="D57" s="15">
        <f>SUM(D52:D56)</f>
        <v>0</v>
      </c>
      <c r="E57" s="15">
        <f>SUM(E52:E56)</f>
        <v>0</v>
      </c>
      <c r="F57" s="16">
        <f>SUM(F52:F56)</f>
        <v>0</v>
      </c>
      <c r="G57" s="17">
        <f t="shared" ref="G57:N57" si="49">SUM(G52:G56)</f>
        <v>325</v>
      </c>
      <c r="H57" s="15">
        <f t="shared" si="49"/>
        <v>325</v>
      </c>
      <c r="I57" s="15">
        <f t="shared" si="49"/>
        <v>134</v>
      </c>
      <c r="J57" s="16">
        <f t="shared" si="49"/>
        <v>232</v>
      </c>
      <c r="K57" s="17">
        <f t="shared" si="49"/>
        <v>126</v>
      </c>
      <c r="L57" s="15">
        <f t="shared" si="49"/>
        <v>29</v>
      </c>
      <c r="M57" s="15">
        <f t="shared" si="49"/>
        <v>2</v>
      </c>
      <c r="N57" s="16">
        <f t="shared" si="49"/>
        <v>0</v>
      </c>
      <c r="O57" s="18">
        <f>SUM(O52:O56)</f>
        <v>451</v>
      </c>
      <c r="P57" s="19">
        <f t="shared" ref="P57" si="50">SUM(P52:P56)</f>
        <v>354</v>
      </c>
      <c r="Q57" s="19">
        <f t="shared" ref="Q57" si="51">SUM(Q52:Q56)</f>
        <v>136</v>
      </c>
      <c r="R57" s="19">
        <f t="shared" ref="R57" si="52">SUM(R52:R56)</f>
        <v>232</v>
      </c>
      <c r="S57" s="19">
        <f>SUM(S52:S56)</f>
        <v>250</v>
      </c>
      <c r="T57" s="19">
        <f>(P57-S57)</f>
        <v>104</v>
      </c>
      <c r="U57" s="20">
        <f>IF(P57=0,"-",(1-(T57/P57)))</f>
        <v>0.70621468926553677</v>
      </c>
      <c r="V57" s="287"/>
      <c r="W57" s="288"/>
      <c r="X57" s="288"/>
      <c r="Y57" s="288"/>
      <c r="Z57" s="288"/>
      <c r="AA57" s="288"/>
      <c r="AB57" s="289"/>
    </row>
    <row r="58" spans="1:31">
      <c r="R58" s="22"/>
    </row>
    <row r="59" spans="1:31" ht="15.75" thickBot="1"/>
    <row r="60" spans="1:31" ht="15.75" thickBot="1">
      <c r="A60" s="296" t="s">
        <v>32</v>
      </c>
      <c r="B60" s="299" t="s">
        <v>2</v>
      </c>
      <c r="C60" s="301" t="s">
        <v>3</v>
      </c>
      <c r="D60" s="302"/>
      <c r="E60" s="302"/>
      <c r="F60" s="302"/>
      <c r="G60" s="302"/>
      <c r="H60" s="302"/>
      <c r="I60" s="302"/>
      <c r="J60" s="302"/>
      <c r="K60" s="302"/>
      <c r="L60" s="302"/>
      <c r="M60" s="302"/>
      <c r="N60" s="303"/>
      <c r="O60" s="278" t="s">
        <v>4</v>
      </c>
      <c r="P60" s="279"/>
      <c r="Q60" s="279"/>
      <c r="R60" s="279"/>
      <c r="S60" s="279"/>
      <c r="T60" s="279"/>
      <c r="U60" s="280"/>
      <c r="V60" s="278" t="s">
        <v>5</v>
      </c>
      <c r="W60" s="279"/>
      <c r="X60" s="279"/>
      <c r="Y60" s="279"/>
      <c r="Z60" s="279"/>
      <c r="AA60" s="279"/>
      <c r="AB60" s="280"/>
      <c r="AD60" t="s">
        <v>6</v>
      </c>
      <c r="AE60" t="s">
        <v>7</v>
      </c>
    </row>
    <row r="61" spans="1:31">
      <c r="A61" s="297"/>
      <c r="B61" s="300"/>
      <c r="C61" s="304" t="s">
        <v>8</v>
      </c>
      <c r="D61" s="305"/>
      <c r="E61" s="305"/>
      <c r="F61" s="306"/>
      <c r="G61" s="304" t="s">
        <v>9</v>
      </c>
      <c r="H61" s="305"/>
      <c r="I61" s="305"/>
      <c r="J61" s="306"/>
      <c r="K61" s="304" t="s">
        <v>10</v>
      </c>
      <c r="L61" s="305"/>
      <c r="M61" s="305"/>
      <c r="N61" s="306"/>
      <c r="O61" s="281"/>
      <c r="P61" s="282"/>
      <c r="Q61" s="282"/>
      <c r="R61" s="282"/>
      <c r="S61" s="282"/>
      <c r="T61" s="282"/>
      <c r="U61" s="283"/>
      <c r="V61" s="281"/>
      <c r="W61" s="282"/>
      <c r="X61" s="282"/>
      <c r="Y61" s="282"/>
      <c r="Z61" s="282"/>
      <c r="AA61" s="282"/>
      <c r="AB61" s="283"/>
      <c r="AD61" s="24" cm="1">
        <f t="array" ref="AD61">(SUM((IF(I63:I67&lt;=H63:H67,I63:I67,H63:H67)),(IF(E63:E67&lt;=D63:D67,E63:E67,D63:D67)),(IF(M63:M67&lt;=L63:L67,M63:M67,L63:L67))))/P68</f>
        <v>0.62857142857142856</v>
      </c>
      <c r="AE61" s="24" cm="1">
        <f t="array" ref="AE61">SUM((IF((E63:E67+F63:F67)&gt;D63:D67,ABS(D63:D67-E63:E67),F63:F67)),(IF((I63:I67+J63:J67)&gt;H63:H67,ABS(H63:H67-I63:I67),J63:J67)),(IF((M63:M67+N63:N67)&gt;L63:L67,ABS(L63:L67-M63:M67),N63:N67)))/(P68-Q68)</f>
        <v>0.33076923076923076</v>
      </c>
    </row>
    <row r="62" spans="1:31">
      <c r="A62" s="297"/>
      <c r="B62" s="300"/>
      <c r="C62" s="7" t="s">
        <v>11</v>
      </c>
      <c r="D62" s="1" t="s">
        <v>12</v>
      </c>
      <c r="E62" s="1" t="s">
        <v>13</v>
      </c>
      <c r="F62" s="2" t="s">
        <v>14</v>
      </c>
      <c r="G62" s="7" t="s">
        <v>11</v>
      </c>
      <c r="H62" s="1" t="s">
        <v>12</v>
      </c>
      <c r="I62" s="1" t="s">
        <v>13</v>
      </c>
      <c r="J62" s="2" t="s">
        <v>14</v>
      </c>
      <c r="K62" s="7" t="s">
        <v>11</v>
      </c>
      <c r="L62" s="1" t="s">
        <v>12</v>
      </c>
      <c r="M62" s="1" t="s">
        <v>13</v>
      </c>
      <c r="N62" s="2" t="s">
        <v>14</v>
      </c>
      <c r="O62" s="8" t="s">
        <v>15</v>
      </c>
      <c r="P62" s="3" t="s">
        <v>12</v>
      </c>
      <c r="Q62" s="3" t="s">
        <v>13</v>
      </c>
      <c r="R62" s="3" t="s">
        <v>14</v>
      </c>
      <c r="S62" s="3" t="s">
        <v>16</v>
      </c>
      <c r="T62" s="3" t="s">
        <v>17</v>
      </c>
      <c r="U62" s="10" t="s">
        <v>18</v>
      </c>
      <c r="V62" s="290" t="s">
        <v>33</v>
      </c>
      <c r="W62" s="291"/>
      <c r="X62" s="291"/>
      <c r="Y62" s="291"/>
      <c r="Z62" s="291"/>
      <c r="AA62" s="291"/>
      <c r="AB62" s="292"/>
    </row>
    <row r="63" spans="1:31">
      <c r="A63" s="297"/>
      <c r="B63" s="6" t="s">
        <v>20</v>
      </c>
      <c r="C63" s="7"/>
      <c r="D63" s="1"/>
      <c r="E63" s="1"/>
      <c r="F63" s="2"/>
      <c r="G63" s="7"/>
      <c r="H63" s="1"/>
      <c r="I63" s="1"/>
      <c r="J63" s="2"/>
      <c r="K63" s="7"/>
      <c r="L63" s="1"/>
      <c r="M63" s="1"/>
      <c r="N63" s="2"/>
      <c r="O63" s="11">
        <f>SUM(C63,G63,K63)</f>
        <v>0</v>
      </c>
      <c r="P63" s="4">
        <f>SUM(D63,H63,L63)</f>
        <v>0</v>
      </c>
      <c r="Q63" s="4" t="str">
        <f>IF(P63=0,"-",SUM(E63,I63,M63))</f>
        <v>-</v>
      </c>
      <c r="R63" s="4" t="str">
        <f>IF(P63=0,"-",SUM(F63,J63,N63))</f>
        <v>-</v>
      </c>
      <c r="S63" s="4" t="str">
        <f>IF(P63=0,"-",SUM((IF((E63+F63)&gt;228,D63,IF((E63+F63)&gt;D63,D63,(E63+F63)))),IF((I63+J63)&gt;228,H63,IF((I63+J63)&gt;H63,H63,(I63+J63))),(IF((M63+N63)&gt;228,L63,IF((M63+N63)&gt;L63,L63,(M63+N63))))))</f>
        <v>-</v>
      </c>
      <c r="T63" s="4" t="str">
        <f>IF(P63=0,"-",(P63-S63))</f>
        <v>-</v>
      </c>
      <c r="U63" s="12" t="str">
        <f>IF(P63=0,"-",(1-(T63/P63)))</f>
        <v>-</v>
      </c>
      <c r="V63" s="290"/>
      <c r="W63" s="291"/>
      <c r="X63" s="291"/>
      <c r="Y63" s="291"/>
      <c r="Z63" s="291"/>
      <c r="AA63" s="291"/>
      <c r="AB63" s="292"/>
    </row>
    <row r="64" spans="1:31">
      <c r="A64" s="297"/>
      <c r="B64" s="6" t="s">
        <v>21</v>
      </c>
      <c r="C64" s="7"/>
      <c r="D64" s="1"/>
      <c r="E64" s="1"/>
      <c r="F64" s="2"/>
      <c r="G64" s="7"/>
      <c r="H64" s="1"/>
      <c r="I64" s="1"/>
      <c r="J64" s="2"/>
      <c r="K64" s="7">
        <v>24</v>
      </c>
      <c r="L64" s="1">
        <v>24</v>
      </c>
      <c r="M64" s="1">
        <v>4</v>
      </c>
      <c r="N64" s="2"/>
      <c r="O64" s="11">
        <f t="shared" ref="O64:O67" si="53">SUM(C64,G64,K64)</f>
        <v>24</v>
      </c>
      <c r="P64" s="4">
        <f t="shared" ref="P64:P67" si="54">SUM(D64,H64,L64)</f>
        <v>24</v>
      </c>
      <c r="Q64" s="4">
        <f t="shared" ref="Q64:Q67" si="55">IF(P64=0,"-",SUM(E64,I64,M64))</f>
        <v>4</v>
      </c>
      <c r="R64" s="4">
        <f t="shared" ref="R64:R67" si="56">IF(P64=0,"-",SUM(F64,J64,N64))</f>
        <v>0</v>
      </c>
      <c r="S64" s="4">
        <f t="shared" ref="S64:S67" si="57">IF(P64=0,"-",SUM((IF((E64+F64)&gt;228,D64,IF((E64+F64)&gt;D64,D64,(E64+F64)))),IF((I64+J64)&gt;228,H64,IF((I64+J64)&gt;H64,H64,(I64+J64))),(IF((M64+N64)&gt;228,L64,IF((M64+N64)&gt;L64,L64,(M64+N64))))))</f>
        <v>4</v>
      </c>
      <c r="T64" s="4">
        <f t="shared" ref="T64:T67" si="58">IF(P64=0,"-",(P64-S64))</f>
        <v>20</v>
      </c>
      <c r="U64" s="12">
        <f t="shared" ref="U64:U67" si="59">IF(P64=0,"-",(1-(T64/P64)))</f>
        <v>0.16666666666666663</v>
      </c>
      <c r="V64" s="290"/>
      <c r="W64" s="291"/>
      <c r="X64" s="291"/>
      <c r="Y64" s="291"/>
      <c r="Z64" s="291"/>
      <c r="AA64" s="291"/>
      <c r="AB64" s="292"/>
    </row>
    <row r="65" spans="1:31">
      <c r="A65" s="297"/>
      <c r="B65" s="6" t="s">
        <v>22</v>
      </c>
      <c r="C65" s="7"/>
      <c r="D65" s="1"/>
      <c r="E65" s="1"/>
      <c r="F65" s="2"/>
      <c r="G65" s="7"/>
      <c r="H65" s="1"/>
      <c r="I65" s="1"/>
      <c r="J65" s="2"/>
      <c r="K65" s="7"/>
      <c r="L65" s="1"/>
      <c r="M65" s="1"/>
      <c r="N65" s="2"/>
      <c r="O65" s="11">
        <f t="shared" si="53"/>
        <v>0</v>
      </c>
      <c r="P65" s="4">
        <f t="shared" si="54"/>
        <v>0</v>
      </c>
      <c r="Q65" s="4" t="str">
        <f t="shared" si="55"/>
        <v>-</v>
      </c>
      <c r="R65" s="4" t="str">
        <f t="shared" si="56"/>
        <v>-</v>
      </c>
      <c r="S65" s="4" t="str">
        <f t="shared" si="57"/>
        <v>-</v>
      </c>
      <c r="T65" s="4" t="str">
        <f t="shared" si="58"/>
        <v>-</v>
      </c>
      <c r="U65" s="12" t="str">
        <f t="shared" si="59"/>
        <v>-</v>
      </c>
      <c r="V65" s="290"/>
      <c r="W65" s="291"/>
      <c r="X65" s="291"/>
      <c r="Y65" s="291"/>
      <c r="Z65" s="291"/>
      <c r="AA65" s="291"/>
      <c r="AB65" s="292"/>
    </row>
    <row r="66" spans="1:31">
      <c r="A66" s="297"/>
      <c r="B66" s="6" t="s">
        <v>23</v>
      </c>
      <c r="C66" s="7"/>
      <c r="D66" s="1"/>
      <c r="E66" s="1"/>
      <c r="F66" s="2"/>
      <c r="G66" s="7">
        <v>228</v>
      </c>
      <c r="H66" s="1">
        <v>228</v>
      </c>
      <c r="I66" s="1">
        <v>216</v>
      </c>
      <c r="J66" s="2">
        <v>12</v>
      </c>
      <c r="K66" s="7">
        <v>20</v>
      </c>
      <c r="L66" s="1">
        <v>20</v>
      </c>
      <c r="M66" s="1"/>
      <c r="N66" s="2"/>
      <c r="O66" s="11">
        <f t="shared" si="53"/>
        <v>248</v>
      </c>
      <c r="P66" s="4">
        <f t="shared" si="54"/>
        <v>248</v>
      </c>
      <c r="Q66" s="4">
        <f t="shared" si="55"/>
        <v>216</v>
      </c>
      <c r="R66" s="4">
        <f t="shared" si="56"/>
        <v>12</v>
      </c>
      <c r="S66" s="4">
        <f t="shared" si="57"/>
        <v>228</v>
      </c>
      <c r="T66" s="4">
        <f t="shared" si="58"/>
        <v>20</v>
      </c>
      <c r="U66" s="12">
        <f t="shared" si="59"/>
        <v>0.91935483870967738</v>
      </c>
      <c r="V66" s="290"/>
      <c r="W66" s="291"/>
      <c r="X66" s="291"/>
      <c r="Y66" s="291"/>
      <c r="Z66" s="291"/>
      <c r="AA66" s="291"/>
      <c r="AB66" s="292"/>
    </row>
    <row r="67" spans="1:31">
      <c r="A67" s="297"/>
      <c r="B67" s="6" t="s">
        <v>24</v>
      </c>
      <c r="C67" s="7">
        <v>3</v>
      </c>
      <c r="D67" s="1"/>
      <c r="E67" s="1"/>
      <c r="F67" s="2"/>
      <c r="G67" s="7">
        <v>55</v>
      </c>
      <c r="H67" s="1">
        <v>55</v>
      </c>
      <c r="I67" s="1"/>
      <c r="J67" s="2">
        <f>(27+4)</f>
        <v>31</v>
      </c>
      <c r="K67" s="7">
        <v>23</v>
      </c>
      <c r="L67" s="1">
        <v>23</v>
      </c>
      <c r="M67" s="1"/>
      <c r="N67" s="2"/>
      <c r="O67" s="11">
        <f t="shared" si="53"/>
        <v>81</v>
      </c>
      <c r="P67" s="4">
        <f t="shared" si="54"/>
        <v>78</v>
      </c>
      <c r="Q67" s="4">
        <f t="shared" si="55"/>
        <v>0</v>
      </c>
      <c r="R67" s="4">
        <f t="shared" si="56"/>
        <v>31</v>
      </c>
      <c r="S67" s="4">
        <f t="shared" si="57"/>
        <v>31</v>
      </c>
      <c r="T67" s="4">
        <f t="shared" si="58"/>
        <v>47</v>
      </c>
      <c r="U67" s="12">
        <f t="shared" si="59"/>
        <v>0.39743589743589747</v>
      </c>
      <c r="V67" s="290"/>
      <c r="W67" s="291"/>
      <c r="X67" s="291"/>
      <c r="Y67" s="291"/>
      <c r="Z67" s="291"/>
      <c r="AA67" s="291"/>
      <c r="AB67" s="292"/>
    </row>
    <row r="68" spans="1:31" ht="15.75" thickBot="1">
      <c r="A68" s="298"/>
      <c r="B68" s="13" t="s">
        <v>4</v>
      </c>
      <c r="C68" s="17">
        <f>SUM(C63:C67)</f>
        <v>3</v>
      </c>
      <c r="D68" s="15">
        <f>SUM(D63:D67)</f>
        <v>0</v>
      </c>
      <c r="E68" s="15">
        <f>SUM(E63:E67)</f>
        <v>0</v>
      </c>
      <c r="F68" s="16">
        <f>SUM(F63:F67)</f>
        <v>0</v>
      </c>
      <c r="G68" s="17">
        <f t="shared" ref="G68:N68" si="60">SUM(G63:G67)</f>
        <v>283</v>
      </c>
      <c r="H68" s="15">
        <f t="shared" si="60"/>
        <v>283</v>
      </c>
      <c r="I68" s="15">
        <f t="shared" si="60"/>
        <v>216</v>
      </c>
      <c r="J68" s="16">
        <f t="shared" si="60"/>
        <v>43</v>
      </c>
      <c r="K68" s="17">
        <f t="shared" si="60"/>
        <v>67</v>
      </c>
      <c r="L68" s="15">
        <f t="shared" si="60"/>
        <v>67</v>
      </c>
      <c r="M68" s="15">
        <f t="shared" si="60"/>
        <v>4</v>
      </c>
      <c r="N68" s="16">
        <f t="shared" si="60"/>
        <v>0</v>
      </c>
      <c r="O68" s="18">
        <f>SUM(O63:O67)</f>
        <v>353</v>
      </c>
      <c r="P68" s="19">
        <f t="shared" ref="P68" si="61">SUM(P63:P67)</f>
        <v>350</v>
      </c>
      <c r="Q68" s="19">
        <f t="shared" ref="Q68" si="62">SUM(Q63:Q67)</f>
        <v>220</v>
      </c>
      <c r="R68" s="19">
        <f t="shared" ref="R68" si="63">SUM(R63:R67)</f>
        <v>43</v>
      </c>
      <c r="S68" s="19">
        <f>SUM(S63:S67)</f>
        <v>263</v>
      </c>
      <c r="T68" s="19">
        <f>(P68-S68)</f>
        <v>87</v>
      </c>
      <c r="U68" s="20">
        <f>IF(P68=0,"-",(1-(T68/P68)))</f>
        <v>0.75142857142857145</v>
      </c>
      <c r="V68" s="293"/>
      <c r="W68" s="294"/>
      <c r="X68" s="294"/>
      <c r="Y68" s="294"/>
      <c r="Z68" s="294"/>
      <c r="AA68" s="294"/>
      <c r="AB68" s="295"/>
    </row>
    <row r="69" spans="1:31">
      <c r="R69" s="22"/>
    </row>
    <row r="70" spans="1:31" ht="15.75" thickBot="1"/>
    <row r="71" spans="1:31" ht="15.75" thickBot="1">
      <c r="A71" s="296" t="s">
        <v>34</v>
      </c>
      <c r="B71" s="299" t="s">
        <v>2</v>
      </c>
      <c r="C71" s="301" t="s">
        <v>3</v>
      </c>
      <c r="D71" s="302"/>
      <c r="E71" s="302"/>
      <c r="F71" s="302"/>
      <c r="G71" s="302"/>
      <c r="H71" s="302"/>
      <c r="I71" s="302"/>
      <c r="J71" s="302"/>
      <c r="K71" s="302"/>
      <c r="L71" s="302"/>
      <c r="M71" s="302"/>
      <c r="N71" s="303"/>
      <c r="O71" s="278" t="s">
        <v>4</v>
      </c>
      <c r="P71" s="279"/>
      <c r="Q71" s="279"/>
      <c r="R71" s="279"/>
      <c r="S71" s="279"/>
      <c r="T71" s="279"/>
      <c r="U71" s="280"/>
      <c r="V71" s="278" t="s">
        <v>5</v>
      </c>
      <c r="W71" s="279"/>
      <c r="X71" s="279"/>
      <c r="Y71" s="279"/>
      <c r="Z71" s="279"/>
      <c r="AA71" s="279"/>
      <c r="AB71" s="280"/>
      <c r="AD71" t="s">
        <v>6</v>
      </c>
      <c r="AE71" t="s">
        <v>7</v>
      </c>
    </row>
    <row r="72" spans="1:31">
      <c r="A72" s="297"/>
      <c r="B72" s="300"/>
      <c r="C72" s="304" t="s">
        <v>8</v>
      </c>
      <c r="D72" s="305"/>
      <c r="E72" s="305"/>
      <c r="F72" s="306"/>
      <c r="G72" s="304" t="s">
        <v>9</v>
      </c>
      <c r="H72" s="305"/>
      <c r="I72" s="305"/>
      <c r="J72" s="306"/>
      <c r="K72" s="304" t="s">
        <v>10</v>
      </c>
      <c r="L72" s="305"/>
      <c r="M72" s="305"/>
      <c r="N72" s="306"/>
      <c r="O72" s="281"/>
      <c r="P72" s="282"/>
      <c r="Q72" s="282"/>
      <c r="R72" s="282"/>
      <c r="S72" s="282"/>
      <c r="T72" s="282"/>
      <c r="U72" s="283"/>
      <c r="V72" s="281"/>
      <c r="W72" s="282"/>
      <c r="X72" s="282"/>
      <c r="Y72" s="282"/>
      <c r="Z72" s="282"/>
      <c r="AA72" s="282"/>
      <c r="AB72" s="283"/>
      <c r="AD72" s="24" cm="1">
        <f t="array" ref="AD72">(SUM((IF(I74:I78&lt;=H74:H78,I74:I78,H74:H78)),(IF(E74:E78&lt;=D74:D78,E74:E78,D74:D78)),(IF(M74:M78&lt;=L74:L78,M74:M78,L74:L78))))/P79</f>
        <v>0.25985401459854013</v>
      </c>
      <c r="AE72" s="24" cm="1">
        <f t="array" ref="AE72">SUM((IF((E74:E78+F74:F78)&gt;D74:D78,ABS(D74:D78-E74:E78),F74:F78)),(IF((I74:I78+J74:J78)&gt;H74:H78,ABS(H74:H78-I74:I78),J74:J78)),(IF((M74:M78+N74:N78)&gt;L74:L78,ABS(L74:L78-M74:M78),N74:N78)))/(P79-Q79)</f>
        <v>0.53451676528599601</v>
      </c>
    </row>
    <row r="73" spans="1:31">
      <c r="A73" s="297"/>
      <c r="B73" s="300"/>
      <c r="C73" s="7" t="s">
        <v>11</v>
      </c>
      <c r="D73" s="1" t="s">
        <v>12</v>
      </c>
      <c r="E73" s="1" t="s">
        <v>13</v>
      </c>
      <c r="F73" s="2" t="s">
        <v>14</v>
      </c>
      <c r="G73" s="7" t="s">
        <v>11</v>
      </c>
      <c r="H73" s="1" t="s">
        <v>12</v>
      </c>
      <c r="I73" s="1" t="s">
        <v>13</v>
      </c>
      <c r="J73" s="2" t="s">
        <v>14</v>
      </c>
      <c r="K73" s="7" t="s">
        <v>11</v>
      </c>
      <c r="L73" s="1" t="s">
        <v>12</v>
      </c>
      <c r="M73" s="1" t="s">
        <v>13</v>
      </c>
      <c r="N73" s="2" t="s">
        <v>14</v>
      </c>
      <c r="O73" s="8" t="s">
        <v>15</v>
      </c>
      <c r="P73" s="3" t="s">
        <v>12</v>
      </c>
      <c r="Q73" s="3" t="s">
        <v>13</v>
      </c>
      <c r="R73" s="3" t="s">
        <v>14</v>
      </c>
      <c r="S73" s="3" t="s">
        <v>16</v>
      </c>
      <c r="T73" s="3" t="s">
        <v>17</v>
      </c>
      <c r="U73" s="10" t="s">
        <v>18</v>
      </c>
      <c r="V73" s="284" t="s">
        <v>35</v>
      </c>
      <c r="W73" s="285"/>
      <c r="X73" s="285"/>
      <c r="Y73" s="285"/>
      <c r="Z73" s="285"/>
      <c r="AA73" s="285"/>
      <c r="AB73" s="286"/>
    </row>
    <row r="74" spans="1:31">
      <c r="A74" s="297"/>
      <c r="B74" s="6" t="s">
        <v>20</v>
      </c>
      <c r="C74" s="7"/>
      <c r="D74" s="1"/>
      <c r="E74" s="1"/>
      <c r="F74" s="2"/>
      <c r="G74" s="7"/>
      <c r="H74" s="1"/>
      <c r="I74" s="1"/>
      <c r="J74" s="2"/>
      <c r="K74" s="7"/>
      <c r="L74" s="1"/>
      <c r="M74" s="1"/>
      <c r="N74" s="2"/>
      <c r="O74" s="11">
        <f>SUM(C74,G74,K74)</f>
        <v>0</v>
      </c>
      <c r="P74" s="4">
        <f>SUM(D74,H74,L74)</f>
        <v>0</v>
      </c>
      <c r="Q74" s="4" t="str">
        <f>IF(P74=0,"-",SUM(E74,I74,M74))</f>
        <v>-</v>
      </c>
      <c r="R74" s="4" t="str">
        <f>IF(P74=0,"-",SUM(F74,J74,N74))</f>
        <v>-</v>
      </c>
      <c r="S74" s="4" t="str">
        <f>IF(P74=0,"-",SUM((IF((E74+F74)&gt;228,D74,IF((E74+F74)&gt;D74,D74,(E74+F74)))),IF((I74+J74)&gt;228,H74,IF((I74+J74)&gt;H74,H74,(I74+J74))),(IF((M74+N74)&gt;228,L74,IF((M74+N74)&gt;L74,L74,(M74+N74))))))</f>
        <v>-</v>
      </c>
      <c r="T74" s="4" t="str">
        <f>IF(P74=0,"-",(P74-S74))</f>
        <v>-</v>
      </c>
      <c r="U74" s="12" t="str">
        <f>IF(P74=0,"-",(1-(T74/P74)))</f>
        <v>-</v>
      </c>
      <c r="V74" s="284"/>
      <c r="W74" s="285"/>
      <c r="X74" s="285"/>
      <c r="Y74" s="285"/>
      <c r="Z74" s="285"/>
      <c r="AA74" s="285"/>
      <c r="AB74" s="286"/>
    </row>
    <row r="75" spans="1:31">
      <c r="A75" s="297"/>
      <c r="B75" s="6" t="s">
        <v>21</v>
      </c>
      <c r="C75" s="7">
        <v>5</v>
      </c>
      <c r="D75" s="1">
        <v>5</v>
      </c>
      <c r="E75" s="1"/>
      <c r="F75" s="2"/>
      <c r="G75" s="7">
        <v>2</v>
      </c>
      <c r="H75" s="1">
        <v>2</v>
      </c>
      <c r="I75" s="1"/>
      <c r="J75" s="2"/>
      <c r="K75" s="7"/>
      <c r="L75" s="1"/>
      <c r="M75" s="1"/>
      <c r="N75" s="2"/>
      <c r="O75" s="11">
        <f t="shared" ref="O75:O78" si="64">SUM(C75,G75,K75)</f>
        <v>7</v>
      </c>
      <c r="P75" s="4">
        <f t="shared" ref="P75:P78" si="65">SUM(D75,H75,L75)</f>
        <v>7</v>
      </c>
      <c r="Q75" s="4">
        <f t="shared" ref="Q75:Q78" si="66">IF(P75=0,"-",SUM(E75,I75,M75))</f>
        <v>0</v>
      </c>
      <c r="R75" s="4">
        <f t="shared" ref="R75:R78" si="67">IF(P75=0,"-",SUM(F75,J75,N75))</f>
        <v>0</v>
      </c>
      <c r="S75" s="4">
        <f t="shared" ref="S75:S78" si="68">IF(P75=0,"-",SUM((IF((E75+F75)&gt;228,D75,IF((E75+F75)&gt;D75,D75,(E75+F75)))),IF((I75+J75)&gt;228,H75,IF((I75+J75)&gt;H75,H75,(I75+J75))),(IF((M75+N75)&gt;228,L75,IF((M75+N75)&gt;L75,L75,(M75+N75))))))</f>
        <v>0</v>
      </c>
      <c r="T75" s="4">
        <f t="shared" ref="T75:T78" si="69">IF(P75=0,"-",(P75-S75))</f>
        <v>7</v>
      </c>
      <c r="U75" s="12">
        <f t="shared" ref="U75:U78" si="70">IF(P75=0,"-",(1-(T75/P75)))</f>
        <v>0</v>
      </c>
      <c r="V75" s="284"/>
      <c r="W75" s="285"/>
      <c r="X75" s="285"/>
      <c r="Y75" s="285"/>
      <c r="Z75" s="285"/>
      <c r="AA75" s="285"/>
      <c r="AB75" s="286"/>
    </row>
    <row r="76" spans="1:31">
      <c r="A76" s="297"/>
      <c r="B76" s="6" t="s">
        <v>22</v>
      </c>
      <c r="C76" s="7">
        <v>3</v>
      </c>
      <c r="D76" s="1">
        <v>3</v>
      </c>
      <c r="E76" s="1"/>
      <c r="F76" s="2"/>
      <c r="G76" s="7">
        <v>228</v>
      </c>
      <c r="H76" s="1">
        <v>228</v>
      </c>
      <c r="I76" s="1">
        <v>66</v>
      </c>
      <c r="J76" s="2">
        <f>(145+14)</f>
        <v>159</v>
      </c>
      <c r="K76" s="7"/>
      <c r="L76" s="1"/>
      <c r="M76" s="1"/>
      <c r="N76" s="2"/>
      <c r="O76" s="11">
        <f t="shared" si="64"/>
        <v>231</v>
      </c>
      <c r="P76" s="4">
        <f t="shared" si="65"/>
        <v>231</v>
      </c>
      <c r="Q76" s="4">
        <f t="shared" si="66"/>
        <v>66</v>
      </c>
      <c r="R76" s="4">
        <f t="shared" si="67"/>
        <v>159</v>
      </c>
      <c r="S76" s="4">
        <f t="shared" si="68"/>
        <v>225</v>
      </c>
      <c r="T76" s="4">
        <f t="shared" si="69"/>
        <v>6</v>
      </c>
      <c r="U76" s="12">
        <f t="shared" si="70"/>
        <v>0.97402597402597402</v>
      </c>
      <c r="V76" s="284"/>
      <c r="W76" s="285"/>
      <c r="X76" s="285"/>
      <c r="Y76" s="285"/>
      <c r="Z76" s="285"/>
      <c r="AA76" s="285"/>
      <c r="AB76" s="286"/>
    </row>
    <row r="77" spans="1:31">
      <c r="A77" s="297"/>
      <c r="B77" s="6" t="s">
        <v>23</v>
      </c>
      <c r="C77" s="7"/>
      <c r="D77" s="1"/>
      <c r="E77" s="1"/>
      <c r="F77" s="2"/>
      <c r="G77" s="7">
        <v>228</v>
      </c>
      <c r="H77" s="1">
        <v>228</v>
      </c>
      <c r="I77" s="1">
        <v>112</v>
      </c>
      <c r="J77" s="2">
        <f>(21+14)</f>
        <v>35</v>
      </c>
      <c r="K77" s="7"/>
      <c r="L77" s="1"/>
      <c r="M77" s="1"/>
      <c r="N77" s="2"/>
      <c r="O77" s="11">
        <f t="shared" si="64"/>
        <v>228</v>
      </c>
      <c r="P77" s="4">
        <f t="shared" si="65"/>
        <v>228</v>
      </c>
      <c r="Q77" s="4">
        <f t="shared" si="66"/>
        <v>112</v>
      </c>
      <c r="R77" s="4">
        <f t="shared" si="67"/>
        <v>35</v>
      </c>
      <c r="S77" s="4">
        <f t="shared" si="68"/>
        <v>147</v>
      </c>
      <c r="T77" s="4">
        <f t="shared" si="69"/>
        <v>81</v>
      </c>
      <c r="U77" s="12">
        <f t="shared" si="70"/>
        <v>0.64473684210526316</v>
      </c>
      <c r="V77" s="284"/>
      <c r="W77" s="285"/>
      <c r="X77" s="285"/>
      <c r="Y77" s="285"/>
      <c r="Z77" s="285"/>
      <c r="AA77" s="285"/>
      <c r="AB77" s="286"/>
    </row>
    <row r="78" spans="1:31">
      <c r="A78" s="297"/>
      <c r="B78" s="6" t="s">
        <v>24</v>
      </c>
      <c r="C78" s="7">
        <v>22</v>
      </c>
      <c r="D78" s="1">
        <v>22</v>
      </c>
      <c r="E78" s="1"/>
      <c r="F78" s="2"/>
      <c r="G78" s="7">
        <v>197</v>
      </c>
      <c r="H78" s="1">
        <v>197</v>
      </c>
      <c r="I78" s="1"/>
      <c r="J78" s="2">
        <f>(30+47)</f>
        <v>77</v>
      </c>
      <c r="K78" s="7"/>
      <c r="L78" s="1"/>
      <c r="M78" s="1"/>
      <c r="N78" s="2"/>
      <c r="O78" s="11">
        <f t="shared" si="64"/>
        <v>219</v>
      </c>
      <c r="P78" s="4">
        <f t="shared" si="65"/>
        <v>219</v>
      </c>
      <c r="Q78" s="4">
        <f t="shared" si="66"/>
        <v>0</v>
      </c>
      <c r="R78" s="4">
        <f t="shared" si="67"/>
        <v>77</v>
      </c>
      <c r="S78" s="4">
        <f t="shared" si="68"/>
        <v>77</v>
      </c>
      <c r="T78" s="4">
        <f t="shared" si="69"/>
        <v>142</v>
      </c>
      <c r="U78" s="12">
        <f t="shared" si="70"/>
        <v>0.35159817351598177</v>
      </c>
      <c r="V78" s="284"/>
      <c r="W78" s="285"/>
      <c r="X78" s="285"/>
      <c r="Y78" s="285"/>
      <c r="Z78" s="285"/>
      <c r="AA78" s="285"/>
      <c r="AB78" s="286"/>
    </row>
    <row r="79" spans="1:31" ht="15.75" thickBot="1">
      <c r="A79" s="298"/>
      <c r="B79" s="13" t="s">
        <v>4</v>
      </c>
      <c r="C79" s="17">
        <f>SUM(C74:C78)</f>
        <v>30</v>
      </c>
      <c r="D79" s="15">
        <f>SUM(D74:D78)</f>
        <v>30</v>
      </c>
      <c r="E79" s="15">
        <f>SUM(E74:E78)</f>
        <v>0</v>
      </c>
      <c r="F79" s="16">
        <f>SUM(F74:F78)</f>
        <v>0</v>
      </c>
      <c r="G79" s="17">
        <f t="shared" ref="G79:N79" si="71">SUM(G74:G78)</f>
        <v>655</v>
      </c>
      <c r="H79" s="15">
        <f t="shared" si="71"/>
        <v>655</v>
      </c>
      <c r="I79" s="15">
        <f t="shared" si="71"/>
        <v>178</v>
      </c>
      <c r="J79" s="16">
        <f t="shared" si="71"/>
        <v>271</v>
      </c>
      <c r="K79" s="17">
        <f t="shared" si="71"/>
        <v>0</v>
      </c>
      <c r="L79" s="15">
        <f t="shared" si="71"/>
        <v>0</v>
      </c>
      <c r="M79" s="15">
        <f t="shared" si="71"/>
        <v>0</v>
      </c>
      <c r="N79" s="16">
        <f t="shared" si="71"/>
        <v>0</v>
      </c>
      <c r="O79" s="18">
        <f>SUM(O74:O78)</f>
        <v>685</v>
      </c>
      <c r="P79" s="19">
        <f t="shared" ref="P79" si="72">SUM(P74:P78)</f>
        <v>685</v>
      </c>
      <c r="Q79" s="19">
        <f t="shared" ref="Q79" si="73">SUM(Q74:Q78)</f>
        <v>178</v>
      </c>
      <c r="R79" s="19">
        <f t="shared" ref="R79" si="74">SUM(R74:R78)</f>
        <v>271</v>
      </c>
      <c r="S79" s="19">
        <f>SUM(S74:S78)</f>
        <v>449</v>
      </c>
      <c r="T79" s="19">
        <f>(P79-S79)</f>
        <v>236</v>
      </c>
      <c r="U79" s="20">
        <f>IF(P79=0,"-",(1-(T79/P79)))</f>
        <v>0.65547445255474446</v>
      </c>
      <c r="V79" s="287"/>
      <c r="W79" s="288"/>
      <c r="X79" s="288"/>
      <c r="Y79" s="288"/>
      <c r="Z79" s="288"/>
      <c r="AA79" s="288"/>
      <c r="AB79" s="289"/>
    </row>
    <row r="80" spans="1:31">
      <c r="R80" s="22"/>
    </row>
    <row r="81" spans="1:31" ht="15.75" thickBot="1"/>
    <row r="82" spans="1:31" ht="15.75" thickBot="1">
      <c r="A82" s="296" t="s">
        <v>36</v>
      </c>
      <c r="B82" s="299" t="s">
        <v>2</v>
      </c>
      <c r="C82" s="301" t="s">
        <v>3</v>
      </c>
      <c r="D82" s="302"/>
      <c r="E82" s="302"/>
      <c r="F82" s="302"/>
      <c r="G82" s="302"/>
      <c r="H82" s="302"/>
      <c r="I82" s="302"/>
      <c r="J82" s="302"/>
      <c r="K82" s="302"/>
      <c r="L82" s="302"/>
      <c r="M82" s="302"/>
      <c r="N82" s="303"/>
      <c r="O82" s="278" t="s">
        <v>4</v>
      </c>
      <c r="P82" s="279"/>
      <c r="Q82" s="279"/>
      <c r="R82" s="279"/>
      <c r="S82" s="279"/>
      <c r="T82" s="279"/>
      <c r="U82" s="280"/>
      <c r="V82" s="278" t="s">
        <v>5</v>
      </c>
      <c r="W82" s="279"/>
      <c r="X82" s="279"/>
      <c r="Y82" s="279"/>
      <c r="Z82" s="279"/>
      <c r="AA82" s="279"/>
      <c r="AB82" s="280"/>
      <c r="AD82" t="s">
        <v>6</v>
      </c>
      <c r="AE82" t="s">
        <v>7</v>
      </c>
    </row>
    <row r="83" spans="1:31">
      <c r="A83" s="297"/>
      <c r="B83" s="300"/>
      <c r="C83" s="304" t="s">
        <v>8</v>
      </c>
      <c r="D83" s="305"/>
      <c r="E83" s="305"/>
      <c r="F83" s="306"/>
      <c r="G83" s="304" t="s">
        <v>9</v>
      </c>
      <c r="H83" s="305"/>
      <c r="I83" s="305"/>
      <c r="J83" s="306"/>
      <c r="K83" s="304" t="s">
        <v>10</v>
      </c>
      <c r="L83" s="305"/>
      <c r="M83" s="305"/>
      <c r="N83" s="306"/>
      <c r="O83" s="281"/>
      <c r="P83" s="282"/>
      <c r="Q83" s="282"/>
      <c r="R83" s="282"/>
      <c r="S83" s="282"/>
      <c r="T83" s="282"/>
      <c r="U83" s="283"/>
      <c r="V83" s="281"/>
      <c r="W83" s="282"/>
      <c r="X83" s="282"/>
      <c r="Y83" s="282"/>
      <c r="Z83" s="282"/>
      <c r="AA83" s="282"/>
      <c r="AB83" s="283"/>
      <c r="AD83" s="24" cm="1">
        <f t="array" ref="AD83">(SUM((IF(I85:I89&lt;=H85:H89,I85:I89,H85:H89)),(IF(E85:E89&lt;=D85:D89,E85:E89,D85:D89)),(IF(M85:M89&lt;=L85:L89,M85:M89,L85:L89))))/P90</f>
        <v>0.54202586206896552</v>
      </c>
      <c r="AE83" s="24" cm="1">
        <f t="array" ref="AE83">SUM((IF((E85:E89+F85:F89)&gt;D85:D89,ABS(D85:D89-E85:E89),F85:F89)),(IF((I85:I89+J85:J89)&gt;H85:H89,ABS(H85:H89-I85:I89),J85:J89)),(IF((M85:M89+N85:N89)&gt;L85:L89,ABS(L85:L89-M85:M89),N85:N89)))/(P90-Q90)</f>
        <v>0.79702970297029707</v>
      </c>
    </row>
    <row r="84" spans="1:31">
      <c r="A84" s="297"/>
      <c r="B84" s="300"/>
      <c r="C84" s="7" t="s">
        <v>11</v>
      </c>
      <c r="D84" s="1" t="s">
        <v>12</v>
      </c>
      <c r="E84" s="1" t="s">
        <v>13</v>
      </c>
      <c r="F84" s="2" t="s">
        <v>14</v>
      </c>
      <c r="G84" s="7" t="s">
        <v>11</v>
      </c>
      <c r="H84" s="1" t="s">
        <v>12</v>
      </c>
      <c r="I84" s="1" t="s">
        <v>13</v>
      </c>
      <c r="J84" s="2" t="s">
        <v>14</v>
      </c>
      <c r="K84" s="7" t="s">
        <v>11</v>
      </c>
      <c r="L84" s="1" t="s">
        <v>12</v>
      </c>
      <c r="M84" s="1" t="s">
        <v>13</v>
      </c>
      <c r="N84" s="2" t="s">
        <v>14</v>
      </c>
      <c r="O84" s="8" t="s">
        <v>15</v>
      </c>
      <c r="P84" s="3" t="s">
        <v>12</v>
      </c>
      <c r="Q84" s="3" t="s">
        <v>13</v>
      </c>
      <c r="R84" s="3" t="s">
        <v>14</v>
      </c>
      <c r="S84" s="3" t="s">
        <v>16</v>
      </c>
      <c r="T84" s="3" t="s">
        <v>17</v>
      </c>
      <c r="U84" s="10" t="s">
        <v>18</v>
      </c>
      <c r="V84" s="290"/>
      <c r="W84" s="291"/>
      <c r="X84" s="291"/>
      <c r="Y84" s="291"/>
      <c r="Z84" s="291"/>
      <c r="AA84" s="291"/>
      <c r="AB84" s="292"/>
    </row>
    <row r="85" spans="1:31">
      <c r="A85" s="297"/>
      <c r="B85" s="6" t="s">
        <v>20</v>
      </c>
      <c r="C85" s="7"/>
      <c r="D85" s="1">
        <v>0</v>
      </c>
      <c r="E85" s="1">
        <v>0</v>
      </c>
      <c r="F85" s="2"/>
      <c r="G85" s="7">
        <v>0</v>
      </c>
      <c r="H85" s="1">
        <v>0</v>
      </c>
      <c r="I85" s="1">
        <v>0</v>
      </c>
      <c r="J85" s="2"/>
      <c r="K85" s="7">
        <v>119</v>
      </c>
      <c r="L85" s="1"/>
      <c r="M85" s="1"/>
      <c r="N85" s="2"/>
      <c r="O85" s="11">
        <f>SUM(C85,G85,K85)</f>
        <v>119</v>
      </c>
      <c r="P85" s="4">
        <f>SUM(D85,H85,L85)</f>
        <v>0</v>
      </c>
      <c r="Q85" s="4" t="str">
        <f>IF(P85=0,"-",SUM(E85,I85,M85))</f>
        <v>-</v>
      </c>
      <c r="R85" s="4" t="str">
        <f>IF(P85=0,"-",SUM(F85,J85,N85))</f>
        <v>-</v>
      </c>
      <c r="S85" s="4" t="str">
        <f>IF(P85=0,"-",SUM((IF((E85+F85)&gt;228,D85,IF((E85+F85)&gt;D85,D85,(E85+F85)))),IF((I85+J85)&gt;228,H85,IF((I85+J85)&gt;H85,H85,(I85+J85))),(IF((M85+N85)&gt;228,L85,IF((M85+N85)&gt;L85,L85,(M85+N85))))))</f>
        <v>-</v>
      </c>
      <c r="T85" s="4" t="str">
        <f>IF(P85=0,"-",(P85-S85))</f>
        <v>-</v>
      </c>
      <c r="U85" s="12" t="str">
        <f>IF(P85=0,"-",(1-(T85/P85)))</f>
        <v>-</v>
      </c>
      <c r="V85" s="290"/>
      <c r="W85" s="291"/>
      <c r="X85" s="291"/>
      <c r="Y85" s="291"/>
      <c r="Z85" s="291"/>
      <c r="AA85" s="291"/>
      <c r="AB85" s="292"/>
    </row>
    <row r="86" spans="1:31">
      <c r="A86" s="297"/>
      <c r="B86" s="6" t="s">
        <v>21</v>
      </c>
      <c r="C86" s="7">
        <v>42</v>
      </c>
      <c r="D86" s="1">
        <v>45</v>
      </c>
      <c r="E86" s="1">
        <v>42</v>
      </c>
      <c r="F86" s="2">
        <v>1</v>
      </c>
      <c r="G86" s="7">
        <v>25</v>
      </c>
      <c r="H86" s="1">
        <v>4</v>
      </c>
      <c r="I86" s="1">
        <v>4</v>
      </c>
      <c r="J86" s="2"/>
      <c r="K86" s="7">
        <v>13</v>
      </c>
      <c r="L86" s="1">
        <v>0</v>
      </c>
      <c r="M86" s="1"/>
      <c r="N86" s="2"/>
      <c r="O86" s="11">
        <f t="shared" ref="O86:O89" si="75">SUM(C86,G86,K86)</f>
        <v>80</v>
      </c>
      <c r="P86" s="4">
        <f t="shared" ref="P86:P89" si="76">SUM(D86,H86,L86)</f>
        <v>49</v>
      </c>
      <c r="Q86" s="4">
        <f t="shared" ref="Q86:Q89" si="77">IF(P86=0,"-",SUM(E86,I86,M86))</f>
        <v>46</v>
      </c>
      <c r="R86" s="4">
        <f t="shared" ref="R86:R89" si="78">IF(P86=0,"-",SUM(F86,J86,N86))</f>
        <v>1</v>
      </c>
      <c r="S86" s="4">
        <f t="shared" ref="S86:S89" si="79">IF(P86=0,"-",SUM((IF((E86+F86)&gt;228,D86,IF((E86+F86)&gt;D86,D86,(E86+F86)))),IF((I86+J86)&gt;228,H86,IF((I86+J86)&gt;H86,H86,(I86+J86))),(IF((M86+N86)&gt;228,L86,IF((M86+N86)&gt;L86,L86,(M86+N86))))))</f>
        <v>47</v>
      </c>
      <c r="T86" s="4">
        <f t="shared" ref="T86:T89" si="80">IF(P86=0,"-",(P86-S86))</f>
        <v>2</v>
      </c>
      <c r="U86" s="12">
        <f t="shared" ref="U86:U89" si="81">IF(P86=0,"-",(1-(T86/P86)))</f>
        <v>0.95918367346938771</v>
      </c>
      <c r="V86" s="290"/>
      <c r="W86" s="291"/>
      <c r="X86" s="291"/>
      <c r="Y86" s="291"/>
      <c r="Z86" s="291"/>
      <c r="AA86" s="291"/>
      <c r="AB86" s="292"/>
    </row>
    <row r="87" spans="1:31">
      <c r="A87" s="297"/>
      <c r="B87" s="6" t="s">
        <v>22</v>
      </c>
      <c r="C87" s="7">
        <v>0</v>
      </c>
      <c r="D87" s="1">
        <v>4</v>
      </c>
      <c r="E87" s="1">
        <v>4</v>
      </c>
      <c r="F87" s="2"/>
      <c r="G87" s="7">
        <v>4</v>
      </c>
      <c r="H87" s="1">
        <v>186</v>
      </c>
      <c r="I87" s="1">
        <v>186</v>
      </c>
      <c r="J87" s="2"/>
      <c r="K87" s="7"/>
      <c r="L87" s="1"/>
      <c r="M87" s="1"/>
      <c r="N87" s="2"/>
      <c r="O87" s="11">
        <f t="shared" si="75"/>
        <v>4</v>
      </c>
      <c r="P87" s="4">
        <f t="shared" si="76"/>
        <v>190</v>
      </c>
      <c r="Q87" s="4">
        <f t="shared" si="77"/>
        <v>190</v>
      </c>
      <c r="R87" s="4">
        <f t="shared" si="78"/>
        <v>0</v>
      </c>
      <c r="S87" s="4">
        <f t="shared" si="79"/>
        <v>190</v>
      </c>
      <c r="T87" s="4">
        <f t="shared" si="80"/>
        <v>0</v>
      </c>
      <c r="U87" s="12">
        <f t="shared" si="81"/>
        <v>1</v>
      </c>
      <c r="V87" s="290"/>
      <c r="W87" s="291"/>
      <c r="X87" s="291"/>
      <c r="Y87" s="291"/>
      <c r="Z87" s="291"/>
      <c r="AA87" s="291"/>
      <c r="AB87" s="292"/>
    </row>
    <row r="88" spans="1:31">
      <c r="A88" s="297"/>
      <c r="B88" s="6" t="s">
        <v>23</v>
      </c>
      <c r="C88" s="7">
        <v>2</v>
      </c>
      <c r="D88" s="1">
        <v>4</v>
      </c>
      <c r="E88" s="1">
        <v>4</v>
      </c>
      <c r="F88" s="2"/>
      <c r="G88" s="7">
        <v>69</v>
      </c>
      <c r="H88" s="1">
        <v>228</v>
      </c>
      <c r="I88" s="1">
        <v>249</v>
      </c>
      <c r="J88" s="2">
        <v>1</v>
      </c>
      <c r="K88" s="7">
        <v>154</v>
      </c>
      <c r="L88" s="1">
        <v>0</v>
      </c>
      <c r="M88" s="1"/>
      <c r="N88" s="2"/>
      <c r="O88" s="11">
        <f t="shared" si="75"/>
        <v>225</v>
      </c>
      <c r="P88" s="4">
        <f t="shared" si="76"/>
        <v>232</v>
      </c>
      <c r="Q88" s="4">
        <f t="shared" si="77"/>
        <v>253</v>
      </c>
      <c r="R88" s="4">
        <f t="shared" si="78"/>
        <v>1</v>
      </c>
      <c r="S88" s="4">
        <f t="shared" si="79"/>
        <v>232</v>
      </c>
      <c r="T88" s="4">
        <f t="shared" si="80"/>
        <v>0</v>
      </c>
      <c r="U88" s="12">
        <f t="shared" si="81"/>
        <v>1</v>
      </c>
      <c r="V88" s="290"/>
      <c r="W88" s="291"/>
      <c r="X88" s="291"/>
      <c r="Y88" s="291"/>
      <c r="Z88" s="291"/>
      <c r="AA88" s="291"/>
      <c r="AB88" s="292"/>
    </row>
    <row r="89" spans="1:31">
      <c r="A89" s="297"/>
      <c r="B89" s="6" t="s">
        <v>37</v>
      </c>
      <c r="C89" s="7">
        <v>14</v>
      </c>
      <c r="D89" s="1">
        <v>228</v>
      </c>
      <c r="E89" s="1">
        <v>14</v>
      </c>
      <c r="F89" s="2">
        <f>(73+19)</f>
        <v>92</v>
      </c>
      <c r="G89" s="7">
        <v>98</v>
      </c>
      <c r="H89" s="1">
        <v>228</v>
      </c>
      <c r="I89" s="1">
        <v>21</v>
      </c>
      <c r="J89" s="2">
        <v>322</v>
      </c>
      <c r="K89" s="7">
        <v>174</v>
      </c>
      <c r="L89" s="1">
        <v>1</v>
      </c>
      <c r="M89" s="1"/>
      <c r="N89" s="2">
        <v>1</v>
      </c>
      <c r="O89" s="11">
        <f t="shared" si="75"/>
        <v>286</v>
      </c>
      <c r="P89" s="4">
        <f t="shared" si="76"/>
        <v>457</v>
      </c>
      <c r="Q89" s="4">
        <f t="shared" si="77"/>
        <v>35</v>
      </c>
      <c r="R89" s="4">
        <f t="shared" si="78"/>
        <v>415</v>
      </c>
      <c r="S89" s="4">
        <f t="shared" si="79"/>
        <v>335</v>
      </c>
      <c r="T89" s="4">
        <f t="shared" si="80"/>
        <v>122</v>
      </c>
      <c r="U89" s="12">
        <f t="shared" si="81"/>
        <v>0.73304157549234139</v>
      </c>
      <c r="V89" s="290"/>
      <c r="W89" s="291"/>
      <c r="X89" s="291"/>
      <c r="Y89" s="291"/>
      <c r="Z89" s="291"/>
      <c r="AA89" s="291"/>
      <c r="AB89" s="292"/>
    </row>
    <row r="90" spans="1:31" ht="15.75" thickBot="1">
      <c r="A90" s="298"/>
      <c r="B90" s="13" t="s">
        <v>4</v>
      </c>
      <c r="C90" s="17">
        <f>SUM(C85:C89)</f>
        <v>58</v>
      </c>
      <c r="D90" s="15">
        <f>SUM(D85:D89)</f>
        <v>281</v>
      </c>
      <c r="E90" s="15">
        <f>SUM(E85:E89)</f>
        <v>64</v>
      </c>
      <c r="F90" s="16">
        <f>SUM(F85:F89)</f>
        <v>93</v>
      </c>
      <c r="G90" s="17">
        <f t="shared" ref="G90:N90" si="82">SUM(G85:G89)</f>
        <v>196</v>
      </c>
      <c r="H90" s="15">
        <f t="shared" si="82"/>
        <v>646</v>
      </c>
      <c r="I90" s="15">
        <f t="shared" si="82"/>
        <v>460</v>
      </c>
      <c r="J90" s="16">
        <f t="shared" si="82"/>
        <v>323</v>
      </c>
      <c r="K90" s="17">
        <f t="shared" si="82"/>
        <v>460</v>
      </c>
      <c r="L90" s="15">
        <f t="shared" si="82"/>
        <v>1</v>
      </c>
      <c r="M90" s="15">
        <f t="shared" si="82"/>
        <v>0</v>
      </c>
      <c r="N90" s="16">
        <f t="shared" si="82"/>
        <v>1</v>
      </c>
      <c r="O90" s="18">
        <f>SUM(O85:O89)</f>
        <v>714</v>
      </c>
      <c r="P90" s="19">
        <f t="shared" ref="P90" si="83">SUM(P85:P89)</f>
        <v>928</v>
      </c>
      <c r="Q90" s="19">
        <f t="shared" ref="Q90" si="84">SUM(Q85:Q89)</f>
        <v>524</v>
      </c>
      <c r="R90" s="19">
        <f t="shared" ref="R90" si="85">SUM(R85:R89)</f>
        <v>417</v>
      </c>
      <c r="S90" s="19">
        <f>SUM(S85:S89)</f>
        <v>804</v>
      </c>
      <c r="T90" s="19">
        <f>(P90-S90)</f>
        <v>124</v>
      </c>
      <c r="U90" s="20">
        <f>IF(P90=0,"-",(1-(T90/P90)))</f>
        <v>0.86637931034482762</v>
      </c>
      <c r="V90" s="293"/>
      <c r="W90" s="294"/>
      <c r="X90" s="294"/>
      <c r="Y90" s="294"/>
      <c r="Z90" s="294"/>
      <c r="AA90" s="294"/>
      <c r="AB90" s="295"/>
    </row>
    <row r="91" spans="1:31">
      <c r="R91" s="22"/>
    </row>
    <row r="92" spans="1:31" ht="15.75" thickBot="1"/>
    <row r="93" spans="1:31" ht="15.75" thickBot="1">
      <c r="A93" s="296" t="s">
        <v>38</v>
      </c>
      <c r="B93" s="299" t="s">
        <v>2</v>
      </c>
      <c r="C93" s="301" t="s">
        <v>3</v>
      </c>
      <c r="D93" s="302"/>
      <c r="E93" s="302"/>
      <c r="F93" s="302"/>
      <c r="G93" s="302"/>
      <c r="H93" s="302"/>
      <c r="I93" s="302"/>
      <c r="J93" s="302"/>
      <c r="K93" s="302"/>
      <c r="L93" s="302"/>
      <c r="M93" s="302"/>
      <c r="N93" s="303"/>
      <c r="O93" s="278" t="s">
        <v>4</v>
      </c>
      <c r="P93" s="279"/>
      <c r="Q93" s="279"/>
      <c r="R93" s="279"/>
      <c r="S93" s="279"/>
      <c r="T93" s="279"/>
      <c r="U93" s="280"/>
      <c r="V93" s="278" t="s">
        <v>5</v>
      </c>
      <c r="W93" s="279"/>
      <c r="X93" s="279"/>
      <c r="Y93" s="279"/>
      <c r="Z93" s="279"/>
      <c r="AA93" s="279"/>
      <c r="AB93" s="280"/>
      <c r="AD93" t="s">
        <v>6</v>
      </c>
      <c r="AE93" t="s">
        <v>7</v>
      </c>
    </row>
    <row r="94" spans="1:31">
      <c r="A94" s="297"/>
      <c r="B94" s="300"/>
      <c r="C94" s="304" t="s">
        <v>8</v>
      </c>
      <c r="D94" s="305"/>
      <c r="E94" s="305"/>
      <c r="F94" s="306"/>
      <c r="G94" s="304" t="s">
        <v>9</v>
      </c>
      <c r="H94" s="305"/>
      <c r="I94" s="305"/>
      <c r="J94" s="306"/>
      <c r="K94" s="304" t="s">
        <v>10</v>
      </c>
      <c r="L94" s="305"/>
      <c r="M94" s="305"/>
      <c r="N94" s="306"/>
      <c r="O94" s="281"/>
      <c r="P94" s="282"/>
      <c r="Q94" s="282"/>
      <c r="R94" s="282"/>
      <c r="S94" s="282"/>
      <c r="T94" s="282"/>
      <c r="U94" s="283"/>
      <c r="V94" s="281"/>
      <c r="W94" s="282"/>
      <c r="X94" s="282"/>
      <c r="Y94" s="282"/>
      <c r="Z94" s="282"/>
      <c r="AA94" s="282"/>
      <c r="AB94" s="283"/>
      <c r="AD94" s="24" cm="1">
        <f t="array" ref="AD94">(SUM((IF(I96:I100&lt;=H96:H100,I96:I100,H96:H100)),(IF(E96:E100&lt;=D96:D100,E96:E100,D96:D100)),(IF(M96:M100&lt;=L96:L100,M96:M100,L96:L100))))/P101</f>
        <v>1</v>
      </c>
      <c r="AE94" s="24" t="str" cm="1">
        <f t="array" ref="AE94">IF(AD94&gt;=1,"N/A",SUM((IF((E96:E100+F96:F100)&gt;D96:D100,ABS(D96:D100-E96:E100),F96:F100)),(IF((I96:I100+J96:J100)&gt;H96:H100,ABS(H96:H100-I96:I100),J96:J100)),(IF((M96:M100+N96:N100)&gt;L96:L100,ABS(L96:L100-M96:M100),N96:N100)))/(P101-Q101))</f>
        <v>N/A</v>
      </c>
    </row>
    <row r="95" spans="1:31">
      <c r="A95" s="297"/>
      <c r="B95" s="300"/>
      <c r="C95" s="7" t="s">
        <v>11</v>
      </c>
      <c r="D95" s="1" t="s">
        <v>12</v>
      </c>
      <c r="E95" s="1" t="s">
        <v>13</v>
      </c>
      <c r="F95" s="2" t="s">
        <v>14</v>
      </c>
      <c r="G95" s="7" t="s">
        <v>11</v>
      </c>
      <c r="H95" s="1" t="s">
        <v>12</v>
      </c>
      <c r="I95" s="1" t="s">
        <v>13</v>
      </c>
      <c r="J95" s="2" t="s">
        <v>14</v>
      </c>
      <c r="K95" s="7" t="s">
        <v>11</v>
      </c>
      <c r="L95" s="1" t="s">
        <v>12</v>
      </c>
      <c r="M95" s="1" t="s">
        <v>13</v>
      </c>
      <c r="N95" s="2" t="s">
        <v>14</v>
      </c>
      <c r="O95" s="8" t="s">
        <v>15</v>
      </c>
      <c r="P95" s="3" t="s">
        <v>12</v>
      </c>
      <c r="Q95" s="3" t="s">
        <v>13</v>
      </c>
      <c r="R95" s="3" t="s">
        <v>14</v>
      </c>
      <c r="S95" s="3" t="s">
        <v>16</v>
      </c>
      <c r="T95" s="3" t="s">
        <v>17</v>
      </c>
      <c r="U95" s="10" t="s">
        <v>18</v>
      </c>
      <c r="V95" s="290"/>
      <c r="W95" s="291"/>
      <c r="X95" s="291"/>
      <c r="Y95" s="291"/>
      <c r="Z95" s="291"/>
      <c r="AA95" s="291"/>
      <c r="AB95" s="292"/>
    </row>
    <row r="96" spans="1:31">
      <c r="A96" s="297"/>
      <c r="B96" s="6" t="s">
        <v>20</v>
      </c>
      <c r="C96" s="7"/>
      <c r="D96" s="1"/>
      <c r="E96" s="1"/>
      <c r="F96" s="2"/>
      <c r="G96" s="7"/>
      <c r="H96" s="1"/>
      <c r="I96" s="1"/>
      <c r="J96" s="2"/>
      <c r="K96" s="7"/>
      <c r="L96" s="1"/>
      <c r="M96" s="1"/>
      <c r="N96" s="2"/>
      <c r="O96" s="11">
        <f>SUM(C96,G96,K96)</f>
        <v>0</v>
      </c>
      <c r="P96" s="4">
        <f>SUM(D96,H96,L96)</f>
        <v>0</v>
      </c>
      <c r="Q96" s="4" t="str">
        <f>IF(P96=0,"-",SUM(E96,I96,M96))</f>
        <v>-</v>
      </c>
      <c r="R96" s="4" t="str">
        <f>IF(P96=0,"-",SUM(F96,J96,N96))</f>
        <v>-</v>
      </c>
      <c r="S96" s="4" t="str">
        <f>IF(P96=0,"-",SUM((IF((E96+F96)&gt;228,D96,IF((E96+F96)&gt;D96,D96,(E96+F96)))),IF((I96+J96)&gt;228,H96,IF((I96+J96)&gt;H96,H96,(I96+J96))),(IF((M96+N96)&gt;228,L96,IF((M96+N96)&gt;L96,L96,(M96+N96))))))</f>
        <v>-</v>
      </c>
      <c r="T96" s="4" t="str">
        <f>IF(P96=0,"-",(P96-S96))</f>
        <v>-</v>
      </c>
      <c r="U96" s="12" t="str">
        <f>IF(P96=0,"-",(1-(T96/P96)))</f>
        <v>-</v>
      </c>
      <c r="V96" s="290"/>
      <c r="W96" s="291"/>
      <c r="X96" s="291"/>
      <c r="Y96" s="291"/>
      <c r="Z96" s="291"/>
      <c r="AA96" s="291"/>
      <c r="AB96" s="292"/>
    </row>
    <row r="97" spans="1:31">
      <c r="A97" s="297"/>
      <c r="B97" s="6" t="s">
        <v>21</v>
      </c>
      <c r="C97" s="7"/>
      <c r="D97" s="1"/>
      <c r="E97" s="1"/>
      <c r="F97" s="2"/>
      <c r="G97" s="7"/>
      <c r="H97" s="1"/>
      <c r="I97" s="1"/>
      <c r="J97" s="2"/>
      <c r="K97" s="7"/>
      <c r="L97" s="1"/>
      <c r="M97" s="1"/>
      <c r="N97" s="2"/>
      <c r="O97" s="11">
        <f t="shared" ref="O97:O100" si="86">SUM(C97,G97,K97)</f>
        <v>0</v>
      </c>
      <c r="P97" s="4">
        <f t="shared" ref="P97:P100" si="87">SUM(D97,H97,L97)</f>
        <v>0</v>
      </c>
      <c r="Q97" s="4" t="str">
        <f t="shared" ref="Q97:Q100" si="88">IF(P97=0,"-",SUM(E97,I97,M97))</f>
        <v>-</v>
      </c>
      <c r="R97" s="4" t="str">
        <f t="shared" ref="R97:R100" si="89">IF(P97=0,"-",SUM(F97,J97,N97))</f>
        <v>-</v>
      </c>
      <c r="S97" s="4" t="str">
        <f t="shared" ref="S97:S100" si="90">IF(P97=0,"-",SUM((IF((E97+F97)&gt;228,D97,IF((E97+F97)&gt;D97,D97,(E97+F97)))),IF((I97+J97)&gt;228,H97,IF((I97+J97)&gt;H97,H97,(I97+J97))),(IF((M97+N97)&gt;228,L97,IF((M97+N97)&gt;L97,L97,(M97+N97))))))</f>
        <v>-</v>
      </c>
      <c r="T97" s="4" t="str">
        <f t="shared" ref="T97:T100" si="91">IF(P97=0,"-",(P97-S97))</f>
        <v>-</v>
      </c>
      <c r="U97" s="12" t="str">
        <f t="shared" ref="U97:U100" si="92">IF(P97=0,"-",(1-(T97/P97)))</f>
        <v>-</v>
      </c>
      <c r="V97" s="290"/>
      <c r="W97" s="291"/>
      <c r="X97" s="291"/>
      <c r="Y97" s="291"/>
      <c r="Z97" s="291"/>
      <c r="AA97" s="291"/>
      <c r="AB97" s="292"/>
    </row>
    <row r="98" spans="1:31">
      <c r="A98" s="297"/>
      <c r="B98" s="6" t="s">
        <v>22</v>
      </c>
      <c r="C98" s="7"/>
      <c r="D98" s="1"/>
      <c r="E98" s="1"/>
      <c r="F98" s="2"/>
      <c r="G98" s="7"/>
      <c r="H98" s="1"/>
      <c r="I98" s="1"/>
      <c r="J98" s="2"/>
      <c r="K98" s="7"/>
      <c r="L98" s="1"/>
      <c r="M98" s="1"/>
      <c r="N98" s="2"/>
      <c r="O98" s="11">
        <f t="shared" si="86"/>
        <v>0</v>
      </c>
      <c r="P98" s="4">
        <f t="shared" si="87"/>
        <v>0</v>
      </c>
      <c r="Q98" s="4" t="str">
        <f t="shared" si="88"/>
        <v>-</v>
      </c>
      <c r="R98" s="4" t="str">
        <f t="shared" si="89"/>
        <v>-</v>
      </c>
      <c r="S98" s="4" t="str">
        <f t="shared" si="90"/>
        <v>-</v>
      </c>
      <c r="T98" s="4" t="str">
        <f t="shared" si="91"/>
        <v>-</v>
      </c>
      <c r="U98" s="12" t="str">
        <f t="shared" si="92"/>
        <v>-</v>
      </c>
      <c r="V98" s="290"/>
      <c r="W98" s="291"/>
      <c r="X98" s="291"/>
      <c r="Y98" s="291"/>
      <c r="Z98" s="291"/>
      <c r="AA98" s="291"/>
      <c r="AB98" s="292"/>
    </row>
    <row r="99" spans="1:31">
      <c r="A99" s="297"/>
      <c r="B99" s="6" t="s">
        <v>23</v>
      </c>
      <c r="C99" s="7"/>
      <c r="D99" s="1"/>
      <c r="E99" s="1"/>
      <c r="F99" s="2"/>
      <c r="G99" s="7">
        <v>80</v>
      </c>
      <c r="H99" s="1">
        <v>80</v>
      </c>
      <c r="I99" s="1">
        <v>80</v>
      </c>
      <c r="J99" s="2"/>
      <c r="K99" s="7">
        <v>6</v>
      </c>
      <c r="L99" s="1">
        <v>6</v>
      </c>
      <c r="M99" s="1">
        <v>6</v>
      </c>
      <c r="N99" s="2"/>
      <c r="O99" s="11">
        <f t="shared" si="86"/>
        <v>86</v>
      </c>
      <c r="P99" s="4">
        <f t="shared" si="87"/>
        <v>86</v>
      </c>
      <c r="Q99" s="4">
        <f t="shared" si="88"/>
        <v>86</v>
      </c>
      <c r="R99" s="4">
        <f t="shared" si="89"/>
        <v>0</v>
      </c>
      <c r="S99" s="4">
        <f t="shared" si="90"/>
        <v>86</v>
      </c>
      <c r="T99" s="4">
        <f t="shared" si="91"/>
        <v>0</v>
      </c>
      <c r="U99" s="12">
        <f t="shared" si="92"/>
        <v>1</v>
      </c>
      <c r="V99" s="290"/>
      <c r="W99" s="291"/>
      <c r="X99" s="291"/>
      <c r="Y99" s="291"/>
      <c r="Z99" s="291"/>
      <c r="AA99" s="291"/>
      <c r="AB99" s="292"/>
    </row>
    <row r="100" spans="1:31">
      <c r="A100" s="297"/>
      <c r="B100" s="6" t="s">
        <v>24</v>
      </c>
      <c r="C100" s="7"/>
      <c r="D100" s="1"/>
      <c r="E100" s="1"/>
      <c r="F100" s="2"/>
      <c r="G100" s="7">
        <v>15</v>
      </c>
      <c r="H100" s="1">
        <v>15</v>
      </c>
      <c r="I100" s="1">
        <v>15</v>
      </c>
      <c r="J100" s="2"/>
      <c r="K100" s="7"/>
      <c r="L100" s="1"/>
      <c r="M100" s="1"/>
      <c r="N100" s="2"/>
      <c r="O100" s="11">
        <f t="shared" si="86"/>
        <v>15</v>
      </c>
      <c r="P100" s="4">
        <f t="shared" si="87"/>
        <v>15</v>
      </c>
      <c r="Q100" s="4">
        <f t="shared" si="88"/>
        <v>15</v>
      </c>
      <c r="R100" s="4">
        <f t="shared" si="89"/>
        <v>0</v>
      </c>
      <c r="S100" s="4">
        <f t="shared" si="90"/>
        <v>15</v>
      </c>
      <c r="T100" s="4">
        <f t="shared" si="91"/>
        <v>0</v>
      </c>
      <c r="U100" s="12">
        <f t="shared" si="92"/>
        <v>1</v>
      </c>
      <c r="V100" s="290"/>
      <c r="W100" s="291"/>
      <c r="X100" s="291"/>
      <c r="Y100" s="291"/>
      <c r="Z100" s="291"/>
      <c r="AA100" s="291"/>
      <c r="AB100" s="292"/>
    </row>
    <row r="101" spans="1:31" ht="15.75" thickBot="1">
      <c r="A101" s="298"/>
      <c r="B101" s="13" t="s">
        <v>4</v>
      </c>
      <c r="C101" s="17">
        <f>SUM(C96:C100)</f>
        <v>0</v>
      </c>
      <c r="D101" s="15">
        <f>SUM(D96:D100)</f>
        <v>0</v>
      </c>
      <c r="E101" s="15">
        <f>SUM(E96:E100)</f>
        <v>0</v>
      </c>
      <c r="F101" s="16">
        <f>SUM(F96:F100)</f>
        <v>0</v>
      </c>
      <c r="G101" s="17">
        <f t="shared" ref="G101:N101" si="93">SUM(G96:G100)</f>
        <v>95</v>
      </c>
      <c r="H101" s="15">
        <f t="shared" si="93"/>
        <v>95</v>
      </c>
      <c r="I101" s="15">
        <f t="shared" si="93"/>
        <v>95</v>
      </c>
      <c r="J101" s="16">
        <f t="shared" si="93"/>
        <v>0</v>
      </c>
      <c r="K101" s="17">
        <f t="shared" si="93"/>
        <v>6</v>
      </c>
      <c r="L101" s="15">
        <f t="shared" si="93"/>
        <v>6</v>
      </c>
      <c r="M101" s="15">
        <f t="shared" si="93"/>
        <v>6</v>
      </c>
      <c r="N101" s="16">
        <f t="shared" si="93"/>
        <v>0</v>
      </c>
      <c r="O101" s="18">
        <f>SUM(O96:O100)</f>
        <v>101</v>
      </c>
      <c r="P101" s="19">
        <f t="shared" ref="P101" si="94">SUM(P96:P100)</f>
        <v>101</v>
      </c>
      <c r="Q101" s="19">
        <f t="shared" ref="Q101" si="95">SUM(Q96:Q100)</f>
        <v>101</v>
      </c>
      <c r="R101" s="19">
        <f t="shared" ref="R101" si="96">SUM(R96:R100)</f>
        <v>0</v>
      </c>
      <c r="S101" s="19">
        <f>SUM(S96:S100)</f>
        <v>101</v>
      </c>
      <c r="T101" s="19">
        <f>(P101-S101)</f>
        <v>0</v>
      </c>
      <c r="U101" s="20">
        <f>IF(P101=0,"-",(1-(T101/P101)))</f>
        <v>1</v>
      </c>
      <c r="V101" s="293"/>
      <c r="W101" s="294"/>
      <c r="X101" s="294"/>
      <c r="Y101" s="294"/>
      <c r="Z101" s="294"/>
      <c r="AA101" s="294"/>
      <c r="AB101" s="295"/>
    </row>
    <row r="103" spans="1:31" ht="15.75" thickBot="1"/>
    <row r="104" spans="1:31" s="29" customFormat="1" ht="19.5" thickBot="1">
      <c r="A104" s="326" t="s">
        <v>39</v>
      </c>
      <c r="B104" s="326" t="s">
        <v>2</v>
      </c>
      <c r="C104" s="329" t="s">
        <v>3</v>
      </c>
      <c r="D104" s="330"/>
      <c r="E104" s="330"/>
      <c r="F104" s="330"/>
      <c r="G104" s="330"/>
      <c r="H104" s="330"/>
      <c r="I104" s="330"/>
      <c r="J104" s="330"/>
      <c r="K104" s="330"/>
      <c r="L104" s="330"/>
      <c r="M104" s="330"/>
      <c r="N104" s="331"/>
      <c r="O104" s="332" t="s">
        <v>4</v>
      </c>
      <c r="P104" s="333"/>
      <c r="Q104" s="333"/>
      <c r="R104" s="333"/>
      <c r="S104" s="333"/>
      <c r="T104" s="333"/>
      <c r="U104" s="334"/>
      <c r="V104" s="332" t="s">
        <v>5</v>
      </c>
      <c r="W104" s="333"/>
      <c r="X104" s="333"/>
      <c r="Y104" s="333"/>
      <c r="Z104" s="333"/>
      <c r="AA104" s="333"/>
      <c r="AB104" s="334"/>
      <c r="AD104" s="29" t="s">
        <v>6</v>
      </c>
      <c r="AE104" s="29" t="s">
        <v>7</v>
      </c>
    </row>
    <row r="105" spans="1:31" s="29" customFormat="1" ht="19.5" thickBot="1">
      <c r="A105" s="327"/>
      <c r="B105" s="327"/>
      <c r="C105" s="329" t="s">
        <v>8</v>
      </c>
      <c r="D105" s="330"/>
      <c r="E105" s="330"/>
      <c r="F105" s="331"/>
      <c r="G105" s="329" t="s">
        <v>9</v>
      </c>
      <c r="H105" s="330"/>
      <c r="I105" s="330"/>
      <c r="J105" s="331"/>
      <c r="K105" s="329" t="s">
        <v>10</v>
      </c>
      <c r="L105" s="330"/>
      <c r="M105" s="330"/>
      <c r="N105" s="331"/>
      <c r="O105" s="335"/>
      <c r="P105" s="336"/>
      <c r="Q105" s="336"/>
      <c r="R105" s="336"/>
      <c r="S105" s="336"/>
      <c r="T105" s="336"/>
      <c r="U105" s="337"/>
      <c r="V105" s="335"/>
      <c r="W105" s="336"/>
      <c r="X105" s="336"/>
      <c r="Y105" s="336"/>
      <c r="Z105" s="336"/>
      <c r="AA105" s="336"/>
      <c r="AB105" s="337"/>
      <c r="AD105" s="30" cm="1">
        <f t="array" ref="AD105">(SUM((IF(I107:I111&lt;=H107:H111,I107:I111,H107:H111)),(IF(E107:E111&lt;=D107:D111,E107:E111,D107:D111)),(IF(M107:M111&lt;=L107:L111,M107:M111,L107:L111))))/P112</f>
        <v>0.48501691638472694</v>
      </c>
      <c r="AE105" s="30" cm="1">
        <f t="array" ref="AE105">SUM((IF((E107:E111+F107:F111)&gt;D107:D111,ABS(D107:D111-E107:E111),F107:F111)),(IF((I107:I111+J107:J111)&gt;H107:H111,ABS(H107:H111-I107:I111),J107:J111)),(IF((M107:M111+N107:N111)&gt;L107:L111,ABS(L107:L111-M107:M111),N107:N111)))/(P112-Q112)</f>
        <v>0.64335992491787897</v>
      </c>
    </row>
    <row r="106" spans="1:31" s="29" customFormat="1" ht="19.5" thickBot="1">
      <c r="A106" s="327"/>
      <c r="B106" s="328"/>
      <c r="C106" s="31" t="s">
        <v>11</v>
      </c>
      <c r="D106" s="31" t="s">
        <v>12</v>
      </c>
      <c r="E106" s="31" t="s">
        <v>13</v>
      </c>
      <c r="F106" s="31" t="s">
        <v>14</v>
      </c>
      <c r="G106" s="31" t="s">
        <v>11</v>
      </c>
      <c r="H106" s="31" t="s">
        <v>12</v>
      </c>
      <c r="I106" s="31" t="s">
        <v>13</v>
      </c>
      <c r="J106" s="31" t="s">
        <v>14</v>
      </c>
      <c r="K106" s="31" t="s">
        <v>11</v>
      </c>
      <c r="L106" s="31" t="s">
        <v>12</v>
      </c>
      <c r="M106" s="31" t="s">
        <v>13</v>
      </c>
      <c r="N106" s="31" t="s">
        <v>14</v>
      </c>
      <c r="O106" s="31" t="s">
        <v>15</v>
      </c>
      <c r="P106" s="31" t="s">
        <v>12</v>
      </c>
      <c r="Q106" s="31" t="s">
        <v>40</v>
      </c>
      <c r="R106" s="31" t="s">
        <v>41</v>
      </c>
      <c r="S106" s="31" t="s">
        <v>42</v>
      </c>
      <c r="T106" s="31" t="s">
        <v>43</v>
      </c>
      <c r="U106" s="31" t="s">
        <v>18</v>
      </c>
      <c r="V106" s="338" t="s">
        <v>44</v>
      </c>
      <c r="W106" s="339"/>
      <c r="X106" s="339"/>
      <c r="Y106" s="339"/>
      <c r="Z106" s="339"/>
      <c r="AA106" s="339"/>
      <c r="AB106" s="340"/>
    </row>
    <row r="107" spans="1:31" s="29" customFormat="1" ht="19.5" thickBot="1">
      <c r="A107" s="327"/>
      <c r="B107" s="34" t="s">
        <v>20</v>
      </c>
      <c r="C107" s="32">
        <f t="shared" ref="C107:N107" si="97">SUM(C8,C19,C30,C41,C52,C63,C74,C85,C96)</f>
        <v>0</v>
      </c>
      <c r="D107" s="32">
        <f t="shared" si="97"/>
        <v>0</v>
      </c>
      <c r="E107" s="32">
        <f t="shared" si="97"/>
        <v>0</v>
      </c>
      <c r="F107" s="32">
        <f t="shared" si="97"/>
        <v>0</v>
      </c>
      <c r="G107" s="32">
        <f t="shared" si="97"/>
        <v>86</v>
      </c>
      <c r="H107" s="32">
        <f t="shared" si="97"/>
        <v>10</v>
      </c>
      <c r="I107" s="32">
        <f t="shared" si="97"/>
        <v>0</v>
      </c>
      <c r="J107" s="32">
        <f t="shared" si="97"/>
        <v>0</v>
      </c>
      <c r="K107" s="32">
        <f t="shared" si="97"/>
        <v>292</v>
      </c>
      <c r="L107" s="32">
        <f t="shared" si="97"/>
        <v>6</v>
      </c>
      <c r="M107" s="32">
        <f t="shared" si="97"/>
        <v>0</v>
      </c>
      <c r="N107" s="32">
        <f t="shared" si="97"/>
        <v>0</v>
      </c>
      <c r="O107" s="32">
        <f>SUM(C107,G107,K107)</f>
        <v>378</v>
      </c>
      <c r="P107" s="32">
        <f>SUM(D107,H107,L107)</f>
        <v>16</v>
      </c>
      <c r="Q107" s="32">
        <f>IF(P107=0,"-",SUM(Q8,Q19,Q30,Q41,Q52,Q63,Q74,Q85,Q96))</f>
        <v>0</v>
      </c>
      <c r="R107" s="32">
        <f>IF(P107=0,"-",SUM(R8,R19,R30,R41,R52,R63,R74,R85,R96))</f>
        <v>0</v>
      </c>
      <c r="S107" s="32">
        <f>SUM(S8,S19,S30,S41,S52,S63,S74,S85,S96)</f>
        <v>0</v>
      </c>
      <c r="T107" s="32">
        <f>IF(P107=0,"-",(P107-S107))</f>
        <v>16</v>
      </c>
      <c r="U107" s="33">
        <f>IF(P107=0,"-",(1-(T107/P107)))</f>
        <v>0</v>
      </c>
      <c r="V107" s="341"/>
      <c r="W107" s="342"/>
      <c r="X107" s="342"/>
      <c r="Y107" s="342"/>
      <c r="Z107" s="342"/>
      <c r="AA107" s="342"/>
      <c r="AB107" s="343"/>
    </row>
    <row r="108" spans="1:31" s="29" customFormat="1" ht="19.5" thickBot="1">
      <c r="A108" s="327"/>
      <c r="B108" s="34" t="s">
        <v>21</v>
      </c>
      <c r="C108" s="32">
        <f t="shared" ref="C108:N111" si="98">SUM(C9,C20,C31,C42,C53,C64,C75,C86,C97)</f>
        <v>96</v>
      </c>
      <c r="D108" s="32">
        <f t="shared" si="98"/>
        <v>99</v>
      </c>
      <c r="E108" s="32">
        <f t="shared" si="98"/>
        <v>90</v>
      </c>
      <c r="F108" s="32">
        <f t="shared" si="98"/>
        <v>1</v>
      </c>
      <c r="G108" s="32">
        <f t="shared" si="98"/>
        <v>52</v>
      </c>
      <c r="H108" s="32">
        <f t="shared" si="98"/>
        <v>25</v>
      </c>
      <c r="I108" s="32">
        <f t="shared" si="98"/>
        <v>23</v>
      </c>
      <c r="J108" s="32">
        <f t="shared" si="98"/>
        <v>0</v>
      </c>
      <c r="K108" s="32">
        <f t="shared" si="98"/>
        <v>37</v>
      </c>
      <c r="L108" s="32">
        <f t="shared" si="98"/>
        <v>24</v>
      </c>
      <c r="M108" s="32">
        <f t="shared" si="98"/>
        <v>4</v>
      </c>
      <c r="N108" s="32">
        <f t="shared" si="98"/>
        <v>0</v>
      </c>
      <c r="O108" s="32">
        <f t="shared" ref="O108:O111" si="99">SUM(C108,G108,K108)</f>
        <v>185</v>
      </c>
      <c r="P108" s="32">
        <f t="shared" ref="P108:P111" si="100">SUM(D108,H108,L108)</f>
        <v>148</v>
      </c>
      <c r="Q108" s="32">
        <f t="shared" ref="Q108:Q111" si="101">IF(P108=0,"-",SUM(Q9,Q20,Q31,Q42,Q53,Q64,Q75,Q86,Q97))</f>
        <v>117</v>
      </c>
      <c r="R108" s="32">
        <f t="shared" ref="R108:R111" si="102">IF(P108=0,"-",SUM(R9,R20,R31,R42,R53,R64,R75,R86,R97))</f>
        <v>1</v>
      </c>
      <c r="S108" s="32">
        <f t="shared" ref="S108:S111" si="103">SUM(S9,S20,S31,S42,S53,S64,S75,S86,S97)</f>
        <v>118</v>
      </c>
      <c r="T108" s="32">
        <f t="shared" ref="T108:T111" si="104">IF(P108=0,"-",(P108-S108))</f>
        <v>30</v>
      </c>
      <c r="U108" s="33">
        <f t="shared" ref="U108:U111" si="105">IF(P108=0,"-",(1-(T108/P108)))</f>
        <v>0.79729729729729726</v>
      </c>
      <c r="V108" s="341"/>
      <c r="W108" s="342"/>
      <c r="X108" s="342"/>
      <c r="Y108" s="342"/>
      <c r="Z108" s="342"/>
      <c r="AA108" s="342"/>
      <c r="AB108" s="343"/>
    </row>
    <row r="109" spans="1:31" s="29" customFormat="1" ht="19.5" thickBot="1">
      <c r="A109" s="327"/>
      <c r="B109" s="34" t="s">
        <v>22</v>
      </c>
      <c r="C109" s="32">
        <f t="shared" si="98"/>
        <v>5</v>
      </c>
      <c r="D109" s="32">
        <f t="shared" si="98"/>
        <v>7</v>
      </c>
      <c r="E109" s="32">
        <f t="shared" si="98"/>
        <v>4</v>
      </c>
      <c r="F109" s="32">
        <f t="shared" si="98"/>
        <v>0</v>
      </c>
      <c r="G109" s="32">
        <f t="shared" si="98"/>
        <v>556</v>
      </c>
      <c r="H109" s="32">
        <f t="shared" si="98"/>
        <v>456</v>
      </c>
      <c r="I109" s="32">
        <f t="shared" si="98"/>
        <v>270</v>
      </c>
      <c r="J109" s="32">
        <f t="shared" si="98"/>
        <v>181</v>
      </c>
      <c r="K109" s="32">
        <f t="shared" si="98"/>
        <v>60</v>
      </c>
      <c r="L109" s="32">
        <f t="shared" si="98"/>
        <v>0</v>
      </c>
      <c r="M109" s="32">
        <f t="shared" si="98"/>
        <v>0</v>
      </c>
      <c r="N109" s="32">
        <f t="shared" si="98"/>
        <v>0</v>
      </c>
      <c r="O109" s="32">
        <f t="shared" si="99"/>
        <v>621</v>
      </c>
      <c r="P109" s="32">
        <f t="shared" si="100"/>
        <v>463</v>
      </c>
      <c r="Q109" s="32">
        <f t="shared" si="101"/>
        <v>274</v>
      </c>
      <c r="R109" s="32">
        <f t="shared" si="102"/>
        <v>181</v>
      </c>
      <c r="S109" s="32">
        <f t="shared" si="103"/>
        <v>455</v>
      </c>
      <c r="T109" s="32">
        <f t="shared" si="104"/>
        <v>8</v>
      </c>
      <c r="U109" s="33">
        <f t="shared" si="105"/>
        <v>0.98272138228941686</v>
      </c>
      <c r="V109" s="341"/>
      <c r="W109" s="342"/>
      <c r="X109" s="342"/>
      <c r="Y109" s="342"/>
      <c r="Z109" s="342"/>
      <c r="AA109" s="342"/>
      <c r="AB109" s="343"/>
    </row>
    <row r="110" spans="1:31" s="29" customFormat="1" ht="19.5" thickBot="1">
      <c r="A110" s="327"/>
      <c r="B110" s="34" t="s">
        <v>23</v>
      </c>
      <c r="C110" s="32">
        <f t="shared" si="98"/>
        <v>21</v>
      </c>
      <c r="D110" s="32">
        <f t="shared" si="98"/>
        <v>17</v>
      </c>
      <c r="E110" s="32">
        <f t="shared" si="98"/>
        <v>8</v>
      </c>
      <c r="F110" s="32">
        <f t="shared" si="98"/>
        <v>0</v>
      </c>
      <c r="G110" s="32">
        <f t="shared" si="98"/>
        <v>1696</v>
      </c>
      <c r="H110" s="32">
        <f t="shared" si="98"/>
        <v>1855</v>
      </c>
      <c r="I110" s="32">
        <f t="shared" si="98"/>
        <v>1303</v>
      </c>
      <c r="J110" s="32">
        <f t="shared" si="98"/>
        <v>806</v>
      </c>
      <c r="K110" s="32">
        <f t="shared" si="98"/>
        <v>673</v>
      </c>
      <c r="L110" s="32">
        <f t="shared" si="98"/>
        <v>194</v>
      </c>
      <c r="M110" s="32">
        <f t="shared" si="98"/>
        <v>19</v>
      </c>
      <c r="N110" s="32">
        <f t="shared" si="98"/>
        <v>7</v>
      </c>
      <c r="O110" s="32">
        <f t="shared" si="99"/>
        <v>2390</v>
      </c>
      <c r="P110" s="32">
        <f t="shared" si="100"/>
        <v>2066</v>
      </c>
      <c r="Q110" s="32">
        <f t="shared" si="101"/>
        <v>1330</v>
      </c>
      <c r="R110" s="32">
        <f t="shared" si="102"/>
        <v>813</v>
      </c>
      <c r="S110" s="32">
        <f t="shared" si="103"/>
        <v>1742</v>
      </c>
      <c r="T110" s="32">
        <f t="shared" si="104"/>
        <v>324</v>
      </c>
      <c r="U110" s="33">
        <f t="shared" si="105"/>
        <v>0.84317521781219751</v>
      </c>
      <c r="V110" s="341"/>
      <c r="W110" s="342"/>
      <c r="X110" s="342"/>
      <c r="Y110" s="342"/>
      <c r="Z110" s="342"/>
      <c r="AA110" s="342"/>
      <c r="AB110" s="343"/>
    </row>
    <row r="111" spans="1:31" s="29" customFormat="1" ht="19.5" thickBot="1">
      <c r="A111" s="327"/>
      <c r="B111" s="34" t="s">
        <v>24</v>
      </c>
      <c r="C111" s="32">
        <f t="shared" si="98"/>
        <v>81</v>
      </c>
      <c r="D111" s="32">
        <f t="shared" si="98"/>
        <v>294</v>
      </c>
      <c r="E111" s="32">
        <f t="shared" si="98"/>
        <v>24</v>
      </c>
      <c r="F111" s="32">
        <f t="shared" si="98"/>
        <v>109</v>
      </c>
      <c r="G111" s="32">
        <f t="shared" si="98"/>
        <v>813</v>
      </c>
      <c r="H111" s="32">
        <f t="shared" si="98"/>
        <v>837</v>
      </c>
      <c r="I111" s="32">
        <f t="shared" si="98"/>
        <v>207</v>
      </c>
      <c r="J111" s="32">
        <f t="shared" si="98"/>
        <v>516</v>
      </c>
      <c r="K111" s="32">
        <f t="shared" si="98"/>
        <v>489</v>
      </c>
      <c r="L111" s="32">
        <f t="shared" si="98"/>
        <v>314</v>
      </c>
      <c r="M111" s="32">
        <f t="shared" si="98"/>
        <v>55</v>
      </c>
      <c r="N111" s="32">
        <f t="shared" si="98"/>
        <v>5</v>
      </c>
      <c r="O111" s="32">
        <f t="shared" si="99"/>
        <v>1383</v>
      </c>
      <c r="P111" s="32">
        <f t="shared" si="100"/>
        <v>1445</v>
      </c>
      <c r="Q111" s="32">
        <f t="shared" si="101"/>
        <v>286</v>
      </c>
      <c r="R111" s="32">
        <f t="shared" si="102"/>
        <v>630</v>
      </c>
      <c r="S111" s="32">
        <f t="shared" si="103"/>
        <v>799</v>
      </c>
      <c r="T111" s="32">
        <f t="shared" si="104"/>
        <v>646</v>
      </c>
      <c r="U111" s="33">
        <f t="shared" si="105"/>
        <v>0.55294117647058827</v>
      </c>
      <c r="V111" s="341"/>
      <c r="W111" s="342"/>
      <c r="X111" s="342"/>
      <c r="Y111" s="342"/>
      <c r="Z111" s="342"/>
      <c r="AA111" s="342"/>
      <c r="AB111" s="343"/>
    </row>
    <row r="112" spans="1:31" s="29" customFormat="1" ht="19.5" thickBot="1">
      <c r="A112" s="328"/>
      <c r="B112" s="34" t="s">
        <v>4</v>
      </c>
      <c r="C112" s="32">
        <f>SUM(C107:C111)</f>
        <v>203</v>
      </c>
      <c r="D112" s="32">
        <f>SUM(D107:D111)</f>
        <v>417</v>
      </c>
      <c r="E112" s="32">
        <f>SUM(E107:E111)</f>
        <v>126</v>
      </c>
      <c r="F112" s="32">
        <f>SUM(F107:F111)</f>
        <v>110</v>
      </c>
      <c r="G112" s="32">
        <f t="shared" ref="G112:N112" si="106">SUM(G107:G111)</f>
        <v>3203</v>
      </c>
      <c r="H112" s="32">
        <f t="shared" si="106"/>
        <v>3183</v>
      </c>
      <c r="I112" s="32">
        <f t="shared" si="106"/>
        <v>1803</v>
      </c>
      <c r="J112" s="32">
        <f t="shared" si="106"/>
        <v>1503</v>
      </c>
      <c r="K112" s="32">
        <f t="shared" si="106"/>
        <v>1551</v>
      </c>
      <c r="L112" s="32">
        <f t="shared" si="106"/>
        <v>538</v>
      </c>
      <c r="M112" s="32">
        <f t="shared" si="106"/>
        <v>78</v>
      </c>
      <c r="N112" s="32">
        <f t="shared" si="106"/>
        <v>12</v>
      </c>
      <c r="O112" s="32">
        <f>SUM(O107:O111)</f>
        <v>4957</v>
      </c>
      <c r="P112" s="32">
        <f t="shared" ref="P112:R112" si="107">SUM(P107:P111)</f>
        <v>4138</v>
      </c>
      <c r="Q112" s="32">
        <f t="shared" si="107"/>
        <v>2007</v>
      </c>
      <c r="R112" s="32">
        <f t="shared" si="107"/>
        <v>1625</v>
      </c>
      <c r="S112" s="32">
        <f>SUM(S107:S111)</f>
        <v>3114</v>
      </c>
      <c r="T112" s="32">
        <f>SUM(T107:T111)</f>
        <v>1024</v>
      </c>
      <c r="U112" s="33">
        <f>IF(P112=0,"-",(1-(T112/P112)))</f>
        <v>0.75253745770903824</v>
      </c>
      <c r="V112" s="344"/>
      <c r="W112" s="345"/>
      <c r="X112" s="345"/>
      <c r="Y112" s="345"/>
      <c r="Z112" s="345"/>
      <c r="AA112" s="345"/>
      <c r="AB112" s="346"/>
    </row>
  </sheetData>
  <mergeCells count="91">
    <mergeCell ref="A104:A112"/>
    <mergeCell ref="B104:B106"/>
    <mergeCell ref="C104:N104"/>
    <mergeCell ref="O104:U105"/>
    <mergeCell ref="V104:AB105"/>
    <mergeCell ref="C105:F105"/>
    <mergeCell ref="G105:J105"/>
    <mergeCell ref="K105:N105"/>
    <mergeCell ref="V106:AB112"/>
    <mergeCell ref="A5:A13"/>
    <mergeCell ref="A16:A24"/>
    <mergeCell ref="B16:B18"/>
    <mergeCell ref="C16:N16"/>
    <mergeCell ref="C17:F17"/>
    <mergeCell ref="G17:J17"/>
    <mergeCell ref="K17:N17"/>
    <mergeCell ref="C6:F6"/>
    <mergeCell ref="G6:J6"/>
    <mergeCell ref="K6:N6"/>
    <mergeCell ref="C5:N5"/>
    <mergeCell ref="B5:B7"/>
    <mergeCell ref="A27:A35"/>
    <mergeCell ref="B27:B29"/>
    <mergeCell ref="C27:N27"/>
    <mergeCell ref="C28:F28"/>
    <mergeCell ref="G28:J28"/>
    <mergeCell ref="K28:N28"/>
    <mergeCell ref="A38:A46"/>
    <mergeCell ref="B38:B40"/>
    <mergeCell ref="C38:N38"/>
    <mergeCell ref="C39:F39"/>
    <mergeCell ref="G39:J39"/>
    <mergeCell ref="K39:N39"/>
    <mergeCell ref="A49:A57"/>
    <mergeCell ref="B49:B51"/>
    <mergeCell ref="C49:N49"/>
    <mergeCell ref="C50:F50"/>
    <mergeCell ref="G50:J50"/>
    <mergeCell ref="K50:N50"/>
    <mergeCell ref="V40:AB46"/>
    <mergeCell ref="O49:U50"/>
    <mergeCell ref="V49:AB50"/>
    <mergeCell ref="V51:AB57"/>
    <mergeCell ref="V16:AB17"/>
    <mergeCell ref="V18:AB24"/>
    <mergeCell ref="O27:U28"/>
    <mergeCell ref="V27:AB28"/>
    <mergeCell ref="V29:AB35"/>
    <mergeCell ref="O38:U39"/>
    <mergeCell ref="V38:AB39"/>
    <mergeCell ref="O5:U6"/>
    <mergeCell ref="V5:AB6"/>
    <mergeCell ref="V7:AB13"/>
    <mergeCell ref="B2:AB3"/>
    <mergeCell ref="O16:U17"/>
    <mergeCell ref="A71:A79"/>
    <mergeCell ref="B71:B73"/>
    <mergeCell ref="C71:N71"/>
    <mergeCell ref="C72:F72"/>
    <mergeCell ref="G72:J72"/>
    <mergeCell ref="K72:N72"/>
    <mergeCell ref="A60:A68"/>
    <mergeCell ref="B60:B62"/>
    <mergeCell ref="C60:N60"/>
    <mergeCell ref="C61:F61"/>
    <mergeCell ref="G61:J61"/>
    <mergeCell ref="K61:N61"/>
    <mergeCell ref="V95:AB101"/>
    <mergeCell ref="A82:A90"/>
    <mergeCell ref="B82:B84"/>
    <mergeCell ref="C82:N82"/>
    <mergeCell ref="C83:F83"/>
    <mergeCell ref="G83:J83"/>
    <mergeCell ref="K83:N83"/>
    <mergeCell ref="O82:U83"/>
    <mergeCell ref="V82:AB83"/>
    <mergeCell ref="V84:AB90"/>
    <mergeCell ref="A93:A101"/>
    <mergeCell ref="B93:B95"/>
    <mergeCell ref="C93:N93"/>
    <mergeCell ref="C94:F94"/>
    <mergeCell ref="G94:J94"/>
    <mergeCell ref="K94:N94"/>
    <mergeCell ref="O93:U94"/>
    <mergeCell ref="V93:AB94"/>
    <mergeCell ref="V73:AB79"/>
    <mergeCell ref="O60:U61"/>
    <mergeCell ref="V60:AB61"/>
    <mergeCell ref="V62:AB68"/>
    <mergeCell ref="O71:U72"/>
    <mergeCell ref="V71:AB72"/>
  </mergeCells>
  <dataValidations count="1">
    <dataValidation type="whole" operator="greaterThanOrEqual" allowBlank="1" showInputMessage="1" showErrorMessage="1" sqref="C8:N12 C19:N23 C30:N34 C41:N45 C52:O56 C63:N67 C74:N78 C85:N89 C96:N100" xr:uid="{C370A22E-45E5-4DB4-9B39-2FE89F092385}">
      <formula1>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66B4-C5E2-4E91-BF50-A6F1A16E8727}">
  <dimension ref="B1:D10"/>
  <sheetViews>
    <sheetView workbookViewId="0">
      <selection activeCell="C2" sqref="C2:C3"/>
    </sheetView>
  </sheetViews>
  <sheetFormatPr defaultRowHeight="15"/>
  <cols>
    <col min="3" max="3" width="13.7109375" customWidth="1"/>
    <col min="4" max="4" width="18.5703125" customWidth="1"/>
  </cols>
  <sheetData>
    <row r="1" spans="2:4">
      <c r="C1" t="s">
        <v>45</v>
      </c>
      <c r="D1" t="s">
        <v>46</v>
      </c>
    </row>
    <row r="2" spans="2:4">
      <c r="B2" t="s">
        <v>28</v>
      </c>
      <c r="C2" s="261"/>
    </row>
    <row r="3" spans="2:4">
      <c r="B3" t="s">
        <v>38</v>
      </c>
      <c r="C3" s="261"/>
    </row>
    <row r="4" spans="2:4">
      <c r="B4" t="s">
        <v>34</v>
      </c>
    </row>
    <row r="5" spans="2:4">
      <c r="B5" t="s">
        <v>25</v>
      </c>
    </row>
    <row r="6" spans="2:4">
      <c r="B6" t="s">
        <v>36</v>
      </c>
    </row>
    <row r="7" spans="2:4">
      <c r="B7" t="s">
        <v>30</v>
      </c>
    </row>
    <row r="8" spans="2:4">
      <c r="B8" t="s">
        <v>32</v>
      </c>
      <c r="C8" s="261"/>
    </row>
    <row r="9" spans="2:4">
      <c r="B9" t="s">
        <v>27</v>
      </c>
    </row>
    <row r="10" spans="2:4">
      <c r="B10" t="s">
        <v>1</v>
      </c>
      <c r="C10" s="2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4C6C-F26B-4AC4-BA4A-E5484D5B1FC6}">
  <dimension ref="B1:M1386"/>
  <sheetViews>
    <sheetView showGridLines="0" topLeftCell="A528" workbookViewId="0">
      <selection activeCell="J478" sqref="J478"/>
    </sheetView>
  </sheetViews>
  <sheetFormatPr defaultRowHeight="15" outlineLevelRow="2"/>
  <cols>
    <col min="2" max="2" width="12.7109375" bestFit="1" customWidth="1"/>
    <col min="3" max="3" width="16.85546875" customWidth="1"/>
    <col min="4" max="4" width="5.42578125" customWidth="1"/>
    <col min="5" max="5" width="62.140625" customWidth="1"/>
    <col min="6" max="6" width="15.28515625" customWidth="1"/>
    <col min="7" max="7" width="12.85546875" customWidth="1"/>
    <col min="8" max="8" width="17.140625" customWidth="1"/>
    <col min="9" max="9" width="15.5703125" customWidth="1"/>
    <col min="10" max="10" width="14.42578125" customWidth="1"/>
    <col min="11" max="11" width="15.5703125" customWidth="1"/>
    <col min="12" max="12" width="11.85546875" bestFit="1" customWidth="1"/>
    <col min="13" max="13" width="19.5703125" bestFit="1" customWidth="1"/>
    <col min="14" max="14" width="17.28515625" bestFit="1" customWidth="1"/>
  </cols>
  <sheetData>
    <row r="1" spans="2:13">
      <c r="B1" s="310" t="s">
        <v>47</v>
      </c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2"/>
    </row>
    <row r="2" spans="2:13" ht="19.5" customHeight="1" thickBot="1">
      <c r="B2" s="347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9"/>
    </row>
    <row r="3" spans="2:13" ht="19.5" customHeight="1" thickBot="1"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2:13" ht="15.75" thickBot="1">
      <c r="B4" s="320" t="str">
        <f>_xlfn.CONCAT("Transformadores de Rede Subterrânea",TEXT(IF(SUM(J11:J13)=0," ",(SUM(H11:H13)/SUM(J11:J13))), " 0,00%"))</f>
        <v xml:space="preserve">Transformadores de Rede Subterrânea </v>
      </c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2"/>
    </row>
    <row r="5" spans="2:13" ht="15.75" outlineLevel="1" thickBot="1">
      <c r="B5" s="26" t="s">
        <v>48</v>
      </c>
      <c r="C5" s="27" t="s">
        <v>49</v>
      </c>
      <c r="D5" s="356" t="s">
        <v>50</v>
      </c>
      <c r="E5" s="317"/>
      <c r="F5" s="27" t="s">
        <v>51</v>
      </c>
      <c r="G5" s="27" t="s">
        <v>52</v>
      </c>
      <c r="H5" s="27" t="s">
        <v>53</v>
      </c>
      <c r="I5" s="27" t="s">
        <v>54</v>
      </c>
      <c r="J5" s="27" t="s">
        <v>55</v>
      </c>
      <c r="K5" s="27" t="s">
        <v>56</v>
      </c>
      <c r="L5" s="27" t="s">
        <v>57</v>
      </c>
      <c r="M5" s="28" t="s">
        <v>58</v>
      </c>
    </row>
    <row r="6" spans="2:13" outlineLevel="1">
      <c r="B6" s="40" t="str">
        <f>IF(C6="","",ROW($A$1))</f>
        <v/>
      </c>
      <c r="C6" s="41"/>
      <c r="D6" s="350"/>
      <c r="E6" s="351"/>
      <c r="F6" s="41"/>
      <c r="G6" s="41"/>
      <c r="H6" s="41"/>
      <c r="I6" s="41"/>
      <c r="J6" s="42"/>
      <c r="K6" s="41"/>
      <c r="L6" s="41"/>
      <c r="M6" s="43"/>
    </row>
    <row r="7" spans="2:13" outlineLevel="1">
      <c r="B7" s="35" t="str">
        <f>IF(C7="","",(B6+1))</f>
        <v/>
      </c>
      <c r="C7" s="1"/>
      <c r="D7" s="352"/>
      <c r="E7" s="353"/>
      <c r="F7" s="1"/>
      <c r="G7" s="1"/>
      <c r="H7" s="1"/>
      <c r="I7" s="1"/>
      <c r="J7" s="36"/>
      <c r="K7" s="1"/>
      <c r="L7" s="1"/>
      <c r="M7" s="2"/>
    </row>
    <row r="8" spans="2:13" ht="15.75" outlineLevel="1" thickBot="1">
      <c r="B8" s="35" t="str">
        <f>IF(C8="","",(B7+1))</f>
        <v/>
      </c>
      <c r="C8" s="38"/>
      <c r="D8" s="354"/>
      <c r="E8" s="355"/>
      <c r="F8" s="38"/>
      <c r="G8" s="38"/>
      <c r="H8" s="38"/>
      <c r="I8" s="38"/>
      <c r="J8" s="57"/>
      <c r="K8" s="38"/>
      <c r="L8" s="38"/>
      <c r="M8" s="39"/>
    </row>
    <row r="9" spans="2:13" ht="15.75" thickBot="1">
      <c r="B9" s="320" t="s">
        <v>59</v>
      </c>
      <c r="C9" s="321"/>
      <c r="D9" s="321"/>
      <c r="E9" s="321"/>
      <c r="F9" s="321"/>
      <c r="G9" s="321"/>
      <c r="H9" s="321"/>
      <c r="I9" s="321"/>
      <c r="J9" s="321"/>
      <c r="K9" s="321"/>
      <c r="L9" s="321"/>
      <c r="M9" s="322"/>
    </row>
    <row r="10" spans="2:13" ht="24" customHeight="1" thickBot="1">
      <c r="B10" s="26" t="s">
        <v>49</v>
      </c>
      <c r="C10" s="27" t="s">
        <v>60</v>
      </c>
      <c r="D10" s="27" t="s">
        <v>61</v>
      </c>
      <c r="E10" s="27" t="s">
        <v>62</v>
      </c>
      <c r="F10" s="27" t="s">
        <v>63</v>
      </c>
      <c r="G10" s="27" t="s">
        <v>64</v>
      </c>
      <c r="H10" s="27" t="s">
        <v>65</v>
      </c>
      <c r="I10" s="27" t="s">
        <v>66</v>
      </c>
      <c r="J10" s="27" t="s">
        <v>67</v>
      </c>
      <c r="K10" s="27" t="s">
        <v>6</v>
      </c>
      <c r="L10" s="27" t="s">
        <v>7</v>
      </c>
      <c r="M10" s="28" t="s">
        <v>68</v>
      </c>
    </row>
    <row r="11" spans="2:13">
      <c r="B11" s="46" t="s">
        <v>8</v>
      </c>
      <c r="C11" s="41">
        <f>COUNTIFS(B6:B8,"&gt;"&amp;0,C6:C8,"="&amp;B11)</f>
        <v>0</v>
      </c>
      <c r="D11" s="41">
        <f>COUNTIFS(B6:B8,"&gt;="&amp;1,C6:C8,B11,L6:L8,"&lt;"&amp;2,L6:L8,"&gt;="&amp;0)</f>
        <v>0</v>
      </c>
      <c r="E11" s="41">
        <f>COUNTIFS(B6:B8,"&gt;="&amp;1,C6:C8,B11,L6:L8,"&gt;="&amp;2,L6:L8,"&lt;"&amp;50)</f>
        <v>0</v>
      </c>
      <c r="F11" s="41" t="str">
        <f>_xlfn.CONCAT(COUNTIFS(B6:B8,"&gt;="&amp;1,C6:C8,B11,L6:L8,"&gt;="&amp;50,L6:L8,"&lt;"&amp;500)," - ",TEXT((COUNTIFS(B6:B8,"&gt;="&amp;1,C6:C8,B11,L6:L8,"&gt;="&amp;50,L6:L8,"&lt;"&amp;500)/IF(H11=0,1,H11)),"0,0%"))</f>
        <v>0 - 0,0%</v>
      </c>
      <c r="G11" s="41" t="str">
        <f>_xlfn.CONCAT(COUNTIFS(B6:B8,"&gt;="&amp;1,C6:C8,B11,L6:L8,"&gt;="&amp;500)," - ",TEXT((COUNTIFS(B6:B8,"&gt;="&amp;1,C6:C8,B11,L6:L8,"&gt;="&amp;500)/IF(H11=0,1,H11)),"0,0%"))</f>
        <v>0 - 0,0%</v>
      </c>
      <c r="H11" s="41">
        <f>COUNTIFS(B6:B8,"&gt;="&amp;1,C6:C8,B11,L6:L8,"&gt;="&amp;0,J6:J8,"&gt;"&amp;DATE(2021,1,1))</f>
        <v>0</v>
      </c>
      <c r="I11" s="47" t="str">
        <f>IF(H11=0,"-",(COUNTIFS(B6:B8,"&gt;="&amp;1,J6:J8,"&lt;&gt;"&amp;"",L6:L8,"&gt;="&amp;50)/H11))</f>
        <v>-</v>
      </c>
      <c r="J11" s="41">
        <f>IF((COUNTIFS(B6:B8,"&gt;="&amp;1,C6:C8,"="&amp;B11))&gt;228,228,(COUNTIFS(B6:B8,"&gt;="&amp;1,C6:C8,"="&amp;B11)))</f>
        <v>0</v>
      </c>
      <c r="K11" s="47" t="str">
        <f>IF(J11=0,"-",(COUNTIFS(C6:C8,"="&amp;B11,J6:J8,"&lt;="&amp;DATE(2024,12,31),L6:L8,"&gt;="&amp;0)/J11))</f>
        <v>-</v>
      </c>
      <c r="L11" s="47" t="str">
        <f>IF(J11=0,"-",IF(K11=1,"-",(COUNTIFS(B6:B8,"&gt;"&amp;0,C6:C8,"="&amp;B11,J6:J8,"&gt;"&amp;DATE(2024,12,31),L6:L8,"&gt;="&amp;0)/(J11-COUNTIFS(B6:B8,"&gt;"&amp;0,C6:C8,"="&amp;B11,J6:J8,"&lt;="&amp;DATE(2024,12,31),L6:L8,"&gt;="&amp;0)))))</f>
        <v>-</v>
      </c>
      <c r="M11" s="48" t="str">
        <f>IF(J11=0,"-",H11/J11)</f>
        <v>-</v>
      </c>
    </row>
    <row r="12" spans="2:13">
      <c r="B12" s="7" t="s">
        <v>9</v>
      </c>
      <c r="C12" s="1">
        <f>COUNTIFS(B6:B8,"&gt;"&amp;0,C6:C8,"="&amp;B12)</f>
        <v>0</v>
      </c>
      <c r="D12" s="41">
        <f>COUNTIFS(B6:B8,"&gt;="&amp;1,C6:C8,B12,L6:L8,"&lt;"&amp;2,L6:L8,"&gt;="&amp;0)</f>
        <v>0</v>
      </c>
      <c r="E12" s="1">
        <f>COUNTIFS(B6:B8,"&gt;="&amp;1,C6:C8,B12,L6:L8,"&gt;="&amp;2,L6:L8,"&lt;"&amp;50)</f>
        <v>0</v>
      </c>
      <c r="F12" s="41" t="str">
        <f>_xlfn.CONCAT(COUNTIFS(B6:B8,"&gt;="&amp;1,C6:C8,B12,L6:L8,"&gt;="&amp;50,L6:L8,"&lt;"&amp;500)," - ",TEXT((COUNTIFS(B6:B8,"&gt;="&amp;1,C6:C8,B12,L6:L8,"&gt;="&amp;50,L6:L8,"&lt;"&amp;500)/IF(H12=0,1,H12)),"0,0%"))</f>
        <v>0 - 0,0%</v>
      </c>
      <c r="G12" s="41" t="str">
        <f>_xlfn.CONCAT(COUNTIFS(B6:B8,"&gt;="&amp;1,C6:C8,B12,L6:L8,"&gt;="&amp;500)," - ",TEXT((COUNTIFS(B6:B8,"&gt;="&amp;1,C6:C8,B12,L6:L8,"&gt;="&amp;500)/IF(H12=0,1,H12)),"0,0%"))</f>
        <v>0 - 0,0%</v>
      </c>
      <c r="H12" s="1">
        <f>COUNTIFS(B6:B8,"&gt;="&amp;1,C6:C8,B12,L6:L8,"&gt;="&amp;0,J6:J8,"&gt;"&amp;DATE(2021,1,1))</f>
        <v>0</v>
      </c>
      <c r="I12" s="47" t="str">
        <f>IF(H12=0,"-",(COUNTIFS(B6:B8,"&gt;="&amp;1,J6:J8,"&lt;&gt;"&amp;"",L6:L8,"&gt;="&amp;50)/H12))</f>
        <v>-</v>
      </c>
      <c r="J12" s="1">
        <f>IF((COUNTIFS(B6:B8,"&gt;="&amp;1,C6:C8,"="&amp;B12))&gt;228,228,(COUNTIFS(B6:B8,"&gt;="&amp;1,C6:C8,"="&amp;B12)))</f>
        <v>0</v>
      </c>
      <c r="K12" s="44" t="str">
        <f>IF(J12=0,"-",(COUNTIFS(C6:C8,"="&amp;B12,J6:J8,"&lt;="&amp;DATE(2024,12,31),L6:L8,"&gt;="&amp;0)/J12))</f>
        <v>-</v>
      </c>
      <c r="L12" s="47" t="str">
        <f>IF(J12=0,"-",IF(K12=1,"-",(COUNTIFS(B6:B8,"&gt;"&amp;0,C6:C8,"="&amp;B12,J6:J8,"&gt;"&amp;DATE(2024,12,31),L6:L8,"&gt;="&amp;0)/(J12-COUNTIFS(B6:B8,"&gt;"&amp;0,C6:C8,"="&amp;B12,J6:J8,"&lt;="&amp;DATE(2024,12,31),L6:L8,"&gt;="&amp;0)))))</f>
        <v>-</v>
      </c>
      <c r="M12" s="45" t="str">
        <f t="shared" ref="M12:M14" si="0">IF(J12=0,"-",H12/J12)</f>
        <v>-</v>
      </c>
    </row>
    <row r="13" spans="2:13">
      <c r="B13" s="7" t="s">
        <v>69</v>
      </c>
      <c r="C13" s="1">
        <f>COUNTIFS(B6:B8,"&gt;"&amp;0,C6:C8,"="&amp;B13)</f>
        <v>0</v>
      </c>
      <c r="D13" s="41">
        <f>COUNTIFS(B6:B8,"&gt;="&amp;1,C6:C8,B13,L6:L8,"&lt;"&amp;2,L6:L8,"&gt;="&amp;0)</f>
        <v>0</v>
      </c>
      <c r="E13" s="1">
        <f>COUNTIFS(B6:B8,"&gt;="&amp;1,C6:C8,B13,L6:L8,"&gt;="&amp;2,L6:L8,"&lt;"&amp;50)</f>
        <v>0</v>
      </c>
      <c r="F13" s="41" t="str">
        <f>_xlfn.CONCAT(COUNTIFS(B6:B8,"&gt;="&amp;1,C6:C8,B13,L6:L8,"&gt;="&amp;50,L6:L8,"&lt;"&amp;500)," - ",TEXT((COUNTIFS(B6:B8,"&gt;="&amp;1,C6:C8,B13,L6:L8,"&gt;="&amp;50,L6:L8,"&lt;"&amp;500)/IF(H13=0,1,H13)),"0,0%"))</f>
        <v>0 - 0,0%</v>
      </c>
      <c r="G13" s="41" t="str">
        <f>_xlfn.CONCAT(COUNTIFS(B6:B8,"&gt;="&amp;1,C6:C8,B13,L6:L8,"&gt;="&amp;500)," - ",TEXT((COUNTIFS(B6:B8,"&gt;="&amp;1,C6:C8,B13,L6:L8,"&gt;="&amp;500)/IF(H13=0,1,H13)),"0,0%"))</f>
        <v>0 - 0,0%</v>
      </c>
      <c r="H13" s="1">
        <f>COUNTIFS(B6:B8,"&gt;="&amp;1,C6:C8,B13,L6:L8,"&gt;="&amp;0,J6:J8,"&gt;"&amp;DATE(2021,1,1))</f>
        <v>0</v>
      </c>
      <c r="I13" s="47" t="str">
        <f>IF(H13=0,"-",(COUNTIFS(B6:B8,"&gt;="&amp;1,J6:J8,"&lt;&gt;"&amp;"",L6:L8,"&gt;="&amp;50)/H13))</f>
        <v>-</v>
      </c>
      <c r="J13" s="1">
        <f>IF((COUNTIFS(B6:B7,"&gt;="&amp;1,C6:C7,"="&amp;B13))&gt;228,228,(COUNTIFS(B6:B7,"&gt;="&amp;1,C6:C7,"="&amp;B13)))</f>
        <v>0</v>
      </c>
      <c r="K13" s="44" t="str">
        <f>IF(J13=0,"-",(COUNTIFS(C6:C8,"="&amp;B13,J6:J8,"&lt;="&amp;DATE(2024,12,31),L6:L8,"&gt;="&amp;0)/J13))</f>
        <v>-</v>
      </c>
      <c r="L13" s="47" t="str">
        <f>IF(J13=0,"-",IF(K13=1,"-",(COUNTIFS(B6:B8,"&gt;"&amp;0,C6:C8,"="&amp;B13,J6:J8,"&gt;"&amp;DATE(2024,12,31),L6:L8,"&gt;="&amp;0)/(J13-COUNTIFS(B6:B8,"&gt;"&amp;0,C6:C8,"="&amp;B13,J6:J8,"&lt;="&amp;DATE(2024,12,31),L6:L8,"&gt;="&amp;0)))))</f>
        <v>-</v>
      </c>
      <c r="M13" s="45" t="str">
        <f t="shared" si="0"/>
        <v>-</v>
      </c>
    </row>
    <row r="14" spans="2:13" ht="23.25" customHeight="1" thickBot="1">
      <c r="B14" s="49" t="s">
        <v>59</v>
      </c>
      <c r="C14" s="50">
        <f>SUM(C11:C13)</f>
        <v>0</v>
      </c>
      <c r="D14" s="50">
        <f>SUM(D11:D13)</f>
        <v>0</v>
      </c>
      <c r="E14" s="50">
        <f>SUM(E11:E13)</f>
        <v>0</v>
      </c>
      <c r="F14" s="50">
        <f>COUNTIFS(B6:B8,"&gt;="&amp;1,L6:L8,"&gt;="&amp;50,L6:L8,"&lt;"&amp;500)</f>
        <v>0</v>
      </c>
      <c r="G14" s="50">
        <f>COUNTIFS(B6:B8,"&gt;="&amp;1,L6:L8,"&gt;="&amp;500)</f>
        <v>0</v>
      </c>
      <c r="H14" s="50">
        <f>SUM(H11:H13)</f>
        <v>0</v>
      </c>
      <c r="I14" s="51" t="str">
        <f t="shared" ref="I14" si="1">IF(H14=0,"-",(SUM(F14,G14)/H14))</f>
        <v>-</v>
      </c>
      <c r="J14" s="50">
        <f>SUM(J11:J13)</f>
        <v>0</v>
      </c>
      <c r="K14" s="51" t="str">
        <f>IF(J14=0,"-",(COUNTIFS(J6:J8,"&lt;="&amp;DATE(2024,12,31),L6:L8,"&gt;="&amp;0)/J14))</f>
        <v>-</v>
      </c>
      <c r="L14" s="51" t="str">
        <f>IF(J14=0,"-",IF(K14=1,"-",(COUNTIFS(B6:B8,"&gt;"&amp;0,J6:J8,"&gt;"&amp;DATE(2024,12,31),L6:L8,"&gt;="&amp;0)/(J14-COUNTIFS(B6:B8,"&gt;"&amp;0,J6:J8,"&lt;="&amp;DATE(2024,12,31),L6:L8,"&gt;="&amp;0)))))</f>
        <v>-</v>
      </c>
      <c r="M14" s="52" t="str">
        <f t="shared" si="0"/>
        <v>-</v>
      </c>
    </row>
    <row r="16" spans="2:13" ht="15.75" thickBot="1"/>
    <row r="17" spans="2:13" ht="15.75" thickBot="1">
      <c r="B17" s="320" t="str">
        <f>_xlfn.CONCAT("Disjuntores com extinção de arco OMI (PVO e GVO)",TEXT(IF(SUM(J51:J53)=0," ",(SUM(H51:H53)/SUM(J51:J53))), " 0,00%"))</f>
        <v xml:space="preserve">Disjuntores com extinção de arco OMI (PVO e GVO) </v>
      </c>
      <c r="C17" s="321"/>
      <c r="D17" s="321"/>
      <c r="E17" s="321"/>
      <c r="F17" s="321"/>
      <c r="G17" s="321"/>
      <c r="H17" s="321"/>
      <c r="I17" s="321"/>
      <c r="J17" s="321"/>
      <c r="K17" s="321"/>
      <c r="L17" s="321"/>
      <c r="M17" s="322"/>
    </row>
    <row r="18" spans="2:13" ht="15.75" hidden="1" outlineLevel="1" thickBot="1">
      <c r="B18" s="26" t="s">
        <v>48</v>
      </c>
      <c r="C18" s="27" t="s">
        <v>49</v>
      </c>
      <c r="D18" s="27"/>
      <c r="E18" s="27" t="s">
        <v>50</v>
      </c>
      <c r="F18" s="27" t="s">
        <v>51</v>
      </c>
      <c r="G18" s="27" t="s">
        <v>52</v>
      </c>
      <c r="H18" s="27" t="s">
        <v>53</v>
      </c>
      <c r="I18" s="27" t="s">
        <v>54</v>
      </c>
      <c r="J18" s="27" t="s">
        <v>55</v>
      </c>
      <c r="K18" s="27" t="s">
        <v>56</v>
      </c>
      <c r="L18" s="27" t="s">
        <v>57</v>
      </c>
      <c r="M18" s="28" t="s">
        <v>58</v>
      </c>
    </row>
    <row r="19" spans="2:13" hidden="1" outlineLevel="1">
      <c r="B19" s="46" t="str">
        <f>IF(C19="","",ROW($A$1))</f>
        <v/>
      </c>
      <c r="C19" s="41"/>
      <c r="D19" s="41"/>
      <c r="E19" s="41"/>
      <c r="F19" s="41"/>
      <c r="G19" s="41"/>
      <c r="H19" s="41"/>
      <c r="I19" s="41"/>
      <c r="J19" s="42"/>
      <c r="K19" s="41"/>
      <c r="L19" s="41"/>
      <c r="M19" s="43"/>
    </row>
    <row r="20" spans="2:13" hidden="1" outlineLevel="1">
      <c r="B20" s="46" t="str">
        <f>IF(C20="","",B19+1)</f>
        <v/>
      </c>
      <c r="C20" s="41"/>
      <c r="D20" s="41"/>
      <c r="E20" s="41"/>
      <c r="F20" s="41"/>
      <c r="G20" s="41"/>
      <c r="H20" s="41"/>
      <c r="I20" s="41"/>
      <c r="J20" s="42"/>
      <c r="K20" s="41"/>
      <c r="L20" s="41"/>
      <c r="M20" s="43"/>
    </row>
    <row r="21" spans="2:13" hidden="1" outlineLevel="1">
      <c r="B21" s="46" t="str">
        <f t="shared" ref="B21:B48" si="2">IF(C21="","",B20+1)</f>
        <v/>
      </c>
      <c r="C21" s="41"/>
      <c r="D21" s="41"/>
      <c r="E21" s="41"/>
      <c r="F21" s="41"/>
      <c r="G21" s="41"/>
      <c r="H21" s="41"/>
      <c r="I21" s="41"/>
      <c r="J21" s="42"/>
      <c r="K21" s="41"/>
      <c r="L21" s="41"/>
      <c r="M21" s="43"/>
    </row>
    <row r="22" spans="2:13" hidden="1" outlineLevel="1">
      <c r="B22" s="46" t="str">
        <f t="shared" si="2"/>
        <v/>
      </c>
      <c r="C22" s="41"/>
      <c r="D22" s="41"/>
      <c r="E22" s="41"/>
      <c r="F22" s="41"/>
      <c r="G22" s="41"/>
      <c r="H22" s="41"/>
      <c r="I22" s="41"/>
      <c r="J22" s="42"/>
      <c r="K22" s="41"/>
      <c r="L22" s="41"/>
      <c r="M22" s="43"/>
    </row>
    <row r="23" spans="2:13" hidden="1" outlineLevel="1">
      <c r="B23" s="46" t="str">
        <f t="shared" si="2"/>
        <v/>
      </c>
      <c r="C23" s="41"/>
      <c r="D23" s="41"/>
      <c r="E23" s="41"/>
      <c r="F23" s="41"/>
      <c r="G23" s="41"/>
      <c r="H23" s="41"/>
      <c r="I23" s="41"/>
      <c r="J23" s="42"/>
      <c r="K23" s="41"/>
      <c r="L23" s="41"/>
      <c r="M23" s="43"/>
    </row>
    <row r="24" spans="2:13" hidden="1" outlineLevel="1">
      <c r="B24" s="46" t="str">
        <f t="shared" si="2"/>
        <v/>
      </c>
      <c r="C24" s="41"/>
      <c r="D24" s="41"/>
      <c r="E24" s="41"/>
      <c r="F24" s="41"/>
      <c r="G24" s="41"/>
      <c r="H24" s="41"/>
      <c r="I24" s="41"/>
      <c r="J24" s="42"/>
      <c r="K24" s="41"/>
      <c r="L24" s="41"/>
      <c r="M24" s="43"/>
    </row>
    <row r="25" spans="2:13" hidden="1" outlineLevel="1">
      <c r="B25" s="46" t="str">
        <f t="shared" si="2"/>
        <v/>
      </c>
      <c r="C25" s="41"/>
      <c r="D25" s="41"/>
      <c r="E25" s="41"/>
      <c r="F25" s="41"/>
      <c r="G25" s="41"/>
      <c r="H25" s="41"/>
      <c r="I25" s="41"/>
      <c r="J25" s="42"/>
      <c r="K25" s="41"/>
      <c r="L25" s="41"/>
      <c r="M25" s="43"/>
    </row>
    <row r="26" spans="2:13" hidden="1" outlineLevel="1">
      <c r="B26" s="46" t="str">
        <f t="shared" si="2"/>
        <v/>
      </c>
      <c r="C26" s="41"/>
      <c r="D26" s="41"/>
      <c r="E26" s="41"/>
      <c r="F26" s="41"/>
      <c r="G26" s="41"/>
      <c r="H26" s="41"/>
      <c r="I26" s="41"/>
      <c r="J26" s="42"/>
      <c r="K26" s="41"/>
      <c r="L26" s="41"/>
      <c r="M26" s="43"/>
    </row>
    <row r="27" spans="2:13" hidden="1" outlineLevel="1">
      <c r="B27" s="46" t="str">
        <f t="shared" si="2"/>
        <v/>
      </c>
      <c r="C27" s="41"/>
      <c r="D27" s="41"/>
      <c r="E27" s="41"/>
      <c r="F27" s="41"/>
      <c r="G27" s="41"/>
      <c r="H27" s="41"/>
      <c r="I27" s="41"/>
      <c r="J27" s="42"/>
      <c r="K27" s="41"/>
      <c r="L27" s="41"/>
      <c r="M27" s="43"/>
    </row>
    <row r="28" spans="2:13" hidden="1" outlineLevel="1">
      <c r="B28" s="46" t="str">
        <f t="shared" si="2"/>
        <v/>
      </c>
      <c r="C28" s="41"/>
      <c r="D28" s="41"/>
      <c r="E28" s="41"/>
      <c r="F28" s="41"/>
      <c r="G28" s="41"/>
      <c r="H28" s="41"/>
      <c r="I28" s="41"/>
      <c r="J28" s="42"/>
      <c r="K28" s="41"/>
      <c r="L28" s="41"/>
      <c r="M28" s="43"/>
    </row>
    <row r="29" spans="2:13" hidden="1" outlineLevel="1">
      <c r="B29" s="46" t="str">
        <f t="shared" si="2"/>
        <v/>
      </c>
      <c r="C29" s="41"/>
      <c r="D29" s="41"/>
      <c r="E29" s="41"/>
      <c r="F29" s="41"/>
      <c r="G29" s="41"/>
      <c r="H29" s="41"/>
      <c r="I29" s="41"/>
      <c r="J29" s="42"/>
      <c r="K29" s="41"/>
      <c r="L29" s="41"/>
      <c r="M29" s="43"/>
    </row>
    <row r="30" spans="2:13" hidden="1" outlineLevel="1">
      <c r="B30" s="46" t="str">
        <f t="shared" si="2"/>
        <v/>
      </c>
      <c r="C30" s="41"/>
      <c r="D30" s="41"/>
      <c r="E30" s="41"/>
      <c r="F30" s="41"/>
      <c r="G30" s="41"/>
      <c r="H30" s="41"/>
      <c r="I30" s="41"/>
      <c r="J30" s="42"/>
      <c r="K30" s="41"/>
      <c r="L30" s="41"/>
      <c r="M30" s="43"/>
    </row>
    <row r="31" spans="2:13" hidden="1" outlineLevel="1">
      <c r="B31" s="46" t="str">
        <f t="shared" si="2"/>
        <v/>
      </c>
      <c r="C31" s="41"/>
      <c r="D31" s="41"/>
      <c r="E31" s="41"/>
      <c r="F31" s="41"/>
      <c r="G31" s="41"/>
      <c r="H31" s="41"/>
      <c r="I31" s="41"/>
      <c r="J31" s="42"/>
      <c r="K31" s="41"/>
      <c r="L31" s="41"/>
      <c r="M31" s="43"/>
    </row>
    <row r="32" spans="2:13" hidden="1" outlineLevel="1">
      <c r="B32" s="46" t="str">
        <f t="shared" si="2"/>
        <v/>
      </c>
      <c r="C32" s="41"/>
      <c r="D32" s="41"/>
      <c r="E32" s="41"/>
      <c r="F32" s="41"/>
      <c r="G32" s="41"/>
      <c r="H32" s="41"/>
      <c r="I32" s="41"/>
      <c r="J32" s="42"/>
      <c r="K32" s="41"/>
      <c r="L32" s="41"/>
      <c r="M32" s="43"/>
    </row>
    <row r="33" spans="2:13" hidden="1" outlineLevel="1">
      <c r="B33" s="46" t="str">
        <f t="shared" si="2"/>
        <v/>
      </c>
      <c r="C33" s="41"/>
      <c r="D33" s="41"/>
      <c r="E33" s="41"/>
      <c r="F33" s="41"/>
      <c r="G33" s="41"/>
      <c r="H33" s="41"/>
      <c r="I33" s="41"/>
      <c r="J33" s="42"/>
      <c r="K33" s="41"/>
      <c r="L33" s="41"/>
      <c r="M33" s="43"/>
    </row>
    <row r="34" spans="2:13" hidden="1" outlineLevel="1">
      <c r="B34" s="46" t="str">
        <f t="shared" si="2"/>
        <v/>
      </c>
      <c r="C34" s="41"/>
      <c r="D34" s="41"/>
      <c r="E34" s="41"/>
      <c r="F34" s="41"/>
      <c r="G34" s="41"/>
      <c r="H34" s="41"/>
      <c r="I34" s="41"/>
      <c r="J34" s="42"/>
      <c r="K34" s="41"/>
      <c r="L34" s="41"/>
      <c r="M34" s="43"/>
    </row>
    <row r="35" spans="2:13" hidden="1" outlineLevel="1">
      <c r="B35" s="46" t="str">
        <f t="shared" si="2"/>
        <v/>
      </c>
      <c r="C35" s="41"/>
      <c r="D35" s="41"/>
      <c r="E35" s="41"/>
      <c r="F35" s="41"/>
      <c r="G35" s="41"/>
      <c r="H35" s="41"/>
      <c r="I35" s="41"/>
      <c r="J35" s="42"/>
      <c r="K35" s="41"/>
      <c r="L35" s="41"/>
      <c r="M35" s="43"/>
    </row>
    <row r="36" spans="2:13" hidden="1" outlineLevel="1">
      <c r="B36" s="46" t="str">
        <f t="shared" si="2"/>
        <v/>
      </c>
      <c r="C36" s="41"/>
      <c r="D36" s="41"/>
      <c r="E36" s="41"/>
      <c r="F36" s="41"/>
      <c r="G36" s="41"/>
      <c r="H36" s="41"/>
      <c r="I36" s="41"/>
      <c r="J36" s="42"/>
      <c r="K36" s="41"/>
      <c r="L36" s="41"/>
      <c r="M36" s="43"/>
    </row>
    <row r="37" spans="2:13" hidden="1" outlineLevel="1">
      <c r="B37" s="46" t="str">
        <f t="shared" si="2"/>
        <v/>
      </c>
      <c r="C37" s="41"/>
      <c r="D37" s="41"/>
      <c r="E37" s="41"/>
      <c r="F37" s="41"/>
      <c r="G37" s="41"/>
      <c r="H37" s="41"/>
      <c r="I37" s="41"/>
      <c r="J37" s="42"/>
      <c r="K37" s="41"/>
      <c r="L37" s="41"/>
      <c r="M37" s="43"/>
    </row>
    <row r="38" spans="2:13" hidden="1" outlineLevel="1">
      <c r="B38" s="46" t="str">
        <f t="shared" si="2"/>
        <v/>
      </c>
      <c r="C38" s="41"/>
      <c r="D38" s="41"/>
      <c r="E38" s="41"/>
      <c r="F38" s="41"/>
      <c r="G38" s="41"/>
      <c r="H38" s="41"/>
      <c r="I38" s="41"/>
      <c r="J38" s="42"/>
      <c r="K38" s="41"/>
      <c r="L38" s="41"/>
      <c r="M38" s="43"/>
    </row>
    <row r="39" spans="2:13" hidden="1" outlineLevel="1">
      <c r="B39" s="46" t="str">
        <f t="shared" si="2"/>
        <v/>
      </c>
      <c r="C39" s="41"/>
      <c r="D39" s="41"/>
      <c r="E39" s="41"/>
      <c r="F39" s="41"/>
      <c r="G39" s="41"/>
      <c r="H39" s="41"/>
      <c r="I39" s="41"/>
      <c r="J39" s="42"/>
      <c r="K39" s="41"/>
      <c r="L39" s="41"/>
      <c r="M39" s="43"/>
    </row>
    <row r="40" spans="2:13" hidden="1" outlineLevel="1">
      <c r="B40" s="46" t="str">
        <f t="shared" si="2"/>
        <v/>
      </c>
      <c r="C40" s="41"/>
      <c r="D40" s="41"/>
      <c r="E40" s="41"/>
      <c r="F40" s="41"/>
      <c r="G40" s="41"/>
      <c r="H40" s="41"/>
      <c r="I40" s="41"/>
      <c r="J40" s="42"/>
      <c r="K40" s="41"/>
      <c r="L40" s="41"/>
      <c r="M40" s="43"/>
    </row>
    <row r="41" spans="2:13" hidden="1" outlineLevel="1">
      <c r="B41" s="46" t="str">
        <f t="shared" si="2"/>
        <v/>
      </c>
      <c r="C41" s="41"/>
      <c r="D41" s="41"/>
      <c r="E41" s="41"/>
      <c r="F41" s="41"/>
      <c r="G41" s="41"/>
      <c r="H41" s="41"/>
      <c r="I41" s="41"/>
      <c r="J41" s="42"/>
      <c r="K41" s="41"/>
      <c r="L41" s="41"/>
      <c r="M41" s="43"/>
    </row>
    <row r="42" spans="2:13" hidden="1" outlineLevel="1">
      <c r="B42" s="46" t="str">
        <f t="shared" si="2"/>
        <v/>
      </c>
      <c r="C42" s="41"/>
      <c r="D42" s="41"/>
      <c r="E42" s="41"/>
      <c r="F42" s="41"/>
      <c r="G42" s="41"/>
      <c r="H42" s="41"/>
      <c r="I42" s="41"/>
      <c r="J42" s="42"/>
      <c r="K42" s="41"/>
      <c r="L42" s="41"/>
      <c r="M42" s="43"/>
    </row>
    <row r="43" spans="2:13" hidden="1" outlineLevel="1">
      <c r="B43" s="46" t="str">
        <f t="shared" si="2"/>
        <v/>
      </c>
      <c r="C43" s="41"/>
      <c r="D43" s="41"/>
      <c r="E43" s="41"/>
      <c r="F43" s="41"/>
      <c r="G43" s="41"/>
      <c r="H43" s="41"/>
      <c r="I43" s="41"/>
      <c r="J43" s="42"/>
      <c r="K43" s="41"/>
      <c r="L43" s="41"/>
      <c r="M43" s="43"/>
    </row>
    <row r="44" spans="2:13" hidden="1" outlineLevel="1">
      <c r="B44" s="46" t="str">
        <f t="shared" si="2"/>
        <v/>
      </c>
      <c r="C44" s="41"/>
      <c r="D44" s="41"/>
      <c r="E44" s="41"/>
      <c r="F44" s="41"/>
      <c r="G44" s="41"/>
      <c r="H44" s="41"/>
      <c r="I44" s="41"/>
      <c r="J44" s="42"/>
      <c r="K44" s="41"/>
      <c r="L44" s="41"/>
      <c r="M44" s="43"/>
    </row>
    <row r="45" spans="2:13" hidden="1" outlineLevel="1">
      <c r="B45" s="46" t="str">
        <f t="shared" si="2"/>
        <v/>
      </c>
      <c r="C45" s="41"/>
      <c r="D45" s="41"/>
      <c r="E45" s="41"/>
      <c r="F45" s="41"/>
      <c r="G45" s="41"/>
      <c r="H45" s="41"/>
      <c r="I45" s="41"/>
      <c r="J45" s="42"/>
      <c r="K45" s="41"/>
      <c r="L45" s="41"/>
      <c r="M45" s="43"/>
    </row>
    <row r="46" spans="2:13" hidden="1" outlineLevel="1">
      <c r="B46" s="46" t="str">
        <f t="shared" si="2"/>
        <v/>
      </c>
      <c r="C46" s="41"/>
      <c r="D46" s="41"/>
      <c r="E46" s="41"/>
      <c r="F46" s="41"/>
      <c r="G46" s="41"/>
      <c r="H46" s="41"/>
      <c r="I46" s="41"/>
      <c r="J46" s="42"/>
      <c r="K46" s="41"/>
      <c r="L46" s="41"/>
      <c r="M46" s="43"/>
    </row>
    <row r="47" spans="2:13" hidden="1" outlineLevel="1">
      <c r="B47" s="46" t="str">
        <f t="shared" si="2"/>
        <v/>
      </c>
      <c r="C47" s="1"/>
      <c r="D47" s="1"/>
      <c r="E47" s="1"/>
      <c r="F47" s="1"/>
      <c r="G47" s="1"/>
      <c r="H47" s="1"/>
      <c r="I47" s="1"/>
      <c r="J47" s="36"/>
      <c r="K47" s="1"/>
      <c r="L47" s="1"/>
      <c r="M47" s="2"/>
    </row>
    <row r="48" spans="2:13" ht="15.75" hidden="1" outlineLevel="1" thickBot="1">
      <c r="B48" s="56" t="str">
        <f t="shared" si="2"/>
        <v/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9"/>
    </row>
    <row r="49" spans="2:13" ht="15.75" collapsed="1" thickBot="1">
      <c r="B49" s="320" t="s">
        <v>59</v>
      </c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2"/>
    </row>
    <row r="50" spans="2:13" ht="24" customHeight="1" thickBot="1">
      <c r="B50" s="26" t="s">
        <v>49</v>
      </c>
      <c r="C50" s="27" t="s">
        <v>60</v>
      </c>
      <c r="D50" s="27" t="s">
        <v>61</v>
      </c>
      <c r="E50" s="27" t="s">
        <v>62</v>
      </c>
      <c r="F50" s="27" t="s">
        <v>63</v>
      </c>
      <c r="G50" s="27" t="s">
        <v>64</v>
      </c>
      <c r="H50" s="27" t="s">
        <v>65</v>
      </c>
      <c r="I50" s="27" t="s">
        <v>66</v>
      </c>
      <c r="J50" s="27" t="s">
        <v>67</v>
      </c>
      <c r="K50" s="27" t="s">
        <v>6</v>
      </c>
      <c r="L50" s="27" t="s">
        <v>7</v>
      </c>
      <c r="M50" s="28" t="s">
        <v>68</v>
      </c>
    </row>
    <row r="51" spans="2:13">
      <c r="B51" s="46" t="s">
        <v>8</v>
      </c>
      <c r="C51" s="41">
        <f>COUNTIFS(B19:B48,"&gt;"&amp;0,C19:C48,"="&amp;B51)</f>
        <v>0</v>
      </c>
      <c r="D51" s="41"/>
      <c r="E51" s="41">
        <f>COUNTIFS(B19:B48,"&gt;="&amp;1,C19:C48,B51,L19:L48,"&gt;="&amp;0,L19:L48,"&lt;"&amp;50)</f>
        <v>0</v>
      </c>
      <c r="F51" s="41">
        <f>COUNTIFS(B19:B48,"&gt;="&amp;1,C19:C48,B51,L19:L48,"&gt;="&amp;50,L19:L48,"&lt;"&amp;500)</f>
        <v>0</v>
      </c>
      <c r="G51" s="41">
        <f>COUNTIFS(B19:B48,"&gt;="&amp;1,C19:C48,B51,L19:L48,"&gt;="&amp;500)</f>
        <v>0</v>
      </c>
      <c r="H51" s="41">
        <f>COUNTIFS(B19:B48,"&gt;="&amp;1,C19:C48,B51,L19:L48,"&gt;="&amp;0,J19:J48,"&gt;"&amp;DATE(2021,1,1))</f>
        <v>0</v>
      </c>
      <c r="I51" s="47" t="str">
        <f>IF(H51=0,"-",(SUM(F51,G51)/H51))</f>
        <v>-</v>
      </c>
      <c r="J51" s="41">
        <f>IF((COUNTIFS(B19:B48,"&gt;="&amp;1,C19:C48,"="&amp;B51))&gt;228,228,(COUNTIFS(B19:B48,"&gt;="&amp;1,C19:C48,"="&amp;B51)))</f>
        <v>0</v>
      </c>
      <c r="K51" s="47" t="str">
        <f>IF(J51=0,"-",(COUNTIFS(C19:C48,"="&amp;B51,J19:J48,"&lt;="&amp;DATE(2024,12,31),L19:L48,"&gt;="&amp;0)/J51))</f>
        <v>-</v>
      </c>
      <c r="L51" s="47" t="str">
        <f>IF(J51=0,"-",IF(K51=1,"-",(COUNTIFS(B19:B48,"&gt;"&amp;0,C19:C48,"="&amp;B51,J19:J48,"&gt;"&amp;DATE(2024,12,31),L19:L48,"&gt;="&amp;0)/(J51-COUNTIFS(B19:B48,"&gt;"&amp;0,C19:C48,"="&amp;B51,J19:J48,"&lt;="&amp;DATE(2024,12,31),L19:L48,"&gt;="&amp;0)))))</f>
        <v>-</v>
      </c>
      <c r="M51" s="48" t="str">
        <f>IF(J51=0,"-",H51/J51)</f>
        <v>-</v>
      </c>
    </row>
    <row r="52" spans="2:13">
      <c r="B52" s="7" t="s">
        <v>9</v>
      </c>
      <c r="C52" s="1">
        <f>COUNTIFS(B19:B48,"&gt;"&amp;0,C19:C48,"="&amp;B52)</f>
        <v>0</v>
      </c>
      <c r="D52" s="1"/>
      <c r="E52" s="1">
        <f>COUNTIFS(B19:B48,"&gt;="&amp;1,C19:C48,B52,L19:L48,"&gt;="&amp;0,L19:L48,"&lt;"&amp;50)</f>
        <v>0</v>
      </c>
      <c r="F52" s="1">
        <f>COUNTIFS(B19:B48,"&gt;="&amp;1,C19:C48,B52,L19:L48,"&gt;="&amp;50,L19:L48,"&lt;"&amp;500)</f>
        <v>0</v>
      </c>
      <c r="G52" s="1">
        <f>COUNTIFS(B19:B48,"&gt;="&amp;1,C19:C48,B52,L19:L48,"&gt;="&amp;500)</f>
        <v>0</v>
      </c>
      <c r="H52" s="1">
        <f>COUNTIFS(B19:B48,"&gt;="&amp;1,C19:C48,B52,L19:L48,"&gt;="&amp;0,J19:J48,"&gt;"&amp;DATE(2021,1,1))</f>
        <v>0</v>
      </c>
      <c r="I52" s="44" t="str">
        <f t="shared" ref="I52:I54" si="3">IF(H52=0,"-",(SUM(F52,G52)/H52))</f>
        <v>-</v>
      </c>
      <c r="J52" s="1">
        <f>IF((COUNTIFS(B19:B48,"&gt;="&amp;1,C19:C48,"="&amp;B52))&gt;228,228,(COUNTIFS(B19:B48,"&gt;="&amp;1,C19:C48,"="&amp;B52)))</f>
        <v>0</v>
      </c>
      <c r="K52" s="44" t="str">
        <f>IF(J52=0,"-",(COUNTIFS(C19:C48,"="&amp;B52,J19:J48,"&lt;="&amp;DATE(2024,12,31),L19:L48,"&gt;="&amp;0)/J52))</f>
        <v>-</v>
      </c>
      <c r="L52" s="47" t="str">
        <f>IF(J52=0,"-",IF(K52=1,"-",(COUNTIFS(B19:B48,"&gt;"&amp;0,C19:C48,"="&amp;B52,J19:J48,"&gt;"&amp;DATE(2024,12,31),L19:L48,"&gt;="&amp;0)/(J52-COUNTIFS(B19:B48,"&gt;"&amp;0,C19:C48,"="&amp;B52,J19:J48,"&lt;="&amp;DATE(2024,12,31),L19:L48,"&gt;="&amp;0)))))</f>
        <v>-</v>
      </c>
      <c r="M52" s="45" t="str">
        <f t="shared" ref="M52:M54" si="4">IF(J52=0,"-",H52/J52)</f>
        <v>-</v>
      </c>
    </row>
    <row r="53" spans="2:13">
      <c r="B53" s="7" t="s">
        <v>69</v>
      </c>
      <c r="C53" s="1">
        <f>COUNTIFS(B19:B48,"&gt;"&amp;0,C19:C48,"="&amp;B53)</f>
        <v>0</v>
      </c>
      <c r="D53" s="1"/>
      <c r="E53" s="1">
        <f>COUNTIFS(B19:B48,"&gt;="&amp;1,C19:C48,B53,L19:L48,"&gt;="&amp;0,L19:L48,"&lt;"&amp;50)</f>
        <v>0</v>
      </c>
      <c r="F53" s="1">
        <f>COUNTIFS(B19:B48,"&gt;="&amp;1,C19:C48,B53,L19:L48,"&gt;="&amp;50,L19:L48,"&lt;"&amp;500)</f>
        <v>0</v>
      </c>
      <c r="G53" s="1">
        <f>COUNTIFS(B19:B47,"&gt;="&amp;1,C19:C47,B53,L19:L47,"&gt;="&amp;500)</f>
        <v>0</v>
      </c>
      <c r="H53" s="1">
        <f>COUNTIFS(B19:B48,"&gt;="&amp;1,C19:C48,B53,L19:L48,"&gt;="&amp;0,J19:J48,"&gt;"&amp;DATE(2021,1,1))</f>
        <v>0</v>
      </c>
      <c r="I53" s="44" t="str">
        <f t="shared" si="3"/>
        <v>-</v>
      </c>
      <c r="J53" s="1">
        <f>IF((COUNTIFS(B19:B47,"&gt;="&amp;1,C19:C47,"="&amp;B53))&gt;228,228,(COUNTIFS(B19:B47,"&gt;="&amp;1,C19:C47,"="&amp;B53)))</f>
        <v>0</v>
      </c>
      <c r="K53" s="44" t="str">
        <f>IF(J53=0,"-",(COUNTIFS(C19:C48,"="&amp;B53,J19:J48,"&lt;="&amp;DATE(2024,12,31),L19:L48,"&gt;="&amp;0)/J53))</f>
        <v>-</v>
      </c>
      <c r="L53" s="47" t="str">
        <f>IF(J53=0,"-",IF(K53=1,"-",(COUNTIFS(B19:B48,"&gt;"&amp;0,C19:C48,"="&amp;B53,J19:J48,"&gt;"&amp;DATE(2024,12,31),L19:L48,"&gt;="&amp;0)/(J53-COUNTIFS(B19:B48,"&gt;"&amp;0,C19:C48,"="&amp;B53,J19:J48,"&lt;="&amp;DATE(2024,12,31),L19:L48,"&gt;="&amp;0)))))</f>
        <v>-</v>
      </c>
      <c r="M53" s="45" t="str">
        <f t="shared" si="4"/>
        <v>-</v>
      </c>
    </row>
    <row r="54" spans="2:13" ht="24" customHeight="1" thickBot="1">
      <c r="B54" s="49" t="s">
        <v>59</v>
      </c>
      <c r="C54" s="50">
        <f>SUM(C51:C53)</f>
        <v>0</v>
      </c>
      <c r="D54" s="50"/>
      <c r="E54" s="50">
        <f>SUM(E51:E53)</f>
        <v>0</v>
      </c>
      <c r="F54" s="50">
        <f>SUM(F51:F53)</f>
        <v>0</v>
      </c>
      <c r="G54" s="50">
        <f>SUM(G51:G53)</f>
        <v>0</v>
      </c>
      <c r="H54" s="50">
        <f>SUM(H51:H53)</f>
        <v>0</v>
      </c>
      <c r="I54" s="51" t="str">
        <f t="shared" si="3"/>
        <v>-</v>
      </c>
      <c r="J54" s="50">
        <f>SUM(J51:J53)</f>
        <v>0</v>
      </c>
      <c r="K54" s="51" t="str">
        <f>IF(J54=0,"-",(COUNTIFS(J19:J48,"&lt;="&amp;DATE(2024,12,31),L19:L48,"&gt;="&amp;0)/J54))</f>
        <v>-</v>
      </c>
      <c r="L54" s="51" t="str">
        <f>IF(J54=0,"-",IF(K54=1,"-",(COUNTIFS(B19:B48,"&gt;"&amp;0,J19:J48,"&gt;"&amp;DATE(2024,12,31),L19:L48,"&gt;="&amp;0)/(J54-COUNTIFS(B19:B48,"&gt;"&amp;0,J19:J48,"&lt;="&amp;DATE(2024,12,31),L19:L48,"&gt;="&amp;0)))))</f>
        <v>-</v>
      </c>
      <c r="M54" s="52" t="str">
        <f t="shared" si="4"/>
        <v>-</v>
      </c>
    </row>
    <row r="56" spans="2:13" ht="15.75" thickBot="1"/>
    <row r="57" spans="2:13" ht="32.25" customHeight="1" thickBot="1">
      <c r="B57" s="320" t="str">
        <f>_xlfn.CONCAT("Religadores",TEXT(IF(SUM(J83:J85)=0," ",(SUM(H83:H85)/SUM(J83:J85))), " 0,00%"))</f>
        <v xml:space="preserve">Religadores </v>
      </c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2"/>
    </row>
    <row r="58" spans="2:13" ht="24" hidden="1" customHeight="1" outlineLevel="1" thickBot="1">
      <c r="B58" s="26" t="s">
        <v>48</v>
      </c>
      <c r="C58" s="27" t="s">
        <v>49</v>
      </c>
      <c r="D58" s="27"/>
      <c r="E58" s="27" t="s">
        <v>50</v>
      </c>
      <c r="F58" s="27" t="s">
        <v>51</v>
      </c>
      <c r="G58" s="27" t="s">
        <v>52</v>
      </c>
      <c r="H58" s="27" t="s">
        <v>53</v>
      </c>
      <c r="I58" s="27" t="s">
        <v>54</v>
      </c>
      <c r="J58" s="27" t="s">
        <v>55</v>
      </c>
      <c r="K58" s="27" t="s">
        <v>56</v>
      </c>
      <c r="L58" s="27" t="s">
        <v>57</v>
      </c>
      <c r="M58" s="28" t="s">
        <v>58</v>
      </c>
    </row>
    <row r="59" spans="2:13" hidden="1" outlineLevel="1">
      <c r="B59" s="46" t="str">
        <f>IF(C59="","",ROW($A$1))</f>
        <v/>
      </c>
      <c r="C59" s="41"/>
      <c r="D59" s="41"/>
      <c r="E59" s="41"/>
      <c r="F59" s="41"/>
      <c r="G59" s="41"/>
      <c r="H59" s="41"/>
      <c r="I59" s="41"/>
      <c r="J59" s="42"/>
      <c r="K59" s="41"/>
      <c r="L59" s="41"/>
      <c r="M59" s="43"/>
    </row>
    <row r="60" spans="2:13" hidden="1" outlineLevel="1">
      <c r="B60" s="7" t="str">
        <f>IF(C60="","",(B59+1))</f>
        <v/>
      </c>
      <c r="C60" s="1"/>
      <c r="D60" s="41"/>
      <c r="E60" s="41"/>
      <c r="F60" s="1"/>
      <c r="G60" s="1"/>
      <c r="H60" s="1"/>
      <c r="I60" s="1"/>
      <c r="J60" s="36"/>
      <c r="K60" s="1"/>
      <c r="L60" s="1"/>
      <c r="M60" s="2"/>
    </row>
    <row r="61" spans="2:13" hidden="1" outlineLevel="1">
      <c r="B61" s="7" t="str">
        <f t="shared" ref="B61:B80" si="5">IF(C61="","",(B60+1))</f>
        <v/>
      </c>
      <c r="C61" s="53"/>
      <c r="D61" s="81"/>
      <c r="E61" s="41"/>
      <c r="F61" s="53"/>
      <c r="G61" s="53"/>
      <c r="H61" s="53"/>
      <c r="I61" s="53"/>
      <c r="J61" s="54"/>
      <c r="K61" s="53"/>
      <c r="L61" s="53"/>
      <c r="M61" s="55"/>
    </row>
    <row r="62" spans="2:13" hidden="1" outlineLevel="1">
      <c r="B62" s="7" t="str">
        <f t="shared" si="5"/>
        <v/>
      </c>
      <c r="C62" s="53"/>
      <c r="D62" s="81"/>
      <c r="E62" s="41"/>
      <c r="F62" s="53"/>
      <c r="G62" s="53"/>
      <c r="H62" s="53"/>
      <c r="I62" s="53"/>
      <c r="J62" s="54"/>
      <c r="K62" s="53"/>
      <c r="L62" s="53"/>
      <c r="M62" s="55"/>
    </row>
    <row r="63" spans="2:13" hidden="1" outlineLevel="1">
      <c r="B63" s="7" t="str">
        <f t="shared" si="5"/>
        <v/>
      </c>
      <c r="C63" s="53"/>
      <c r="D63" s="81"/>
      <c r="E63" s="41"/>
      <c r="F63" s="53"/>
      <c r="G63" s="53"/>
      <c r="H63" s="53"/>
      <c r="I63" s="53"/>
      <c r="J63" s="54"/>
      <c r="K63" s="53"/>
      <c r="L63" s="53"/>
      <c r="M63" s="55"/>
    </row>
    <row r="64" spans="2:13" hidden="1" outlineLevel="1">
      <c r="B64" s="7" t="str">
        <f t="shared" si="5"/>
        <v/>
      </c>
      <c r="C64" s="53"/>
      <c r="D64" s="81"/>
      <c r="E64" s="41"/>
      <c r="F64" s="53"/>
      <c r="G64" s="53"/>
      <c r="H64" s="53"/>
      <c r="I64" s="53"/>
      <c r="J64" s="54"/>
      <c r="K64" s="53"/>
      <c r="L64" s="53"/>
      <c r="M64" s="55"/>
    </row>
    <row r="65" spans="2:13" hidden="1" outlineLevel="1">
      <c r="B65" s="7" t="str">
        <f t="shared" si="5"/>
        <v/>
      </c>
      <c r="C65" s="53"/>
      <c r="D65" s="81"/>
      <c r="E65" s="41"/>
      <c r="F65" s="53"/>
      <c r="G65" s="53"/>
      <c r="H65" s="53"/>
      <c r="I65" s="53"/>
      <c r="J65" s="54"/>
      <c r="K65" s="53"/>
      <c r="L65" s="53"/>
      <c r="M65" s="55"/>
    </row>
    <row r="66" spans="2:13" hidden="1" outlineLevel="1">
      <c r="B66" s="7" t="str">
        <f t="shared" si="5"/>
        <v/>
      </c>
      <c r="C66" s="53"/>
      <c r="D66" s="81"/>
      <c r="E66" s="41"/>
      <c r="F66" s="53"/>
      <c r="G66" s="53"/>
      <c r="H66" s="53"/>
      <c r="I66" s="53"/>
      <c r="J66" s="54"/>
      <c r="K66" s="53"/>
      <c r="L66" s="53"/>
      <c r="M66" s="55"/>
    </row>
    <row r="67" spans="2:13" hidden="1" outlineLevel="1">
      <c r="B67" s="7" t="str">
        <f t="shared" si="5"/>
        <v/>
      </c>
      <c r="C67" s="53"/>
      <c r="D67" s="81"/>
      <c r="E67" s="41"/>
      <c r="F67" s="53"/>
      <c r="G67" s="53"/>
      <c r="H67" s="53"/>
      <c r="I67" s="53"/>
      <c r="J67" s="54"/>
      <c r="K67" s="53"/>
      <c r="L67" s="53"/>
      <c r="M67" s="55"/>
    </row>
    <row r="68" spans="2:13" hidden="1" outlineLevel="1">
      <c r="B68" s="7" t="str">
        <f t="shared" si="5"/>
        <v/>
      </c>
      <c r="C68" s="53"/>
      <c r="D68" s="81"/>
      <c r="E68" s="41"/>
      <c r="F68" s="53"/>
      <c r="G68" s="53"/>
      <c r="H68" s="53"/>
      <c r="I68" s="53"/>
      <c r="J68" s="54"/>
      <c r="K68" s="53"/>
      <c r="L68" s="53"/>
      <c r="M68" s="55"/>
    </row>
    <row r="69" spans="2:13" hidden="1" outlineLevel="1">
      <c r="B69" s="7" t="str">
        <f t="shared" si="5"/>
        <v/>
      </c>
      <c r="C69" s="53"/>
      <c r="D69" s="81"/>
      <c r="E69" s="41"/>
      <c r="F69" s="53"/>
      <c r="G69" s="53"/>
      <c r="H69" s="53"/>
      <c r="I69" s="53"/>
      <c r="J69" s="54"/>
      <c r="K69" s="53"/>
      <c r="L69" s="53"/>
      <c r="M69" s="55"/>
    </row>
    <row r="70" spans="2:13" hidden="1" outlineLevel="1">
      <c r="B70" s="7" t="str">
        <f t="shared" si="5"/>
        <v/>
      </c>
      <c r="C70" s="53"/>
      <c r="D70" s="81"/>
      <c r="E70" s="41"/>
      <c r="F70" s="53"/>
      <c r="G70" s="53"/>
      <c r="H70" s="53"/>
      <c r="I70" s="53"/>
      <c r="J70" s="54"/>
      <c r="K70" s="53"/>
      <c r="L70" s="53"/>
      <c r="M70" s="55"/>
    </row>
    <row r="71" spans="2:13" hidden="1" outlineLevel="1">
      <c r="B71" s="7" t="str">
        <f t="shared" si="5"/>
        <v/>
      </c>
      <c r="C71" s="53"/>
      <c r="D71" s="81"/>
      <c r="E71" s="41"/>
      <c r="F71" s="53"/>
      <c r="G71" s="53"/>
      <c r="H71" s="53"/>
      <c r="I71" s="53"/>
      <c r="J71" s="54"/>
      <c r="K71" s="53"/>
      <c r="L71" s="53"/>
      <c r="M71" s="55"/>
    </row>
    <row r="72" spans="2:13" hidden="1" outlineLevel="1">
      <c r="B72" s="7" t="str">
        <f t="shared" si="5"/>
        <v/>
      </c>
      <c r="C72" s="53"/>
      <c r="D72" s="81"/>
      <c r="E72" s="41"/>
      <c r="F72" s="53"/>
      <c r="G72" s="53"/>
      <c r="H72" s="53"/>
      <c r="I72" s="53"/>
      <c r="J72" s="54"/>
      <c r="K72" s="53"/>
      <c r="L72" s="53"/>
      <c r="M72" s="55"/>
    </row>
    <row r="73" spans="2:13" hidden="1" outlineLevel="1">
      <c r="B73" s="7" t="str">
        <f t="shared" si="5"/>
        <v/>
      </c>
      <c r="C73" s="53"/>
      <c r="D73" s="81"/>
      <c r="E73" s="41"/>
      <c r="F73" s="53"/>
      <c r="G73" s="53"/>
      <c r="H73" s="53"/>
      <c r="I73" s="53"/>
      <c r="J73" s="54"/>
      <c r="K73" s="53"/>
      <c r="L73" s="53"/>
      <c r="M73" s="55"/>
    </row>
    <row r="74" spans="2:13" hidden="1" outlineLevel="1">
      <c r="B74" s="7" t="str">
        <f t="shared" si="5"/>
        <v/>
      </c>
      <c r="C74" s="53"/>
      <c r="D74" s="81"/>
      <c r="E74" s="41"/>
      <c r="F74" s="53"/>
      <c r="G74" s="53"/>
      <c r="H74" s="53"/>
      <c r="I74" s="53"/>
      <c r="J74" s="54"/>
      <c r="K74" s="53"/>
      <c r="L74" s="53"/>
      <c r="M74" s="55"/>
    </row>
    <row r="75" spans="2:13" hidden="1" outlineLevel="1">
      <c r="B75" s="7" t="str">
        <f>IF(C75="","",(B74+1))</f>
        <v/>
      </c>
      <c r="C75" s="53"/>
      <c r="D75" s="81"/>
      <c r="E75" s="41"/>
      <c r="F75" s="53"/>
      <c r="G75" s="53"/>
      <c r="H75" s="53"/>
      <c r="I75" s="53"/>
      <c r="J75" s="54"/>
      <c r="K75" s="53"/>
      <c r="L75" s="53"/>
      <c r="M75" s="55"/>
    </row>
    <row r="76" spans="2:13" hidden="1" outlineLevel="1">
      <c r="B76" s="7" t="str">
        <f>IF(C76="","",(B75+1))</f>
        <v/>
      </c>
      <c r="C76" s="53"/>
      <c r="D76" s="81"/>
      <c r="E76" s="41"/>
      <c r="F76" s="53"/>
      <c r="G76" s="53"/>
      <c r="H76" s="53"/>
      <c r="I76" s="53"/>
      <c r="J76" s="54"/>
      <c r="K76" s="53"/>
      <c r="L76" s="53"/>
      <c r="M76" s="55"/>
    </row>
    <row r="77" spans="2:13" hidden="1" outlineLevel="1">
      <c r="B77" s="7" t="str">
        <f t="shared" si="5"/>
        <v/>
      </c>
      <c r="C77" s="53"/>
      <c r="D77" s="53"/>
      <c r="E77" s="53"/>
      <c r="F77" s="53"/>
      <c r="G77" s="53"/>
      <c r="H77" s="53"/>
      <c r="I77" s="53"/>
      <c r="J77" s="54"/>
      <c r="K77" s="53"/>
      <c r="L77" s="53"/>
      <c r="M77" s="55"/>
    </row>
    <row r="78" spans="2:13" hidden="1" outlineLevel="1">
      <c r="B78" s="7" t="str">
        <f t="shared" si="5"/>
        <v/>
      </c>
      <c r="C78" s="53"/>
      <c r="D78" s="53"/>
      <c r="E78" s="53"/>
      <c r="F78" s="53"/>
      <c r="G78" s="53"/>
      <c r="H78" s="53"/>
      <c r="I78" s="53"/>
      <c r="J78" s="54"/>
      <c r="K78" s="53"/>
      <c r="L78" s="53"/>
      <c r="M78" s="55"/>
    </row>
    <row r="79" spans="2:13" hidden="1" outlineLevel="1">
      <c r="B79" s="7" t="str">
        <f t="shared" si="5"/>
        <v/>
      </c>
      <c r="C79" s="53"/>
      <c r="D79" s="53"/>
      <c r="E79" s="53"/>
      <c r="F79" s="53"/>
      <c r="G79" s="53"/>
      <c r="H79" s="53"/>
      <c r="I79" s="53"/>
      <c r="J79" s="54"/>
      <c r="K79" s="53"/>
      <c r="L79" s="53"/>
      <c r="M79" s="55"/>
    </row>
    <row r="80" spans="2:13" ht="15.75" hidden="1" outlineLevel="1" thickBot="1">
      <c r="B80" s="56" t="str">
        <f t="shared" si="5"/>
        <v/>
      </c>
      <c r="C80" s="38"/>
      <c r="D80" s="38"/>
      <c r="E80" s="38"/>
      <c r="F80" s="38"/>
      <c r="G80" s="38"/>
      <c r="H80" s="38"/>
      <c r="I80" s="38"/>
      <c r="J80" s="57"/>
      <c r="K80" s="38"/>
      <c r="L80" s="38"/>
      <c r="M80" s="39"/>
    </row>
    <row r="81" spans="2:13" ht="24" customHeight="1" collapsed="1" thickBot="1">
      <c r="B81" s="320" t="s">
        <v>59</v>
      </c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2"/>
    </row>
    <row r="82" spans="2:13" ht="24" customHeight="1" thickBot="1">
      <c r="B82" s="26" t="s">
        <v>49</v>
      </c>
      <c r="C82" s="27" t="s">
        <v>60</v>
      </c>
      <c r="D82" s="27" t="s">
        <v>61</v>
      </c>
      <c r="E82" s="27" t="s">
        <v>62</v>
      </c>
      <c r="F82" s="27" t="s">
        <v>63</v>
      </c>
      <c r="G82" s="27" t="s">
        <v>64</v>
      </c>
      <c r="H82" s="27" t="s">
        <v>65</v>
      </c>
      <c r="I82" s="27" t="s">
        <v>66</v>
      </c>
      <c r="J82" s="27" t="s">
        <v>67</v>
      </c>
      <c r="K82" s="27" t="s">
        <v>6</v>
      </c>
      <c r="L82" s="27" t="s">
        <v>7</v>
      </c>
      <c r="M82" s="28" t="s">
        <v>68</v>
      </c>
    </row>
    <row r="83" spans="2:13">
      <c r="B83" s="46" t="s">
        <v>8</v>
      </c>
      <c r="C83" s="41">
        <f>COUNTIFS(B59:B80,"&gt;"&amp;0,C59:C80,"="&amp;B83)</f>
        <v>0</v>
      </c>
      <c r="D83" s="41"/>
      <c r="E83" s="41">
        <f>COUNTIFS(B59:B80,"&gt;="&amp;1,C59:C80,B83,L59:L80,"&gt;="&amp;0,L59:L80,"&lt;"&amp;50)</f>
        <v>0</v>
      </c>
      <c r="F83" s="41">
        <f>COUNTIFS(B59:B80,"&gt;="&amp;1,C59:C80,B83,L59:L80,"&gt;="&amp;50,L59:L80,"&lt;"&amp;500)</f>
        <v>0</v>
      </c>
      <c r="G83" s="41">
        <f>COUNTIFS(B59:B80,"&gt;="&amp;1,C59:C80,B83,L59:L80,"&gt;="&amp;500)</f>
        <v>0</v>
      </c>
      <c r="H83" s="41">
        <f>COUNTIFS(B59:B80,"&gt;="&amp;1,C59:C80,B83,L59:L80,"&gt;="&amp;0,J59:J80,"&gt;"&amp;DATE(2021,1,1))</f>
        <v>0</v>
      </c>
      <c r="I83" s="47" t="str">
        <f>IF(H83=0,"-",(SUM(F83,G83)/H83))</f>
        <v>-</v>
      </c>
      <c r="J83" s="41">
        <f>IF((COUNTIFS(B59:B80,"&gt;="&amp;1,C59:C80,"="&amp;B83))&gt;228,228,(COUNTIFS(B59:B80,"&gt;="&amp;1,C59:C80,"="&amp;B83)))</f>
        <v>0</v>
      </c>
      <c r="K83" s="47" t="str">
        <f>IF(J83=0,"-",(COUNTIFS(C59:C80,"="&amp;B83,J59:J80,"&lt;="&amp;DATE(2024,12,31),L59:L80,"&gt;="&amp;0)/J83))</f>
        <v>-</v>
      </c>
      <c r="L83" s="47" t="str">
        <f>IF(J83=0,"-",IF(K83=1,"-",(COUNTIFS(B59:B80,"&gt;"&amp;0,C59:C80,"="&amp;B83,J59:J80,"&gt;"&amp;DATE(2024,12,31),L59:L80,"&gt;="&amp;0)/(J83-COUNTIFS(B59:B80,"&gt;"&amp;0,C59:C80,"="&amp;B83,J59:J80,"&lt;="&amp;DATE(2024,12,31),L59:L80,"&gt;="&amp;0)))))</f>
        <v>-</v>
      </c>
      <c r="M83" s="48" t="str">
        <f>IF(J83=0,"-",H83/J83)</f>
        <v>-</v>
      </c>
    </row>
    <row r="84" spans="2:13">
      <c r="B84" s="7" t="s">
        <v>9</v>
      </c>
      <c r="C84" s="1">
        <f>COUNTIFS(B59:B80,"&gt;"&amp;0,C59:C80,"="&amp;B84)</f>
        <v>0</v>
      </c>
      <c r="D84" s="1"/>
      <c r="E84" s="1">
        <f>COUNTIFS(B59:B80,"&gt;="&amp;1,C59:C80,B84,L59:L80,"&gt;="&amp;0,L59:L80,"&lt;"&amp;50)</f>
        <v>0</v>
      </c>
      <c r="F84" s="1">
        <f>COUNTIFS(B59:B80,"&gt;="&amp;1,C59:C80,B84,L59:L80,"&gt;="&amp;50,L59:L80,"&lt;"&amp;500)</f>
        <v>0</v>
      </c>
      <c r="G84" s="1">
        <f>COUNTIFS(B59:B80,"&gt;="&amp;1,C59:C80,B84,L59:L80,"&gt;="&amp;500)</f>
        <v>0</v>
      </c>
      <c r="H84" s="1">
        <f>COUNTIFS(B59:B80,"&gt;="&amp;1,C59:C80,B84,L59:L80,"&gt;="&amp;0,J59:J80,"&gt;"&amp;DATE(2021,1,1))</f>
        <v>0</v>
      </c>
      <c r="I84" s="44" t="str">
        <f t="shared" ref="I84:I86" si="6">IF(H84=0,"-",(SUM(F84,G84)/H84))</f>
        <v>-</v>
      </c>
      <c r="J84" s="1">
        <f>IF((COUNTIFS(B59:B80,"&gt;="&amp;1,C59:C80,"="&amp;B84))&gt;228,228,(COUNTIFS(B59:B80,"&gt;="&amp;1,C59:C80,"="&amp;B84)))</f>
        <v>0</v>
      </c>
      <c r="K84" s="44" t="str">
        <f>IF(J84=0,"-",(COUNTIFS(C59:C80,"="&amp;B84,J59:J80,"&lt;="&amp;DATE(2024,12,31),L59:L80,"&gt;="&amp;0)/J84))</f>
        <v>-</v>
      </c>
      <c r="L84" s="47" t="str">
        <f>IF(J84=0,"-",IF(K84=1,"-",(COUNTIFS(B59:B80,"&gt;"&amp;0,C59:C80,"="&amp;B84,J59:J80,"&gt;"&amp;DATE(2024,12,31),L59:L80,"&gt;="&amp;0)/(J84-COUNTIFS(B59:B80,"&gt;"&amp;0,C59:C80,"="&amp;B84,J59:J80,"&lt;="&amp;DATE(2024,12,31),L59:L80,"&gt;="&amp;0)))))</f>
        <v>-</v>
      </c>
      <c r="M84" s="45" t="str">
        <f t="shared" ref="M84:M86" si="7">IF(J84=0,"-",H84/J84)</f>
        <v>-</v>
      </c>
    </row>
    <row r="85" spans="2:13">
      <c r="B85" s="7" t="s">
        <v>69</v>
      </c>
      <c r="C85" s="1">
        <f>COUNTIFS(B59:B80,"&gt;"&amp;0,C59:C80,"="&amp;B85)</f>
        <v>0</v>
      </c>
      <c r="D85" s="1"/>
      <c r="E85" s="1">
        <f>COUNTIFS(B59:B80,"&gt;="&amp;1,C59:C80,B85,L59:L80,"&gt;="&amp;0,L59:L80,"&lt;"&amp;50)</f>
        <v>0</v>
      </c>
      <c r="F85" s="1">
        <f>COUNTIFS(B59:B80,"&gt;="&amp;1,C59:C80,B85,L59:L80,"&gt;="&amp;50,L59:L80,"&lt;"&amp;500)</f>
        <v>0</v>
      </c>
      <c r="G85" s="1">
        <f>COUNTIFS(B59:B60,"&gt;="&amp;1,C59:C60,B85,L59:L60,"&gt;="&amp;500)</f>
        <v>0</v>
      </c>
      <c r="H85" s="1">
        <f>COUNTIFS(B59:B80,"&gt;="&amp;1,C59:C80,B85,L59:L80,"&gt;="&amp;0,J59:J80,"&gt;"&amp;DATE(2021,1,1))</f>
        <v>0</v>
      </c>
      <c r="I85" s="44" t="str">
        <f t="shared" si="6"/>
        <v>-</v>
      </c>
      <c r="J85" s="1">
        <f>IF((COUNTIFS(B59:B60,"&gt;="&amp;1,C59:C60,"="&amp;B85))&gt;228,228,(COUNTIFS(B59:B60,"&gt;="&amp;1,C59:C60,"="&amp;B85)))</f>
        <v>0</v>
      </c>
      <c r="K85" s="44" t="str">
        <f>IF(J85=0,"-",(COUNTIFS(C59:C80,"="&amp;B85,J59:J80,"&lt;="&amp;DATE(2024,12,31),L59:L80,"&gt;="&amp;0)/J85))</f>
        <v>-</v>
      </c>
      <c r="L85" s="47" t="str">
        <f>IF(J85=0,"-",IF(K85=1,"-",(COUNTIFS(B59:B80,"&gt;"&amp;0,C59:C80,"="&amp;B85,J59:J80,"&gt;"&amp;DATE(2024,12,31),L59:L80,"&gt;="&amp;0)/(J85-COUNTIFS(B59:B80,"&gt;"&amp;0,C59:C80,"="&amp;B85,J59:J80,"&lt;="&amp;DATE(2024,12,31),L59:L80,"&gt;="&amp;0)))))</f>
        <v>-</v>
      </c>
      <c r="M85" s="45" t="str">
        <f t="shared" si="7"/>
        <v>-</v>
      </c>
    </row>
    <row r="86" spans="2:13" ht="24" customHeight="1" thickBot="1">
      <c r="B86" s="49" t="s">
        <v>59</v>
      </c>
      <c r="C86" s="50">
        <f>SUM(C83:C85)</f>
        <v>0</v>
      </c>
      <c r="D86" s="50"/>
      <c r="E86" s="50">
        <f>SUM(E83:E85)</f>
        <v>0</v>
      </c>
      <c r="F86" s="50">
        <f>SUM(F83:F85)</f>
        <v>0</v>
      </c>
      <c r="G86" s="50">
        <f>SUM(G83:G85)</f>
        <v>0</v>
      </c>
      <c r="H86" s="50">
        <f>SUM(H83:H85)</f>
        <v>0</v>
      </c>
      <c r="I86" s="51" t="str">
        <f t="shared" si="6"/>
        <v>-</v>
      </c>
      <c r="J86" s="50">
        <f>SUM(J83:J85)</f>
        <v>0</v>
      </c>
      <c r="K86" s="51" t="str">
        <f>IF(J86=0,"-",(COUNTIFS(J59:J80,"&lt;="&amp;DATE(2024,12,31),L59:L80,"&gt;="&amp;0)/J86))</f>
        <v>-</v>
      </c>
      <c r="L86" s="51" t="str">
        <f>IF(J86=0,"-",IF(K86=1,"-",(COUNTIFS(B59:B80,"&gt;"&amp;0,J59:J80,"&gt;"&amp;DATE(2024,12,31),L59:L80,"&gt;="&amp;0)/(J86-COUNTIFS(B59:B80,"&gt;"&amp;0,J59:J80,"&lt;="&amp;DATE(2024,12,31),L59:L80,"&gt;="&amp;0)))))</f>
        <v>-</v>
      </c>
      <c r="M86" s="52" t="str">
        <f t="shared" si="7"/>
        <v>-</v>
      </c>
    </row>
    <row r="88" spans="2:13" ht="15.75" thickBot="1"/>
    <row r="89" spans="2:13" ht="32.25" customHeight="1" thickBot="1">
      <c r="B89" s="320" t="str">
        <f>_xlfn.CONCAT("Reguladores de Tensão",TEXT(IF(SUM(J345:J347)=0," ",(SUM(H345:H347)/SUM(J345:J347))), " 0,00%"))</f>
        <v>Reguladores de Tensão 100,00%</v>
      </c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2"/>
    </row>
    <row r="90" spans="2:13" ht="24" hidden="1" customHeight="1" outlineLevel="1" thickBot="1">
      <c r="B90" s="26" t="s">
        <v>48</v>
      </c>
      <c r="C90" s="27" t="s">
        <v>49</v>
      </c>
      <c r="D90" s="27"/>
      <c r="E90" s="27" t="s">
        <v>50</v>
      </c>
      <c r="F90" s="27" t="s">
        <v>51</v>
      </c>
      <c r="G90" s="27" t="s">
        <v>52</v>
      </c>
      <c r="H90" s="27" t="s">
        <v>53</v>
      </c>
      <c r="I90" s="27" t="s">
        <v>54</v>
      </c>
      <c r="J90" s="27" t="s">
        <v>55</v>
      </c>
      <c r="K90" s="27" t="s">
        <v>56</v>
      </c>
      <c r="L90" s="27" t="s">
        <v>57</v>
      </c>
      <c r="M90" s="28" t="s">
        <v>58</v>
      </c>
    </row>
    <row r="91" spans="2:13" hidden="1" outlineLevel="1">
      <c r="B91" s="46">
        <f>IF(C91="","",ROW($A$1))</f>
        <v>1</v>
      </c>
      <c r="C91" s="41" t="str">
        <f>IF(H91="","",IF(H91="SEM DATA","Sem Info",IF(H91&gt;DATE(1988,12,31),"Após 1988","Até 1988")))</f>
        <v>Após 1988</v>
      </c>
      <c r="D91" s="41"/>
      <c r="E91" s="41" t="s">
        <v>70</v>
      </c>
      <c r="F91" s="70" t="s">
        <v>71</v>
      </c>
      <c r="G91" s="41"/>
      <c r="H91" s="71">
        <v>38261</v>
      </c>
      <c r="I91" s="41"/>
      <c r="J91" s="42">
        <v>45505</v>
      </c>
      <c r="K91" s="41" t="s">
        <v>72</v>
      </c>
      <c r="L91" s="41">
        <v>39</v>
      </c>
      <c r="M91" s="65" t="s">
        <v>73</v>
      </c>
    </row>
    <row r="92" spans="2:13" hidden="1" outlineLevel="1">
      <c r="B92" s="7">
        <f>IF(C92="","",(B91+1))</f>
        <v>2</v>
      </c>
      <c r="C92" s="41" t="str">
        <f t="shared" ref="C92:C155" si="8">IF(H92="","",IF(H92="SEM DATA","Sem Info",IF(H92&gt;DATE(1988,12,31),"Após 1988","Até 1988")))</f>
        <v>Após 1988</v>
      </c>
      <c r="D92" s="41"/>
      <c r="E92" s="41" t="s">
        <v>70</v>
      </c>
      <c r="F92" s="70" t="s">
        <v>74</v>
      </c>
      <c r="G92" s="41"/>
      <c r="H92" s="71">
        <v>38565</v>
      </c>
      <c r="I92" s="41"/>
      <c r="J92" s="42">
        <v>45505</v>
      </c>
      <c r="K92" s="41" t="s">
        <v>72</v>
      </c>
      <c r="L92" s="41">
        <v>42</v>
      </c>
      <c r="M92" s="65" t="s">
        <v>75</v>
      </c>
    </row>
    <row r="93" spans="2:13" hidden="1" outlineLevel="1">
      <c r="B93" s="7">
        <f t="shared" ref="B93:B156" si="9">IF(C93="","",(B92+1))</f>
        <v>3</v>
      </c>
      <c r="C93" s="41" t="str">
        <f t="shared" si="8"/>
        <v>Após 1988</v>
      </c>
      <c r="D93" s="41"/>
      <c r="E93" s="41" t="s">
        <v>70</v>
      </c>
      <c r="F93" s="70" t="s">
        <v>76</v>
      </c>
      <c r="G93" s="41"/>
      <c r="H93" s="71">
        <v>38565</v>
      </c>
      <c r="I93" s="41"/>
      <c r="J93" s="42">
        <v>45505</v>
      </c>
      <c r="K93" s="41" t="s">
        <v>72</v>
      </c>
      <c r="L93" s="41">
        <v>27</v>
      </c>
      <c r="M93" s="65" t="s">
        <v>77</v>
      </c>
    </row>
    <row r="94" spans="2:13" hidden="1" outlineLevel="1">
      <c r="B94" s="7">
        <f t="shared" si="9"/>
        <v>4</v>
      </c>
      <c r="C94" s="41" t="str">
        <f t="shared" si="8"/>
        <v>Após 1988</v>
      </c>
      <c r="D94" s="41"/>
      <c r="E94" s="41" t="s">
        <v>70</v>
      </c>
      <c r="F94" s="70" t="s">
        <v>78</v>
      </c>
      <c r="G94" s="41"/>
      <c r="H94" s="71">
        <v>38565</v>
      </c>
      <c r="I94" s="41"/>
      <c r="J94" s="42">
        <v>45505</v>
      </c>
      <c r="K94" s="41" t="s">
        <v>72</v>
      </c>
      <c r="L94" s="41">
        <v>42</v>
      </c>
      <c r="M94" s="65" t="s">
        <v>79</v>
      </c>
    </row>
    <row r="95" spans="2:13" hidden="1" outlineLevel="1">
      <c r="B95" s="7">
        <f t="shared" si="9"/>
        <v>5</v>
      </c>
      <c r="C95" s="41" t="str">
        <f t="shared" si="8"/>
        <v>Após 1988</v>
      </c>
      <c r="D95" s="41"/>
      <c r="E95" s="41" t="s">
        <v>70</v>
      </c>
      <c r="F95" s="70">
        <v>10293</v>
      </c>
      <c r="G95" s="41"/>
      <c r="H95" s="71">
        <v>42248</v>
      </c>
      <c r="I95" s="41"/>
      <c r="J95" s="42">
        <v>45504</v>
      </c>
      <c r="K95" s="41" t="s">
        <v>72</v>
      </c>
      <c r="L95" s="41">
        <v>0</v>
      </c>
      <c r="M95" s="65" t="s">
        <v>80</v>
      </c>
    </row>
    <row r="96" spans="2:13" hidden="1" outlineLevel="1">
      <c r="B96" s="7">
        <f t="shared" si="9"/>
        <v>6</v>
      </c>
      <c r="C96" s="41" t="str">
        <f t="shared" si="8"/>
        <v>Após 1988</v>
      </c>
      <c r="D96" s="41"/>
      <c r="E96" s="41" t="s">
        <v>70</v>
      </c>
      <c r="F96" s="70">
        <v>10294</v>
      </c>
      <c r="G96" s="41"/>
      <c r="H96" s="71">
        <v>42248</v>
      </c>
      <c r="I96" s="41"/>
      <c r="J96" s="42">
        <v>45504</v>
      </c>
      <c r="K96" s="41" t="s">
        <v>72</v>
      </c>
      <c r="L96" s="41">
        <v>0</v>
      </c>
      <c r="M96" s="65" t="s">
        <v>81</v>
      </c>
    </row>
    <row r="97" spans="2:13" hidden="1" outlineLevel="1">
      <c r="B97" s="7">
        <f t="shared" si="9"/>
        <v>7</v>
      </c>
      <c r="C97" s="41" t="str">
        <f t="shared" si="8"/>
        <v>Após 1988</v>
      </c>
      <c r="D97" s="41"/>
      <c r="E97" s="41" t="s">
        <v>70</v>
      </c>
      <c r="F97" s="70">
        <v>10295</v>
      </c>
      <c r="G97" s="41"/>
      <c r="H97" s="71">
        <v>42248</v>
      </c>
      <c r="I97" s="41"/>
      <c r="J97" s="42">
        <v>45504</v>
      </c>
      <c r="K97" s="41" t="s">
        <v>72</v>
      </c>
      <c r="L97" s="41">
        <v>0</v>
      </c>
      <c r="M97" s="65" t="s">
        <v>82</v>
      </c>
    </row>
    <row r="98" spans="2:13" hidden="1" outlineLevel="1">
      <c r="B98" s="7">
        <f t="shared" si="9"/>
        <v>8</v>
      </c>
      <c r="C98" s="41" t="str">
        <f t="shared" si="8"/>
        <v>Após 1988</v>
      </c>
      <c r="D98" s="41"/>
      <c r="E98" s="41" t="s">
        <v>83</v>
      </c>
      <c r="F98" s="70">
        <v>11117</v>
      </c>
      <c r="G98" s="41"/>
      <c r="H98" s="71">
        <v>42461</v>
      </c>
      <c r="I98" s="41"/>
      <c r="J98" s="42">
        <v>45488</v>
      </c>
      <c r="K98" s="41" t="s">
        <v>72</v>
      </c>
      <c r="L98" s="41">
        <v>0</v>
      </c>
      <c r="M98" s="65" t="s">
        <v>84</v>
      </c>
    </row>
    <row r="99" spans="2:13" hidden="1" outlineLevel="1">
      <c r="B99" s="7">
        <f t="shared" si="9"/>
        <v>9</v>
      </c>
      <c r="C99" s="41" t="str">
        <f t="shared" si="8"/>
        <v>Após 1988</v>
      </c>
      <c r="D99" s="41"/>
      <c r="E99" s="41" t="s">
        <v>85</v>
      </c>
      <c r="F99" s="70">
        <v>14232</v>
      </c>
      <c r="G99" s="41"/>
      <c r="H99" s="71">
        <v>43132</v>
      </c>
      <c r="I99" s="41"/>
      <c r="J99" s="42">
        <v>45503</v>
      </c>
      <c r="K99" s="41" t="s">
        <v>72</v>
      </c>
      <c r="L99" s="41">
        <v>79</v>
      </c>
      <c r="M99" s="65" t="s">
        <v>86</v>
      </c>
    </row>
    <row r="100" spans="2:13" hidden="1" outlineLevel="1">
      <c r="B100" s="7">
        <f t="shared" si="9"/>
        <v>10</v>
      </c>
      <c r="C100" s="41" t="str">
        <f t="shared" si="8"/>
        <v>Após 1988</v>
      </c>
      <c r="D100" s="41"/>
      <c r="E100" s="41" t="s">
        <v>85</v>
      </c>
      <c r="F100" s="70">
        <v>14233</v>
      </c>
      <c r="G100" s="41"/>
      <c r="H100" s="71">
        <v>43132</v>
      </c>
      <c r="I100" s="41"/>
      <c r="J100" s="42">
        <v>45503</v>
      </c>
      <c r="K100" s="41" t="s">
        <v>72</v>
      </c>
      <c r="L100" s="41">
        <v>0</v>
      </c>
      <c r="M100" s="65" t="s">
        <v>87</v>
      </c>
    </row>
    <row r="101" spans="2:13" hidden="1" outlineLevel="1">
      <c r="B101" s="7">
        <f t="shared" si="9"/>
        <v>11</v>
      </c>
      <c r="C101" s="41" t="str">
        <f t="shared" si="8"/>
        <v>Após 1988</v>
      </c>
      <c r="D101" s="41"/>
      <c r="E101" s="41" t="s">
        <v>85</v>
      </c>
      <c r="F101" s="70">
        <v>14243</v>
      </c>
      <c r="G101" s="41"/>
      <c r="H101" s="71">
        <v>43132</v>
      </c>
      <c r="I101" s="41"/>
      <c r="J101" s="42">
        <v>45503</v>
      </c>
      <c r="K101" s="41" t="s">
        <v>72</v>
      </c>
      <c r="L101" s="41">
        <v>0</v>
      </c>
      <c r="M101" s="65" t="s">
        <v>88</v>
      </c>
    </row>
    <row r="102" spans="2:13" hidden="1" outlineLevel="1">
      <c r="B102" s="7">
        <f t="shared" si="9"/>
        <v>12</v>
      </c>
      <c r="C102" s="41" t="str">
        <f t="shared" si="8"/>
        <v>Após 1988</v>
      </c>
      <c r="D102" s="41"/>
      <c r="E102" s="41" t="s">
        <v>85</v>
      </c>
      <c r="F102" s="70">
        <v>14245</v>
      </c>
      <c r="G102" s="41"/>
      <c r="H102" s="71">
        <v>43132</v>
      </c>
      <c r="I102" s="41"/>
      <c r="J102" s="42">
        <v>45504</v>
      </c>
      <c r="K102" s="41" t="s">
        <v>72</v>
      </c>
      <c r="L102" s="41">
        <v>0</v>
      </c>
      <c r="M102" s="65" t="s">
        <v>89</v>
      </c>
    </row>
    <row r="103" spans="2:13" hidden="1" outlineLevel="1">
      <c r="B103" s="7">
        <f t="shared" si="9"/>
        <v>13</v>
      </c>
      <c r="C103" s="41" t="str">
        <f t="shared" si="8"/>
        <v>Após 1988</v>
      </c>
      <c r="D103" s="41"/>
      <c r="E103" s="41" t="s">
        <v>85</v>
      </c>
      <c r="F103" s="70">
        <v>14247</v>
      </c>
      <c r="G103" s="41"/>
      <c r="H103" s="71">
        <v>43132</v>
      </c>
      <c r="I103" s="41"/>
      <c r="J103" s="42">
        <v>45504</v>
      </c>
      <c r="K103" s="41" t="s">
        <v>72</v>
      </c>
      <c r="L103" s="41">
        <v>5</v>
      </c>
      <c r="M103" s="65" t="s">
        <v>90</v>
      </c>
    </row>
    <row r="104" spans="2:13" hidden="1" outlineLevel="1">
      <c r="B104" s="7">
        <f t="shared" si="9"/>
        <v>14</v>
      </c>
      <c r="C104" s="41" t="str">
        <f t="shared" si="8"/>
        <v>Após 1988</v>
      </c>
      <c r="D104" s="41"/>
      <c r="E104" s="41" t="s">
        <v>91</v>
      </c>
      <c r="F104" s="70">
        <v>14253</v>
      </c>
      <c r="G104" s="41"/>
      <c r="H104" s="71">
        <v>43132</v>
      </c>
      <c r="I104" s="41"/>
      <c r="J104" s="42">
        <v>45504</v>
      </c>
      <c r="K104" s="41" t="s">
        <v>72</v>
      </c>
      <c r="L104" s="41">
        <v>0</v>
      </c>
      <c r="M104" s="65" t="s">
        <v>92</v>
      </c>
    </row>
    <row r="105" spans="2:13" hidden="1" outlineLevel="1">
      <c r="B105" s="7">
        <f t="shared" si="9"/>
        <v>15</v>
      </c>
      <c r="C105" s="41" t="str">
        <f t="shared" si="8"/>
        <v>Após 1988</v>
      </c>
      <c r="D105" s="41"/>
      <c r="E105" s="41" t="s">
        <v>93</v>
      </c>
      <c r="F105" s="70">
        <v>14265</v>
      </c>
      <c r="G105" s="41"/>
      <c r="H105" s="71">
        <v>43497</v>
      </c>
      <c r="I105" s="41"/>
      <c r="J105" s="42">
        <v>45504</v>
      </c>
      <c r="K105" s="41" t="s">
        <v>72</v>
      </c>
      <c r="L105" s="41">
        <v>0</v>
      </c>
      <c r="M105" s="65" t="s">
        <v>94</v>
      </c>
    </row>
    <row r="106" spans="2:13" hidden="1" outlineLevel="1">
      <c r="B106" s="7">
        <f t="shared" si="9"/>
        <v>16</v>
      </c>
      <c r="C106" s="41" t="str">
        <f t="shared" si="8"/>
        <v>Após 1988</v>
      </c>
      <c r="D106" s="41"/>
      <c r="E106" s="41" t="s">
        <v>93</v>
      </c>
      <c r="F106" s="70">
        <v>14266</v>
      </c>
      <c r="G106" s="41"/>
      <c r="H106" s="71">
        <v>43132</v>
      </c>
      <c r="I106" s="41"/>
      <c r="J106" s="42">
        <v>45504</v>
      </c>
      <c r="K106" s="41" t="s">
        <v>72</v>
      </c>
      <c r="L106" s="41">
        <v>0</v>
      </c>
      <c r="M106" s="65" t="s">
        <v>95</v>
      </c>
    </row>
    <row r="107" spans="2:13" hidden="1" outlineLevel="1">
      <c r="B107" s="7">
        <f t="shared" si="9"/>
        <v>17</v>
      </c>
      <c r="C107" s="41" t="str">
        <f t="shared" si="8"/>
        <v>Após 1988</v>
      </c>
      <c r="D107" s="41"/>
      <c r="E107" s="41" t="s">
        <v>93</v>
      </c>
      <c r="F107" s="70">
        <v>14273</v>
      </c>
      <c r="G107" s="41"/>
      <c r="H107" s="71">
        <v>43132</v>
      </c>
      <c r="I107" s="41"/>
      <c r="J107" s="42">
        <v>45504</v>
      </c>
      <c r="K107" s="41" t="s">
        <v>72</v>
      </c>
      <c r="L107" s="41">
        <v>0</v>
      </c>
      <c r="M107" s="65" t="s">
        <v>96</v>
      </c>
    </row>
    <row r="108" spans="2:13" hidden="1" outlineLevel="1">
      <c r="B108" s="7">
        <f t="shared" si="9"/>
        <v>18</v>
      </c>
      <c r="C108" s="41" t="str">
        <f t="shared" si="8"/>
        <v>Após 1988</v>
      </c>
      <c r="D108" s="41"/>
      <c r="E108" s="41" t="s">
        <v>93</v>
      </c>
      <c r="F108" s="70">
        <v>14275</v>
      </c>
      <c r="G108" s="41"/>
      <c r="H108" s="71">
        <v>43132</v>
      </c>
      <c r="I108" s="41"/>
      <c r="J108" s="42">
        <v>45504</v>
      </c>
      <c r="K108" s="41" t="s">
        <v>72</v>
      </c>
      <c r="L108" s="41">
        <v>0</v>
      </c>
      <c r="M108" s="65" t="s">
        <v>97</v>
      </c>
    </row>
    <row r="109" spans="2:13" hidden="1" outlineLevel="1">
      <c r="B109" s="7">
        <f t="shared" si="9"/>
        <v>19</v>
      </c>
      <c r="C109" s="41" t="str">
        <f t="shared" si="8"/>
        <v>Após 1988</v>
      </c>
      <c r="D109" s="41"/>
      <c r="E109" s="41" t="s">
        <v>93</v>
      </c>
      <c r="F109" s="70">
        <v>14276</v>
      </c>
      <c r="G109" s="41"/>
      <c r="H109" s="71">
        <v>43132</v>
      </c>
      <c r="I109" s="41"/>
      <c r="J109" s="42">
        <v>45504</v>
      </c>
      <c r="K109" s="41" t="s">
        <v>72</v>
      </c>
      <c r="L109" s="41">
        <v>0</v>
      </c>
      <c r="M109" s="65" t="s">
        <v>98</v>
      </c>
    </row>
    <row r="110" spans="2:13" hidden="1" outlineLevel="1">
      <c r="B110" s="7">
        <f t="shared" si="9"/>
        <v>20</v>
      </c>
      <c r="C110" s="41" t="str">
        <f t="shared" si="8"/>
        <v>Após 1988</v>
      </c>
      <c r="D110" s="41"/>
      <c r="E110" s="41" t="s">
        <v>70</v>
      </c>
      <c r="F110" s="70">
        <v>14279</v>
      </c>
      <c r="G110" s="41"/>
      <c r="H110" s="71">
        <v>43132</v>
      </c>
      <c r="I110" s="41"/>
      <c r="J110" s="42">
        <v>45503</v>
      </c>
      <c r="K110" s="41" t="s">
        <v>72</v>
      </c>
      <c r="L110" s="41">
        <v>0</v>
      </c>
      <c r="M110" s="65" t="s">
        <v>99</v>
      </c>
    </row>
    <row r="111" spans="2:13" hidden="1" outlineLevel="1">
      <c r="B111" s="7">
        <f t="shared" si="9"/>
        <v>21</v>
      </c>
      <c r="C111" s="41" t="str">
        <f t="shared" si="8"/>
        <v>Após 1988</v>
      </c>
      <c r="D111" s="41"/>
      <c r="E111" s="41" t="s">
        <v>70</v>
      </c>
      <c r="F111" s="70">
        <v>1494</v>
      </c>
      <c r="G111" s="41"/>
      <c r="H111" s="71">
        <v>38899</v>
      </c>
      <c r="I111" s="41"/>
      <c r="J111" s="42">
        <v>45488</v>
      </c>
      <c r="K111" s="41" t="s">
        <v>72</v>
      </c>
      <c r="L111" s="41">
        <v>43</v>
      </c>
      <c r="M111" s="65" t="s">
        <v>100</v>
      </c>
    </row>
    <row r="112" spans="2:13" hidden="1" outlineLevel="1">
      <c r="B112" s="7">
        <f t="shared" si="9"/>
        <v>22</v>
      </c>
      <c r="C112" s="41" t="str">
        <f t="shared" si="8"/>
        <v>Após 1988</v>
      </c>
      <c r="D112" s="41"/>
      <c r="E112" s="41" t="s">
        <v>91</v>
      </c>
      <c r="F112" s="70">
        <v>2190</v>
      </c>
      <c r="G112" s="41"/>
      <c r="H112" s="71">
        <v>39264</v>
      </c>
      <c r="I112" s="41"/>
      <c r="J112" s="42">
        <v>45488</v>
      </c>
      <c r="K112" s="41" t="s">
        <v>72</v>
      </c>
      <c r="L112" s="41">
        <v>23</v>
      </c>
      <c r="M112" s="65" t="s">
        <v>101</v>
      </c>
    </row>
    <row r="113" spans="2:13" hidden="1" outlineLevel="1">
      <c r="B113" s="7">
        <f t="shared" si="9"/>
        <v>23</v>
      </c>
      <c r="C113" s="41" t="str">
        <f t="shared" si="8"/>
        <v>Após 1988</v>
      </c>
      <c r="D113" s="41"/>
      <c r="E113" s="41" t="s">
        <v>83</v>
      </c>
      <c r="F113" s="70">
        <v>26902</v>
      </c>
      <c r="G113" s="41"/>
      <c r="H113" s="71">
        <v>44562</v>
      </c>
      <c r="I113" s="41"/>
      <c r="J113" s="42">
        <v>45505</v>
      </c>
      <c r="K113" s="41" t="s">
        <v>72</v>
      </c>
      <c r="L113" s="41">
        <v>5</v>
      </c>
      <c r="M113" s="65" t="s">
        <v>102</v>
      </c>
    </row>
    <row r="114" spans="2:13" hidden="1" outlineLevel="1">
      <c r="B114" s="7">
        <f t="shared" si="9"/>
        <v>24</v>
      </c>
      <c r="C114" s="41" t="str">
        <f t="shared" si="8"/>
        <v>Após 1988</v>
      </c>
      <c r="D114" s="41"/>
      <c r="E114" s="41" t="s">
        <v>70</v>
      </c>
      <c r="F114" s="70">
        <v>3119</v>
      </c>
      <c r="G114" s="41"/>
      <c r="H114" s="71">
        <v>39600</v>
      </c>
      <c r="I114" s="41"/>
      <c r="J114" s="42">
        <v>45488</v>
      </c>
      <c r="K114" s="41" t="s">
        <v>72</v>
      </c>
      <c r="L114" s="41">
        <v>46</v>
      </c>
      <c r="M114" s="65" t="s">
        <v>103</v>
      </c>
    </row>
    <row r="115" spans="2:13" hidden="1" outlineLevel="1">
      <c r="B115" s="7">
        <f t="shared" si="9"/>
        <v>25</v>
      </c>
      <c r="C115" s="41" t="str">
        <f t="shared" si="8"/>
        <v>Após 1988</v>
      </c>
      <c r="D115" s="41"/>
      <c r="E115" s="41" t="s">
        <v>70</v>
      </c>
      <c r="F115" s="70">
        <v>3124</v>
      </c>
      <c r="G115" s="41"/>
      <c r="H115" s="71">
        <v>39600</v>
      </c>
      <c r="I115" s="41"/>
      <c r="J115" s="42">
        <v>45503</v>
      </c>
      <c r="K115" s="41" t="s">
        <v>72</v>
      </c>
      <c r="L115" s="41">
        <v>27</v>
      </c>
      <c r="M115" s="65" t="s">
        <v>104</v>
      </c>
    </row>
    <row r="116" spans="2:13" hidden="1" outlineLevel="1">
      <c r="B116" s="7">
        <f t="shared" si="9"/>
        <v>26</v>
      </c>
      <c r="C116" s="41" t="str">
        <f t="shared" si="8"/>
        <v>Sem Info</v>
      </c>
      <c r="D116" s="41"/>
      <c r="E116" s="41" t="s">
        <v>91</v>
      </c>
      <c r="F116" s="70" t="s">
        <v>105</v>
      </c>
      <c r="G116" s="41"/>
      <c r="H116" s="72" t="s">
        <v>106</v>
      </c>
      <c r="I116" s="41"/>
      <c r="J116" s="42">
        <v>45503</v>
      </c>
      <c r="K116" s="41" t="s">
        <v>72</v>
      </c>
      <c r="L116" s="41">
        <v>114</v>
      </c>
      <c r="M116" s="65" t="s">
        <v>107</v>
      </c>
    </row>
    <row r="117" spans="2:13" hidden="1" outlineLevel="1">
      <c r="B117" s="7">
        <f t="shared" si="9"/>
        <v>27</v>
      </c>
      <c r="C117" s="41" t="str">
        <f t="shared" si="8"/>
        <v>Sem Info</v>
      </c>
      <c r="D117" s="41"/>
      <c r="E117" s="41" t="s">
        <v>91</v>
      </c>
      <c r="F117" s="70" t="s">
        <v>108</v>
      </c>
      <c r="G117" s="41"/>
      <c r="H117" s="71" t="s">
        <v>106</v>
      </c>
      <c r="I117" s="41"/>
      <c r="J117" s="42">
        <v>45505</v>
      </c>
      <c r="K117" s="41" t="s">
        <v>72</v>
      </c>
      <c r="L117" s="41">
        <v>47</v>
      </c>
      <c r="M117" s="65" t="s">
        <v>109</v>
      </c>
    </row>
    <row r="118" spans="2:13" hidden="1" outlineLevel="1">
      <c r="B118" s="7">
        <f t="shared" si="9"/>
        <v>28</v>
      </c>
      <c r="C118" s="41" t="str">
        <f t="shared" si="8"/>
        <v>Após 1988</v>
      </c>
      <c r="D118" s="41"/>
      <c r="E118" s="41" t="s">
        <v>91</v>
      </c>
      <c r="F118" s="70">
        <v>3861</v>
      </c>
      <c r="G118" s="41"/>
      <c r="H118" s="71">
        <v>39995</v>
      </c>
      <c r="I118" s="41"/>
      <c r="J118" s="42">
        <v>45488</v>
      </c>
      <c r="K118" s="41" t="s">
        <v>72</v>
      </c>
      <c r="L118" s="41">
        <v>0</v>
      </c>
      <c r="M118" s="65" t="s">
        <v>110</v>
      </c>
    </row>
    <row r="119" spans="2:13" hidden="1" outlineLevel="1">
      <c r="B119" s="7">
        <f t="shared" si="9"/>
        <v>29</v>
      </c>
      <c r="C119" s="41" t="str">
        <f t="shared" si="8"/>
        <v>Após 1988</v>
      </c>
      <c r="D119" s="41"/>
      <c r="E119" s="41" t="s">
        <v>83</v>
      </c>
      <c r="F119" s="70">
        <v>4974</v>
      </c>
      <c r="G119" s="41"/>
      <c r="H119" s="71">
        <v>40513</v>
      </c>
      <c r="I119" s="41"/>
      <c r="J119" s="42">
        <v>45488</v>
      </c>
      <c r="K119" s="41" t="s">
        <v>72</v>
      </c>
      <c r="L119" s="41">
        <v>134</v>
      </c>
      <c r="M119" s="65" t="s">
        <v>111</v>
      </c>
    </row>
    <row r="120" spans="2:13" hidden="1" outlineLevel="1">
      <c r="B120" s="7">
        <f t="shared" si="9"/>
        <v>30</v>
      </c>
      <c r="C120" s="41" t="str">
        <f t="shared" si="8"/>
        <v>Após 1988</v>
      </c>
      <c r="D120" s="41"/>
      <c r="E120" s="41" t="s">
        <v>70</v>
      </c>
      <c r="F120" s="70">
        <v>5848</v>
      </c>
      <c r="G120" s="41"/>
      <c r="H120" s="71">
        <v>40817</v>
      </c>
      <c r="I120" s="41"/>
      <c r="J120" s="42">
        <v>45488</v>
      </c>
      <c r="K120" s="41" t="s">
        <v>72</v>
      </c>
      <c r="L120" s="41">
        <v>43</v>
      </c>
      <c r="M120" s="65" t="s">
        <v>112</v>
      </c>
    </row>
    <row r="121" spans="2:13" hidden="1" outlineLevel="1">
      <c r="B121" s="7">
        <f t="shared" si="9"/>
        <v>31</v>
      </c>
      <c r="C121" s="41" t="str">
        <f t="shared" si="8"/>
        <v>Após 1988</v>
      </c>
      <c r="D121" s="41"/>
      <c r="E121" s="41" t="s">
        <v>83</v>
      </c>
      <c r="F121" s="70">
        <v>6460</v>
      </c>
      <c r="G121" s="41"/>
      <c r="H121" s="71">
        <v>40603</v>
      </c>
      <c r="I121" s="41"/>
      <c r="J121" s="42">
        <v>45488</v>
      </c>
      <c r="K121" s="41" t="s">
        <v>72</v>
      </c>
      <c r="L121" s="41">
        <v>101</v>
      </c>
      <c r="M121" s="65" t="s">
        <v>113</v>
      </c>
    </row>
    <row r="122" spans="2:13" hidden="1" outlineLevel="1">
      <c r="B122" s="7">
        <f t="shared" si="9"/>
        <v>32</v>
      </c>
      <c r="C122" s="41" t="str">
        <f t="shared" si="8"/>
        <v>Após 1988</v>
      </c>
      <c r="D122" s="41"/>
      <c r="E122" s="41" t="s">
        <v>91</v>
      </c>
      <c r="F122" s="70">
        <v>6633</v>
      </c>
      <c r="G122" s="41"/>
      <c r="H122" s="71">
        <v>41000</v>
      </c>
      <c r="I122" s="41"/>
      <c r="J122" s="42">
        <v>45608</v>
      </c>
      <c r="K122" s="41" t="s">
        <v>72</v>
      </c>
      <c r="L122" s="41">
        <v>0</v>
      </c>
      <c r="M122" s="65" t="s">
        <v>114</v>
      </c>
    </row>
    <row r="123" spans="2:13" hidden="1" outlineLevel="1">
      <c r="B123" s="7">
        <f t="shared" si="9"/>
        <v>33</v>
      </c>
      <c r="C123" s="41" t="str">
        <f t="shared" si="8"/>
        <v>Após 1988</v>
      </c>
      <c r="D123" s="41"/>
      <c r="E123" s="41" t="s">
        <v>83</v>
      </c>
      <c r="F123" s="70">
        <v>8176</v>
      </c>
      <c r="G123" s="41"/>
      <c r="H123" s="71">
        <v>41579</v>
      </c>
      <c r="I123" s="41"/>
      <c r="J123" s="42">
        <v>45504</v>
      </c>
      <c r="K123" s="41" t="s">
        <v>72</v>
      </c>
      <c r="L123" s="41">
        <v>0</v>
      </c>
      <c r="M123" s="65" t="s">
        <v>115</v>
      </c>
    </row>
    <row r="124" spans="2:13" hidden="1" outlineLevel="1">
      <c r="B124" s="7">
        <f t="shared" si="9"/>
        <v>34</v>
      </c>
      <c r="C124" s="41" t="str">
        <f t="shared" si="8"/>
        <v>Após 1988</v>
      </c>
      <c r="D124" s="41"/>
      <c r="E124" s="41" t="s">
        <v>83</v>
      </c>
      <c r="F124" s="70" t="s">
        <v>116</v>
      </c>
      <c r="G124" s="41"/>
      <c r="H124" s="71">
        <v>39173</v>
      </c>
      <c r="I124" s="41"/>
      <c r="J124" s="42">
        <v>45488</v>
      </c>
      <c r="K124" s="41" t="s">
        <v>72</v>
      </c>
      <c r="L124" s="41">
        <v>17</v>
      </c>
      <c r="M124" s="65" t="s">
        <v>117</v>
      </c>
    </row>
    <row r="125" spans="2:13" hidden="1" outlineLevel="1">
      <c r="B125" s="7">
        <f t="shared" si="9"/>
        <v>35</v>
      </c>
      <c r="C125" s="41" t="str">
        <f t="shared" si="8"/>
        <v>Após 1988</v>
      </c>
      <c r="D125" s="41"/>
      <c r="E125" s="41" t="s">
        <v>85</v>
      </c>
      <c r="F125" s="70" t="s">
        <v>118</v>
      </c>
      <c r="G125" s="41"/>
      <c r="H125" s="71">
        <v>38384</v>
      </c>
      <c r="I125" s="41"/>
      <c r="J125" s="42">
        <v>45504</v>
      </c>
      <c r="K125" s="41" t="s">
        <v>72</v>
      </c>
      <c r="L125" s="41">
        <v>91</v>
      </c>
      <c r="M125" s="65" t="s">
        <v>119</v>
      </c>
    </row>
    <row r="126" spans="2:13" hidden="1" outlineLevel="1">
      <c r="B126" s="7">
        <f t="shared" si="9"/>
        <v>36</v>
      </c>
      <c r="C126" s="41" t="str">
        <f t="shared" si="8"/>
        <v>Após 1988</v>
      </c>
      <c r="D126" s="41"/>
      <c r="E126" s="41" t="s">
        <v>70</v>
      </c>
      <c r="F126" s="70" t="s">
        <v>120</v>
      </c>
      <c r="G126" s="41"/>
      <c r="H126" s="71">
        <v>41518</v>
      </c>
      <c r="I126" s="41"/>
      <c r="J126" s="42">
        <v>45488</v>
      </c>
      <c r="K126" s="41" t="s">
        <v>72</v>
      </c>
      <c r="L126" s="41">
        <v>0</v>
      </c>
      <c r="M126" s="65" t="s">
        <v>121</v>
      </c>
    </row>
    <row r="127" spans="2:13" hidden="1" outlineLevel="1">
      <c r="B127" s="7" t="str">
        <f t="shared" si="9"/>
        <v/>
      </c>
      <c r="C127" s="41"/>
      <c r="D127" s="41"/>
      <c r="E127" s="41"/>
      <c r="F127" s="70"/>
      <c r="G127" s="41"/>
      <c r="H127" s="71"/>
      <c r="I127" s="41"/>
      <c r="J127" s="42"/>
      <c r="K127" s="41"/>
      <c r="L127" s="41"/>
      <c r="M127" s="43"/>
    </row>
    <row r="128" spans="2:13" hidden="1" outlineLevel="1">
      <c r="B128" s="7" t="str">
        <f t="shared" si="9"/>
        <v/>
      </c>
      <c r="C128" s="41"/>
      <c r="D128" s="41"/>
      <c r="E128" s="41"/>
      <c r="F128" s="70"/>
      <c r="G128" s="41"/>
      <c r="H128" s="71"/>
      <c r="I128" s="41"/>
      <c r="J128" s="42"/>
      <c r="K128" s="41"/>
      <c r="L128" s="41"/>
      <c r="M128" s="43"/>
    </row>
    <row r="129" spans="2:13" hidden="1" outlineLevel="1">
      <c r="B129" s="7" t="str">
        <f t="shared" si="9"/>
        <v/>
      </c>
      <c r="C129" s="41"/>
      <c r="D129" s="41"/>
      <c r="E129" s="41"/>
      <c r="F129" s="70"/>
      <c r="G129" s="41"/>
      <c r="H129" s="71"/>
      <c r="I129" s="41"/>
      <c r="J129" s="42"/>
      <c r="K129" s="41"/>
      <c r="L129" s="41"/>
      <c r="M129" s="43"/>
    </row>
    <row r="130" spans="2:13" hidden="1" outlineLevel="1">
      <c r="B130" s="7" t="str">
        <f t="shared" si="9"/>
        <v/>
      </c>
      <c r="C130" s="41" t="str">
        <f t="shared" si="8"/>
        <v/>
      </c>
      <c r="D130" s="41"/>
      <c r="E130" s="41"/>
      <c r="F130" s="70"/>
      <c r="G130" s="41"/>
      <c r="H130" s="71"/>
      <c r="I130" s="41"/>
      <c r="J130" s="42"/>
      <c r="K130" s="41"/>
      <c r="L130" s="41"/>
      <c r="M130" s="43"/>
    </row>
    <row r="131" spans="2:13" hidden="1" outlineLevel="1">
      <c r="B131" s="7" t="str">
        <f t="shared" si="9"/>
        <v/>
      </c>
      <c r="C131" s="41" t="str">
        <f t="shared" si="8"/>
        <v/>
      </c>
      <c r="D131" s="41"/>
      <c r="E131" s="41"/>
      <c r="F131" s="70"/>
      <c r="G131" s="41"/>
      <c r="H131" s="71"/>
      <c r="I131" s="41"/>
      <c r="J131" s="42"/>
      <c r="K131" s="41"/>
      <c r="L131" s="41"/>
      <c r="M131" s="43"/>
    </row>
    <row r="132" spans="2:13" hidden="1" outlineLevel="1">
      <c r="B132" s="7" t="str">
        <f t="shared" si="9"/>
        <v/>
      </c>
      <c r="C132" s="41" t="str">
        <f t="shared" si="8"/>
        <v/>
      </c>
      <c r="D132" s="41"/>
      <c r="E132" s="41"/>
      <c r="F132" s="70"/>
      <c r="G132" s="41"/>
      <c r="H132" s="71"/>
      <c r="I132" s="41"/>
      <c r="J132" s="42"/>
      <c r="K132" s="41"/>
      <c r="L132" s="41"/>
      <c r="M132" s="43"/>
    </row>
    <row r="133" spans="2:13" hidden="1" outlineLevel="1">
      <c r="B133" s="7" t="str">
        <f t="shared" si="9"/>
        <v/>
      </c>
      <c r="C133" s="41" t="str">
        <f t="shared" si="8"/>
        <v/>
      </c>
      <c r="D133" s="41"/>
      <c r="E133" s="41"/>
      <c r="F133" s="70"/>
      <c r="G133" s="41"/>
      <c r="H133" s="71"/>
      <c r="I133" s="41"/>
      <c r="J133" s="42"/>
      <c r="K133" s="41"/>
      <c r="L133" s="41"/>
      <c r="M133" s="43"/>
    </row>
    <row r="134" spans="2:13" hidden="1" outlineLevel="1">
      <c r="B134" s="7" t="str">
        <f t="shared" si="9"/>
        <v/>
      </c>
      <c r="C134" s="41" t="str">
        <f t="shared" si="8"/>
        <v/>
      </c>
      <c r="D134" s="41"/>
      <c r="E134" s="41"/>
      <c r="F134" s="70"/>
      <c r="G134" s="41"/>
      <c r="H134" s="71"/>
      <c r="I134" s="41"/>
      <c r="J134" s="42"/>
      <c r="K134" s="41"/>
      <c r="L134" s="41"/>
      <c r="M134" s="43"/>
    </row>
    <row r="135" spans="2:13" hidden="1" outlineLevel="1">
      <c r="B135" s="7" t="str">
        <f t="shared" si="9"/>
        <v/>
      </c>
      <c r="C135" s="41" t="str">
        <f t="shared" si="8"/>
        <v/>
      </c>
      <c r="D135" s="41"/>
      <c r="E135" s="41"/>
      <c r="F135" s="70"/>
      <c r="G135" s="41"/>
      <c r="H135" s="71"/>
      <c r="I135" s="41"/>
      <c r="J135" s="42"/>
      <c r="K135" s="41"/>
      <c r="L135" s="41"/>
      <c r="M135" s="43"/>
    </row>
    <row r="136" spans="2:13" hidden="1" outlineLevel="1">
      <c r="B136" s="7" t="str">
        <f t="shared" si="9"/>
        <v/>
      </c>
      <c r="C136" s="41" t="str">
        <f t="shared" si="8"/>
        <v/>
      </c>
      <c r="D136" s="41"/>
      <c r="E136" s="41"/>
      <c r="F136" s="70"/>
      <c r="G136" s="41"/>
      <c r="H136" s="71"/>
      <c r="I136" s="41"/>
      <c r="J136" s="42"/>
      <c r="K136" s="41"/>
      <c r="L136" s="41"/>
      <c r="M136" s="43"/>
    </row>
    <row r="137" spans="2:13" hidden="1" outlineLevel="1">
      <c r="B137" s="7" t="str">
        <f t="shared" si="9"/>
        <v/>
      </c>
      <c r="C137" s="41" t="str">
        <f t="shared" si="8"/>
        <v/>
      </c>
      <c r="D137" s="41"/>
      <c r="E137" s="41"/>
      <c r="F137" s="70"/>
      <c r="G137" s="41"/>
      <c r="H137" s="71"/>
      <c r="I137" s="41"/>
      <c r="J137" s="42"/>
      <c r="K137" s="41"/>
      <c r="L137" s="41"/>
      <c r="M137" s="43"/>
    </row>
    <row r="138" spans="2:13" hidden="1" outlineLevel="1">
      <c r="B138" s="7" t="str">
        <f t="shared" si="9"/>
        <v/>
      </c>
      <c r="C138" s="41" t="str">
        <f t="shared" si="8"/>
        <v/>
      </c>
      <c r="D138" s="41"/>
      <c r="E138" s="41"/>
      <c r="F138" s="70"/>
      <c r="G138" s="41"/>
      <c r="H138" s="71"/>
      <c r="I138" s="41"/>
      <c r="J138" s="42"/>
      <c r="K138" s="41"/>
      <c r="L138" s="41"/>
      <c r="M138" s="43"/>
    </row>
    <row r="139" spans="2:13" hidden="1" outlineLevel="1">
      <c r="B139" s="7" t="str">
        <f t="shared" si="9"/>
        <v/>
      </c>
      <c r="C139" s="41" t="str">
        <f t="shared" si="8"/>
        <v/>
      </c>
      <c r="D139" s="41"/>
      <c r="E139" s="41"/>
      <c r="F139" s="70"/>
      <c r="G139" s="41"/>
      <c r="H139" s="71"/>
      <c r="I139" s="41"/>
      <c r="J139" s="42"/>
      <c r="K139" s="41"/>
      <c r="L139" s="41"/>
      <c r="M139" s="43"/>
    </row>
    <row r="140" spans="2:13" hidden="1" outlineLevel="1">
      <c r="B140" s="7" t="str">
        <f t="shared" si="9"/>
        <v/>
      </c>
      <c r="C140" s="41" t="str">
        <f t="shared" si="8"/>
        <v/>
      </c>
      <c r="D140" s="41"/>
      <c r="E140" s="41"/>
      <c r="F140" s="70"/>
      <c r="G140" s="41"/>
      <c r="H140" s="71"/>
      <c r="I140" s="41"/>
      <c r="J140" s="42"/>
      <c r="K140" s="41"/>
      <c r="L140" s="41"/>
      <c r="M140" s="43"/>
    </row>
    <row r="141" spans="2:13" hidden="1" outlineLevel="1">
      <c r="B141" s="7" t="str">
        <f t="shared" si="9"/>
        <v/>
      </c>
      <c r="C141" s="41" t="str">
        <f t="shared" si="8"/>
        <v/>
      </c>
      <c r="D141" s="41"/>
      <c r="E141" s="41"/>
      <c r="F141" s="70"/>
      <c r="G141" s="41"/>
      <c r="H141" s="71"/>
      <c r="I141" s="41"/>
      <c r="J141" s="42"/>
      <c r="K141" s="41"/>
      <c r="L141" s="41"/>
      <c r="M141" s="43"/>
    </row>
    <row r="142" spans="2:13" hidden="1" outlineLevel="1">
      <c r="B142" s="7" t="str">
        <f t="shared" si="9"/>
        <v/>
      </c>
      <c r="C142" s="41" t="str">
        <f t="shared" si="8"/>
        <v/>
      </c>
      <c r="D142" s="41"/>
      <c r="E142" s="41"/>
      <c r="F142" s="70"/>
      <c r="G142" s="41"/>
      <c r="H142" s="71"/>
      <c r="I142" s="41"/>
      <c r="J142" s="42"/>
      <c r="K142" s="41"/>
      <c r="L142" s="41"/>
      <c r="M142" s="43"/>
    </row>
    <row r="143" spans="2:13" hidden="1" outlineLevel="1">
      <c r="B143" s="7" t="str">
        <f t="shared" si="9"/>
        <v/>
      </c>
      <c r="C143" s="41" t="str">
        <f t="shared" si="8"/>
        <v/>
      </c>
      <c r="D143" s="41"/>
      <c r="E143" s="41"/>
      <c r="F143" s="70"/>
      <c r="G143" s="41"/>
      <c r="H143" s="71"/>
      <c r="I143" s="41"/>
      <c r="J143" s="42"/>
      <c r="K143" s="41"/>
      <c r="L143" s="41"/>
      <c r="M143" s="43"/>
    </row>
    <row r="144" spans="2:13" hidden="1" outlineLevel="1">
      <c r="B144" s="7" t="str">
        <f t="shared" si="9"/>
        <v/>
      </c>
      <c r="C144" s="41" t="str">
        <f t="shared" si="8"/>
        <v/>
      </c>
      <c r="D144" s="41"/>
      <c r="E144" s="41"/>
      <c r="F144" s="70"/>
      <c r="G144" s="41"/>
      <c r="H144" s="71"/>
      <c r="I144" s="41"/>
      <c r="J144" s="42"/>
      <c r="K144" s="41"/>
      <c r="L144" s="41"/>
      <c r="M144" s="43"/>
    </row>
    <row r="145" spans="2:13" hidden="1" outlineLevel="1">
      <c r="B145" s="7" t="str">
        <f t="shared" si="9"/>
        <v/>
      </c>
      <c r="C145" s="41" t="str">
        <f t="shared" si="8"/>
        <v/>
      </c>
      <c r="D145" s="41"/>
      <c r="E145" s="41"/>
      <c r="F145" s="70"/>
      <c r="G145" s="41"/>
      <c r="H145" s="71"/>
      <c r="I145" s="41"/>
      <c r="J145" s="42"/>
      <c r="K145" s="41"/>
      <c r="L145" s="41"/>
      <c r="M145" s="43"/>
    </row>
    <row r="146" spans="2:13" hidden="1" outlineLevel="1">
      <c r="B146" s="7" t="str">
        <f t="shared" si="9"/>
        <v/>
      </c>
      <c r="C146" s="41" t="str">
        <f t="shared" si="8"/>
        <v/>
      </c>
      <c r="D146" s="41"/>
      <c r="E146" s="41"/>
      <c r="F146" s="70"/>
      <c r="G146" s="41"/>
      <c r="H146" s="71"/>
      <c r="I146" s="41"/>
      <c r="J146" s="42"/>
      <c r="K146" s="41"/>
      <c r="L146" s="41"/>
      <c r="M146" s="43"/>
    </row>
    <row r="147" spans="2:13" hidden="1" outlineLevel="1">
      <c r="B147" s="7" t="str">
        <f t="shared" si="9"/>
        <v/>
      </c>
      <c r="C147" s="41" t="str">
        <f t="shared" si="8"/>
        <v/>
      </c>
      <c r="D147" s="41"/>
      <c r="E147" s="41"/>
      <c r="F147" s="70"/>
      <c r="G147" s="41"/>
      <c r="H147" s="71"/>
      <c r="I147" s="41"/>
      <c r="J147" s="42"/>
      <c r="K147" s="41"/>
      <c r="L147" s="41"/>
      <c r="M147" s="43"/>
    </row>
    <row r="148" spans="2:13" hidden="1" outlineLevel="1">
      <c r="B148" s="7" t="str">
        <f t="shared" si="9"/>
        <v/>
      </c>
      <c r="C148" s="41" t="str">
        <f t="shared" si="8"/>
        <v/>
      </c>
      <c r="D148" s="41"/>
      <c r="E148" s="41"/>
      <c r="F148" s="70"/>
      <c r="G148" s="41"/>
      <c r="H148" s="71"/>
      <c r="I148" s="41"/>
      <c r="J148" s="42"/>
      <c r="K148" s="41"/>
      <c r="L148" s="41"/>
      <c r="M148" s="43"/>
    </row>
    <row r="149" spans="2:13" hidden="1" outlineLevel="1">
      <c r="B149" s="7" t="str">
        <f t="shared" si="9"/>
        <v/>
      </c>
      <c r="C149" s="41" t="str">
        <f t="shared" si="8"/>
        <v/>
      </c>
      <c r="D149" s="41"/>
      <c r="E149" s="41"/>
      <c r="F149" s="70"/>
      <c r="G149" s="41"/>
      <c r="H149" s="71"/>
      <c r="I149" s="41"/>
      <c r="J149" s="42"/>
      <c r="K149" s="41"/>
      <c r="L149" s="41"/>
      <c r="M149" s="43"/>
    </row>
    <row r="150" spans="2:13" hidden="1" outlineLevel="1">
      <c r="B150" s="7" t="str">
        <f t="shared" si="9"/>
        <v/>
      </c>
      <c r="C150" s="41" t="str">
        <f t="shared" si="8"/>
        <v/>
      </c>
      <c r="D150" s="41"/>
      <c r="E150" s="41"/>
      <c r="F150" s="70"/>
      <c r="G150" s="41"/>
      <c r="H150" s="71"/>
      <c r="I150" s="41"/>
      <c r="J150" s="42"/>
      <c r="K150" s="41"/>
      <c r="L150" s="41"/>
      <c r="M150" s="43"/>
    </row>
    <row r="151" spans="2:13" hidden="1" outlineLevel="1">
      <c r="B151" s="7" t="str">
        <f t="shared" si="9"/>
        <v/>
      </c>
      <c r="C151" s="41" t="str">
        <f t="shared" si="8"/>
        <v/>
      </c>
      <c r="D151" s="41"/>
      <c r="E151" s="41"/>
      <c r="F151" s="70"/>
      <c r="G151" s="41"/>
      <c r="H151" s="71"/>
      <c r="I151" s="41"/>
      <c r="J151" s="42"/>
      <c r="K151" s="41"/>
      <c r="L151" s="41"/>
      <c r="M151" s="43"/>
    </row>
    <row r="152" spans="2:13" hidden="1" outlineLevel="1">
      <c r="B152" s="7" t="str">
        <f t="shared" si="9"/>
        <v/>
      </c>
      <c r="C152" s="41" t="str">
        <f t="shared" si="8"/>
        <v/>
      </c>
      <c r="D152" s="41"/>
      <c r="E152" s="41"/>
      <c r="F152" s="70"/>
      <c r="G152" s="41"/>
      <c r="H152" s="71"/>
      <c r="I152" s="41"/>
      <c r="J152" s="42"/>
      <c r="K152" s="41"/>
      <c r="L152" s="41"/>
      <c r="M152" s="43"/>
    </row>
    <row r="153" spans="2:13" hidden="1" outlineLevel="1">
      <c r="B153" s="7" t="str">
        <f t="shared" si="9"/>
        <v/>
      </c>
      <c r="C153" s="41" t="str">
        <f t="shared" si="8"/>
        <v/>
      </c>
      <c r="D153" s="41"/>
      <c r="E153" s="41"/>
      <c r="F153" s="70"/>
      <c r="G153" s="41"/>
      <c r="H153" s="71"/>
      <c r="I153" s="41"/>
      <c r="J153" s="42"/>
      <c r="K153" s="41"/>
      <c r="L153" s="41"/>
      <c r="M153" s="43"/>
    </row>
    <row r="154" spans="2:13" hidden="1" outlineLevel="1">
      <c r="B154" s="7" t="str">
        <f t="shared" si="9"/>
        <v/>
      </c>
      <c r="C154" s="41" t="str">
        <f t="shared" si="8"/>
        <v/>
      </c>
      <c r="D154" s="41"/>
      <c r="E154" s="41"/>
      <c r="F154" s="70"/>
      <c r="G154" s="41"/>
      <c r="H154" s="71"/>
      <c r="I154" s="41"/>
      <c r="J154" s="42"/>
      <c r="K154" s="41"/>
      <c r="L154" s="41"/>
      <c r="M154" s="43"/>
    </row>
    <row r="155" spans="2:13" hidden="1" outlineLevel="1">
      <c r="B155" s="7" t="str">
        <f t="shared" si="9"/>
        <v/>
      </c>
      <c r="C155" s="41" t="str">
        <f t="shared" si="8"/>
        <v/>
      </c>
      <c r="D155" s="41"/>
      <c r="E155" s="41"/>
      <c r="F155" s="70"/>
      <c r="G155" s="41"/>
      <c r="H155" s="71"/>
      <c r="I155" s="41"/>
      <c r="J155" s="42"/>
      <c r="K155" s="41"/>
      <c r="L155" s="41"/>
      <c r="M155" s="43"/>
    </row>
    <row r="156" spans="2:13" hidden="1" outlineLevel="1">
      <c r="B156" s="7" t="str">
        <f t="shared" si="9"/>
        <v/>
      </c>
      <c r="C156" s="41" t="str">
        <f t="shared" ref="C156:C219" si="10">IF(H156="","",IF(H156="SEM DATA","Sem Info",IF(H156&gt;DATE(1988,12,31),"Após 1988","Até 1988")))</f>
        <v/>
      </c>
      <c r="D156" s="41"/>
      <c r="E156" s="41"/>
      <c r="F156" s="70"/>
      <c r="G156" s="41"/>
      <c r="H156" s="71"/>
      <c r="I156" s="41"/>
      <c r="J156" s="42"/>
      <c r="K156" s="41"/>
      <c r="L156" s="41"/>
      <c r="M156" s="43"/>
    </row>
    <row r="157" spans="2:13" hidden="1" outlineLevel="1">
      <c r="B157" s="7" t="str">
        <f t="shared" ref="B157:B220" si="11">IF(C157="","",(B156+1))</f>
        <v/>
      </c>
      <c r="C157" s="41" t="str">
        <f t="shared" si="10"/>
        <v/>
      </c>
      <c r="D157" s="41"/>
      <c r="E157" s="41"/>
      <c r="F157" s="70"/>
      <c r="G157" s="41"/>
      <c r="H157" s="71"/>
      <c r="I157" s="41"/>
      <c r="J157" s="42"/>
      <c r="K157" s="41"/>
      <c r="L157" s="41"/>
      <c r="M157" s="43"/>
    </row>
    <row r="158" spans="2:13" hidden="1" outlineLevel="1">
      <c r="B158" s="7" t="str">
        <f t="shared" si="11"/>
        <v/>
      </c>
      <c r="C158" s="41" t="str">
        <f t="shared" si="10"/>
        <v/>
      </c>
      <c r="D158" s="41"/>
      <c r="E158" s="41"/>
      <c r="F158" s="70"/>
      <c r="G158" s="41"/>
      <c r="H158" s="71"/>
      <c r="I158" s="41"/>
      <c r="J158" s="42"/>
      <c r="K158" s="41"/>
      <c r="L158" s="41"/>
      <c r="M158" s="43"/>
    </row>
    <row r="159" spans="2:13" hidden="1" outlineLevel="1">
      <c r="B159" s="7" t="str">
        <f t="shared" si="11"/>
        <v/>
      </c>
      <c r="C159" s="41" t="str">
        <f t="shared" si="10"/>
        <v/>
      </c>
      <c r="D159" s="41"/>
      <c r="E159" s="41"/>
      <c r="F159" s="70"/>
      <c r="G159" s="41"/>
      <c r="H159" s="71"/>
      <c r="I159" s="41"/>
      <c r="J159" s="42"/>
      <c r="K159" s="41"/>
      <c r="L159" s="41"/>
      <c r="M159" s="43"/>
    </row>
    <row r="160" spans="2:13" hidden="1" outlineLevel="1">
      <c r="B160" s="7" t="str">
        <f t="shared" si="11"/>
        <v/>
      </c>
      <c r="C160" s="41" t="str">
        <f t="shared" si="10"/>
        <v/>
      </c>
      <c r="D160" s="41"/>
      <c r="E160" s="41"/>
      <c r="F160" s="70"/>
      <c r="G160" s="41"/>
      <c r="H160" s="71"/>
      <c r="I160" s="41"/>
      <c r="J160" s="42"/>
      <c r="K160" s="41"/>
      <c r="L160" s="41"/>
      <c r="M160" s="43"/>
    </row>
    <row r="161" spans="2:13" hidden="1" outlineLevel="1">
      <c r="B161" s="7" t="str">
        <f t="shared" si="11"/>
        <v/>
      </c>
      <c r="C161" s="41" t="str">
        <f t="shared" si="10"/>
        <v/>
      </c>
      <c r="D161" s="41"/>
      <c r="E161" s="41"/>
      <c r="F161" s="70"/>
      <c r="G161" s="41"/>
      <c r="H161" s="71"/>
      <c r="I161" s="41"/>
      <c r="J161" s="42"/>
      <c r="K161" s="41"/>
      <c r="L161" s="41"/>
      <c r="M161" s="43"/>
    </row>
    <row r="162" spans="2:13" hidden="1" outlineLevel="1">
      <c r="B162" s="7" t="str">
        <f t="shared" si="11"/>
        <v/>
      </c>
      <c r="C162" s="41" t="str">
        <f t="shared" si="10"/>
        <v/>
      </c>
      <c r="D162" s="41"/>
      <c r="E162" s="41"/>
      <c r="F162" s="70"/>
      <c r="G162" s="41"/>
      <c r="H162" s="71"/>
      <c r="I162" s="41"/>
      <c r="J162" s="42"/>
      <c r="K162" s="41"/>
      <c r="L162" s="41"/>
      <c r="M162" s="43"/>
    </row>
    <row r="163" spans="2:13" hidden="1" outlineLevel="1">
      <c r="B163" s="7" t="str">
        <f t="shared" si="11"/>
        <v/>
      </c>
      <c r="C163" s="41" t="str">
        <f t="shared" si="10"/>
        <v/>
      </c>
      <c r="D163" s="41"/>
      <c r="E163" s="41"/>
      <c r="F163" s="70"/>
      <c r="G163" s="41"/>
      <c r="H163" s="71"/>
      <c r="I163" s="41"/>
      <c r="J163" s="42"/>
      <c r="K163" s="41"/>
      <c r="L163" s="41"/>
      <c r="M163" s="43"/>
    </row>
    <row r="164" spans="2:13" hidden="1" outlineLevel="1">
      <c r="B164" s="7" t="str">
        <f t="shared" si="11"/>
        <v/>
      </c>
      <c r="C164" s="41" t="str">
        <f t="shared" si="10"/>
        <v/>
      </c>
      <c r="D164" s="41"/>
      <c r="E164" s="41"/>
      <c r="F164" s="70"/>
      <c r="G164" s="41"/>
      <c r="H164" s="71"/>
      <c r="I164" s="41"/>
      <c r="J164" s="42"/>
      <c r="K164" s="41"/>
      <c r="L164" s="41"/>
      <c r="M164" s="43"/>
    </row>
    <row r="165" spans="2:13" hidden="1" outlineLevel="1">
      <c r="B165" s="7" t="str">
        <f t="shared" si="11"/>
        <v/>
      </c>
      <c r="C165" s="41" t="str">
        <f t="shared" si="10"/>
        <v/>
      </c>
      <c r="D165" s="41"/>
      <c r="E165" s="41"/>
      <c r="F165" s="70"/>
      <c r="G165" s="41"/>
      <c r="H165" s="71"/>
      <c r="I165" s="41"/>
      <c r="J165" s="42"/>
      <c r="K165" s="41"/>
      <c r="L165" s="41"/>
      <c r="M165" s="43"/>
    </row>
    <row r="166" spans="2:13" hidden="1" outlineLevel="1">
      <c r="B166" s="7" t="str">
        <f t="shared" si="11"/>
        <v/>
      </c>
      <c r="C166" s="41" t="str">
        <f t="shared" si="10"/>
        <v/>
      </c>
      <c r="D166" s="41"/>
      <c r="E166" s="41"/>
      <c r="F166" s="70"/>
      <c r="G166" s="41"/>
      <c r="H166" s="71"/>
      <c r="I166" s="41"/>
      <c r="J166" s="42"/>
      <c r="K166" s="41"/>
      <c r="L166" s="41"/>
      <c r="M166" s="43"/>
    </row>
    <row r="167" spans="2:13" hidden="1" outlineLevel="1">
      <c r="B167" s="7" t="str">
        <f t="shared" si="11"/>
        <v/>
      </c>
      <c r="C167" s="41" t="str">
        <f t="shared" si="10"/>
        <v/>
      </c>
      <c r="D167" s="41"/>
      <c r="E167" s="41"/>
      <c r="F167" s="70"/>
      <c r="G167" s="41"/>
      <c r="H167" s="71"/>
      <c r="I167" s="41"/>
      <c r="J167" s="42"/>
      <c r="K167" s="41"/>
      <c r="L167" s="41"/>
      <c r="M167" s="43"/>
    </row>
    <row r="168" spans="2:13" hidden="1" outlineLevel="1">
      <c r="B168" s="7" t="str">
        <f t="shared" si="11"/>
        <v/>
      </c>
      <c r="C168" s="41" t="str">
        <f t="shared" si="10"/>
        <v/>
      </c>
      <c r="D168" s="41"/>
      <c r="E168" s="41"/>
      <c r="F168" s="70"/>
      <c r="G168" s="41"/>
      <c r="H168" s="71"/>
      <c r="I168" s="41"/>
      <c r="J168" s="42"/>
      <c r="K168" s="41"/>
      <c r="L168" s="41"/>
      <c r="M168" s="43"/>
    </row>
    <row r="169" spans="2:13" hidden="1" outlineLevel="1">
      <c r="B169" s="7" t="str">
        <f t="shared" si="11"/>
        <v/>
      </c>
      <c r="C169" s="41" t="str">
        <f t="shared" si="10"/>
        <v/>
      </c>
      <c r="D169" s="41"/>
      <c r="E169" s="41"/>
      <c r="F169" s="70"/>
      <c r="G169" s="41"/>
      <c r="H169" s="71"/>
      <c r="I169" s="41"/>
      <c r="J169" s="42"/>
      <c r="K169" s="41"/>
      <c r="L169" s="41"/>
      <c r="M169" s="43"/>
    </row>
    <row r="170" spans="2:13" hidden="1" outlineLevel="1">
      <c r="B170" s="7" t="str">
        <f t="shared" si="11"/>
        <v/>
      </c>
      <c r="C170" s="41" t="str">
        <f t="shared" si="10"/>
        <v/>
      </c>
      <c r="D170" s="41"/>
      <c r="E170" s="41"/>
      <c r="F170" s="70"/>
      <c r="G170" s="41"/>
      <c r="H170" s="71"/>
      <c r="I170" s="41"/>
      <c r="J170" s="42"/>
      <c r="K170" s="41"/>
      <c r="L170" s="41"/>
      <c r="M170" s="43"/>
    </row>
    <row r="171" spans="2:13" hidden="1" outlineLevel="1">
      <c r="B171" s="7" t="str">
        <f t="shared" si="11"/>
        <v/>
      </c>
      <c r="C171" s="41" t="str">
        <f t="shared" si="10"/>
        <v/>
      </c>
      <c r="D171" s="41"/>
      <c r="E171" s="41"/>
      <c r="F171" s="70"/>
      <c r="G171" s="41"/>
      <c r="H171" s="71"/>
      <c r="I171" s="41"/>
      <c r="J171" s="42"/>
      <c r="K171" s="41"/>
      <c r="L171" s="41"/>
      <c r="M171" s="43"/>
    </row>
    <row r="172" spans="2:13" hidden="1" outlineLevel="1">
      <c r="B172" s="7" t="str">
        <f t="shared" si="11"/>
        <v/>
      </c>
      <c r="C172" s="41" t="str">
        <f t="shared" si="10"/>
        <v/>
      </c>
      <c r="D172" s="41"/>
      <c r="E172" s="41"/>
      <c r="F172" s="70"/>
      <c r="G172" s="41"/>
      <c r="H172" s="71"/>
      <c r="I172" s="41"/>
      <c r="J172" s="42"/>
      <c r="K172" s="41"/>
      <c r="L172" s="41"/>
      <c r="M172" s="43"/>
    </row>
    <row r="173" spans="2:13" hidden="1" outlineLevel="1">
      <c r="B173" s="7" t="str">
        <f t="shared" si="11"/>
        <v/>
      </c>
      <c r="C173" s="41" t="str">
        <f t="shared" si="10"/>
        <v/>
      </c>
      <c r="D173" s="41"/>
      <c r="E173" s="41"/>
      <c r="F173" s="70"/>
      <c r="G173" s="41"/>
      <c r="H173" s="71"/>
      <c r="I173" s="41"/>
      <c r="J173" s="42"/>
      <c r="K173" s="41"/>
      <c r="L173" s="41"/>
      <c r="M173" s="43"/>
    </row>
    <row r="174" spans="2:13" hidden="1" outlineLevel="1">
      <c r="B174" s="7" t="str">
        <f t="shared" si="11"/>
        <v/>
      </c>
      <c r="C174" s="41" t="str">
        <f t="shared" si="10"/>
        <v/>
      </c>
      <c r="D174" s="41"/>
      <c r="E174" s="41"/>
      <c r="F174" s="70"/>
      <c r="G174" s="41"/>
      <c r="H174" s="71"/>
      <c r="I174" s="41"/>
      <c r="J174" s="42"/>
      <c r="K174" s="41"/>
      <c r="L174" s="41"/>
      <c r="M174" s="43"/>
    </row>
    <row r="175" spans="2:13" hidden="1" outlineLevel="1">
      <c r="B175" s="7" t="str">
        <f t="shared" si="11"/>
        <v/>
      </c>
      <c r="C175" s="41" t="str">
        <f t="shared" si="10"/>
        <v/>
      </c>
      <c r="D175" s="41"/>
      <c r="E175" s="41"/>
      <c r="F175" s="70"/>
      <c r="G175" s="41"/>
      <c r="H175" s="71"/>
      <c r="I175" s="41"/>
      <c r="J175" s="42"/>
      <c r="K175" s="41"/>
      <c r="L175" s="41"/>
      <c r="M175" s="43"/>
    </row>
    <row r="176" spans="2:13" hidden="1" outlineLevel="1">
      <c r="B176" s="7" t="str">
        <f t="shared" si="11"/>
        <v/>
      </c>
      <c r="C176" s="41" t="str">
        <f t="shared" si="10"/>
        <v/>
      </c>
      <c r="D176" s="41"/>
      <c r="E176" s="41"/>
      <c r="F176" s="70"/>
      <c r="G176" s="41"/>
      <c r="H176" s="71"/>
      <c r="I176" s="41"/>
      <c r="J176" s="42"/>
      <c r="K176" s="41"/>
      <c r="L176" s="41"/>
      <c r="M176" s="43"/>
    </row>
    <row r="177" spans="2:13" hidden="1" outlineLevel="1">
      <c r="B177" s="7" t="str">
        <f t="shared" si="11"/>
        <v/>
      </c>
      <c r="C177" s="41" t="str">
        <f t="shared" si="10"/>
        <v/>
      </c>
      <c r="D177" s="41"/>
      <c r="E177" s="41"/>
      <c r="F177" s="70"/>
      <c r="G177" s="41"/>
      <c r="H177" s="71"/>
      <c r="I177" s="41"/>
      <c r="J177" s="42"/>
      <c r="K177" s="41"/>
      <c r="L177" s="41"/>
      <c r="M177" s="43"/>
    </row>
    <row r="178" spans="2:13" hidden="1" outlineLevel="1">
      <c r="B178" s="7" t="str">
        <f t="shared" si="11"/>
        <v/>
      </c>
      <c r="C178" s="41" t="str">
        <f t="shared" si="10"/>
        <v/>
      </c>
      <c r="D178" s="41"/>
      <c r="E178" s="41"/>
      <c r="F178" s="70"/>
      <c r="G178" s="41"/>
      <c r="H178" s="71"/>
      <c r="I178" s="41"/>
      <c r="J178" s="42"/>
      <c r="K178" s="41"/>
      <c r="L178" s="41"/>
      <c r="M178" s="43"/>
    </row>
    <row r="179" spans="2:13" hidden="1" outlineLevel="1">
      <c r="B179" s="7" t="str">
        <f t="shared" si="11"/>
        <v/>
      </c>
      <c r="C179" s="41" t="str">
        <f t="shared" si="10"/>
        <v/>
      </c>
      <c r="D179" s="41"/>
      <c r="E179" s="41"/>
      <c r="F179" s="70"/>
      <c r="G179" s="41"/>
      <c r="H179" s="71"/>
      <c r="I179" s="41"/>
      <c r="J179" s="42"/>
      <c r="K179" s="41"/>
      <c r="L179" s="41"/>
      <c r="M179" s="43"/>
    </row>
    <row r="180" spans="2:13" hidden="1" outlineLevel="1">
      <c r="B180" s="7" t="str">
        <f t="shared" si="11"/>
        <v/>
      </c>
      <c r="C180" s="41" t="str">
        <f t="shared" si="10"/>
        <v/>
      </c>
      <c r="D180" s="41"/>
      <c r="E180" s="41"/>
      <c r="F180" s="70"/>
      <c r="G180" s="41"/>
      <c r="H180" s="71"/>
      <c r="I180" s="41"/>
      <c r="J180" s="42"/>
      <c r="K180" s="41"/>
      <c r="L180" s="41"/>
      <c r="M180" s="43"/>
    </row>
    <row r="181" spans="2:13" hidden="1" outlineLevel="1">
      <c r="B181" s="7" t="str">
        <f t="shared" si="11"/>
        <v/>
      </c>
      <c r="C181" s="41" t="str">
        <f t="shared" si="10"/>
        <v/>
      </c>
      <c r="D181" s="41"/>
      <c r="E181" s="41"/>
      <c r="F181" s="70"/>
      <c r="G181" s="41"/>
      <c r="H181" s="71"/>
      <c r="I181" s="41"/>
      <c r="J181" s="42"/>
      <c r="K181" s="41"/>
      <c r="L181" s="41"/>
      <c r="M181" s="43"/>
    </row>
    <row r="182" spans="2:13" hidden="1" outlineLevel="1">
      <c r="B182" s="7" t="str">
        <f t="shared" si="11"/>
        <v/>
      </c>
      <c r="C182" s="41" t="str">
        <f t="shared" si="10"/>
        <v/>
      </c>
      <c r="D182" s="41"/>
      <c r="E182" s="41"/>
      <c r="F182" s="70"/>
      <c r="G182" s="41"/>
      <c r="H182" s="71"/>
      <c r="I182" s="41"/>
      <c r="J182" s="42"/>
      <c r="K182" s="41"/>
      <c r="L182" s="41"/>
      <c r="M182" s="43"/>
    </row>
    <row r="183" spans="2:13" hidden="1" outlineLevel="1">
      <c r="B183" s="7" t="str">
        <f t="shared" si="11"/>
        <v/>
      </c>
      <c r="C183" s="41" t="str">
        <f t="shared" si="10"/>
        <v/>
      </c>
      <c r="D183" s="41"/>
      <c r="E183" s="41"/>
      <c r="F183" s="70"/>
      <c r="G183" s="41"/>
      <c r="H183" s="71"/>
      <c r="I183" s="41"/>
      <c r="J183" s="42"/>
      <c r="K183" s="41"/>
      <c r="L183" s="41"/>
      <c r="M183" s="43"/>
    </row>
    <row r="184" spans="2:13" hidden="1" outlineLevel="1">
      <c r="B184" s="7" t="str">
        <f t="shared" si="11"/>
        <v/>
      </c>
      <c r="C184" s="41" t="str">
        <f t="shared" si="10"/>
        <v/>
      </c>
      <c r="D184" s="41"/>
      <c r="E184" s="41"/>
      <c r="F184" s="70"/>
      <c r="G184" s="41"/>
      <c r="H184" s="71"/>
      <c r="I184" s="41"/>
      <c r="J184" s="42"/>
      <c r="K184" s="41"/>
      <c r="L184" s="41"/>
      <c r="M184" s="43"/>
    </row>
    <row r="185" spans="2:13" hidden="1" outlineLevel="1">
      <c r="B185" s="7" t="str">
        <f t="shared" si="11"/>
        <v/>
      </c>
      <c r="C185" s="41" t="str">
        <f t="shared" si="10"/>
        <v/>
      </c>
      <c r="D185" s="41"/>
      <c r="E185" s="41"/>
      <c r="F185" s="70"/>
      <c r="G185" s="41"/>
      <c r="H185" s="71"/>
      <c r="I185" s="41"/>
      <c r="J185" s="42"/>
      <c r="K185" s="41"/>
      <c r="L185" s="41"/>
      <c r="M185" s="43"/>
    </row>
    <row r="186" spans="2:13" hidden="1" outlineLevel="1">
      <c r="B186" s="7" t="str">
        <f t="shared" si="11"/>
        <v/>
      </c>
      <c r="C186" s="41" t="str">
        <f t="shared" si="10"/>
        <v/>
      </c>
      <c r="D186" s="41"/>
      <c r="E186" s="41"/>
      <c r="F186" s="70"/>
      <c r="G186" s="41"/>
      <c r="H186" s="71"/>
      <c r="I186" s="41"/>
      <c r="J186" s="42"/>
      <c r="K186" s="41"/>
      <c r="L186" s="41"/>
      <c r="M186" s="43"/>
    </row>
    <row r="187" spans="2:13" hidden="1" outlineLevel="1">
      <c r="B187" s="7" t="str">
        <f t="shared" si="11"/>
        <v/>
      </c>
      <c r="C187" s="41" t="str">
        <f t="shared" si="10"/>
        <v/>
      </c>
      <c r="D187" s="41"/>
      <c r="E187" s="41"/>
      <c r="F187" s="70"/>
      <c r="G187" s="41"/>
      <c r="H187" s="71"/>
      <c r="I187" s="41"/>
      <c r="J187" s="42"/>
      <c r="K187" s="41"/>
      <c r="L187" s="41"/>
      <c r="M187" s="43"/>
    </row>
    <row r="188" spans="2:13" hidden="1" outlineLevel="1">
      <c r="B188" s="7" t="str">
        <f t="shared" si="11"/>
        <v/>
      </c>
      <c r="C188" s="41" t="str">
        <f t="shared" si="10"/>
        <v/>
      </c>
      <c r="D188" s="41"/>
      <c r="E188" s="41"/>
      <c r="F188" s="70"/>
      <c r="G188" s="41"/>
      <c r="H188" s="71"/>
      <c r="I188" s="41"/>
      <c r="J188" s="42"/>
      <c r="K188" s="41"/>
      <c r="L188" s="41"/>
      <c r="M188" s="43"/>
    </row>
    <row r="189" spans="2:13" hidden="1" outlineLevel="1">
      <c r="B189" s="7" t="str">
        <f t="shared" si="11"/>
        <v/>
      </c>
      <c r="C189" s="41" t="str">
        <f t="shared" si="10"/>
        <v/>
      </c>
      <c r="D189" s="41"/>
      <c r="E189" s="41"/>
      <c r="F189" s="70"/>
      <c r="G189" s="41"/>
      <c r="H189" s="71"/>
      <c r="I189" s="41"/>
      <c r="J189" s="42"/>
      <c r="K189" s="41"/>
      <c r="L189" s="41"/>
      <c r="M189" s="43"/>
    </row>
    <row r="190" spans="2:13" hidden="1" outlineLevel="1">
      <c r="B190" s="7" t="str">
        <f t="shared" si="11"/>
        <v/>
      </c>
      <c r="C190" s="41" t="str">
        <f t="shared" si="10"/>
        <v/>
      </c>
      <c r="D190" s="41"/>
      <c r="E190" s="41"/>
      <c r="F190" s="70"/>
      <c r="G190" s="41"/>
      <c r="H190" s="71"/>
      <c r="I190" s="41"/>
      <c r="J190" s="42"/>
      <c r="K190" s="41"/>
      <c r="L190" s="41"/>
      <c r="M190" s="43"/>
    </row>
    <row r="191" spans="2:13" hidden="1" outlineLevel="1">
      <c r="B191" s="7" t="str">
        <f t="shared" si="11"/>
        <v/>
      </c>
      <c r="C191" s="41" t="str">
        <f t="shared" si="10"/>
        <v/>
      </c>
      <c r="D191" s="41"/>
      <c r="E191" s="41"/>
      <c r="F191" s="70"/>
      <c r="G191" s="41"/>
      <c r="H191" s="71"/>
      <c r="I191" s="41"/>
      <c r="J191" s="42"/>
      <c r="K191" s="41"/>
      <c r="L191" s="41"/>
      <c r="M191" s="43"/>
    </row>
    <row r="192" spans="2:13" hidden="1" outlineLevel="1">
      <c r="B192" s="7" t="str">
        <f t="shared" si="11"/>
        <v/>
      </c>
      <c r="C192" s="41" t="str">
        <f t="shared" si="10"/>
        <v/>
      </c>
      <c r="D192" s="41"/>
      <c r="E192" s="41"/>
      <c r="F192" s="70"/>
      <c r="G192" s="41"/>
      <c r="H192" s="71"/>
      <c r="I192" s="41"/>
      <c r="J192" s="42"/>
      <c r="K192" s="41"/>
      <c r="L192" s="41"/>
      <c r="M192" s="43"/>
    </row>
    <row r="193" spans="2:13" hidden="1" outlineLevel="1">
      <c r="B193" s="7" t="str">
        <f t="shared" si="11"/>
        <v/>
      </c>
      <c r="C193" s="41" t="str">
        <f t="shared" si="10"/>
        <v/>
      </c>
      <c r="D193" s="41"/>
      <c r="E193" s="41"/>
      <c r="F193" s="70"/>
      <c r="G193" s="41"/>
      <c r="H193" s="71"/>
      <c r="I193" s="41"/>
      <c r="J193" s="42"/>
      <c r="K193" s="41"/>
      <c r="L193" s="41"/>
      <c r="M193" s="43"/>
    </row>
    <row r="194" spans="2:13" hidden="1" outlineLevel="1">
      <c r="B194" s="7" t="str">
        <f t="shared" si="11"/>
        <v/>
      </c>
      <c r="C194" s="41" t="str">
        <f t="shared" si="10"/>
        <v/>
      </c>
      <c r="D194" s="41"/>
      <c r="E194" s="41"/>
      <c r="F194" s="70"/>
      <c r="G194" s="41"/>
      <c r="H194" s="71"/>
      <c r="I194" s="41"/>
      <c r="J194" s="42"/>
      <c r="K194" s="41"/>
      <c r="L194" s="41"/>
      <c r="M194" s="43"/>
    </row>
    <row r="195" spans="2:13" hidden="1" outlineLevel="1">
      <c r="B195" s="7" t="str">
        <f t="shared" si="11"/>
        <v/>
      </c>
      <c r="C195" s="41" t="str">
        <f t="shared" si="10"/>
        <v/>
      </c>
      <c r="D195" s="41"/>
      <c r="E195" s="41"/>
      <c r="F195" s="70"/>
      <c r="G195" s="41"/>
      <c r="H195" s="71"/>
      <c r="I195" s="41"/>
      <c r="J195" s="42"/>
      <c r="K195" s="41"/>
      <c r="L195" s="41"/>
      <c r="M195" s="43"/>
    </row>
    <row r="196" spans="2:13" hidden="1" outlineLevel="1">
      <c r="B196" s="7" t="str">
        <f t="shared" si="11"/>
        <v/>
      </c>
      <c r="C196" s="41" t="str">
        <f t="shared" si="10"/>
        <v/>
      </c>
      <c r="D196" s="41"/>
      <c r="E196" s="41"/>
      <c r="F196" s="70"/>
      <c r="G196" s="41"/>
      <c r="H196" s="71"/>
      <c r="I196" s="41"/>
      <c r="J196" s="42"/>
      <c r="K196" s="41"/>
      <c r="L196" s="41"/>
      <c r="M196" s="43"/>
    </row>
    <row r="197" spans="2:13" hidden="1" outlineLevel="1">
      <c r="B197" s="7" t="str">
        <f t="shared" si="11"/>
        <v/>
      </c>
      <c r="C197" s="41" t="str">
        <f t="shared" si="10"/>
        <v/>
      </c>
      <c r="D197" s="41"/>
      <c r="E197" s="41"/>
      <c r="F197" s="70"/>
      <c r="G197" s="41"/>
      <c r="H197" s="71"/>
      <c r="I197" s="41"/>
      <c r="J197" s="42"/>
      <c r="K197" s="41"/>
      <c r="L197" s="41"/>
      <c r="M197" s="43"/>
    </row>
    <row r="198" spans="2:13" hidden="1" outlineLevel="1">
      <c r="B198" s="7" t="str">
        <f t="shared" si="11"/>
        <v/>
      </c>
      <c r="C198" s="41" t="str">
        <f t="shared" si="10"/>
        <v/>
      </c>
      <c r="D198" s="41"/>
      <c r="E198" s="41"/>
      <c r="F198" s="70"/>
      <c r="G198" s="41"/>
      <c r="H198" s="71"/>
      <c r="I198" s="41"/>
      <c r="J198" s="42"/>
      <c r="K198" s="41"/>
      <c r="L198" s="41"/>
      <c r="M198" s="43"/>
    </row>
    <row r="199" spans="2:13" hidden="1" outlineLevel="1">
      <c r="B199" s="7" t="str">
        <f t="shared" si="11"/>
        <v/>
      </c>
      <c r="C199" s="41" t="str">
        <f t="shared" si="10"/>
        <v/>
      </c>
      <c r="D199" s="41"/>
      <c r="E199" s="41"/>
      <c r="F199" s="70"/>
      <c r="G199" s="41"/>
      <c r="H199" s="71"/>
      <c r="I199" s="41"/>
      <c r="J199" s="42"/>
      <c r="K199" s="41"/>
      <c r="L199" s="41"/>
      <c r="M199" s="43"/>
    </row>
    <row r="200" spans="2:13" hidden="1" outlineLevel="1">
      <c r="B200" s="7" t="str">
        <f t="shared" si="11"/>
        <v/>
      </c>
      <c r="C200" s="41" t="str">
        <f t="shared" si="10"/>
        <v/>
      </c>
      <c r="D200" s="41"/>
      <c r="E200" s="41"/>
      <c r="F200" s="70"/>
      <c r="G200" s="41"/>
      <c r="H200" s="71"/>
      <c r="I200" s="41"/>
      <c r="J200" s="42"/>
      <c r="K200" s="41"/>
      <c r="L200" s="41"/>
      <c r="M200" s="43"/>
    </row>
    <row r="201" spans="2:13" hidden="1" outlineLevel="1">
      <c r="B201" s="7" t="str">
        <f t="shared" si="11"/>
        <v/>
      </c>
      <c r="C201" s="41" t="str">
        <f t="shared" si="10"/>
        <v/>
      </c>
      <c r="D201" s="41"/>
      <c r="E201" s="41"/>
      <c r="F201" s="70"/>
      <c r="G201" s="41"/>
      <c r="H201" s="71"/>
      <c r="I201" s="41"/>
      <c r="J201" s="42"/>
      <c r="K201" s="41"/>
      <c r="L201" s="41"/>
      <c r="M201" s="43"/>
    </row>
    <row r="202" spans="2:13" hidden="1" outlineLevel="1">
      <c r="B202" s="7" t="str">
        <f t="shared" si="11"/>
        <v/>
      </c>
      <c r="C202" s="41" t="str">
        <f t="shared" si="10"/>
        <v/>
      </c>
      <c r="D202" s="41"/>
      <c r="E202" s="41"/>
      <c r="F202" s="70"/>
      <c r="G202" s="41"/>
      <c r="H202" s="71"/>
      <c r="I202" s="41"/>
      <c r="J202" s="42"/>
      <c r="K202" s="41"/>
      <c r="L202" s="41"/>
      <c r="M202" s="43"/>
    </row>
    <row r="203" spans="2:13" hidden="1" outlineLevel="1">
      <c r="B203" s="7" t="str">
        <f t="shared" si="11"/>
        <v/>
      </c>
      <c r="C203" s="41" t="str">
        <f t="shared" si="10"/>
        <v/>
      </c>
      <c r="D203" s="41"/>
      <c r="E203" s="41"/>
      <c r="F203" s="70"/>
      <c r="G203" s="41"/>
      <c r="H203" s="71"/>
      <c r="I203" s="41"/>
      <c r="J203" s="42"/>
      <c r="K203" s="41"/>
      <c r="L203" s="41"/>
      <c r="M203" s="43"/>
    </row>
    <row r="204" spans="2:13" hidden="1" outlineLevel="1">
      <c r="B204" s="7" t="str">
        <f t="shared" si="11"/>
        <v/>
      </c>
      <c r="C204" s="41" t="str">
        <f t="shared" si="10"/>
        <v/>
      </c>
      <c r="D204" s="41"/>
      <c r="E204" s="41"/>
      <c r="F204" s="70"/>
      <c r="G204" s="41"/>
      <c r="H204" s="71"/>
      <c r="I204" s="41"/>
      <c r="J204" s="42"/>
      <c r="K204" s="41"/>
      <c r="L204" s="41"/>
      <c r="M204" s="43"/>
    </row>
    <row r="205" spans="2:13" hidden="1" outlineLevel="1">
      <c r="B205" s="7" t="str">
        <f t="shared" si="11"/>
        <v/>
      </c>
      <c r="C205" s="41" t="str">
        <f t="shared" si="10"/>
        <v/>
      </c>
      <c r="D205" s="41"/>
      <c r="E205" s="41"/>
      <c r="F205" s="70"/>
      <c r="G205" s="41"/>
      <c r="H205" s="71"/>
      <c r="I205" s="41"/>
      <c r="J205" s="42"/>
      <c r="K205" s="41"/>
      <c r="L205" s="41"/>
      <c r="M205" s="43"/>
    </row>
    <row r="206" spans="2:13" hidden="1" outlineLevel="1">
      <c r="B206" s="7" t="str">
        <f t="shared" si="11"/>
        <v/>
      </c>
      <c r="C206" s="41" t="str">
        <f t="shared" si="10"/>
        <v/>
      </c>
      <c r="D206" s="41"/>
      <c r="E206" s="41"/>
      <c r="F206" s="70"/>
      <c r="G206" s="41"/>
      <c r="H206" s="71"/>
      <c r="I206" s="41"/>
      <c r="J206" s="42"/>
      <c r="K206" s="41"/>
      <c r="L206" s="41"/>
      <c r="M206" s="43"/>
    </row>
    <row r="207" spans="2:13" hidden="1" outlineLevel="1">
      <c r="B207" s="7" t="str">
        <f t="shared" si="11"/>
        <v/>
      </c>
      <c r="C207" s="41" t="str">
        <f t="shared" si="10"/>
        <v/>
      </c>
      <c r="D207" s="41"/>
      <c r="E207" s="41"/>
      <c r="F207" s="70"/>
      <c r="G207" s="41"/>
      <c r="H207" s="71"/>
      <c r="I207" s="41"/>
      <c r="J207" s="42"/>
      <c r="K207" s="41"/>
      <c r="L207" s="41"/>
      <c r="M207" s="43"/>
    </row>
    <row r="208" spans="2:13" hidden="1" outlineLevel="1">
      <c r="B208" s="7" t="str">
        <f t="shared" si="11"/>
        <v/>
      </c>
      <c r="C208" s="41" t="str">
        <f t="shared" si="10"/>
        <v/>
      </c>
      <c r="D208" s="41"/>
      <c r="E208" s="41"/>
      <c r="F208" s="70"/>
      <c r="G208" s="41"/>
      <c r="H208" s="71"/>
      <c r="I208" s="41"/>
      <c r="J208" s="42"/>
      <c r="K208" s="41"/>
      <c r="L208" s="41"/>
      <c r="M208" s="43"/>
    </row>
    <row r="209" spans="2:13" hidden="1" outlineLevel="1">
      <c r="B209" s="7" t="str">
        <f t="shared" si="11"/>
        <v/>
      </c>
      <c r="C209" s="41" t="str">
        <f t="shared" si="10"/>
        <v/>
      </c>
      <c r="D209" s="41"/>
      <c r="E209" s="41"/>
      <c r="F209" s="70"/>
      <c r="G209" s="41"/>
      <c r="H209" s="71"/>
      <c r="I209" s="41"/>
      <c r="J209" s="42"/>
      <c r="K209" s="41"/>
      <c r="L209" s="41"/>
      <c r="M209" s="43"/>
    </row>
    <row r="210" spans="2:13" hidden="1" outlineLevel="1">
      <c r="B210" s="7" t="str">
        <f t="shared" si="11"/>
        <v/>
      </c>
      <c r="C210" s="41" t="str">
        <f t="shared" si="10"/>
        <v/>
      </c>
      <c r="D210" s="41"/>
      <c r="E210" s="41"/>
      <c r="F210" s="70"/>
      <c r="G210" s="41"/>
      <c r="H210" s="71"/>
      <c r="I210" s="41"/>
      <c r="J210" s="42"/>
      <c r="K210" s="41"/>
      <c r="L210" s="41"/>
      <c r="M210" s="43"/>
    </row>
    <row r="211" spans="2:13" hidden="1" outlineLevel="1">
      <c r="B211" s="7" t="str">
        <f t="shared" si="11"/>
        <v/>
      </c>
      <c r="C211" s="41" t="str">
        <f t="shared" si="10"/>
        <v/>
      </c>
      <c r="D211" s="41"/>
      <c r="E211" s="41"/>
      <c r="F211" s="70"/>
      <c r="G211" s="41"/>
      <c r="H211" s="71"/>
      <c r="I211" s="41"/>
      <c r="J211" s="42"/>
      <c r="K211" s="41"/>
      <c r="L211" s="41"/>
      <c r="M211" s="43"/>
    </row>
    <row r="212" spans="2:13" hidden="1" outlineLevel="1">
      <c r="B212" s="7" t="str">
        <f t="shared" si="11"/>
        <v/>
      </c>
      <c r="C212" s="41" t="str">
        <f t="shared" si="10"/>
        <v/>
      </c>
      <c r="D212" s="41"/>
      <c r="E212" s="41"/>
      <c r="F212" s="70"/>
      <c r="G212" s="41"/>
      <c r="H212" s="71"/>
      <c r="I212" s="41"/>
      <c r="J212" s="42"/>
      <c r="K212" s="41"/>
      <c r="L212" s="41"/>
      <c r="M212" s="43"/>
    </row>
    <row r="213" spans="2:13" hidden="1" outlineLevel="1">
      <c r="B213" s="7" t="str">
        <f t="shared" si="11"/>
        <v/>
      </c>
      <c r="C213" s="41" t="str">
        <f t="shared" si="10"/>
        <v/>
      </c>
      <c r="D213" s="41"/>
      <c r="E213" s="41"/>
      <c r="F213" s="70"/>
      <c r="G213" s="41"/>
      <c r="H213" s="71"/>
      <c r="I213" s="41"/>
      <c r="J213" s="42"/>
      <c r="K213" s="41"/>
      <c r="L213" s="41"/>
      <c r="M213" s="43"/>
    </row>
    <row r="214" spans="2:13" hidden="1" outlineLevel="1">
      <c r="B214" s="7" t="str">
        <f t="shared" si="11"/>
        <v/>
      </c>
      <c r="C214" s="41" t="str">
        <f t="shared" si="10"/>
        <v/>
      </c>
      <c r="D214" s="41"/>
      <c r="E214" s="41"/>
      <c r="F214" s="70"/>
      <c r="G214" s="41"/>
      <c r="H214" s="71"/>
      <c r="I214" s="41"/>
      <c r="J214" s="42"/>
      <c r="K214" s="41"/>
      <c r="L214" s="41"/>
      <c r="M214" s="43"/>
    </row>
    <row r="215" spans="2:13" hidden="1" outlineLevel="1">
      <c r="B215" s="7" t="str">
        <f t="shared" si="11"/>
        <v/>
      </c>
      <c r="C215" s="41" t="str">
        <f t="shared" si="10"/>
        <v/>
      </c>
      <c r="D215" s="41"/>
      <c r="E215" s="41"/>
      <c r="F215" s="70"/>
      <c r="G215" s="41"/>
      <c r="H215" s="71"/>
      <c r="I215" s="41"/>
      <c r="J215" s="42"/>
      <c r="K215" s="41"/>
      <c r="L215" s="41"/>
      <c r="M215" s="43"/>
    </row>
    <row r="216" spans="2:13" hidden="1" outlineLevel="1">
      <c r="B216" s="7" t="str">
        <f t="shared" si="11"/>
        <v/>
      </c>
      <c r="C216" s="41" t="str">
        <f t="shared" si="10"/>
        <v/>
      </c>
      <c r="D216" s="41"/>
      <c r="E216" s="41"/>
      <c r="F216" s="70"/>
      <c r="G216" s="41"/>
      <c r="H216" s="71"/>
      <c r="I216" s="41"/>
      <c r="J216" s="42"/>
      <c r="K216" s="41"/>
      <c r="L216" s="41"/>
      <c r="M216" s="43"/>
    </row>
    <row r="217" spans="2:13" hidden="1" outlineLevel="1">
      <c r="B217" s="7" t="str">
        <f t="shared" si="11"/>
        <v/>
      </c>
      <c r="C217" s="41" t="str">
        <f t="shared" si="10"/>
        <v/>
      </c>
      <c r="D217" s="41"/>
      <c r="E217" s="41"/>
      <c r="F217" s="70"/>
      <c r="G217" s="41"/>
      <c r="H217" s="71"/>
      <c r="I217" s="41"/>
      <c r="J217" s="42"/>
      <c r="K217" s="41"/>
      <c r="L217" s="41"/>
      <c r="M217" s="43"/>
    </row>
    <row r="218" spans="2:13" hidden="1" outlineLevel="1">
      <c r="B218" s="7" t="str">
        <f t="shared" si="11"/>
        <v/>
      </c>
      <c r="C218" s="41" t="str">
        <f t="shared" si="10"/>
        <v/>
      </c>
      <c r="D218" s="41"/>
      <c r="E218" s="41"/>
      <c r="F218" s="70"/>
      <c r="G218" s="41"/>
      <c r="H218" s="71"/>
      <c r="I218" s="41"/>
      <c r="J218" s="42"/>
      <c r="K218" s="41"/>
      <c r="L218" s="41"/>
      <c r="M218" s="43"/>
    </row>
    <row r="219" spans="2:13" hidden="1" outlineLevel="1">
      <c r="B219" s="7" t="str">
        <f t="shared" si="11"/>
        <v/>
      </c>
      <c r="C219" s="41" t="str">
        <f t="shared" si="10"/>
        <v/>
      </c>
      <c r="D219" s="41"/>
      <c r="E219" s="41"/>
      <c r="F219" s="70"/>
      <c r="G219" s="41"/>
      <c r="H219" s="71"/>
      <c r="I219" s="41"/>
      <c r="J219" s="42"/>
      <c r="K219" s="41"/>
      <c r="L219" s="41"/>
      <c r="M219" s="43"/>
    </row>
    <row r="220" spans="2:13" hidden="1" outlineLevel="1">
      <c r="B220" s="7" t="str">
        <f t="shared" si="11"/>
        <v/>
      </c>
      <c r="C220" s="41" t="str">
        <f t="shared" ref="C220:C283" si="12">IF(H220="","",IF(H220="SEM DATA","Sem Info",IF(H220&gt;DATE(1988,12,31),"Após 1988","Até 1988")))</f>
        <v/>
      </c>
      <c r="D220" s="41"/>
      <c r="E220" s="41"/>
      <c r="F220" s="70"/>
      <c r="G220" s="41"/>
      <c r="H220" s="71"/>
      <c r="I220" s="41"/>
      <c r="J220" s="42"/>
      <c r="K220" s="41"/>
      <c r="L220" s="41"/>
      <c r="M220" s="43"/>
    </row>
    <row r="221" spans="2:13" hidden="1" outlineLevel="1">
      <c r="B221" s="7" t="str">
        <f t="shared" ref="B221:B284" si="13">IF(C221="","",(B220+1))</f>
        <v/>
      </c>
      <c r="C221" s="41" t="str">
        <f t="shared" si="12"/>
        <v/>
      </c>
      <c r="D221" s="41"/>
      <c r="E221" s="41"/>
      <c r="F221" s="70"/>
      <c r="G221" s="41"/>
      <c r="H221" s="71"/>
      <c r="I221" s="41"/>
      <c r="J221" s="42"/>
      <c r="K221" s="41"/>
      <c r="L221" s="41"/>
      <c r="M221" s="43"/>
    </row>
    <row r="222" spans="2:13" hidden="1" outlineLevel="1">
      <c r="B222" s="7" t="str">
        <f t="shared" si="13"/>
        <v/>
      </c>
      <c r="C222" s="41" t="str">
        <f t="shared" si="12"/>
        <v/>
      </c>
      <c r="D222" s="41"/>
      <c r="E222" s="41"/>
      <c r="F222" s="70"/>
      <c r="G222" s="41"/>
      <c r="H222" s="71"/>
      <c r="I222" s="41"/>
      <c r="J222" s="42"/>
      <c r="K222" s="41"/>
      <c r="L222" s="41"/>
      <c r="M222" s="43"/>
    </row>
    <row r="223" spans="2:13" hidden="1" outlineLevel="1">
      <c r="B223" s="7" t="str">
        <f t="shared" si="13"/>
        <v/>
      </c>
      <c r="C223" s="41" t="str">
        <f t="shared" si="12"/>
        <v/>
      </c>
      <c r="D223" s="41"/>
      <c r="E223" s="41"/>
      <c r="F223" s="70"/>
      <c r="G223" s="41"/>
      <c r="H223" s="71"/>
      <c r="I223" s="41"/>
      <c r="J223" s="42"/>
      <c r="K223" s="41"/>
      <c r="L223" s="41"/>
      <c r="M223" s="43"/>
    </row>
    <row r="224" spans="2:13" hidden="1" outlineLevel="1">
      <c r="B224" s="7" t="str">
        <f t="shared" si="13"/>
        <v/>
      </c>
      <c r="C224" s="41" t="str">
        <f t="shared" si="12"/>
        <v/>
      </c>
      <c r="D224" s="41"/>
      <c r="E224" s="41"/>
      <c r="F224" s="70"/>
      <c r="G224" s="41"/>
      <c r="H224" s="71"/>
      <c r="I224" s="41"/>
      <c r="J224" s="42"/>
      <c r="K224" s="41"/>
      <c r="L224" s="41"/>
      <c r="M224" s="43"/>
    </row>
    <row r="225" spans="2:13" hidden="1" outlineLevel="1">
      <c r="B225" s="7" t="str">
        <f t="shared" si="13"/>
        <v/>
      </c>
      <c r="C225" s="41" t="str">
        <f t="shared" si="12"/>
        <v/>
      </c>
      <c r="D225" s="41"/>
      <c r="E225" s="41"/>
      <c r="F225" s="70"/>
      <c r="G225" s="41"/>
      <c r="H225" s="71"/>
      <c r="I225" s="41"/>
      <c r="J225" s="42"/>
      <c r="K225" s="41"/>
      <c r="L225" s="41"/>
      <c r="M225" s="43"/>
    </row>
    <row r="226" spans="2:13" hidden="1" outlineLevel="1">
      <c r="B226" s="7" t="str">
        <f t="shared" si="13"/>
        <v/>
      </c>
      <c r="C226" s="41" t="str">
        <f t="shared" si="12"/>
        <v/>
      </c>
      <c r="D226" s="41"/>
      <c r="E226" s="41"/>
      <c r="F226" s="70"/>
      <c r="G226" s="41"/>
      <c r="H226" s="71"/>
      <c r="I226" s="41"/>
      <c r="J226" s="42"/>
      <c r="K226" s="41"/>
      <c r="L226" s="41"/>
      <c r="M226" s="43"/>
    </row>
    <row r="227" spans="2:13" hidden="1" outlineLevel="1">
      <c r="B227" s="7" t="str">
        <f t="shared" si="13"/>
        <v/>
      </c>
      <c r="C227" s="41" t="str">
        <f t="shared" si="12"/>
        <v/>
      </c>
      <c r="D227" s="41"/>
      <c r="E227" s="41"/>
      <c r="F227" s="70"/>
      <c r="G227" s="41"/>
      <c r="H227" s="71"/>
      <c r="I227" s="41"/>
      <c r="J227" s="42"/>
      <c r="K227" s="41"/>
      <c r="L227" s="41"/>
      <c r="M227" s="43"/>
    </row>
    <row r="228" spans="2:13" hidden="1" outlineLevel="1">
      <c r="B228" s="7" t="str">
        <f t="shared" si="13"/>
        <v/>
      </c>
      <c r="C228" s="41" t="str">
        <f t="shared" si="12"/>
        <v/>
      </c>
      <c r="D228" s="41"/>
      <c r="E228" s="41"/>
      <c r="F228" s="70"/>
      <c r="G228" s="41"/>
      <c r="H228" s="71"/>
      <c r="I228" s="41"/>
      <c r="J228" s="42"/>
      <c r="K228" s="41"/>
      <c r="L228" s="41"/>
      <c r="M228" s="43"/>
    </row>
    <row r="229" spans="2:13" hidden="1" outlineLevel="1">
      <c r="B229" s="7" t="str">
        <f t="shared" si="13"/>
        <v/>
      </c>
      <c r="C229" s="41" t="str">
        <f t="shared" si="12"/>
        <v/>
      </c>
      <c r="D229" s="41"/>
      <c r="E229" s="41"/>
      <c r="F229" s="70"/>
      <c r="G229" s="41"/>
      <c r="H229" s="71"/>
      <c r="I229" s="41"/>
      <c r="J229" s="42"/>
      <c r="K229" s="41"/>
      <c r="L229" s="41"/>
      <c r="M229" s="43"/>
    </row>
    <row r="230" spans="2:13" hidden="1" outlineLevel="1">
      <c r="B230" s="7" t="str">
        <f t="shared" si="13"/>
        <v/>
      </c>
      <c r="C230" s="41" t="str">
        <f t="shared" si="12"/>
        <v/>
      </c>
      <c r="D230" s="41"/>
      <c r="E230" s="41"/>
      <c r="F230" s="70"/>
      <c r="G230" s="41"/>
      <c r="H230" s="71"/>
      <c r="I230" s="41"/>
      <c r="J230" s="42"/>
      <c r="K230" s="41"/>
      <c r="L230" s="41"/>
      <c r="M230" s="43"/>
    </row>
    <row r="231" spans="2:13" hidden="1" outlineLevel="1">
      <c r="B231" s="7" t="str">
        <f t="shared" si="13"/>
        <v/>
      </c>
      <c r="C231" s="41" t="str">
        <f t="shared" si="12"/>
        <v/>
      </c>
      <c r="D231" s="41"/>
      <c r="E231" s="41"/>
      <c r="F231" s="70"/>
      <c r="G231" s="41"/>
      <c r="H231" s="71"/>
      <c r="I231" s="41"/>
      <c r="J231" s="42"/>
      <c r="K231" s="41"/>
      <c r="L231" s="41"/>
      <c r="M231" s="43"/>
    </row>
    <row r="232" spans="2:13" hidden="1" outlineLevel="1">
      <c r="B232" s="7" t="str">
        <f t="shared" si="13"/>
        <v/>
      </c>
      <c r="C232" s="41" t="str">
        <f t="shared" si="12"/>
        <v/>
      </c>
      <c r="D232" s="41"/>
      <c r="E232" s="41"/>
      <c r="F232" s="70"/>
      <c r="G232" s="41"/>
      <c r="H232" s="71"/>
      <c r="I232" s="41"/>
      <c r="J232" s="42"/>
      <c r="K232" s="41"/>
      <c r="L232" s="41"/>
      <c r="M232" s="43"/>
    </row>
    <row r="233" spans="2:13" hidden="1" outlineLevel="1">
      <c r="B233" s="7" t="str">
        <f t="shared" si="13"/>
        <v/>
      </c>
      <c r="C233" s="41" t="str">
        <f t="shared" si="12"/>
        <v/>
      </c>
      <c r="D233" s="41"/>
      <c r="E233" s="41"/>
      <c r="F233" s="70"/>
      <c r="G233" s="41"/>
      <c r="H233" s="71"/>
      <c r="I233" s="41"/>
      <c r="J233" s="42"/>
      <c r="K233" s="41"/>
      <c r="L233" s="41"/>
      <c r="M233" s="43"/>
    </row>
    <row r="234" spans="2:13" hidden="1" outlineLevel="1">
      <c r="B234" s="7" t="str">
        <f t="shared" si="13"/>
        <v/>
      </c>
      <c r="C234" s="41" t="str">
        <f t="shared" si="12"/>
        <v/>
      </c>
      <c r="D234" s="41"/>
      <c r="E234" s="41"/>
      <c r="F234" s="70"/>
      <c r="G234" s="41"/>
      <c r="H234" s="71"/>
      <c r="I234" s="41"/>
      <c r="J234" s="42"/>
      <c r="K234" s="41"/>
      <c r="L234" s="41"/>
      <c r="M234" s="43"/>
    </row>
    <row r="235" spans="2:13" hidden="1" outlineLevel="1">
      <c r="B235" s="7" t="str">
        <f t="shared" si="13"/>
        <v/>
      </c>
      <c r="C235" s="41" t="str">
        <f t="shared" si="12"/>
        <v/>
      </c>
      <c r="D235" s="41"/>
      <c r="E235" s="41"/>
      <c r="F235" s="70"/>
      <c r="G235" s="41"/>
      <c r="H235" s="71"/>
      <c r="I235" s="41"/>
      <c r="J235" s="42"/>
      <c r="K235" s="41"/>
      <c r="L235" s="41"/>
      <c r="M235" s="43"/>
    </row>
    <row r="236" spans="2:13" hidden="1" outlineLevel="1">
      <c r="B236" s="7" t="str">
        <f t="shared" si="13"/>
        <v/>
      </c>
      <c r="C236" s="41" t="str">
        <f t="shared" si="12"/>
        <v/>
      </c>
      <c r="D236" s="41"/>
      <c r="E236" s="41"/>
      <c r="F236" s="70"/>
      <c r="G236" s="41"/>
      <c r="H236" s="71"/>
      <c r="I236" s="41"/>
      <c r="J236" s="42"/>
      <c r="K236" s="41"/>
      <c r="L236" s="41"/>
      <c r="M236" s="43"/>
    </row>
    <row r="237" spans="2:13" hidden="1" outlineLevel="1">
      <c r="B237" s="7" t="str">
        <f t="shared" si="13"/>
        <v/>
      </c>
      <c r="C237" s="41" t="str">
        <f t="shared" si="12"/>
        <v/>
      </c>
      <c r="D237" s="41"/>
      <c r="E237" s="41"/>
      <c r="F237" s="70"/>
      <c r="G237" s="41"/>
      <c r="H237" s="71"/>
      <c r="I237" s="41"/>
      <c r="J237" s="42"/>
      <c r="K237" s="41"/>
      <c r="L237" s="41"/>
      <c r="M237" s="43"/>
    </row>
    <row r="238" spans="2:13" hidden="1" outlineLevel="1">
      <c r="B238" s="7" t="str">
        <f t="shared" si="13"/>
        <v/>
      </c>
      <c r="C238" s="41" t="str">
        <f t="shared" si="12"/>
        <v/>
      </c>
      <c r="D238" s="41"/>
      <c r="E238" s="41"/>
      <c r="F238" s="70"/>
      <c r="G238" s="41"/>
      <c r="H238" s="71"/>
      <c r="I238" s="41"/>
      <c r="J238" s="42"/>
      <c r="K238" s="41"/>
      <c r="L238" s="41"/>
      <c r="M238" s="43"/>
    </row>
    <row r="239" spans="2:13" hidden="1" outlineLevel="1">
      <c r="B239" s="7" t="str">
        <f t="shared" si="13"/>
        <v/>
      </c>
      <c r="C239" s="41" t="str">
        <f t="shared" si="12"/>
        <v/>
      </c>
      <c r="D239" s="41"/>
      <c r="E239" s="41"/>
      <c r="F239" s="70"/>
      <c r="G239" s="41"/>
      <c r="H239" s="71"/>
      <c r="I239" s="41"/>
      <c r="J239" s="42"/>
      <c r="K239" s="41"/>
      <c r="L239" s="41"/>
      <c r="M239" s="43"/>
    </row>
    <row r="240" spans="2:13" hidden="1" outlineLevel="1">
      <c r="B240" s="7" t="str">
        <f t="shared" si="13"/>
        <v/>
      </c>
      <c r="C240" s="41" t="str">
        <f t="shared" si="12"/>
        <v/>
      </c>
      <c r="D240" s="41"/>
      <c r="E240" s="41"/>
      <c r="F240" s="70"/>
      <c r="G240" s="41"/>
      <c r="H240" s="71"/>
      <c r="I240" s="41"/>
      <c r="J240" s="42"/>
      <c r="K240" s="41"/>
      <c r="L240" s="41"/>
      <c r="M240" s="43"/>
    </row>
    <row r="241" spans="2:13" hidden="1" outlineLevel="1">
      <c r="B241" s="7" t="str">
        <f t="shared" si="13"/>
        <v/>
      </c>
      <c r="C241" s="41" t="str">
        <f t="shared" si="12"/>
        <v/>
      </c>
      <c r="D241" s="41"/>
      <c r="E241" s="41"/>
      <c r="F241" s="70"/>
      <c r="G241" s="41"/>
      <c r="H241" s="71"/>
      <c r="I241" s="41"/>
      <c r="J241" s="42"/>
      <c r="K241" s="41"/>
      <c r="L241" s="41"/>
      <c r="M241" s="43"/>
    </row>
    <row r="242" spans="2:13" hidden="1" outlineLevel="1">
      <c r="B242" s="7" t="str">
        <f t="shared" si="13"/>
        <v/>
      </c>
      <c r="C242" s="41" t="str">
        <f t="shared" si="12"/>
        <v/>
      </c>
      <c r="D242" s="41"/>
      <c r="E242" s="41"/>
      <c r="F242" s="70"/>
      <c r="G242" s="41"/>
      <c r="H242" s="71"/>
      <c r="I242" s="41"/>
      <c r="J242" s="42"/>
      <c r="K242" s="41"/>
      <c r="L242" s="41"/>
      <c r="M242" s="43"/>
    </row>
    <row r="243" spans="2:13" hidden="1" outlineLevel="1">
      <c r="B243" s="7" t="str">
        <f t="shared" si="13"/>
        <v/>
      </c>
      <c r="C243" s="41" t="str">
        <f t="shared" si="12"/>
        <v/>
      </c>
      <c r="D243" s="41"/>
      <c r="E243" s="41"/>
      <c r="F243" s="70"/>
      <c r="G243" s="41"/>
      <c r="H243" s="71"/>
      <c r="I243" s="41"/>
      <c r="J243" s="42"/>
      <c r="K243" s="41"/>
      <c r="L243" s="41"/>
      <c r="M243" s="43"/>
    </row>
    <row r="244" spans="2:13" hidden="1" outlineLevel="1">
      <c r="B244" s="7" t="str">
        <f t="shared" si="13"/>
        <v/>
      </c>
      <c r="C244" s="41" t="str">
        <f t="shared" si="12"/>
        <v/>
      </c>
      <c r="D244" s="41"/>
      <c r="E244" s="41"/>
      <c r="F244" s="70"/>
      <c r="G244" s="41"/>
      <c r="H244" s="71"/>
      <c r="I244" s="41"/>
      <c r="J244" s="42"/>
      <c r="K244" s="41"/>
      <c r="L244" s="41"/>
      <c r="M244" s="43"/>
    </row>
    <row r="245" spans="2:13" hidden="1" outlineLevel="1">
      <c r="B245" s="7" t="str">
        <f t="shared" si="13"/>
        <v/>
      </c>
      <c r="C245" s="41" t="str">
        <f t="shared" si="12"/>
        <v/>
      </c>
      <c r="D245" s="41"/>
      <c r="E245" s="41"/>
      <c r="F245" s="70"/>
      <c r="G245" s="41"/>
      <c r="H245" s="71"/>
      <c r="I245" s="41"/>
      <c r="J245" s="42"/>
      <c r="K245" s="41"/>
      <c r="L245" s="41"/>
      <c r="M245" s="43"/>
    </row>
    <row r="246" spans="2:13" hidden="1" outlineLevel="1">
      <c r="B246" s="7" t="str">
        <f t="shared" si="13"/>
        <v/>
      </c>
      <c r="C246" s="41" t="str">
        <f t="shared" si="12"/>
        <v/>
      </c>
      <c r="D246" s="41"/>
      <c r="E246" s="41"/>
      <c r="F246" s="70"/>
      <c r="G246" s="41"/>
      <c r="H246" s="71"/>
      <c r="I246" s="41"/>
      <c r="J246" s="42"/>
      <c r="K246" s="41"/>
      <c r="L246" s="41"/>
      <c r="M246" s="43"/>
    </row>
    <row r="247" spans="2:13" hidden="1" outlineLevel="1">
      <c r="B247" s="7" t="str">
        <f t="shared" si="13"/>
        <v/>
      </c>
      <c r="C247" s="41" t="str">
        <f t="shared" si="12"/>
        <v/>
      </c>
      <c r="D247" s="41"/>
      <c r="E247" s="41"/>
      <c r="F247" s="70"/>
      <c r="G247" s="41"/>
      <c r="H247" s="71"/>
      <c r="I247" s="41"/>
      <c r="J247" s="42"/>
      <c r="K247" s="41"/>
      <c r="L247" s="41"/>
      <c r="M247" s="43"/>
    </row>
    <row r="248" spans="2:13" hidden="1" outlineLevel="1">
      <c r="B248" s="7" t="str">
        <f t="shared" si="13"/>
        <v/>
      </c>
      <c r="C248" s="41" t="str">
        <f t="shared" si="12"/>
        <v/>
      </c>
      <c r="D248" s="41"/>
      <c r="E248" s="41"/>
      <c r="F248" s="70"/>
      <c r="G248" s="41"/>
      <c r="H248" s="71"/>
      <c r="I248" s="41"/>
      <c r="J248" s="42"/>
      <c r="K248" s="41"/>
      <c r="L248" s="41"/>
      <c r="M248" s="43"/>
    </row>
    <row r="249" spans="2:13" hidden="1" outlineLevel="1">
      <c r="B249" s="7" t="str">
        <f t="shared" si="13"/>
        <v/>
      </c>
      <c r="C249" s="41" t="str">
        <f t="shared" si="12"/>
        <v/>
      </c>
      <c r="D249" s="41"/>
      <c r="E249" s="41"/>
      <c r="F249" s="70"/>
      <c r="G249" s="41"/>
      <c r="H249" s="71"/>
      <c r="I249" s="41"/>
      <c r="J249" s="42"/>
      <c r="K249" s="41"/>
      <c r="L249" s="41"/>
      <c r="M249" s="43"/>
    </row>
    <row r="250" spans="2:13" hidden="1" outlineLevel="1">
      <c r="B250" s="7" t="str">
        <f t="shared" si="13"/>
        <v/>
      </c>
      <c r="C250" s="41" t="str">
        <f t="shared" si="12"/>
        <v/>
      </c>
      <c r="D250" s="41"/>
      <c r="E250" s="41"/>
      <c r="F250" s="70"/>
      <c r="G250" s="41"/>
      <c r="H250" s="71"/>
      <c r="I250" s="41"/>
      <c r="J250" s="42"/>
      <c r="K250" s="41"/>
      <c r="L250" s="41"/>
      <c r="M250" s="43"/>
    </row>
    <row r="251" spans="2:13" hidden="1" outlineLevel="1">
      <c r="B251" s="7" t="str">
        <f t="shared" si="13"/>
        <v/>
      </c>
      <c r="C251" s="41" t="str">
        <f t="shared" si="12"/>
        <v/>
      </c>
      <c r="D251" s="41"/>
      <c r="E251" s="41"/>
      <c r="F251" s="70"/>
      <c r="G251" s="41"/>
      <c r="H251" s="71"/>
      <c r="I251" s="41"/>
      <c r="J251" s="42"/>
      <c r="K251" s="41"/>
      <c r="L251" s="41"/>
      <c r="M251" s="43"/>
    </row>
    <row r="252" spans="2:13" hidden="1" outlineLevel="1">
      <c r="B252" s="7" t="str">
        <f t="shared" si="13"/>
        <v/>
      </c>
      <c r="C252" s="41" t="str">
        <f t="shared" si="12"/>
        <v/>
      </c>
      <c r="D252" s="41"/>
      <c r="E252" s="41"/>
      <c r="F252" s="70"/>
      <c r="G252" s="41"/>
      <c r="H252" s="71"/>
      <c r="I252" s="41"/>
      <c r="J252" s="42"/>
      <c r="K252" s="41"/>
      <c r="L252" s="41"/>
      <c r="M252" s="43"/>
    </row>
    <row r="253" spans="2:13" hidden="1" outlineLevel="1">
      <c r="B253" s="7" t="str">
        <f t="shared" si="13"/>
        <v/>
      </c>
      <c r="C253" s="41" t="str">
        <f t="shared" si="12"/>
        <v/>
      </c>
      <c r="D253" s="41"/>
      <c r="E253" s="41"/>
      <c r="F253" s="70"/>
      <c r="G253" s="41"/>
      <c r="H253" s="71"/>
      <c r="I253" s="41"/>
      <c r="J253" s="42"/>
      <c r="K253" s="41"/>
      <c r="L253" s="41"/>
      <c r="M253" s="43"/>
    </row>
    <row r="254" spans="2:13" hidden="1" outlineLevel="1">
      <c r="B254" s="7" t="str">
        <f t="shared" si="13"/>
        <v/>
      </c>
      <c r="C254" s="41" t="str">
        <f t="shared" si="12"/>
        <v/>
      </c>
      <c r="D254" s="41"/>
      <c r="E254" s="41"/>
      <c r="F254" s="70"/>
      <c r="G254" s="41"/>
      <c r="H254" s="71"/>
      <c r="I254" s="41"/>
      <c r="J254" s="42"/>
      <c r="K254" s="41"/>
      <c r="L254" s="41"/>
      <c r="M254" s="43"/>
    </row>
    <row r="255" spans="2:13" hidden="1" outlineLevel="1">
      <c r="B255" s="7" t="str">
        <f t="shared" si="13"/>
        <v/>
      </c>
      <c r="C255" s="41" t="str">
        <f t="shared" si="12"/>
        <v/>
      </c>
      <c r="D255" s="41"/>
      <c r="E255" s="41"/>
      <c r="F255" s="70"/>
      <c r="G255" s="41"/>
      <c r="H255" s="71"/>
      <c r="I255" s="41"/>
      <c r="J255" s="42"/>
      <c r="K255" s="41"/>
      <c r="L255" s="41"/>
      <c r="M255" s="43"/>
    </row>
    <row r="256" spans="2:13" hidden="1" outlineLevel="1">
      <c r="B256" s="7" t="str">
        <f t="shared" si="13"/>
        <v/>
      </c>
      <c r="C256" s="41" t="str">
        <f t="shared" si="12"/>
        <v/>
      </c>
      <c r="D256" s="41"/>
      <c r="E256" s="41"/>
      <c r="F256" s="70"/>
      <c r="G256" s="41"/>
      <c r="H256" s="71"/>
      <c r="I256" s="41"/>
      <c r="J256" s="42"/>
      <c r="K256" s="41"/>
      <c r="L256" s="41"/>
      <c r="M256" s="43"/>
    </row>
    <row r="257" spans="2:13" hidden="1" outlineLevel="1">
      <c r="B257" s="7" t="str">
        <f t="shared" si="13"/>
        <v/>
      </c>
      <c r="C257" s="41" t="str">
        <f t="shared" si="12"/>
        <v/>
      </c>
      <c r="D257" s="41"/>
      <c r="E257" s="41"/>
      <c r="F257" s="70"/>
      <c r="G257" s="41"/>
      <c r="H257" s="71"/>
      <c r="I257" s="41"/>
      <c r="J257" s="42"/>
      <c r="K257" s="41"/>
      <c r="L257" s="41"/>
      <c r="M257" s="43"/>
    </row>
    <row r="258" spans="2:13" hidden="1" outlineLevel="1">
      <c r="B258" s="7" t="str">
        <f t="shared" si="13"/>
        <v/>
      </c>
      <c r="C258" s="41" t="str">
        <f t="shared" si="12"/>
        <v/>
      </c>
      <c r="D258" s="41"/>
      <c r="E258" s="41"/>
      <c r="F258" s="70"/>
      <c r="G258" s="41"/>
      <c r="H258" s="71"/>
      <c r="I258" s="41"/>
      <c r="J258" s="42"/>
      <c r="K258" s="41"/>
      <c r="L258" s="41"/>
      <c r="M258" s="43"/>
    </row>
    <row r="259" spans="2:13" hidden="1" outlineLevel="1">
      <c r="B259" s="7" t="str">
        <f t="shared" si="13"/>
        <v/>
      </c>
      <c r="C259" s="41" t="str">
        <f t="shared" si="12"/>
        <v/>
      </c>
      <c r="D259" s="41"/>
      <c r="E259" s="41"/>
      <c r="F259" s="70"/>
      <c r="G259" s="41"/>
      <c r="H259" s="71"/>
      <c r="I259" s="41"/>
      <c r="J259" s="42"/>
      <c r="K259" s="41"/>
      <c r="L259" s="41"/>
      <c r="M259" s="43"/>
    </row>
    <row r="260" spans="2:13" hidden="1" outlineLevel="1">
      <c r="B260" s="7" t="str">
        <f t="shared" si="13"/>
        <v/>
      </c>
      <c r="C260" s="41" t="str">
        <f t="shared" si="12"/>
        <v/>
      </c>
      <c r="D260" s="41"/>
      <c r="E260" s="41"/>
      <c r="F260" s="70"/>
      <c r="G260" s="41"/>
      <c r="H260" s="71"/>
      <c r="I260" s="41"/>
      <c r="J260" s="42"/>
      <c r="K260" s="41"/>
      <c r="L260" s="41"/>
      <c r="M260" s="43"/>
    </row>
    <row r="261" spans="2:13" hidden="1" outlineLevel="1">
      <c r="B261" s="7" t="str">
        <f t="shared" si="13"/>
        <v/>
      </c>
      <c r="C261" s="41" t="str">
        <f t="shared" si="12"/>
        <v/>
      </c>
      <c r="D261" s="41"/>
      <c r="E261" s="41"/>
      <c r="F261" s="70"/>
      <c r="G261" s="41"/>
      <c r="H261" s="71"/>
      <c r="I261" s="41"/>
      <c r="J261" s="42"/>
      <c r="K261" s="41"/>
      <c r="L261" s="41"/>
      <c r="M261" s="43"/>
    </row>
    <row r="262" spans="2:13" hidden="1" outlineLevel="1">
      <c r="B262" s="7" t="str">
        <f t="shared" si="13"/>
        <v/>
      </c>
      <c r="C262" s="41" t="str">
        <f t="shared" si="12"/>
        <v/>
      </c>
      <c r="D262" s="41"/>
      <c r="E262" s="41"/>
      <c r="F262" s="70"/>
      <c r="G262" s="41"/>
      <c r="H262" s="71"/>
      <c r="I262" s="41"/>
      <c r="J262" s="42"/>
      <c r="K262" s="41"/>
      <c r="L262" s="41"/>
      <c r="M262" s="43"/>
    </row>
    <row r="263" spans="2:13" hidden="1" outlineLevel="1">
      <c r="B263" s="7" t="str">
        <f t="shared" si="13"/>
        <v/>
      </c>
      <c r="C263" s="41" t="str">
        <f t="shared" si="12"/>
        <v/>
      </c>
      <c r="D263" s="41"/>
      <c r="E263" s="41"/>
      <c r="F263" s="70"/>
      <c r="G263" s="41"/>
      <c r="H263" s="71"/>
      <c r="I263" s="41"/>
      <c r="J263" s="42"/>
      <c r="K263" s="41"/>
      <c r="L263" s="41"/>
      <c r="M263" s="43"/>
    </row>
    <row r="264" spans="2:13" hidden="1" outlineLevel="1">
      <c r="B264" s="7" t="str">
        <f t="shared" si="13"/>
        <v/>
      </c>
      <c r="C264" s="41" t="str">
        <f t="shared" si="12"/>
        <v/>
      </c>
      <c r="D264" s="41"/>
      <c r="E264" s="41"/>
      <c r="F264" s="70"/>
      <c r="G264" s="41"/>
      <c r="H264" s="71"/>
      <c r="I264" s="41"/>
      <c r="J264" s="42"/>
      <c r="K264" s="41"/>
      <c r="L264" s="41"/>
      <c r="M264" s="43"/>
    </row>
    <row r="265" spans="2:13" hidden="1" outlineLevel="1">
      <c r="B265" s="7" t="str">
        <f t="shared" si="13"/>
        <v/>
      </c>
      <c r="C265" s="41" t="str">
        <f t="shared" si="12"/>
        <v/>
      </c>
      <c r="D265" s="41"/>
      <c r="E265" s="41"/>
      <c r="F265" s="70"/>
      <c r="G265" s="41"/>
      <c r="H265" s="71"/>
      <c r="I265" s="41"/>
      <c r="J265" s="42"/>
      <c r="K265" s="41"/>
      <c r="L265" s="41"/>
      <c r="M265" s="43"/>
    </row>
    <row r="266" spans="2:13" hidden="1" outlineLevel="1">
      <c r="B266" s="7" t="str">
        <f t="shared" si="13"/>
        <v/>
      </c>
      <c r="C266" s="41" t="str">
        <f t="shared" si="12"/>
        <v/>
      </c>
      <c r="D266" s="41"/>
      <c r="E266" s="41"/>
      <c r="F266" s="70"/>
      <c r="G266" s="41"/>
      <c r="H266" s="71"/>
      <c r="I266" s="41"/>
      <c r="J266" s="42"/>
      <c r="K266" s="41"/>
      <c r="L266" s="41"/>
      <c r="M266" s="43"/>
    </row>
    <row r="267" spans="2:13" hidden="1" outlineLevel="1">
      <c r="B267" s="7" t="str">
        <f t="shared" si="13"/>
        <v/>
      </c>
      <c r="C267" s="41" t="str">
        <f t="shared" si="12"/>
        <v/>
      </c>
      <c r="D267" s="41"/>
      <c r="E267" s="41"/>
      <c r="F267" s="70"/>
      <c r="G267" s="41"/>
      <c r="H267" s="71"/>
      <c r="I267" s="41"/>
      <c r="J267" s="42"/>
      <c r="K267" s="41"/>
      <c r="L267" s="41"/>
      <c r="M267" s="43"/>
    </row>
    <row r="268" spans="2:13" hidden="1" outlineLevel="1">
      <c r="B268" s="7" t="str">
        <f t="shared" si="13"/>
        <v/>
      </c>
      <c r="C268" s="41" t="str">
        <f t="shared" si="12"/>
        <v/>
      </c>
      <c r="D268" s="41"/>
      <c r="E268" s="41"/>
      <c r="F268" s="70"/>
      <c r="G268" s="41"/>
      <c r="H268" s="71"/>
      <c r="I268" s="41"/>
      <c r="J268" s="42"/>
      <c r="K268" s="41"/>
      <c r="L268" s="41"/>
      <c r="M268" s="43"/>
    </row>
    <row r="269" spans="2:13" hidden="1" outlineLevel="1">
      <c r="B269" s="7" t="str">
        <f t="shared" si="13"/>
        <v/>
      </c>
      <c r="C269" s="41" t="str">
        <f t="shared" si="12"/>
        <v/>
      </c>
      <c r="D269" s="41"/>
      <c r="E269" s="41"/>
      <c r="F269" s="70"/>
      <c r="G269" s="41"/>
      <c r="H269" s="71"/>
      <c r="I269" s="41"/>
      <c r="J269" s="42"/>
      <c r="K269" s="41"/>
      <c r="L269" s="41"/>
      <c r="M269" s="43"/>
    </row>
    <row r="270" spans="2:13" hidden="1" outlineLevel="1">
      <c r="B270" s="7" t="str">
        <f t="shared" si="13"/>
        <v/>
      </c>
      <c r="C270" s="41" t="str">
        <f t="shared" si="12"/>
        <v/>
      </c>
      <c r="D270" s="41"/>
      <c r="E270" s="41"/>
      <c r="F270" s="70"/>
      <c r="G270" s="41"/>
      <c r="H270" s="71"/>
      <c r="I270" s="41"/>
      <c r="J270" s="42"/>
      <c r="K270" s="41"/>
      <c r="L270" s="41"/>
      <c r="M270" s="43"/>
    </row>
    <row r="271" spans="2:13" hidden="1" outlineLevel="1">
      <c r="B271" s="7" t="str">
        <f t="shared" si="13"/>
        <v/>
      </c>
      <c r="C271" s="41" t="str">
        <f t="shared" si="12"/>
        <v/>
      </c>
      <c r="D271" s="41"/>
      <c r="E271" s="41"/>
      <c r="F271" s="70"/>
      <c r="G271" s="41"/>
      <c r="H271" s="71"/>
      <c r="I271" s="41"/>
      <c r="J271" s="42"/>
      <c r="K271" s="41"/>
      <c r="L271" s="41"/>
      <c r="M271" s="43"/>
    </row>
    <row r="272" spans="2:13" hidden="1" outlineLevel="1">
      <c r="B272" s="7" t="str">
        <f t="shared" si="13"/>
        <v/>
      </c>
      <c r="C272" s="41" t="str">
        <f t="shared" si="12"/>
        <v/>
      </c>
      <c r="D272" s="41"/>
      <c r="E272" s="41"/>
      <c r="F272" s="70"/>
      <c r="G272" s="41"/>
      <c r="H272" s="71"/>
      <c r="I272" s="41"/>
      <c r="J272" s="42"/>
      <c r="K272" s="41"/>
      <c r="L272" s="41"/>
      <c r="M272" s="43"/>
    </row>
    <row r="273" spans="2:13" hidden="1" outlineLevel="1">
      <c r="B273" s="7" t="str">
        <f t="shared" si="13"/>
        <v/>
      </c>
      <c r="C273" s="41" t="str">
        <f t="shared" si="12"/>
        <v/>
      </c>
      <c r="D273" s="41"/>
      <c r="E273" s="41"/>
      <c r="F273" s="70"/>
      <c r="G273" s="41"/>
      <c r="H273" s="71"/>
      <c r="I273" s="41"/>
      <c r="J273" s="42"/>
      <c r="K273" s="41"/>
      <c r="L273" s="41"/>
      <c r="M273" s="43"/>
    </row>
    <row r="274" spans="2:13" hidden="1" outlineLevel="1">
      <c r="B274" s="7" t="str">
        <f t="shared" si="13"/>
        <v/>
      </c>
      <c r="C274" s="41" t="str">
        <f t="shared" si="12"/>
        <v/>
      </c>
      <c r="D274" s="41"/>
      <c r="E274" s="41"/>
      <c r="F274" s="70"/>
      <c r="G274" s="41"/>
      <c r="H274" s="71"/>
      <c r="I274" s="41"/>
      <c r="J274" s="42"/>
      <c r="K274" s="41"/>
      <c r="L274" s="41"/>
      <c r="M274" s="43"/>
    </row>
    <row r="275" spans="2:13" hidden="1" outlineLevel="1">
      <c r="B275" s="7" t="str">
        <f t="shared" si="13"/>
        <v/>
      </c>
      <c r="C275" s="41" t="str">
        <f t="shared" si="12"/>
        <v/>
      </c>
      <c r="D275" s="41"/>
      <c r="E275" s="41"/>
      <c r="F275" s="70"/>
      <c r="G275" s="41"/>
      <c r="H275" s="71"/>
      <c r="I275" s="41"/>
      <c r="J275" s="42"/>
      <c r="K275" s="41"/>
      <c r="L275" s="41"/>
      <c r="M275" s="43"/>
    </row>
    <row r="276" spans="2:13" hidden="1" outlineLevel="1">
      <c r="B276" s="7" t="str">
        <f t="shared" si="13"/>
        <v/>
      </c>
      <c r="C276" s="41" t="str">
        <f t="shared" si="12"/>
        <v/>
      </c>
      <c r="D276" s="41"/>
      <c r="E276" s="41"/>
      <c r="F276" s="70"/>
      <c r="G276" s="41"/>
      <c r="H276" s="71"/>
      <c r="I276" s="41"/>
      <c r="J276" s="42"/>
      <c r="K276" s="41"/>
      <c r="L276" s="41"/>
      <c r="M276" s="43"/>
    </row>
    <row r="277" spans="2:13" hidden="1" outlineLevel="1">
      <c r="B277" s="7" t="str">
        <f t="shared" si="13"/>
        <v/>
      </c>
      <c r="C277" s="41" t="str">
        <f t="shared" si="12"/>
        <v/>
      </c>
      <c r="D277" s="41"/>
      <c r="E277" s="41"/>
      <c r="F277" s="70"/>
      <c r="G277" s="41"/>
      <c r="H277" s="71"/>
      <c r="I277" s="41"/>
      <c r="J277" s="42"/>
      <c r="K277" s="41"/>
      <c r="L277" s="41"/>
      <c r="M277" s="43"/>
    </row>
    <row r="278" spans="2:13" hidden="1" outlineLevel="1">
      <c r="B278" s="7" t="str">
        <f t="shared" si="13"/>
        <v/>
      </c>
      <c r="C278" s="41" t="str">
        <f t="shared" si="12"/>
        <v/>
      </c>
      <c r="D278" s="41"/>
      <c r="E278" s="41"/>
      <c r="F278" s="70"/>
      <c r="G278" s="41"/>
      <c r="H278" s="71"/>
      <c r="I278" s="41"/>
      <c r="J278" s="42"/>
      <c r="K278" s="41"/>
      <c r="L278" s="41"/>
      <c r="M278" s="43"/>
    </row>
    <row r="279" spans="2:13" hidden="1" outlineLevel="1">
      <c r="B279" s="7" t="str">
        <f t="shared" si="13"/>
        <v/>
      </c>
      <c r="C279" s="41" t="str">
        <f t="shared" si="12"/>
        <v/>
      </c>
      <c r="D279" s="41"/>
      <c r="E279" s="41"/>
      <c r="F279" s="70"/>
      <c r="G279" s="41"/>
      <c r="H279" s="71"/>
      <c r="I279" s="41"/>
      <c r="J279" s="42"/>
      <c r="K279" s="41"/>
      <c r="L279" s="41"/>
      <c r="M279" s="43"/>
    </row>
    <row r="280" spans="2:13" hidden="1" outlineLevel="1">
      <c r="B280" s="7" t="str">
        <f t="shared" si="13"/>
        <v/>
      </c>
      <c r="C280" s="41" t="str">
        <f t="shared" si="12"/>
        <v/>
      </c>
      <c r="D280" s="41"/>
      <c r="E280" s="41"/>
      <c r="F280" s="70"/>
      <c r="G280" s="41"/>
      <c r="H280" s="71"/>
      <c r="I280" s="41"/>
      <c r="J280" s="42"/>
      <c r="K280" s="41"/>
      <c r="L280" s="41"/>
      <c r="M280" s="43"/>
    </row>
    <row r="281" spans="2:13" hidden="1" outlineLevel="1">
      <c r="B281" s="7" t="str">
        <f t="shared" si="13"/>
        <v/>
      </c>
      <c r="C281" s="41" t="str">
        <f t="shared" si="12"/>
        <v/>
      </c>
      <c r="D281" s="41"/>
      <c r="E281" s="41"/>
      <c r="F281" s="70"/>
      <c r="G281" s="41"/>
      <c r="H281" s="71"/>
      <c r="I281" s="41"/>
      <c r="J281" s="42"/>
      <c r="K281" s="41"/>
      <c r="L281" s="41"/>
      <c r="M281" s="43"/>
    </row>
    <row r="282" spans="2:13" hidden="1" outlineLevel="1">
      <c r="B282" s="7" t="str">
        <f t="shared" si="13"/>
        <v/>
      </c>
      <c r="C282" s="41" t="str">
        <f t="shared" si="12"/>
        <v/>
      </c>
      <c r="D282" s="41"/>
      <c r="E282" s="41"/>
      <c r="F282" s="70"/>
      <c r="G282" s="41"/>
      <c r="H282" s="71"/>
      <c r="I282" s="41"/>
      <c r="J282" s="42"/>
      <c r="K282" s="41"/>
      <c r="L282" s="41"/>
      <c r="M282" s="43"/>
    </row>
    <row r="283" spans="2:13" hidden="1" outlineLevel="1">
      <c r="B283" s="7" t="str">
        <f t="shared" si="13"/>
        <v/>
      </c>
      <c r="C283" s="41" t="str">
        <f t="shared" si="12"/>
        <v/>
      </c>
      <c r="D283" s="41"/>
      <c r="E283" s="41"/>
      <c r="F283" s="70"/>
      <c r="G283" s="41"/>
      <c r="H283" s="71"/>
      <c r="I283" s="41"/>
      <c r="J283" s="42"/>
      <c r="K283" s="41"/>
      <c r="L283" s="41"/>
      <c r="M283" s="43"/>
    </row>
    <row r="284" spans="2:13" hidden="1" outlineLevel="1">
      <c r="B284" s="7" t="str">
        <f t="shared" si="13"/>
        <v/>
      </c>
      <c r="C284" s="41" t="str">
        <f t="shared" ref="C284:C342" si="14">IF(H284="","",IF(H284="SEM DATA","Sem Info",IF(H284&gt;DATE(1988,12,31),"Após 1988","Até 1988")))</f>
        <v/>
      </c>
      <c r="D284" s="41"/>
      <c r="E284" s="41"/>
      <c r="F284" s="70"/>
      <c r="G284" s="41"/>
      <c r="H284" s="71"/>
      <c r="I284" s="41"/>
      <c r="J284" s="42"/>
      <c r="K284" s="41"/>
      <c r="L284" s="41"/>
      <c r="M284" s="43"/>
    </row>
    <row r="285" spans="2:13" hidden="1" outlineLevel="1">
      <c r="B285" s="7" t="str">
        <f t="shared" ref="B285:B324" si="15">IF(C285="","",(B284+1))</f>
        <v/>
      </c>
      <c r="C285" s="41" t="str">
        <f t="shared" si="14"/>
        <v/>
      </c>
      <c r="D285" s="41"/>
      <c r="E285" s="41"/>
      <c r="F285" s="70"/>
      <c r="G285" s="41"/>
      <c r="H285" s="71"/>
      <c r="I285" s="41"/>
      <c r="J285" s="42"/>
      <c r="K285" s="41"/>
      <c r="L285" s="41"/>
      <c r="M285" s="43"/>
    </row>
    <row r="286" spans="2:13" hidden="1" outlineLevel="1">
      <c r="B286" s="7" t="str">
        <f t="shared" si="15"/>
        <v/>
      </c>
      <c r="C286" s="41" t="str">
        <f t="shared" si="14"/>
        <v/>
      </c>
      <c r="D286" s="41"/>
      <c r="E286" s="41"/>
      <c r="F286" s="70"/>
      <c r="G286" s="41"/>
      <c r="H286" s="71"/>
      <c r="I286" s="41"/>
      <c r="J286" s="42"/>
      <c r="K286" s="41"/>
      <c r="L286" s="41"/>
      <c r="M286" s="43"/>
    </row>
    <row r="287" spans="2:13" hidden="1" outlineLevel="1">
      <c r="B287" s="7" t="str">
        <f t="shared" si="15"/>
        <v/>
      </c>
      <c r="C287" s="41" t="str">
        <f t="shared" si="14"/>
        <v/>
      </c>
      <c r="D287" s="41"/>
      <c r="E287" s="41"/>
      <c r="F287" s="70"/>
      <c r="G287" s="41"/>
      <c r="H287" s="71"/>
      <c r="I287" s="41"/>
      <c r="J287" s="42"/>
      <c r="K287" s="41"/>
      <c r="L287" s="41"/>
      <c r="M287" s="43"/>
    </row>
    <row r="288" spans="2:13" hidden="1" outlineLevel="1">
      <c r="B288" s="7" t="str">
        <f t="shared" si="15"/>
        <v/>
      </c>
      <c r="C288" s="41" t="str">
        <f t="shared" si="14"/>
        <v/>
      </c>
      <c r="D288" s="41"/>
      <c r="E288" s="41"/>
      <c r="F288" s="70"/>
      <c r="G288" s="41"/>
      <c r="H288" s="71"/>
      <c r="I288" s="41"/>
      <c r="J288" s="42"/>
      <c r="K288" s="41"/>
      <c r="L288" s="41"/>
      <c r="M288" s="43"/>
    </row>
    <row r="289" spans="2:13" hidden="1" outlineLevel="1">
      <c r="B289" s="7" t="str">
        <f t="shared" si="15"/>
        <v/>
      </c>
      <c r="C289" s="41" t="str">
        <f t="shared" si="14"/>
        <v/>
      </c>
      <c r="D289" s="41"/>
      <c r="E289" s="41"/>
      <c r="F289" s="70"/>
      <c r="G289" s="41"/>
      <c r="H289" s="71"/>
      <c r="I289" s="41"/>
      <c r="J289" s="42"/>
      <c r="K289" s="41"/>
      <c r="L289" s="41"/>
      <c r="M289" s="43"/>
    </row>
    <row r="290" spans="2:13" hidden="1" outlineLevel="1">
      <c r="B290" s="7" t="str">
        <f t="shared" si="15"/>
        <v/>
      </c>
      <c r="C290" s="41" t="str">
        <f t="shared" si="14"/>
        <v/>
      </c>
      <c r="D290" s="41"/>
      <c r="E290" s="41"/>
      <c r="F290" s="70"/>
      <c r="G290" s="41"/>
      <c r="H290" s="71"/>
      <c r="I290" s="41"/>
      <c r="J290" s="42"/>
      <c r="K290" s="41"/>
      <c r="L290" s="41"/>
      <c r="M290" s="43"/>
    </row>
    <row r="291" spans="2:13" hidden="1" outlineLevel="1">
      <c r="B291" s="7" t="str">
        <f t="shared" si="15"/>
        <v/>
      </c>
      <c r="C291" s="41" t="str">
        <f t="shared" si="14"/>
        <v/>
      </c>
      <c r="D291" s="41"/>
      <c r="E291" s="41"/>
      <c r="F291" s="70"/>
      <c r="G291" s="41"/>
      <c r="H291" s="71"/>
      <c r="I291" s="41"/>
      <c r="J291" s="42"/>
      <c r="K291" s="41"/>
      <c r="L291" s="41"/>
      <c r="M291" s="43"/>
    </row>
    <row r="292" spans="2:13" hidden="1" outlineLevel="1">
      <c r="B292" s="7" t="str">
        <f t="shared" si="15"/>
        <v/>
      </c>
      <c r="C292" s="41" t="str">
        <f t="shared" si="14"/>
        <v/>
      </c>
      <c r="D292" s="41"/>
      <c r="E292" s="41"/>
      <c r="F292" s="70"/>
      <c r="G292" s="41"/>
      <c r="H292" s="71"/>
      <c r="I292" s="41"/>
      <c r="J292" s="42"/>
      <c r="K292" s="41"/>
      <c r="L292" s="41"/>
      <c r="M292" s="43"/>
    </row>
    <row r="293" spans="2:13" hidden="1" outlineLevel="1">
      <c r="B293" s="7" t="str">
        <f t="shared" si="15"/>
        <v/>
      </c>
      <c r="C293" s="41" t="str">
        <f t="shared" si="14"/>
        <v/>
      </c>
      <c r="D293" s="41"/>
      <c r="E293" s="41"/>
      <c r="F293" s="70"/>
      <c r="G293" s="41"/>
      <c r="H293" s="71"/>
      <c r="I293" s="41"/>
      <c r="J293" s="42"/>
      <c r="K293" s="41"/>
      <c r="L293" s="41"/>
      <c r="M293" s="43"/>
    </row>
    <row r="294" spans="2:13" hidden="1" outlineLevel="1">
      <c r="B294" s="7" t="str">
        <f t="shared" si="15"/>
        <v/>
      </c>
      <c r="C294" s="41" t="str">
        <f t="shared" si="14"/>
        <v/>
      </c>
      <c r="D294" s="41"/>
      <c r="E294" s="41"/>
      <c r="F294" s="70"/>
      <c r="G294" s="41"/>
      <c r="H294" s="71"/>
      <c r="I294" s="41"/>
      <c r="J294" s="42"/>
      <c r="K294" s="41"/>
      <c r="L294" s="41"/>
      <c r="M294" s="43"/>
    </row>
    <row r="295" spans="2:13" hidden="1" outlineLevel="1">
      <c r="B295" s="7" t="str">
        <f t="shared" si="15"/>
        <v/>
      </c>
      <c r="C295" s="41" t="str">
        <f t="shared" si="14"/>
        <v/>
      </c>
      <c r="D295" s="41"/>
      <c r="E295" s="41"/>
      <c r="F295" s="70"/>
      <c r="G295" s="41"/>
      <c r="H295" s="71"/>
      <c r="I295" s="41"/>
      <c r="J295" s="42"/>
      <c r="K295" s="41"/>
      <c r="L295" s="41"/>
      <c r="M295" s="43"/>
    </row>
    <row r="296" spans="2:13" hidden="1" outlineLevel="1">
      <c r="B296" s="7" t="str">
        <f t="shared" si="15"/>
        <v/>
      </c>
      <c r="C296" s="41" t="str">
        <f t="shared" si="14"/>
        <v/>
      </c>
      <c r="D296" s="41"/>
      <c r="E296" s="41"/>
      <c r="F296" s="70"/>
      <c r="G296" s="41"/>
      <c r="H296" s="71"/>
      <c r="I296" s="41"/>
      <c r="J296" s="42"/>
      <c r="K296" s="41"/>
      <c r="L296" s="41"/>
      <c r="M296" s="43"/>
    </row>
    <row r="297" spans="2:13" hidden="1" outlineLevel="1">
      <c r="B297" s="7" t="str">
        <f t="shared" si="15"/>
        <v/>
      </c>
      <c r="C297" s="41" t="str">
        <f t="shared" si="14"/>
        <v/>
      </c>
      <c r="D297" s="41"/>
      <c r="E297" s="41"/>
      <c r="F297" s="70"/>
      <c r="G297" s="41"/>
      <c r="H297" s="71"/>
      <c r="I297" s="41"/>
      <c r="J297" s="42"/>
      <c r="K297" s="41"/>
      <c r="L297" s="41"/>
      <c r="M297" s="43"/>
    </row>
    <row r="298" spans="2:13" hidden="1" outlineLevel="1">
      <c r="B298" s="7" t="str">
        <f t="shared" si="15"/>
        <v/>
      </c>
      <c r="C298" s="41" t="str">
        <f t="shared" si="14"/>
        <v/>
      </c>
      <c r="D298" s="41"/>
      <c r="E298" s="41"/>
      <c r="F298" s="70"/>
      <c r="G298" s="41"/>
      <c r="H298" s="71"/>
      <c r="I298" s="41"/>
      <c r="J298" s="42"/>
      <c r="K298" s="41"/>
      <c r="L298" s="41"/>
      <c r="M298" s="43"/>
    </row>
    <row r="299" spans="2:13" hidden="1" outlineLevel="1">
      <c r="B299" s="7" t="str">
        <f t="shared" si="15"/>
        <v/>
      </c>
      <c r="C299" s="41" t="str">
        <f t="shared" si="14"/>
        <v/>
      </c>
      <c r="D299" s="41"/>
      <c r="E299" s="41"/>
      <c r="F299" s="70"/>
      <c r="G299" s="41"/>
      <c r="H299" s="71"/>
      <c r="I299" s="41"/>
      <c r="J299" s="42"/>
      <c r="K299" s="41"/>
      <c r="L299" s="41"/>
      <c r="M299" s="43"/>
    </row>
    <row r="300" spans="2:13" hidden="1" outlineLevel="1">
      <c r="B300" s="7" t="str">
        <f t="shared" si="15"/>
        <v/>
      </c>
      <c r="C300" s="41" t="str">
        <f t="shared" si="14"/>
        <v/>
      </c>
      <c r="D300" s="41"/>
      <c r="E300" s="41"/>
      <c r="F300" s="70"/>
      <c r="G300" s="41"/>
      <c r="H300" s="71"/>
      <c r="I300" s="41"/>
      <c r="J300" s="42"/>
      <c r="K300" s="41"/>
      <c r="L300" s="41"/>
      <c r="M300" s="43"/>
    </row>
    <row r="301" spans="2:13" hidden="1" outlineLevel="1">
      <c r="B301" s="7" t="str">
        <f t="shared" si="15"/>
        <v/>
      </c>
      <c r="C301" s="41" t="str">
        <f t="shared" si="14"/>
        <v/>
      </c>
      <c r="D301" s="41"/>
      <c r="E301" s="41"/>
      <c r="F301" s="70"/>
      <c r="G301" s="41"/>
      <c r="H301" s="71"/>
      <c r="I301" s="41"/>
      <c r="J301" s="42"/>
      <c r="K301" s="41"/>
      <c r="L301" s="41"/>
      <c r="M301" s="43"/>
    </row>
    <row r="302" spans="2:13" hidden="1" outlineLevel="1">
      <c r="B302" s="7" t="str">
        <f t="shared" si="15"/>
        <v/>
      </c>
      <c r="C302" s="41" t="str">
        <f t="shared" si="14"/>
        <v/>
      </c>
      <c r="D302" s="41"/>
      <c r="E302" s="41"/>
      <c r="F302" s="70"/>
      <c r="G302" s="41"/>
      <c r="H302" s="71"/>
      <c r="I302" s="41"/>
      <c r="J302" s="42"/>
      <c r="K302" s="41"/>
      <c r="L302" s="41"/>
      <c r="M302" s="43"/>
    </row>
    <row r="303" spans="2:13" hidden="1" outlineLevel="1">
      <c r="B303" s="7" t="str">
        <f t="shared" si="15"/>
        <v/>
      </c>
      <c r="C303" s="41" t="str">
        <f t="shared" si="14"/>
        <v/>
      </c>
      <c r="D303" s="41"/>
      <c r="E303" s="41"/>
      <c r="F303" s="70"/>
      <c r="G303" s="41"/>
      <c r="H303" s="71"/>
      <c r="I303" s="41"/>
      <c r="J303" s="42"/>
      <c r="K303" s="41"/>
      <c r="L303" s="41"/>
      <c r="M303" s="43"/>
    </row>
    <row r="304" spans="2:13" hidden="1" outlineLevel="1">
      <c r="B304" s="7" t="str">
        <f t="shared" si="15"/>
        <v/>
      </c>
      <c r="C304" s="41" t="str">
        <f t="shared" si="14"/>
        <v/>
      </c>
      <c r="D304" s="41"/>
      <c r="E304" s="41"/>
      <c r="F304" s="70"/>
      <c r="G304" s="41"/>
      <c r="H304" s="71"/>
      <c r="I304" s="41"/>
      <c r="J304" s="42"/>
      <c r="K304" s="41"/>
      <c r="L304" s="41"/>
      <c r="M304" s="43"/>
    </row>
    <row r="305" spans="2:13" hidden="1" outlineLevel="1">
      <c r="B305" s="7" t="str">
        <f t="shared" si="15"/>
        <v/>
      </c>
      <c r="C305" s="41" t="str">
        <f t="shared" si="14"/>
        <v/>
      </c>
      <c r="D305" s="41"/>
      <c r="E305" s="41"/>
      <c r="F305" s="70"/>
      <c r="G305" s="41"/>
      <c r="H305" s="71"/>
      <c r="I305" s="41"/>
      <c r="J305" s="42"/>
      <c r="K305" s="41"/>
      <c r="L305" s="41"/>
      <c r="M305" s="43"/>
    </row>
    <row r="306" spans="2:13" hidden="1" outlineLevel="1">
      <c r="B306" s="7" t="str">
        <f t="shared" si="15"/>
        <v/>
      </c>
      <c r="C306" s="41" t="str">
        <f t="shared" si="14"/>
        <v/>
      </c>
      <c r="D306" s="41"/>
      <c r="E306" s="41"/>
      <c r="F306" s="70"/>
      <c r="G306" s="41"/>
      <c r="H306" s="71"/>
      <c r="I306" s="41"/>
      <c r="J306" s="42"/>
      <c r="K306" s="41"/>
      <c r="L306" s="41"/>
      <c r="M306" s="43"/>
    </row>
    <row r="307" spans="2:13" hidden="1" outlineLevel="1">
      <c r="B307" s="7" t="str">
        <f t="shared" si="15"/>
        <v/>
      </c>
      <c r="C307" s="41" t="str">
        <f t="shared" si="14"/>
        <v/>
      </c>
      <c r="D307" s="41"/>
      <c r="E307" s="41"/>
      <c r="F307" s="70"/>
      <c r="G307" s="41"/>
      <c r="H307" s="71"/>
      <c r="I307" s="41"/>
      <c r="J307" s="42"/>
      <c r="K307" s="41"/>
      <c r="L307" s="41"/>
      <c r="M307" s="43"/>
    </row>
    <row r="308" spans="2:13" hidden="1" outlineLevel="1">
      <c r="B308" s="7" t="str">
        <f t="shared" si="15"/>
        <v/>
      </c>
      <c r="C308" s="41" t="str">
        <f t="shared" si="14"/>
        <v/>
      </c>
      <c r="D308" s="41"/>
      <c r="E308" s="41"/>
      <c r="F308" s="70"/>
      <c r="G308" s="41"/>
      <c r="H308" s="71"/>
      <c r="I308" s="41"/>
      <c r="J308" s="42"/>
      <c r="K308" s="41"/>
      <c r="L308" s="41"/>
      <c r="M308" s="43"/>
    </row>
    <row r="309" spans="2:13" hidden="1" outlineLevel="1">
      <c r="B309" s="7" t="str">
        <f t="shared" si="15"/>
        <v/>
      </c>
      <c r="C309" s="41" t="str">
        <f t="shared" si="14"/>
        <v/>
      </c>
      <c r="D309" s="41"/>
      <c r="E309" s="41"/>
      <c r="F309" s="70"/>
      <c r="G309" s="41"/>
      <c r="H309" s="71"/>
      <c r="I309" s="41"/>
      <c r="J309" s="42"/>
      <c r="K309" s="41"/>
      <c r="L309" s="41"/>
      <c r="M309" s="43"/>
    </row>
    <row r="310" spans="2:13" hidden="1" outlineLevel="1">
      <c r="B310" s="7" t="str">
        <f t="shared" si="15"/>
        <v/>
      </c>
      <c r="C310" s="41" t="str">
        <f t="shared" si="14"/>
        <v/>
      </c>
      <c r="D310" s="41"/>
      <c r="E310" s="41"/>
      <c r="F310" s="70"/>
      <c r="G310" s="41"/>
      <c r="H310" s="71"/>
      <c r="I310" s="41"/>
      <c r="J310" s="42"/>
      <c r="K310" s="41"/>
      <c r="L310" s="41"/>
      <c r="M310" s="43"/>
    </row>
    <row r="311" spans="2:13" hidden="1" outlineLevel="1">
      <c r="B311" s="7" t="str">
        <f t="shared" si="15"/>
        <v/>
      </c>
      <c r="C311" s="41" t="str">
        <f t="shared" si="14"/>
        <v/>
      </c>
      <c r="D311" s="41"/>
      <c r="E311" s="41"/>
      <c r="F311" s="70"/>
      <c r="G311" s="41"/>
      <c r="H311" s="71"/>
      <c r="I311" s="41"/>
      <c r="J311" s="42"/>
      <c r="K311" s="41"/>
      <c r="L311" s="41"/>
      <c r="M311" s="43"/>
    </row>
    <row r="312" spans="2:13" hidden="1" outlineLevel="1">
      <c r="B312" s="7" t="str">
        <f t="shared" si="15"/>
        <v/>
      </c>
      <c r="C312" s="41" t="str">
        <f t="shared" si="14"/>
        <v/>
      </c>
      <c r="D312" s="41"/>
      <c r="E312" s="41"/>
      <c r="F312" s="70"/>
      <c r="G312" s="41"/>
      <c r="H312" s="71"/>
      <c r="I312" s="41"/>
      <c r="J312" s="42"/>
      <c r="K312" s="41"/>
      <c r="L312" s="41"/>
      <c r="M312" s="43"/>
    </row>
    <row r="313" spans="2:13" hidden="1" outlineLevel="1">
      <c r="B313" s="7" t="str">
        <f t="shared" si="15"/>
        <v/>
      </c>
      <c r="C313" s="41" t="str">
        <f t="shared" si="14"/>
        <v/>
      </c>
      <c r="D313" s="41"/>
      <c r="E313" s="41"/>
      <c r="F313" s="70"/>
      <c r="G313" s="41"/>
      <c r="H313" s="71"/>
      <c r="I313" s="41"/>
      <c r="J313" s="42"/>
      <c r="K313" s="41"/>
      <c r="L313" s="41"/>
      <c r="M313" s="43"/>
    </row>
    <row r="314" spans="2:13" hidden="1" outlineLevel="1">
      <c r="B314" s="7" t="str">
        <f t="shared" si="15"/>
        <v/>
      </c>
      <c r="C314" s="41" t="str">
        <f t="shared" si="14"/>
        <v/>
      </c>
      <c r="D314" s="41"/>
      <c r="E314" s="41"/>
      <c r="F314" s="70"/>
      <c r="G314" s="41"/>
      <c r="H314" s="71"/>
      <c r="I314" s="41"/>
      <c r="J314" s="42"/>
      <c r="K314" s="41"/>
      <c r="L314" s="41"/>
      <c r="M314" s="43"/>
    </row>
    <row r="315" spans="2:13" hidden="1" outlineLevel="1">
      <c r="B315" s="7" t="str">
        <f t="shared" si="15"/>
        <v/>
      </c>
      <c r="C315" s="41" t="str">
        <f t="shared" si="14"/>
        <v/>
      </c>
      <c r="D315" s="41"/>
      <c r="E315" s="41"/>
      <c r="F315" s="70"/>
      <c r="G315" s="41"/>
      <c r="H315" s="71"/>
      <c r="I315" s="41"/>
      <c r="J315" s="42"/>
      <c r="K315" s="41"/>
      <c r="L315" s="41"/>
      <c r="M315" s="43"/>
    </row>
    <row r="316" spans="2:13" hidden="1" outlineLevel="1">
      <c r="B316" s="7" t="str">
        <f t="shared" si="15"/>
        <v/>
      </c>
      <c r="C316" s="41" t="str">
        <f t="shared" si="14"/>
        <v/>
      </c>
      <c r="D316" s="41"/>
      <c r="E316" s="41"/>
      <c r="F316" s="70"/>
      <c r="G316" s="41"/>
      <c r="H316" s="71"/>
      <c r="I316" s="41"/>
      <c r="J316" s="42"/>
      <c r="K316" s="41"/>
      <c r="L316" s="41"/>
      <c r="M316" s="43"/>
    </row>
    <row r="317" spans="2:13" hidden="1" outlineLevel="1">
      <c r="B317" s="7" t="str">
        <f t="shared" si="15"/>
        <v/>
      </c>
      <c r="C317" s="41" t="str">
        <f t="shared" si="14"/>
        <v/>
      </c>
      <c r="D317" s="41"/>
      <c r="E317" s="41"/>
      <c r="F317" s="70"/>
      <c r="G317" s="41"/>
      <c r="H317" s="71"/>
      <c r="I317" s="41"/>
      <c r="J317" s="42"/>
      <c r="K317" s="41"/>
      <c r="L317" s="41"/>
      <c r="M317" s="43"/>
    </row>
    <row r="318" spans="2:13" hidden="1" outlineLevel="1">
      <c r="B318" s="7" t="str">
        <f t="shared" si="15"/>
        <v/>
      </c>
      <c r="C318" s="41" t="str">
        <f t="shared" si="14"/>
        <v/>
      </c>
      <c r="D318" s="41"/>
      <c r="E318" s="41"/>
      <c r="F318" s="70"/>
      <c r="G318" s="41"/>
      <c r="H318" s="71"/>
      <c r="I318" s="41"/>
      <c r="J318" s="42"/>
      <c r="K318" s="41"/>
      <c r="L318" s="41"/>
      <c r="M318" s="43"/>
    </row>
    <row r="319" spans="2:13" hidden="1" outlineLevel="1">
      <c r="B319" s="7" t="str">
        <f t="shared" si="15"/>
        <v/>
      </c>
      <c r="C319" s="41" t="str">
        <f t="shared" si="14"/>
        <v/>
      </c>
      <c r="D319" s="41"/>
      <c r="E319" s="41"/>
      <c r="F319" s="70"/>
      <c r="G319" s="41"/>
      <c r="H319" s="41"/>
      <c r="I319" s="41"/>
      <c r="J319" s="42"/>
      <c r="K319" s="41"/>
      <c r="L319" s="41"/>
      <c r="M319" s="43"/>
    </row>
    <row r="320" spans="2:13" hidden="1" outlineLevel="1">
      <c r="B320" s="7" t="str">
        <f t="shared" si="15"/>
        <v/>
      </c>
      <c r="C320" s="41" t="str">
        <f t="shared" si="14"/>
        <v/>
      </c>
      <c r="D320" s="41"/>
      <c r="E320" s="41"/>
      <c r="F320" s="70"/>
      <c r="G320" s="41"/>
      <c r="H320" s="41"/>
      <c r="I320" s="41"/>
      <c r="J320" s="42"/>
      <c r="K320" s="41"/>
      <c r="L320" s="41"/>
      <c r="M320" s="43"/>
    </row>
    <row r="321" spans="2:13" hidden="1" outlineLevel="1">
      <c r="B321" s="7" t="str">
        <f t="shared" si="15"/>
        <v/>
      </c>
      <c r="C321" s="41" t="str">
        <f t="shared" si="14"/>
        <v/>
      </c>
      <c r="D321" s="41"/>
      <c r="E321" s="41"/>
      <c r="F321" s="70"/>
      <c r="G321" s="41"/>
      <c r="H321" s="41"/>
      <c r="I321" s="41"/>
      <c r="J321" s="42"/>
      <c r="K321" s="41"/>
      <c r="L321" s="41"/>
      <c r="M321" s="43"/>
    </row>
    <row r="322" spans="2:13" hidden="1" outlineLevel="1">
      <c r="B322" s="7" t="str">
        <f t="shared" si="15"/>
        <v/>
      </c>
      <c r="C322" s="41" t="str">
        <f t="shared" si="14"/>
        <v/>
      </c>
      <c r="D322" s="41"/>
      <c r="E322" s="41"/>
      <c r="F322" s="70"/>
      <c r="G322" s="41"/>
      <c r="H322" s="41"/>
      <c r="I322" s="41"/>
      <c r="J322" s="42"/>
      <c r="K322" s="41"/>
      <c r="L322" s="41"/>
      <c r="M322" s="43"/>
    </row>
    <row r="323" spans="2:13" hidden="1" outlineLevel="1">
      <c r="B323" s="7" t="str">
        <f t="shared" si="15"/>
        <v/>
      </c>
      <c r="C323" s="41" t="str">
        <f t="shared" si="14"/>
        <v/>
      </c>
      <c r="D323" s="41"/>
      <c r="E323" s="41"/>
      <c r="F323" s="70"/>
      <c r="G323" s="41"/>
      <c r="H323" s="41"/>
      <c r="I323" s="41"/>
      <c r="J323" s="42"/>
      <c r="K323" s="41"/>
      <c r="L323" s="41"/>
      <c r="M323" s="43"/>
    </row>
    <row r="324" spans="2:13" hidden="1" outlineLevel="1">
      <c r="B324" s="7" t="str">
        <f t="shared" si="15"/>
        <v/>
      </c>
      <c r="C324" s="41" t="str">
        <f t="shared" si="14"/>
        <v/>
      </c>
      <c r="D324" s="41"/>
      <c r="E324" s="41"/>
      <c r="F324" s="70"/>
      <c r="G324" s="41"/>
      <c r="H324" s="41"/>
      <c r="I324" s="41"/>
      <c r="J324" s="42"/>
      <c r="K324" s="41"/>
      <c r="L324" s="41"/>
      <c r="M324" s="43"/>
    </row>
    <row r="325" spans="2:13" hidden="1" outlineLevel="1">
      <c r="B325" s="7" t="str">
        <f>IF(C325="","",(#REF!+1))</f>
        <v/>
      </c>
      <c r="C325" s="41" t="str">
        <f t="shared" si="14"/>
        <v/>
      </c>
      <c r="D325" s="41"/>
      <c r="E325" s="41"/>
      <c r="F325" s="70"/>
      <c r="G325" s="41"/>
      <c r="H325" s="41"/>
      <c r="I325" s="41"/>
      <c r="J325" s="42"/>
      <c r="K325" s="41"/>
      <c r="L325" s="41"/>
      <c r="M325" s="43"/>
    </row>
    <row r="326" spans="2:13" hidden="1" outlineLevel="1">
      <c r="B326" s="7" t="str">
        <f t="shared" ref="B326:B342" si="16">IF(C326="","",(B325+1))</f>
        <v/>
      </c>
      <c r="C326" s="41" t="str">
        <f t="shared" si="14"/>
        <v/>
      </c>
      <c r="D326" s="41"/>
      <c r="E326" s="41"/>
      <c r="F326" s="70"/>
      <c r="G326" s="41"/>
      <c r="H326" s="41"/>
      <c r="I326" s="41"/>
      <c r="J326" s="42"/>
      <c r="K326" s="41"/>
      <c r="L326" s="41"/>
      <c r="M326" s="43"/>
    </row>
    <row r="327" spans="2:13" hidden="1" outlineLevel="1">
      <c r="B327" s="7" t="str">
        <f t="shared" si="16"/>
        <v/>
      </c>
      <c r="C327" s="41" t="str">
        <f t="shared" si="14"/>
        <v/>
      </c>
      <c r="D327" s="41"/>
      <c r="E327" s="41"/>
      <c r="F327" s="70"/>
      <c r="G327" s="41"/>
      <c r="H327" s="41"/>
      <c r="I327" s="41"/>
      <c r="J327" s="42"/>
      <c r="K327" s="41"/>
      <c r="L327" s="41"/>
      <c r="M327" s="43"/>
    </row>
    <row r="328" spans="2:13" hidden="1" outlineLevel="1">
      <c r="B328" s="7" t="str">
        <f t="shared" si="16"/>
        <v/>
      </c>
      <c r="C328" s="41" t="str">
        <f t="shared" si="14"/>
        <v/>
      </c>
      <c r="D328" s="41"/>
      <c r="E328" s="41"/>
      <c r="F328" s="70"/>
      <c r="G328" s="41"/>
      <c r="H328" s="41"/>
      <c r="I328" s="41"/>
      <c r="J328" s="42"/>
      <c r="K328" s="41"/>
      <c r="L328" s="41"/>
      <c r="M328" s="43"/>
    </row>
    <row r="329" spans="2:13" hidden="1" outlineLevel="1">
      <c r="B329" s="7" t="str">
        <f t="shared" si="16"/>
        <v/>
      </c>
      <c r="C329" s="41" t="str">
        <f t="shared" si="14"/>
        <v/>
      </c>
      <c r="D329" s="41"/>
      <c r="E329" s="41"/>
      <c r="F329" s="70"/>
      <c r="G329" s="41"/>
      <c r="H329" s="41"/>
      <c r="I329" s="41"/>
      <c r="J329" s="42"/>
      <c r="K329" s="41"/>
      <c r="L329" s="41"/>
      <c r="M329" s="43"/>
    </row>
    <row r="330" spans="2:13" hidden="1" outlineLevel="1">
      <c r="B330" s="7" t="str">
        <f t="shared" si="16"/>
        <v/>
      </c>
      <c r="C330" s="41" t="str">
        <f t="shared" si="14"/>
        <v/>
      </c>
      <c r="D330" s="41"/>
      <c r="E330" s="41"/>
      <c r="F330" s="70"/>
      <c r="G330" s="41"/>
      <c r="H330" s="41"/>
      <c r="I330" s="41"/>
      <c r="J330" s="42"/>
      <c r="K330" s="41"/>
      <c r="L330" s="41"/>
      <c r="M330" s="43"/>
    </row>
    <row r="331" spans="2:13" hidden="1" outlineLevel="1">
      <c r="B331" s="7" t="str">
        <f t="shared" si="16"/>
        <v/>
      </c>
      <c r="C331" s="41" t="str">
        <f t="shared" si="14"/>
        <v/>
      </c>
      <c r="D331" s="41"/>
      <c r="E331" s="41"/>
      <c r="F331" s="70"/>
      <c r="G331" s="41"/>
      <c r="H331" s="41"/>
      <c r="I331" s="41"/>
      <c r="J331" s="42"/>
      <c r="K331" s="41"/>
      <c r="L331" s="41"/>
      <c r="M331" s="43"/>
    </row>
    <row r="332" spans="2:13" hidden="1" outlineLevel="1">
      <c r="B332" s="7" t="str">
        <f t="shared" si="16"/>
        <v/>
      </c>
      <c r="C332" s="41" t="str">
        <f t="shared" si="14"/>
        <v/>
      </c>
      <c r="D332" s="41"/>
      <c r="E332" s="41"/>
      <c r="F332" s="70"/>
      <c r="G332" s="41"/>
      <c r="H332" s="41"/>
      <c r="I332" s="41"/>
      <c r="J332" s="42"/>
      <c r="K332" s="41"/>
      <c r="L332" s="41"/>
      <c r="M332" s="43"/>
    </row>
    <row r="333" spans="2:13" hidden="1" outlineLevel="1">
      <c r="B333" s="7" t="str">
        <f t="shared" si="16"/>
        <v/>
      </c>
      <c r="C333" s="41" t="str">
        <f t="shared" si="14"/>
        <v/>
      </c>
      <c r="D333" s="41"/>
      <c r="E333" s="41"/>
      <c r="F333" s="70"/>
      <c r="G333" s="41"/>
      <c r="H333" s="41"/>
      <c r="I333" s="41"/>
      <c r="J333" s="42"/>
      <c r="K333" s="41"/>
      <c r="L333" s="41"/>
      <c r="M333" s="43"/>
    </row>
    <row r="334" spans="2:13" hidden="1" outlineLevel="1">
      <c r="B334" s="7" t="str">
        <f t="shared" si="16"/>
        <v/>
      </c>
      <c r="C334" s="41" t="str">
        <f t="shared" si="14"/>
        <v/>
      </c>
      <c r="D334" s="41"/>
      <c r="E334" s="41"/>
      <c r="F334" s="41"/>
      <c r="G334" s="41"/>
      <c r="H334" s="41"/>
      <c r="I334" s="41"/>
      <c r="J334" s="42"/>
      <c r="K334" s="41"/>
      <c r="L334" s="41"/>
      <c r="M334" s="43"/>
    </row>
    <row r="335" spans="2:13" hidden="1" outlineLevel="1">
      <c r="B335" s="7" t="str">
        <f t="shared" si="16"/>
        <v/>
      </c>
      <c r="C335" s="41" t="str">
        <f t="shared" si="14"/>
        <v/>
      </c>
      <c r="D335" s="41"/>
      <c r="E335" s="41"/>
      <c r="F335" s="41"/>
      <c r="G335" s="41"/>
      <c r="H335" s="41"/>
      <c r="I335" s="41"/>
      <c r="J335" s="42"/>
      <c r="K335" s="41"/>
      <c r="L335" s="41"/>
      <c r="M335" s="43"/>
    </row>
    <row r="336" spans="2:13" hidden="1" outlineLevel="1">
      <c r="B336" s="7" t="str">
        <f t="shared" si="16"/>
        <v/>
      </c>
      <c r="C336" s="41" t="str">
        <f t="shared" si="14"/>
        <v/>
      </c>
      <c r="D336" s="41"/>
      <c r="E336" s="41"/>
      <c r="F336" s="41"/>
      <c r="G336" s="41"/>
      <c r="H336" s="41"/>
      <c r="I336" s="41"/>
      <c r="J336" s="42"/>
      <c r="K336" s="41"/>
      <c r="L336" s="41"/>
      <c r="M336" s="43"/>
    </row>
    <row r="337" spans="2:13" hidden="1" outlineLevel="1">
      <c r="B337" s="7" t="str">
        <f t="shared" si="16"/>
        <v/>
      </c>
      <c r="C337" s="41" t="str">
        <f t="shared" si="14"/>
        <v/>
      </c>
      <c r="D337" s="41"/>
      <c r="E337" s="41"/>
      <c r="F337" s="41"/>
      <c r="G337" s="41"/>
      <c r="H337" s="41"/>
      <c r="I337" s="41"/>
      <c r="J337" s="42"/>
      <c r="K337" s="41"/>
      <c r="L337" s="41"/>
      <c r="M337" s="43"/>
    </row>
    <row r="338" spans="2:13" hidden="1" outlineLevel="1">
      <c r="B338" s="7" t="str">
        <f t="shared" si="16"/>
        <v/>
      </c>
      <c r="C338" s="41" t="str">
        <f t="shared" si="14"/>
        <v/>
      </c>
      <c r="D338" s="41"/>
      <c r="E338" s="41"/>
      <c r="F338" s="41"/>
      <c r="G338" s="41"/>
      <c r="H338" s="41"/>
      <c r="I338" s="41"/>
      <c r="J338" s="42"/>
      <c r="K338" s="41"/>
      <c r="L338" s="41"/>
      <c r="M338" s="43"/>
    </row>
    <row r="339" spans="2:13" hidden="1" outlineLevel="1">
      <c r="B339" s="7" t="str">
        <f t="shared" si="16"/>
        <v/>
      </c>
      <c r="C339" s="41" t="str">
        <f t="shared" si="14"/>
        <v/>
      </c>
      <c r="D339" s="41"/>
      <c r="E339" s="41"/>
      <c r="F339" s="41"/>
      <c r="G339" s="41"/>
      <c r="H339" s="41"/>
      <c r="I339" s="41"/>
      <c r="J339" s="42"/>
      <c r="K339" s="41"/>
      <c r="L339" s="41"/>
      <c r="M339" s="43"/>
    </row>
    <row r="340" spans="2:13" hidden="1" outlineLevel="1">
      <c r="B340" s="7" t="str">
        <f t="shared" si="16"/>
        <v/>
      </c>
      <c r="C340" s="41" t="str">
        <f t="shared" si="14"/>
        <v/>
      </c>
      <c r="D340" s="41"/>
      <c r="E340" s="41"/>
      <c r="F340" s="41"/>
      <c r="G340" s="41"/>
      <c r="H340" s="41"/>
      <c r="I340" s="41"/>
      <c r="J340" s="42"/>
      <c r="K340" s="41"/>
      <c r="L340" s="41"/>
      <c r="M340" s="43"/>
    </row>
    <row r="341" spans="2:13" hidden="1" outlineLevel="1">
      <c r="B341" s="7" t="str">
        <f t="shared" si="16"/>
        <v/>
      </c>
      <c r="C341" s="41" t="str">
        <f t="shared" si="14"/>
        <v/>
      </c>
      <c r="D341" s="41"/>
      <c r="E341" s="1"/>
      <c r="F341" s="1"/>
      <c r="G341" s="1"/>
      <c r="H341" s="1"/>
      <c r="I341" s="1"/>
      <c r="J341" s="36"/>
      <c r="K341" s="1"/>
      <c r="L341" s="1"/>
      <c r="M341" s="2"/>
    </row>
    <row r="342" spans="2:13" ht="15.75" hidden="1" outlineLevel="1" thickBot="1">
      <c r="B342" s="7" t="str">
        <f t="shared" si="16"/>
        <v/>
      </c>
      <c r="C342" s="41" t="str">
        <f t="shared" si="14"/>
        <v/>
      </c>
      <c r="D342" s="81"/>
      <c r="E342" s="38"/>
      <c r="F342" s="38"/>
      <c r="G342" s="38"/>
      <c r="H342" s="38"/>
      <c r="I342" s="38"/>
      <c r="J342" s="38"/>
      <c r="K342" s="38"/>
      <c r="L342" s="38"/>
      <c r="M342" s="39"/>
    </row>
    <row r="343" spans="2:13" ht="24" customHeight="1" collapsed="1" thickBot="1">
      <c r="B343" s="320" t="s">
        <v>59</v>
      </c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2"/>
    </row>
    <row r="344" spans="2:13" ht="24" customHeight="1" thickBot="1">
      <c r="B344" s="26" t="s">
        <v>49</v>
      </c>
      <c r="C344" s="27" t="s">
        <v>60</v>
      </c>
      <c r="D344" s="27" t="s">
        <v>61</v>
      </c>
      <c r="E344" s="27" t="s">
        <v>62</v>
      </c>
      <c r="F344" s="27" t="s">
        <v>63</v>
      </c>
      <c r="G344" s="27" t="s">
        <v>64</v>
      </c>
      <c r="H344" s="27" t="s">
        <v>65</v>
      </c>
      <c r="I344" s="27" t="s">
        <v>66</v>
      </c>
      <c r="J344" s="27" t="s">
        <v>67</v>
      </c>
      <c r="K344" s="27" t="s">
        <v>6</v>
      </c>
      <c r="L344" s="27" t="s">
        <v>7</v>
      </c>
      <c r="M344" s="28" t="s">
        <v>68</v>
      </c>
    </row>
    <row r="345" spans="2:13">
      <c r="B345" s="46" t="s">
        <v>8</v>
      </c>
      <c r="C345" s="41">
        <f>COUNTIFS(B91:B342,"&gt;"&amp;0,C91:C342,"="&amp;B345)</f>
        <v>0</v>
      </c>
      <c r="D345" s="41"/>
      <c r="E345" s="41">
        <f>COUNTIFS(B91:B342,"&gt;="&amp;1,C91:C342,B345,L91:L342,"&gt;="&amp;0,L91:L342,"&lt;"&amp;50)</f>
        <v>0</v>
      </c>
      <c r="F345" s="41">
        <f>COUNTIFS(B91:B342,"&gt;="&amp;1,C91:C342,B345,L91:L342,"&gt;="&amp;50,L91:L342,"&lt;"&amp;500)</f>
        <v>0</v>
      </c>
      <c r="G345" s="41">
        <f>COUNTIFS(B91:B342,"&gt;="&amp;1,C91:C342,B345,L91:L342,"&gt;="&amp;500)</f>
        <v>0</v>
      </c>
      <c r="H345" s="41">
        <f>COUNTIFS(B91:B342,"&gt;="&amp;1,C91:C342,B345,L91:L342,"&gt;="&amp;0,J91:J342,"&gt;"&amp;DATE(2021,1,1))</f>
        <v>0</v>
      </c>
      <c r="I345" s="47" t="str">
        <f>IF(H345=0,"-",(SUM(F345,G345)/H345))</f>
        <v>-</v>
      </c>
      <c r="J345" s="41">
        <f>IF((COUNTIFS(B91:B342,"&gt;="&amp;1,C91:C342,"="&amp;B345))&gt;228,228,(COUNTIFS(B91:B342,"&gt;="&amp;1,C91:C342,"="&amp;B345)))</f>
        <v>0</v>
      </c>
      <c r="K345" s="47" t="str">
        <f>IF(J345=0,"-",(COUNTIFS(C91:C342,"="&amp;B345,J91:J342,"&lt;="&amp;DATE(2024,12,31),L91:L342,"&gt;="&amp;0)/J345))</f>
        <v>-</v>
      </c>
      <c r="L345" s="47" t="str">
        <f>IF(J345=0,"-",IF(K345=1,"-",(COUNTIFS(B91:B342,"&gt;"&amp;0,C91:C342,"="&amp;B345,J91:J342,"&gt;"&amp;DATE(2024,12,31),L91:L342,"&gt;="&amp;0)/(J345-COUNTIFS(B91:B342,"&gt;"&amp;0,C91:C342,"="&amp;B345,J91:J342,"&lt;="&amp;DATE(2024,12,31),L91:L342,"&gt;="&amp;0)))))</f>
        <v>-</v>
      </c>
      <c r="M345" s="48" t="str">
        <f>IF(J345=0,"-",H345/J345)</f>
        <v>-</v>
      </c>
    </row>
    <row r="346" spans="2:13">
      <c r="B346" s="7" t="s">
        <v>9</v>
      </c>
      <c r="C346" s="1">
        <f>COUNTIFS(B91:B342,"&gt;"&amp;0,C91:C342,"="&amp;B346)</f>
        <v>34</v>
      </c>
      <c r="D346" s="1"/>
      <c r="E346" s="1">
        <f>COUNTIFS(B91:B342,"&gt;="&amp;1,C91:C342,B346,L91:L342,"&gt;="&amp;0,L91:L342,"&lt;"&amp;50)</f>
        <v>30</v>
      </c>
      <c r="F346" s="1">
        <f>COUNTIFS(B91:B342,"&gt;="&amp;1,C91:C342,B346,L91:L342,"&gt;="&amp;50,L91:L342,"&lt;"&amp;500)</f>
        <v>4</v>
      </c>
      <c r="G346" s="1">
        <f>COUNTIFS(B91:B342,"&gt;="&amp;1,C91:C342,B346,L91:L342,"&gt;="&amp;500)</f>
        <v>0</v>
      </c>
      <c r="H346" s="1">
        <f>COUNTIFS(B91:B342,"&gt;="&amp;1,C91:C342,B346,L91:L342,"&gt;="&amp;0,J91:J342,"&gt;"&amp;DATE(2021,1,1))</f>
        <v>34</v>
      </c>
      <c r="I346" s="44">
        <f t="shared" ref="I346:I348" si="17">IF(H346=0,"-",(SUM(F346,G346)/H346))</f>
        <v>0.11764705882352941</v>
      </c>
      <c r="J346" s="1">
        <f>IF((COUNTIFS(B91:B342,"&gt;="&amp;1,C91:C342,"="&amp;B346))&gt;228,228,(COUNTIFS(B91:B342,"&gt;="&amp;1,C91:C342,"="&amp;B346)))</f>
        <v>34</v>
      </c>
      <c r="K346" s="44">
        <f>IF(J346=0,"-",(COUNTIFS(C91:C342,"="&amp;B346,J91:J342,"&lt;="&amp;DATE(2024,12,31),L91:L342,"&gt;="&amp;0)/J346))</f>
        <v>1</v>
      </c>
      <c r="L346" s="47" t="str">
        <f>IF(J346=0,"-",IF(K346=1,"-",(COUNTIFS(B91:B342,"&gt;"&amp;0,C91:C342,"="&amp;B346,J91:J342,"&gt;"&amp;DATE(2024,12,31),L91:L342,"&gt;="&amp;0)/(J346-COUNTIFS(B91:B342,"&gt;"&amp;0,C91:C342,"="&amp;B346,J91:J342,"&lt;="&amp;DATE(2024,12,31),L91:L342,"&gt;="&amp;0)))))</f>
        <v>-</v>
      </c>
      <c r="M346" s="45">
        <f t="shared" ref="M346:M348" si="18">IF(J346=0,"-",H346/J346)</f>
        <v>1</v>
      </c>
    </row>
    <row r="347" spans="2:13">
      <c r="B347" s="7" t="s">
        <v>69</v>
      </c>
      <c r="C347" s="1">
        <f>COUNTIFS(B91:B342,"&gt;"&amp;0,C91:C342,"="&amp;B347)</f>
        <v>2</v>
      </c>
      <c r="D347" s="1"/>
      <c r="E347" s="1">
        <f>COUNTIFS(B91:B342,"&gt;="&amp;1,C91:C342,B347,L91:L342,"&gt;="&amp;0,L91:L342,"&lt;"&amp;50)</f>
        <v>1</v>
      </c>
      <c r="F347" s="1">
        <f>COUNTIFS(B91:B342,"&gt;="&amp;1,C91:C342,B347,L91:L342,"&gt;="&amp;50,L91:L342,"&lt;"&amp;500)</f>
        <v>1</v>
      </c>
      <c r="G347" s="1">
        <f>COUNTIFS(B91:B341,"&gt;="&amp;1,C91:C341,B347,L91:L341,"&gt;="&amp;500)</f>
        <v>0</v>
      </c>
      <c r="H347" s="1">
        <f>COUNTIFS(B91:B342,"&gt;="&amp;1,C91:C342,B347,L91:L342,"&gt;="&amp;0,J91:J342,"&gt;"&amp;DATE(2021,1,1))</f>
        <v>2</v>
      </c>
      <c r="I347" s="44">
        <f t="shared" si="17"/>
        <v>0.5</v>
      </c>
      <c r="J347" s="1">
        <f>IF((COUNTIFS(B91:B341,"&gt;="&amp;1,C91:C341,"="&amp;B347))&gt;228,228,(COUNTIFS(B91:B341,"&gt;="&amp;1,C91:C341,"="&amp;B347)))</f>
        <v>2</v>
      </c>
      <c r="K347" s="44">
        <f>IF(J347=0,"-",(COUNTIFS(C91:C342,"="&amp;B347,J91:J342,"&lt;="&amp;DATE(2024,12,31),L91:L342,"&gt;="&amp;0)/J347))</f>
        <v>1</v>
      </c>
      <c r="L347" s="47" t="str">
        <f>IF(J347=0,"-",IF(K347=1,"-",(COUNTIFS(B91:B342,"&gt;"&amp;0,C91:C342,"="&amp;B347,J91:J342,"&gt;"&amp;DATE(2024,12,31),L91:L342,"&gt;="&amp;0)/(J347-COUNTIFS(B91:B342,"&gt;"&amp;0,C91:C342,"="&amp;B347,J91:J342,"&lt;="&amp;DATE(2024,12,31),L91:L342,"&gt;="&amp;0)))))</f>
        <v>-</v>
      </c>
      <c r="M347" s="45">
        <f t="shared" si="18"/>
        <v>1</v>
      </c>
    </row>
    <row r="348" spans="2:13" ht="24" customHeight="1" thickBot="1">
      <c r="B348" s="49" t="s">
        <v>59</v>
      </c>
      <c r="C348" s="50">
        <f>SUM(C345:C347)</f>
        <v>36</v>
      </c>
      <c r="D348" s="50"/>
      <c r="E348" s="50">
        <f>SUM(E345:E347)</f>
        <v>31</v>
      </c>
      <c r="F348" s="50">
        <f>SUM(F345:F347)</f>
        <v>5</v>
      </c>
      <c r="G348" s="50">
        <f>SUM(G345:G347)</f>
        <v>0</v>
      </c>
      <c r="H348" s="50">
        <f>SUM(H345:H347)</f>
        <v>36</v>
      </c>
      <c r="I348" s="51">
        <f t="shared" si="17"/>
        <v>0.1388888888888889</v>
      </c>
      <c r="J348" s="50">
        <f>SUM(J345:J347)</f>
        <v>36</v>
      </c>
      <c r="K348" s="51">
        <f>IF(J348=0,"-",(COUNTIFS(J91:J342,"&lt;="&amp;DATE(2024,12,31),L91:L342,"&gt;="&amp;0)/J348))</f>
        <v>1</v>
      </c>
      <c r="L348" s="51" t="str">
        <f>IF(J348=0,"-",IF(K348=1,"-",(COUNTIFS(B91:B342,"&gt;"&amp;0,J91:J342,"&gt;"&amp;DATE(2024,12,31),L91:L342,"&gt;="&amp;0)/(J348-COUNTIFS(B91:B342,"&gt;"&amp;0,J91:J342,"&lt;="&amp;DATE(2024,12,31),L91:L342,"&gt;="&amp;0)))))</f>
        <v>-</v>
      </c>
      <c r="M348" s="52">
        <f t="shared" si="18"/>
        <v>1</v>
      </c>
    </row>
    <row r="350" spans="2:13" ht="15.75" thickBot="1"/>
    <row r="351" spans="2:13" ht="32.25" customHeight="1" thickBot="1">
      <c r="B351" s="320" t="str">
        <f>_xlfn.CONCAT("Outros Equipamentos ( TSAs,Chaves a Óleo entre Outros)",TEXT(IF(SUM(J455:J457)=0," ",(SUM(H455:H457)/SUM(J455:J457))), " 0,00%"))</f>
        <v xml:space="preserve">Outros Equipamentos ( TSAs,Chaves a Óleo entre Outros) </v>
      </c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2"/>
    </row>
    <row r="352" spans="2:13" ht="24" customHeight="1" outlineLevel="1" thickBot="1">
      <c r="B352" s="26" t="s">
        <v>48</v>
      </c>
      <c r="C352" s="27" t="s">
        <v>49</v>
      </c>
      <c r="D352" s="27"/>
      <c r="E352" s="27" t="s">
        <v>50</v>
      </c>
      <c r="F352" s="27" t="s">
        <v>51</v>
      </c>
      <c r="G352" s="27" t="s">
        <v>52</v>
      </c>
      <c r="H352" s="27" t="s">
        <v>53</v>
      </c>
      <c r="I352" s="27" t="s">
        <v>54</v>
      </c>
      <c r="J352" s="27" t="s">
        <v>55</v>
      </c>
      <c r="K352" s="27" t="s">
        <v>56</v>
      </c>
      <c r="L352" s="27" t="s">
        <v>57</v>
      </c>
      <c r="M352" s="28" t="s">
        <v>58</v>
      </c>
    </row>
    <row r="353" spans="2:13" outlineLevel="1">
      <c r="B353" s="40" t="str">
        <f>IF(C353="","",ROW($A$1))</f>
        <v/>
      </c>
      <c r="C353" s="41"/>
      <c r="D353" s="41"/>
      <c r="E353" s="41"/>
      <c r="F353" s="41"/>
      <c r="G353" s="41"/>
      <c r="H353" s="41"/>
      <c r="I353" s="41"/>
      <c r="J353" s="42"/>
      <c r="K353" s="41"/>
      <c r="L353" s="41"/>
      <c r="M353" s="43"/>
    </row>
    <row r="354" spans="2:13" outlineLevel="1">
      <c r="B354" s="35" t="str">
        <f>IF(C354="","",(B353+1))</f>
        <v/>
      </c>
      <c r="C354" s="41"/>
      <c r="D354" s="41"/>
      <c r="E354" s="41"/>
      <c r="F354" s="41"/>
      <c r="G354" s="41"/>
      <c r="H354" s="41"/>
      <c r="I354" s="41"/>
      <c r="J354" s="42"/>
      <c r="K354" s="41"/>
      <c r="L354" s="41"/>
      <c r="M354" s="43"/>
    </row>
    <row r="355" spans="2:13" outlineLevel="1">
      <c r="B355" s="35" t="str">
        <f t="shared" ref="B355:B418" si="19">IF(C355="","",(B354+1))</f>
        <v/>
      </c>
      <c r="C355" s="41"/>
      <c r="D355" s="41"/>
      <c r="E355" s="41"/>
      <c r="F355" s="41"/>
      <c r="G355" s="41"/>
      <c r="H355" s="41"/>
      <c r="I355" s="41"/>
      <c r="J355" s="42"/>
      <c r="K355" s="41"/>
      <c r="L355" s="41"/>
      <c r="M355" s="43"/>
    </row>
    <row r="356" spans="2:13" outlineLevel="1">
      <c r="B356" s="35" t="str">
        <f t="shared" si="19"/>
        <v/>
      </c>
      <c r="C356" s="41"/>
      <c r="D356" s="41"/>
      <c r="E356" s="41"/>
      <c r="F356" s="41"/>
      <c r="G356" s="41"/>
      <c r="H356" s="41"/>
      <c r="I356" s="41"/>
      <c r="J356" s="42"/>
      <c r="K356" s="41"/>
      <c r="L356" s="41"/>
      <c r="M356" s="43"/>
    </row>
    <row r="357" spans="2:13" outlineLevel="1">
      <c r="B357" s="35" t="str">
        <f t="shared" si="19"/>
        <v/>
      </c>
      <c r="C357" s="41"/>
      <c r="D357" s="41"/>
      <c r="E357" s="41"/>
      <c r="F357" s="41"/>
      <c r="G357" s="41"/>
      <c r="H357" s="41"/>
      <c r="I357" s="41"/>
      <c r="J357" s="42"/>
      <c r="K357" s="41"/>
      <c r="L357" s="41"/>
      <c r="M357" s="43"/>
    </row>
    <row r="358" spans="2:13" outlineLevel="1">
      <c r="B358" s="35" t="str">
        <f t="shared" si="19"/>
        <v/>
      </c>
      <c r="C358" s="41"/>
      <c r="D358" s="41"/>
      <c r="E358" s="41"/>
      <c r="F358" s="41"/>
      <c r="G358" s="41"/>
      <c r="H358" s="41"/>
      <c r="I358" s="41"/>
      <c r="J358" s="42"/>
      <c r="K358" s="41"/>
      <c r="L358" s="41"/>
      <c r="M358" s="43"/>
    </row>
    <row r="359" spans="2:13" outlineLevel="1">
      <c r="B359" s="35" t="str">
        <f t="shared" si="19"/>
        <v/>
      </c>
      <c r="C359" s="41"/>
      <c r="D359" s="41"/>
      <c r="E359" s="41"/>
      <c r="F359" s="41"/>
      <c r="G359" s="41"/>
      <c r="H359" s="41"/>
      <c r="I359" s="41"/>
      <c r="J359" s="42"/>
      <c r="K359" s="41"/>
      <c r="L359" s="41"/>
      <c r="M359" s="43"/>
    </row>
    <row r="360" spans="2:13" outlineLevel="1">
      <c r="B360" s="35" t="str">
        <f t="shared" si="19"/>
        <v/>
      </c>
      <c r="C360" s="41"/>
      <c r="D360" s="41"/>
      <c r="E360" s="41"/>
      <c r="F360" s="41"/>
      <c r="G360" s="41"/>
      <c r="H360" s="41"/>
      <c r="I360" s="41"/>
      <c r="J360" s="42"/>
      <c r="K360" s="41"/>
      <c r="L360" s="41"/>
      <c r="M360" s="43"/>
    </row>
    <row r="361" spans="2:13" outlineLevel="1">
      <c r="B361" s="35" t="str">
        <f t="shared" si="19"/>
        <v/>
      </c>
      <c r="C361" s="41"/>
      <c r="D361" s="41"/>
      <c r="E361" s="41"/>
      <c r="F361" s="41"/>
      <c r="G361" s="41"/>
      <c r="H361" s="41"/>
      <c r="I361" s="41"/>
      <c r="J361" s="42"/>
      <c r="K361" s="41"/>
      <c r="L361" s="41"/>
      <c r="M361" s="43"/>
    </row>
    <row r="362" spans="2:13" outlineLevel="1">
      <c r="B362" s="35" t="str">
        <f t="shared" si="19"/>
        <v/>
      </c>
      <c r="C362" s="41"/>
      <c r="D362" s="41"/>
      <c r="E362" s="41"/>
      <c r="F362" s="41"/>
      <c r="G362" s="41"/>
      <c r="H362" s="41"/>
      <c r="I362" s="41"/>
      <c r="J362" s="42"/>
      <c r="K362" s="41"/>
      <c r="L362" s="41"/>
      <c r="M362" s="43"/>
    </row>
    <row r="363" spans="2:13" outlineLevel="1">
      <c r="B363" s="35" t="str">
        <f t="shared" si="19"/>
        <v/>
      </c>
      <c r="C363" s="41"/>
      <c r="D363" s="41"/>
      <c r="E363" s="41"/>
      <c r="F363" s="41"/>
      <c r="G363" s="41"/>
      <c r="H363" s="41"/>
      <c r="I363" s="41"/>
      <c r="J363" s="42"/>
      <c r="K363" s="41"/>
      <c r="L363" s="41"/>
      <c r="M363" s="43"/>
    </row>
    <row r="364" spans="2:13" outlineLevel="1">
      <c r="B364" s="40" t="str">
        <f t="shared" si="19"/>
        <v/>
      </c>
      <c r="C364" s="41"/>
      <c r="D364" s="41"/>
      <c r="E364" s="41"/>
      <c r="F364" s="41"/>
      <c r="G364" s="41"/>
      <c r="H364" s="41"/>
      <c r="I364" s="41"/>
      <c r="J364" s="42"/>
      <c r="K364" s="41"/>
      <c r="L364" s="41"/>
      <c r="M364" s="43"/>
    </row>
    <row r="365" spans="2:13" outlineLevel="1">
      <c r="B365" s="40" t="str">
        <f t="shared" si="19"/>
        <v/>
      </c>
      <c r="C365" s="41"/>
      <c r="D365" s="41"/>
      <c r="E365" s="41"/>
      <c r="F365" s="41"/>
      <c r="G365" s="41"/>
      <c r="H365" s="41"/>
      <c r="I365" s="41"/>
      <c r="J365" s="42"/>
      <c r="K365" s="41"/>
      <c r="L365" s="41"/>
      <c r="M365" s="43"/>
    </row>
    <row r="366" spans="2:13" outlineLevel="1">
      <c r="B366" s="40" t="str">
        <f t="shared" si="19"/>
        <v/>
      </c>
      <c r="C366" s="41"/>
      <c r="D366" s="41"/>
      <c r="E366" s="41"/>
      <c r="F366" s="41"/>
      <c r="G366" s="41"/>
      <c r="H366" s="41"/>
      <c r="I366" s="41"/>
      <c r="J366" s="42"/>
      <c r="K366" s="41"/>
      <c r="L366" s="41"/>
      <c r="M366" s="43"/>
    </row>
    <row r="367" spans="2:13" outlineLevel="1">
      <c r="B367" s="40" t="str">
        <f t="shared" si="19"/>
        <v/>
      </c>
      <c r="C367" s="41"/>
      <c r="D367" s="41"/>
      <c r="E367" s="41"/>
      <c r="F367" s="41"/>
      <c r="G367" s="41"/>
      <c r="H367" s="41"/>
      <c r="I367" s="41"/>
      <c r="J367" s="42"/>
      <c r="K367" s="41"/>
      <c r="L367" s="41"/>
      <c r="M367" s="43"/>
    </row>
    <row r="368" spans="2:13" outlineLevel="1">
      <c r="B368" s="40" t="str">
        <f t="shared" si="19"/>
        <v/>
      </c>
      <c r="C368" s="41"/>
      <c r="D368" s="41"/>
      <c r="E368" s="41"/>
      <c r="F368" s="41"/>
      <c r="G368" s="41"/>
      <c r="H368" s="41"/>
      <c r="I368" s="41"/>
      <c r="J368" s="42"/>
      <c r="K368" s="41"/>
      <c r="L368" s="41"/>
      <c r="M368" s="43"/>
    </row>
    <row r="369" spans="2:13" outlineLevel="1">
      <c r="B369" s="40" t="str">
        <f t="shared" si="19"/>
        <v/>
      </c>
      <c r="C369" s="41"/>
      <c r="D369" s="41"/>
      <c r="E369" s="41"/>
      <c r="F369" s="41"/>
      <c r="G369" s="41"/>
      <c r="H369" s="41"/>
      <c r="I369" s="41"/>
      <c r="J369" s="42"/>
      <c r="K369" s="41"/>
      <c r="L369" s="41"/>
      <c r="M369" s="43"/>
    </row>
    <row r="370" spans="2:13" outlineLevel="1">
      <c r="B370" s="40" t="str">
        <f t="shared" si="19"/>
        <v/>
      </c>
      <c r="C370" s="41"/>
      <c r="D370" s="41"/>
      <c r="E370" s="41"/>
      <c r="F370" s="41"/>
      <c r="G370" s="41"/>
      <c r="H370" s="41"/>
      <c r="I370" s="41"/>
      <c r="J370" s="42"/>
      <c r="K370" s="41"/>
      <c r="L370" s="41"/>
      <c r="M370" s="43"/>
    </row>
    <row r="371" spans="2:13" outlineLevel="1">
      <c r="B371" s="40" t="str">
        <f t="shared" si="19"/>
        <v/>
      </c>
      <c r="C371" s="41"/>
      <c r="D371" s="41"/>
      <c r="E371" s="41"/>
      <c r="F371" s="41"/>
      <c r="G371" s="41"/>
      <c r="H371" s="41"/>
      <c r="I371" s="41"/>
      <c r="J371" s="42"/>
      <c r="K371" s="41"/>
      <c r="L371" s="41"/>
      <c r="M371" s="43"/>
    </row>
    <row r="372" spans="2:13" outlineLevel="1">
      <c r="B372" s="40" t="str">
        <f t="shared" si="19"/>
        <v/>
      </c>
      <c r="C372" s="41"/>
      <c r="D372" s="41"/>
      <c r="E372" s="41"/>
      <c r="F372" s="41"/>
      <c r="G372" s="41"/>
      <c r="H372" s="41"/>
      <c r="I372" s="41"/>
      <c r="J372" s="42"/>
      <c r="K372" s="41"/>
      <c r="L372" s="41"/>
      <c r="M372" s="43"/>
    </row>
    <row r="373" spans="2:13" outlineLevel="1">
      <c r="B373" s="40" t="str">
        <f t="shared" si="19"/>
        <v/>
      </c>
      <c r="C373" s="41"/>
      <c r="D373" s="41"/>
      <c r="E373" s="41"/>
      <c r="F373" s="41"/>
      <c r="G373" s="41"/>
      <c r="H373" s="41"/>
      <c r="I373" s="41"/>
      <c r="J373" s="42"/>
      <c r="K373" s="41"/>
      <c r="L373" s="41"/>
      <c r="M373" s="43"/>
    </row>
    <row r="374" spans="2:13" outlineLevel="1">
      <c r="B374" s="40" t="str">
        <f t="shared" si="19"/>
        <v/>
      </c>
      <c r="C374" s="41"/>
      <c r="D374" s="41"/>
      <c r="E374" s="41"/>
      <c r="F374" s="41"/>
      <c r="G374" s="41"/>
      <c r="H374" s="41"/>
      <c r="I374" s="41"/>
      <c r="J374" s="42"/>
      <c r="K374" s="41"/>
      <c r="L374" s="41"/>
      <c r="M374" s="43"/>
    </row>
    <row r="375" spans="2:13" outlineLevel="1">
      <c r="B375" s="40" t="str">
        <f t="shared" si="19"/>
        <v/>
      </c>
      <c r="C375" s="41"/>
      <c r="D375" s="41"/>
      <c r="E375" s="41"/>
      <c r="F375" s="41"/>
      <c r="G375" s="41"/>
      <c r="H375" s="41"/>
      <c r="I375" s="41"/>
      <c r="J375" s="42"/>
      <c r="K375" s="41"/>
      <c r="L375" s="41"/>
      <c r="M375" s="43"/>
    </row>
    <row r="376" spans="2:13" outlineLevel="1">
      <c r="B376" s="40" t="str">
        <f t="shared" si="19"/>
        <v/>
      </c>
      <c r="C376" s="41"/>
      <c r="D376" s="41"/>
      <c r="E376" s="41"/>
      <c r="F376" s="41"/>
      <c r="G376" s="41"/>
      <c r="H376" s="41"/>
      <c r="I376" s="41"/>
      <c r="J376" s="42"/>
      <c r="K376" s="41"/>
      <c r="L376" s="41"/>
      <c r="M376" s="43"/>
    </row>
    <row r="377" spans="2:13" outlineLevel="1">
      <c r="B377" s="40" t="str">
        <f t="shared" si="19"/>
        <v/>
      </c>
      <c r="C377" s="41"/>
      <c r="D377" s="41"/>
      <c r="E377" s="41"/>
      <c r="F377" s="41"/>
      <c r="G377" s="41"/>
      <c r="H377" s="41"/>
      <c r="I377" s="41"/>
      <c r="J377" s="42"/>
      <c r="K377" s="41"/>
      <c r="L377" s="41"/>
      <c r="M377" s="43"/>
    </row>
    <row r="378" spans="2:13" outlineLevel="1">
      <c r="B378" s="40" t="str">
        <f t="shared" si="19"/>
        <v/>
      </c>
      <c r="C378" s="41"/>
      <c r="D378" s="41"/>
      <c r="E378" s="41"/>
      <c r="F378" s="41"/>
      <c r="G378" s="41"/>
      <c r="H378" s="41"/>
      <c r="I378" s="41"/>
      <c r="J378" s="42"/>
      <c r="K378" s="41"/>
      <c r="L378" s="41"/>
      <c r="M378" s="43"/>
    </row>
    <row r="379" spans="2:13" outlineLevel="1">
      <c r="B379" s="40" t="str">
        <f t="shared" si="19"/>
        <v/>
      </c>
      <c r="C379" s="41"/>
      <c r="D379" s="41"/>
      <c r="E379" s="41"/>
      <c r="F379" s="41"/>
      <c r="G379" s="41"/>
      <c r="H379" s="41"/>
      <c r="I379" s="41"/>
      <c r="J379" s="42"/>
      <c r="K379" s="41"/>
      <c r="L379" s="41"/>
      <c r="M379" s="43"/>
    </row>
    <row r="380" spans="2:13" outlineLevel="1">
      <c r="B380" s="40" t="str">
        <f t="shared" si="19"/>
        <v/>
      </c>
      <c r="C380" s="41"/>
      <c r="D380" s="41"/>
      <c r="E380" s="41"/>
      <c r="F380" s="41"/>
      <c r="G380" s="41"/>
      <c r="H380" s="41"/>
      <c r="I380" s="41"/>
      <c r="J380" s="42"/>
      <c r="K380" s="41"/>
      <c r="L380" s="41"/>
      <c r="M380" s="43"/>
    </row>
    <row r="381" spans="2:13" outlineLevel="1">
      <c r="B381" s="40" t="str">
        <f t="shared" si="19"/>
        <v/>
      </c>
      <c r="C381" s="41"/>
      <c r="D381" s="41"/>
      <c r="E381" s="41"/>
      <c r="F381" s="41"/>
      <c r="G381" s="41"/>
      <c r="H381" s="41"/>
      <c r="I381" s="41"/>
      <c r="J381" s="42"/>
      <c r="K381" s="41"/>
      <c r="L381" s="41"/>
      <c r="M381" s="43"/>
    </row>
    <row r="382" spans="2:13" outlineLevel="1">
      <c r="B382" s="40" t="str">
        <f t="shared" si="19"/>
        <v/>
      </c>
      <c r="C382" s="41"/>
      <c r="D382" s="41"/>
      <c r="E382" s="41"/>
      <c r="F382" s="41"/>
      <c r="G382" s="41"/>
      <c r="H382" s="41"/>
      <c r="I382" s="41"/>
      <c r="J382" s="42"/>
      <c r="K382" s="41"/>
      <c r="L382" s="41"/>
      <c r="M382" s="43"/>
    </row>
    <row r="383" spans="2:13" outlineLevel="1">
      <c r="B383" s="40" t="str">
        <f t="shared" si="19"/>
        <v/>
      </c>
      <c r="C383" s="41"/>
      <c r="D383" s="41"/>
      <c r="E383" s="41"/>
      <c r="F383" s="41"/>
      <c r="G383" s="41"/>
      <c r="H383" s="41"/>
      <c r="I383" s="41"/>
      <c r="J383" s="42"/>
      <c r="K383" s="41"/>
      <c r="L383" s="41"/>
      <c r="M383" s="43"/>
    </row>
    <row r="384" spans="2:13" outlineLevel="1">
      <c r="B384" s="40" t="str">
        <f t="shared" si="19"/>
        <v/>
      </c>
      <c r="C384" s="41"/>
      <c r="D384" s="41"/>
      <c r="E384" s="41"/>
      <c r="F384" s="41"/>
      <c r="G384" s="41"/>
      <c r="H384" s="41"/>
      <c r="I384" s="41"/>
      <c r="J384" s="42"/>
      <c r="K384" s="41"/>
      <c r="L384" s="41"/>
      <c r="M384" s="43"/>
    </row>
    <row r="385" spans="2:13" outlineLevel="1">
      <c r="B385" s="40" t="str">
        <f t="shared" si="19"/>
        <v/>
      </c>
      <c r="C385" s="41"/>
      <c r="D385" s="41"/>
      <c r="E385" s="41"/>
      <c r="F385" s="41"/>
      <c r="G385" s="41"/>
      <c r="H385" s="41"/>
      <c r="I385" s="41"/>
      <c r="J385" s="42"/>
      <c r="K385" s="41"/>
      <c r="L385" s="41"/>
      <c r="M385" s="43"/>
    </row>
    <row r="386" spans="2:13" outlineLevel="1">
      <c r="B386" s="40" t="str">
        <f t="shared" si="19"/>
        <v/>
      </c>
      <c r="C386" s="41"/>
      <c r="D386" s="41"/>
      <c r="E386" s="41"/>
      <c r="F386" s="41"/>
      <c r="G386" s="41"/>
      <c r="H386" s="41"/>
      <c r="I386" s="41"/>
      <c r="J386" s="42"/>
      <c r="K386" s="41"/>
      <c r="L386" s="41"/>
      <c r="M386" s="43"/>
    </row>
    <row r="387" spans="2:13" outlineLevel="1">
      <c r="B387" s="40" t="str">
        <f t="shared" si="19"/>
        <v/>
      </c>
      <c r="C387" s="41"/>
      <c r="D387" s="41"/>
      <c r="E387" s="41"/>
      <c r="F387" s="41"/>
      <c r="G387" s="41"/>
      <c r="H387" s="41"/>
      <c r="I387" s="41"/>
      <c r="J387" s="42"/>
      <c r="K387" s="41"/>
      <c r="L387" s="41"/>
      <c r="M387" s="43"/>
    </row>
    <row r="388" spans="2:13" outlineLevel="1">
      <c r="B388" s="40" t="str">
        <f t="shared" si="19"/>
        <v/>
      </c>
      <c r="C388" s="41"/>
      <c r="D388" s="41"/>
      <c r="E388" s="41"/>
      <c r="F388" s="41"/>
      <c r="G388" s="41"/>
      <c r="H388" s="41"/>
      <c r="I388" s="41"/>
      <c r="J388" s="42"/>
      <c r="K388" s="41"/>
      <c r="L388" s="41"/>
      <c r="M388" s="43"/>
    </row>
    <row r="389" spans="2:13" outlineLevel="1">
      <c r="B389" s="40" t="str">
        <f t="shared" si="19"/>
        <v/>
      </c>
      <c r="C389" s="41"/>
      <c r="D389" s="41"/>
      <c r="E389" s="41"/>
      <c r="F389" s="41"/>
      <c r="G389" s="41"/>
      <c r="H389" s="41"/>
      <c r="I389" s="41"/>
      <c r="J389" s="42"/>
      <c r="K389" s="41"/>
      <c r="L389" s="41"/>
      <c r="M389" s="43"/>
    </row>
    <row r="390" spans="2:13" outlineLevel="1">
      <c r="B390" s="40" t="str">
        <f t="shared" si="19"/>
        <v/>
      </c>
      <c r="C390" s="41"/>
      <c r="D390" s="41"/>
      <c r="E390" s="41"/>
      <c r="F390" s="41"/>
      <c r="G390" s="41"/>
      <c r="H390" s="41"/>
      <c r="I390" s="41"/>
      <c r="J390" s="42"/>
      <c r="K390" s="41"/>
      <c r="L390" s="41"/>
      <c r="M390" s="43"/>
    </row>
    <row r="391" spans="2:13" outlineLevel="1">
      <c r="B391" s="40" t="str">
        <f t="shared" si="19"/>
        <v/>
      </c>
      <c r="C391" s="41"/>
      <c r="D391" s="41"/>
      <c r="E391" s="41"/>
      <c r="F391" s="41"/>
      <c r="G391" s="41"/>
      <c r="H391" s="41"/>
      <c r="I391" s="41"/>
      <c r="J391" s="42"/>
      <c r="K391" s="41"/>
      <c r="L391" s="41"/>
      <c r="M391" s="43"/>
    </row>
    <row r="392" spans="2:13" outlineLevel="1">
      <c r="B392" s="40" t="str">
        <f t="shared" si="19"/>
        <v/>
      </c>
      <c r="C392" s="41"/>
      <c r="D392" s="41"/>
      <c r="E392" s="41"/>
      <c r="F392" s="41"/>
      <c r="G392" s="41"/>
      <c r="H392" s="41"/>
      <c r="I392" s="41"/>
      <c r="J392" s="42"/>
      <c r="K392" s="41"/>
      <c r="L392" s="41"/>
      <c r="M392" s="43"/>
    </row>
    <row r="393" spans="2:13" outlineLevel="1">
      <c r="B393" s="40" t="str">
        <f t="shared" si="19"/>
        <v/>
      </c>
      <c r="C393" s="41"/>
      <c r="D393" s="41"/>
      <c r="E393" s="41"/>
      <c r="F393" s="41"/>
      <c r="G393" s="41"/>
      <c r="H393" s="41"/>
      <c r="I393" s="41"/>
      <c r="J393" s="42"/>
      <c r="K393" s="41"/>
      <c r="L393" s="41"/>
      <c r="M393" s="43"/>
    </row>
    <row r="394" spans="2:13" outlineLevel="1">
      <c r="B394" s="40" t="str">
        <f t="shared" si="19"/>
        <v/>
      </c>
      <c r="C394" s="41"/>
      <c r="D394" s="41"/>
      <c r="E394" s="41"/>
      <c r="F394" s="41"/>
      <c r="G394" s="41"/>
      <c r="H394" s="41"/>
      <c r="I394" s="41"/>
      <c r="J394" s="42"/>
      <c r="K394" s="41"/>
      <c r="L394" s="41"/>
      <c r="M394" s="43"/>
    </row>
    <row r="395" spans="2:13" outlineLevel="1">
      <c r="B395" s="40" t="str">
        <f t="shared" si="19"/>
        <v/>
      </c>
      <c r="C395" s="41"/>
      <c r="D395" s="41"/>
      <c r="E395" s="41"/>
      <c r="F395" s="41"/>
      <c r="G395" s="41"/>
      <c r="H395" s="41"/>
      <c r="I395" s="41"/>
      <c r="J395" s="42"/>
      <c r="K395" s="41"/>
      <c r="L395" s="41"/>
      <c r="M395" s="43"/>
    </row>
    <row r="396" spans="2:13" outlineLevel="1">
      <c r="B396" s="40" t="str">
        <f t="shared" si="19"/>
        <v/>
      </c>
      <c r="C396" s="41"/>
      <c r="D396" s="41"/>
      <c r="E396" s="41"/>
      <c r="F396" s="41"/>
      <c r="G396" s="41"/>
      <c r="H396" s="41"/>
      <c r="I396" s="41"/>
      <c r="J396" s="42"/>
      <c r="K396" s="41"/>
      <c r="L396" s="41"/>
      <c r="M396" s="43"/>
    </row>
    <row r="397" spans="2:13" outlineLevel="1">
      <c r="B397" s="40" t="str">
        <f t="shared" si="19"/>
        <v/>
      </c>
      <c r="C397" s="41"/>
      <c r="D397" s="41"/>
      <c r="E397" s="41"/>
      <c r="F397" s="41"/>
      <c r="G397" s="41"/>
      <c r="H397" s="41"/>
      <c r="I397" s="41"/>
      <c r="J397" s="42"/>
      <c r="K397" s="41"/>
      <c r="L397" s="41"/>
      <c r="M397" s="43"/>
    </row>
    <row r="398" spans="2:13" outlineLevel="1">
      <c r="B398" s="40" t="str">
        <f t="shared" si="19"/>
        <v/>
      </c>
      <c r="C398" s="41"/>
      <c r="D398" s="41"/>
      <c r="E398" s="41"/>
      <c r="F398" s="41"/>
      <c r="G398" s="41"/>
      <c r="H398" s="41"/>
      <c r="I398" s="41"/>
      <c r="J398" s="42"/>
      <c r="K398" s="41"/>
      <c r="L398" s="41"/>
      <c r="M398" s="43"/>
    </row>
    <row r="399" spans="2:13" outlineLevel="1">
      <c r="B399" s="40" t="str">
        <f t="shared" si="19"/>
        <v/>
      </c>
      <c r="C399" s="41"/>
      <c r="D399" s="41"/>
      <c r="E399" s="41"/>
      <c r="F399" s="41"/>
      <c r="G399" s="41"/>
      <c r="H399" s="41"/>
      <c r="I399" s="41"/>
      <c r="J399" s="42"/>
      <c r="K399" s="41"/>
      <c r="L399" s="41"/>
      <c r="M399" s="43"/>
    </row>
    <row r="400" spans="2:13" outlineLevel="1">
      <c r="B400" s="40" t="str">
        <f t="shared" si="19"/>
        <v/>
      </c>
      <c r="C400" s="41"/>
      <c r="D400" s="41"/>
      <c r="E400" s="41"/>
      <c r="F400" s="41"/>
      <c r="G400" s="41"/>
      <c r="H400" s="41"/>
      <c r="I400" s="41"/>
      <c r="J400" s="42"/>
      <c r="K400" s="41"/>
      <c r="L400" s="41"/>
      <c r="M400" s="43"/>
    </row>
    <row r="401" spans="2:13" outlineLevel="1">
      <c r="B401" s="40" t="str">
        <f t="shared" si="19"/>
        <v/>
      </c>
      <c r="C401" s="41"/>
      <c r="D401" s="41"/>
      <c r="E401" s="41"/>
      <c r="F401" s="41"/>
      <c r="G401" s="41"/>
      <c r="H401" s="41"/>
      <c r="I401" s="41"/>
      <c r="J401" s="42"/>
      <c r="K401" s="41"/>
      <c r="L401" s="41"/>
      <c r="M401" s="43"/>
    </row>
    <row r="402" spans="2:13" outlineLevel="1">
      <c r="B402" s="40" t="str">
        <f t="shared" si="19"/>
        <v/>
      </c>
      <c r="C402" s="41"/>
      <c r="D402" s="41"/>
      <c r="E402" s="41"/>
      <c r="F402" s="41"/>
      <c r="G402" s="41"/>
      <c r="H402" s="41"/>
      <c r="I402" s="41"/>
      <c r="J402" s="42"/>
      <c r="K402" s="41"/>
      <c r="L402" s="41"/>
      <c r="M402" s="43"/>
    </row>
    <row r="403" spans="2:13" outlineLevel="1">
      <c r="B403" s="40" t="str">
        <f t="shared" si="19"/>
        <v/>
      </c>
      <c r="C403" s="41"/>
      <c r="D403" s="41"/>
      <c r="E403" s="41"/>
      <c r="F403" s="41"/>
      <c r="G403" s="41"/>
      <c r="H403" s="41"/>
      <c r="I403" s="41"/>
      <c r="J403" s="42"/>
      <c r="K403" s="41"/>
      <c r="L403" s="41"/>
      <c r="M403" s="43"/>
    </row>
    <row r="404" spans="2:13" outlineLevel="1">
      <c r="B404" s="40" t="str">
        <f t="shared" si="19"/>
        <v/>
      </c>
      <c r="C404" s="41"/>
      <c r="D404" s="41"/>
      <c r="E404" s="41"/>
      <c r="F404" s="41"/>
      <c r="G404" s="41"/>
      <c r="H404" s="41"/>
      <c r="I404" s="41"/>
      <c r="J404" s="42"/>
      <c r="K404" s="41"/>
      <c r="L404" s="41"/>
      <c r="M404" s="43"/>
    </row>
    <row r="405" spans="2:13" outlineLevel="1">
      <c r="B405" s="40" t="str">
        <f t="shared" si="19"/>
        <v/>
      </c>
      <c r="C405" s="41"/>
      <c r="D405" s="41"/>
      <c r="E405" s="41"/>
      <c r="F405" s="41"/>
      <c r="G405" s="41"/>
      <c r="H405" s="41"/>
      <c r="I405" s="41"/>
      <c r="J405" s="42"/>
      <c r="K405" s="41"/>
      <c r="L405" s="41"/>
      <c r="M405" s="43"/>
    </row>
    <row r="406" spans="2:13" outlineLevel="1">
      <c r="B406" s="40" t="str">
        <f t="shared" si="19"/>
        <v/>
      </c>
      <c r="C406" s="41"/>
      <c r="D406" s="41"/>
      <c r="E406" s="41"/>
      <c r="F406" s="41"/>
      <c r="G406" s="41"/>
      <c r="H406" s="41"/>
      <c r="I406" s="41"/>
      <c r="J406" s="42"/>
      <c r="K406" s="41"/>
      <c r="L406" s="41"/>
      <c r="M406" s="43"/>
    </row>
    <row r="407" spans="2:13" outlineLevel="1">
      <c r="B407" s="40" t="str">
        <f t="shared" si="19"/>
        <v/>
      </c>
      <c r="C407" s="41"/>
      <c r="D407" s="41"/>
      <c r="E407" s="41"/>
      <c r="F407" s="41"/>
      <c r="G407" s="41"/>
      <c r="H407" s="41"/>
      <c r="I407" s="41"/>
      <c r="J407" s="42"/>
      <c r="K407" s="41"/>
      <c r="L407" s="41"/>
      <c r="M407" s="43"/>
    </row>
    <row r="408" spans="2:13" outlineLevel="1">
      <c r="B408" s="40" t="str">
        <f t="shared" si="19"/>
        <v/>
      </c>
      <c r="C408" s="41"/>
      <c r="D408" s="41"/>
      <c r="E408" s="41"/>
      <c r="F408" s="41"/>
      <c r="G408" s="41"/>
      <c r="H408" s="41"/>
      <c r="I408" s="41"/>
      <c r="J408" s="42"/>
      <c r="K408" s="41"/>
      <c r="L408" s="41"/>
      <c r="M408" s="43"/>
    </row>
    <row r="409" spans="2:13" outlineLevel="1">
      <c r="B409" s="40" t="str">
        <f t="shared" si="19"/>
        <v/>
      </c>
      <c r="C409" s="41"/>
      <c r="D409" s="41"/>
      <c r="E409" s="41"/>
      <c r="F409" s="41"/>
      <c r="G409" s="41"/>
      <c r="H409" s="41"/>
      <c r="I409" s="41"/>
      <c r="J409" s="42"/>
      <c r="K409" s="41"/>
      <c r="L409" s="41"/>
      <c r="M409" s="43"/>
    </row>
    <row r="410" spans="2:13" outlineLevel="1">
      <c r="B410" s="40" t="str">
        <f t="shared" si="19"/>
        <v/>
      </c>
      <c r="C410" s="41"/>
      <c r="D410" s="41"/>
      <c r="E410" s="41"/>
      <c r="F410" s="41"/>
      <c r="G410" s="41"/>
      <c r="H410" s="41"/>
      <c r="I410" s="41"/>
      <c r="J410" s="42"/>
      <c r="K410" s="41"/>
      <c r="L410" s="41"/>
      <c r="M410" s="43"/>
    </row>
    <row r="411" spans="2:13" outlineLevel="1">
      <c r="B411" s="40" t="str">
        <f t="shared" si="19"/>
        <v/>
      </c>
      <c r="C411" s="41"/>
      <c r="D411" s="41"/>
      <c r="E411" s="41"/>
      <c r="F411" s="41"/>
      <c r="G411" s="41"/>
      <c r="H411" s="41"/>
      <c r="I411" s="41"/>
      <c r="J411" s="42"/>
      <c r="K411" s="41"/>
      <c r="L411" s="41"/>
      <c r="M411" s="43"/>
    </row>
    <row r="412" spans="2:13" outlineLevel="1">
      <c r="B412" s="40" t="str">
        <f t="shared" si="19"/>
        <v/>
      </c>
      <c r="C412" s="41"/>
      <c r="D412" s="41"/>
      <c r="E412" s="41"/>
      <c r="F412" s="41"/>
      <c r="G412" s="41"/>
      <c r="H412" s="41"/>
      <c r="I412" s="41"/>
      <c r="J412" s="42"/>
      <c r="K412" s="41"/>
      <c r="L412" s="41"/>
      <c r="M412" s="43"/>
    </row>
    <row r="413" spans="2:13" outlineLevel="1">
      <c r="B413" s="40" t="str">
        <f t="shared" si="19"/>
        <v/>
      </c>
      <c r="C413" s="41"/>
      <c r="D413" s="41"/>
      <c r="E413" s="41"/>
      <c r="F413" s="41"/>
      <c r="G413" s="41"/>
      <c r="H413" s="41"/>
      <c r="I413" s="41"/>
      <c r="J413" s="42"/>
      <c r="K413" s="41"/>
      <c r="L413" s="41"/>
      <c r="M413" s="43"/>
    </row>
    <row r="414" spans="2:13" outlineLevel="1">
      <c r="B414" s="40" t="str">
        <f t="shared" si="19"/>
        <v/>
      </c>
      <c r="C414" s="41"/>
      <c r="D414" s="41"/>
      <c r="E414" s="41"/>
      <c r="F414" s="41"/>
      <c r="G414" s="41"/>
      <c r="H414" s="41"/>
      <c r="I414" s="41"/>
      <c r="J414" s="42"/>
      <c r="K414" s="41"/>
      <c r="L414" s="41"/>
      <c r="M414" s="43"/>
    </row>
    <row r="415" spans="2:13" outlineLevel="1">
      <c r="B415" s="40" t="str">
        <f t="shared" si="19"/>
        <v/>
      </c>
      <c r="C415" s="41"/>
      <c r="D415" s="41"/>
      <c r="E415" s="41"/>
      <c r="F415" s="41"/>
      <c r="G415" s="41"/>
      <c r="H415" s="41"/>
      <c r="I415" s="41"/>
      <c r="J415" s="42"/>
      <c r="K415" s="41"/>
      <c r="L415" s="41"/>
      <c r="M415" s="43"/>
    </row>
    <row r="416" spans="2:13" outlineLevel="1">
      <c r="B416" s="40" t="str">
        <f t="shared" si="19"/>
        <v/>
      </c>
      <c r="C416" s="41"/>
      <c r="D416" s="41"/>
      <c r="E416" s="41"/>
      <c r="F416" s="41"/>
      <c r="G416" s="41"/>
      <c r="H416" s="41"/>
      <c r="I416" s="41"/>
      <c r="J416" s="42"/>
      <c r="K416" s="41"/>
      <c r="L416" s="41"/>
      <c r="M416" s="43"/>
    </row>
    <row r="417" spans="2:13" outlineLevel="1">
      <c r="B417" s="40" t="str">
        <f t="shared" si="19"/>
        <v/>
      </c>
      <c r="C417" s="41"/>
      <c r="D417" s="41"/>
      <c r="E417" s="41"/>
      <c r="F417" s="41"/>
      <c r="G417" s="41"/>
      <c r="H417" s="41"/>
      <c r="I417" s="41"/>
      <c r="J417" s="42"/>
      <c r="K417" s="41"/>
      <c r="L417" s="41"/>
      <c r="M417" s="43"/>
    </row>
    <row r="418" spans="2:13" outlineLevel="1">
      <c r="B418" s="40" t="str">
        <f t="shared" si="19"/>
        <v/>
      </c>
      <c r="C418" s="41"/>
      <c r="D418" s="41"/>
      <c r="E418" s="41"/>
      <c r="F418" s="41"/>
      <c r="G418" s="41"/>
      <c r="H418" s="41"/>
      <c r="I418" s="41"/>
      <c r="J418" s="42"/>
      <c r="K418" s="41"/>
      <c r="L418" s="41"/>
      <c r="M418" s="43"/>
    </row>
    <row r="419" spans="2:13" outlineLevel="1">
      <c r="B419" s="40" t="str">
        <f t="shared" ref="B419:B452" si="20">IF(C419="","",(B418+1))</f>
        <v/>
      </c>
      <c r="C419" s="41"/>
      <c r="D419" s="41"/>
      <c r="E419" s="41"/>
      <c r="F419" s="41"/>
      <c r="G419" s="41"/>
      <c r="H419" s="41"/>
      <c r="I419" s="41"/>
      <c r="J419" s="42"/>
      <c r="K419" s="41"/>
      <c r="L419" s="41"/>
      <c r="M419" s="43"/>
    </row>
    <row r="420" spans="2:13" outlineLevel="1">
      <c r="B420" s="40" t="str">
        <f t="shared" si="20"/>
        <v/>
      </c>
      <c r="C420" s="41"/>
      <c r="D420" s="41"/>
      <c r="E420" s="41"/>
      <c r="F420" s="41"/>
      <c r="G420" s="41"/>
      <c r="H420" s="41"/>
      <c r="I420" s="41"/>
      <c r="J420" s="42"/>
      <c r="K420" s="41"/>
      <c r="L420" s="41"/>
      <c r="M420" s="43"/>
    </row>
    <row r="421" spans="2:13" outlineLevel="1">
      <c r="B421" s="40" t="str">
        <f t="shared" si="20"/>
        <v/>
      </c>
      <c r="C421" s="41"/>
      <c r="D421" s="41"/>
      <c r="E421" s="41"/>
      <c r="F421" s="41"/>
      <c r="G421" s="41"/>
      <c r="H421" s="41"/>
      <c r="I421" s="41"/>
      <c r="J421" s="42"/>
      <c r="K421" s="41"/>
      <c r="L421" s="41"/>
      <c r="M421" s="43"/>
    </row>
    <row r="422" spans="2:13" outlineLevel="1">
      <c r="B422" s="40" t="str">
        <f t="shared" si="20"/>
        <v/>
      </c>
      <c r="C422" s="41"/>
      <c r="D422" s="41"/>
      <c r="E422" s="41"/>
      <c r="F422" s="41"/>
      <c r="G422" s="41"/>
      <c r="H422" s="41"/>
      <c r="I422" s="41"/>
      <c r="J422" s="42"/>
      <c r="K422" s="41"/>
      <c r="L422" s="41"/>
      <c r="M422" s="43"/>
    </row>
    <row r="423" spans="2:13" outlineLevel="1">
      <c r="B423" s="40" t="str">
        <f t="shared" si="20"/>
        <v/>
      </c>
      <c r="C423" s="41"/>
      <c r="D423" s="41"/>
      <c r="E423" s="41"/>
      <c r="F423" s="41"/>
      <c r="G423" s="41"/>
      <c r="H423" s="41"/>
      <c r="I423" s="41"/>
      <c r="J423" s="42"/>
      <c r="K423" s="41"/>
      <c r="L423" s="41"/>
      <c r="M423" s="43"/>
    </row>
    <row r="424" spans="2:13" outlineLevel="1">
      <c r="B424" s="40" t="str">
        <f t="shared" si="20"/>
        <v/>
      </c>
      <c r="C424" s="41"/>
      <c r="D424" s="41"/>
      <c r="E424" s="41"/>
      <c r="F424" s="41"/>
      <c r="G424" s="41"/>
      <c r="H424" s="41"/>
      <c r="I424" s="41"/>
      <c r="J424" s="42"/>
      <c r="K424" s="41"/>
      <c r="L424" s="41"/>
      <c r="M424" s="43"/>
    </row>
    <row r="425" spans="2:13" outlineLevel="1">
      <c r="B425" s="40" t="str">
        <f t="shared" si="20"/>
        <v/>
      </c>
      <c r="C425" s="41"/>
      <c r="D425" s="41"/>
      <c r="E425" s="41"/>
      <c r="F425" s="41"/>
      <c r="G425" s="41"/>
      <c r="H425" s="41"/>
      <c r="I425" s="41"/>
      <c r="J425" s="42"/>
      <c r="K425" s="41"/>
      <c r="L425" s="41"/>
      <c r="M425" s="43"/>
    </row>
    <row r="426" spans="2:13" outlineLevel="1">
      <c r="B426" s="40" t="str">
        <f t="shared" si="20"/>
        <v/>
      </c>
      <c r="C426" s="41"/>
      <c r="D426" s="41"/>
      <c r="E426" s="41"/>
      <c r="F426" s="41"/>
      <c r="G426" s="41"/>
      <c r="H426" s="41"/>
      <c r="I426" s="41"/>
      <c r="J426" s="42"/>
      <c r="K426" s="41"/>
      <c r="L426" s="41"/>
      <c r="M426" s="43"/>
    </row>
    <row r="427" spans="2:13" outlineLevel="1">
      <c r="B427" s="40" t="str">
        <f t="shared" si="20"/>
        <v/>
      </c>
      <c r="C427" s="41"/>
      <c r="D427" s="41"/>
      <c r="E427" s="41"/>
      <c r="F427" s="41"/>
      <c r="G427" s="41"/>
      <c r="H427" s="41"/>
      <c r="I427" s="41"/>
      <c r="J427" s="42"/>
      <c r="K427" s="41"/>
      <c r="L427" s="41"/>
      <c r="M427" s="43"/>
    </row>
    <row r="428" spans="2:13" outlineLevel="1">
      <c r="B428" s="40" t="str">
        <f t="shared" si="20"/>
        <v/>
      </c>
      <c r="C428" s="41"/>
      <c r="D428" s="41"/>
      <c r="E428" s="41"/>
      <c r="F428" s="41"/>
      <c r="G428" s="41"/>
      <c r="H428" s="41"/>
      <c r="I428" s="41"/>
      <c r="J428" s="42"/>
      <c r="K428" s="41"/>
      <c r="L428" s="41"/>
      <c r="M428" s="43"/>
    </row>
    <row r="429" spans="2:13" outlineLevel="1">
      <c r="B429" s="40" t="str">
        <f t="shared" si="20"/>
        <v/>
      </c>
      <c r="C429" s="41"/>
      <c r="D429" s="41"/>
      <c r="E429" s="41"/>
      <c r="F429" s="41"/>
      <c r="G429" s="41"/>
      <c r="H429" s="41"/>
      <c r="I429" s="41"/>
      <c r="J429" s="42"/>
      <c r="K429" s="41"/>
      <c r="L429" s="41"/>
      <c r="M429" s="43"/>
    </row>
    <row r="430" spans="2:13" outlineLevel="1">
      <c r="B430" s="40" t="str">
        <f t="shared" si="20"/>
        <v/>
      </c>
      <c r="C430" s="41"/>
      <c r="D430" s="41"/>
      <c r="E430" s="41"/>
      <c r="F430" s="41"/>
      <c r="G430" s="41"/>
      <c r="H430" s="41"/>
      <c r="I430" s="41"/>
      <c r="J430" s="42"/>
      <c r="K430" s="41"/>
      <c r="L430" s="41"/>
      <c r="M430" s="43"/>
    </row>
    <row r="431" spans="2:13" outlineLevel="1">
      <c r="B431" s="40" t="str">
        <f t="shared" si="20"/>
        <v/>
      </c>
      <c r="C431" s="41"/>
      <c r="D431" s="41"/>
      <c r="E431" s="41"/>
      <c r="F431" s="41"/>
      <c r="G431" s="41"/>
      <c r="H431" s="41"/>
      <c r="I431" s="41"/>
      <c r="J431" s="42"/>
      <c r="K431" s="41"/>
      <c r="L431" s="41"/>
      <c r="M431" s="43"/>
    </row>
    <row r="432" spans="2:13" outlineLevel="1">
      <c r="B432" s="40" t="str">
        <f t="shared" si="20"/>
        <v/>
      </c>
      <c r="C432" s="41"/>
      <c r="D432" s="41"/>
      <c r="E432" s="41"/>
      <c r="F432" s="41"/>
      <c r="G432" s="41"/>
      <c r="H432" s="41"/>
      <c r="I432" s="41"/>
      <c r="J432" s="42"/>
      <c r="K432" s="41"/>
      <c r="L432" s="41"/>
      <c r="M432" s="43"/>
    </row>
    <row r="433" spans="2:13" outlineLevel="1">
      <c r="B433" s="40" t="str">
        <f t="shared" si="20"/>
        <v/>
      </c>
      <c r="C433" s="41"/>
      <c r="D433" s="41"/>
      <c r="E433" s="41"/>
      <c r="F433" s="41"/>
      <c r="G433" s="41"/>
      <c r="H433" s="41"/>
      <c r="I433" s="41"/>
      <c r="J433" s="42"/>
      <c r="K433" s="41"/>
      <c r="L433" s="41"/>
      <c r="M433" s="43"/>
    </row>
    <row r="434" spans="2:13" outlineLevel="1">
      <c r="B434" s="40" t="str">
        <f t="shared" si="20"/>
        <v/>
      </c>
      <c r="C434" s="41"/>
      <c r="D434" s="41"/>
      <c r="E434" s="41"/>
      <c r="F434" s="41"/>
      <c r="G434" s="41"/>
      <c r="H434" s="41"/>
      <c r="I434" s="41"/>
      <c r="J434" s="42"/>
      <c r="K434" s="41"/>
      <c r="L434" s="41"/>
      <c r="M434" s="43"/>
    </row>
    <row r="435" spans="2:13" outlineLevel="1">
      <c r="B435" s="40" t="str">
        <f t="shared" si="20"/>
        <v/>
      </c>
      <c r="C435" s="41"/>
      <c r="D435" s="41"/>
      <c r="E435" s="41"/>
      <c r="F435" s="41"/>
      <c r="G435" s="41"/>
      <c r="H435" s="41"/>
      <c r="I435" s="41"/>
      <c r="J435" s="42"/>
      <c r="K435" s="41"/>
      <c r="L435" s="41"/>
      <c r="M435" s="43"/>
    </row>
    <row r="436" spans="2:13" outlineLevel="1">
      <c r="B436" s="40" t="str">
        <f t="shared" si="20"/>
        <v/>
      </c>
      <c r="C436" s="41"/>
      <c r="D436" s="41"/>
      <c r="E436" s="41"/>
      <c r="F436" s="41"/>
      <c r="G436" s="41"/>
      <c r="H436" s="41"/>
      <c r="I436" s="41"/>
      <c r="J436" s="42"/>
      <c r="K436" s="41"/>
      <c r="L436" s="41"/>
      <c r="M436" s="43"/>
    </row>
    <row r="437" spans="2:13" outlineLevel="1">
      <c r="B437" s="40" t="str">
        <f t="shared" si="20"/>
        <v/>
      </c>
      <c r="C437" s="41"/>
      <c r="D437" s="41"/>
      <c r="E437" s="41"/>
      <c r="F437" s="41"/>
      <c r="G437" s="41"/>
      <c r="H437" s="41"/>
      <c r="I437" s="41"/>
      <c r="J437" s="42"/>
      <c r="K437" s="41"/>
      <c r="L437" s="41"/>
      <c r="M437" s="43"/>
    </row>
    <row r="438" spans="2:13" outlineLevel="1">
      <c r="B438" s="40" t="str">
        <f t="shared" si="20"/>
        <v/>
      </c>
      <c r="C438" s="41"/>
      <c r="D438" s="41"/>
      <c r="E438" s="41"/>
      <c r="F438" s="41"/>
      <c r="G438" s="41"/>
      <c r="H438" s="41"/>
      <c r="I438" s="41"/>
      <c r="J438" s="42"/>
      <c r="K438" s="41"/>
      <c r="L438" s="41"/>
      <c r="M438" s="43"/>
    </row>
    <row r="439" spans="2:13" outlineLevel="1">
      <c r="B439" s="40" t="str">
        <f t="shared" si="20"/>
        <v/>
      </c>
      <c r="C439" s="41"/>
      <c r="D439" s="41"/>
      <c r="E439" s="41"/>
      <c r="F439" s="41"/>
      <c r="G439" s="41"/>
      <c r="H439" s="41"/>
      <c r="I439" s="41"/>
      <c r="J439" s="42"/>
      <c r="K439" s="41"/>
      <c r="L439" s="41"/>
      <c r="M439" s="43"/>
    </row>
    <row r="440" spans="2:13" outlineLevel="1">
      <c r="B440" s="40" t="str">
        <f t="shared" si="20"/>
        <v/>
      </c>
      <c r="C440" s="41"/>
      <c r="D440" s="41"/>
      <c r="E440" s="41"/>
      <c r="F440" s="41"/>
      <c r="G440" s="41"/>
      <c r="H440" s="41"/>
      <c r="I440" s="41"/>
      <c r="J440" s="42"/>
      <c r="K440" s="41"/>
      <c r="L440" s="41"/>
      <c r="M440" s="43"/>
    </row>
    <row r="441" spans="2:13" outlineLevel="1">
      <c r="B441" s="40" t="str">
        <f t="shared" si="20"/>
        <v/>
      </c>
      <c r="C441" s="41"/>
      <c r="D441" s="41"/>
      <c r="E441" s="41"/>
      <c r="F441" s="41"/>
      <c r="G441" s="41"/>
      <c r="H441" s="41"/>
      <c r="I441" s="41"/>
      <c r="J441" s="42"/>
      <c r="K441" s="41"/>
      <c r="L441" s="41"/>
      <c r="M441" s="43"/>
    </row>
    <row r="442" spans="2:13" outlineLevel="1">
      <c r="B442" s="40" t="str">
        <f t="shared" si="20"/>
        <v/>
      </c>
      <c r="C442" s="41"/>
      <c r="D442" s="41"/>
      <c r="E442" s="41"/>
      <c r="F442" s="41"/>
      <c r="G442" s="41"/>
      <c r="H442" s="41"/>
      <c r="I442" s="41"/>
      <c r="J442" s="42"/>
      <c r="K442" s="41"/>
      <c r="L442" s="41"/>
      <c r="M442" s="43"/>
    </row>
    <row r="443" spans="2:13" outlineLevel="1">
      <c r="B443" s="40" t="str">
        <f t="shared" si="20"/>
        <v/>
      </c>
      <c r="C443" s="41"/>
      <c r="D443" s="41"/>
      <c r="E443" s="41"/>
      <c r="F443" s="41"/>
      <c r="G443" s="41"/>
      <c r="H443" s="41"/>
      <c r="I443" s="41"/>
      <c r="J443" s="42"/>
      <c r="K443" s="41"/>
      <c r="L443" s="41"/>
      <c r="M443" s="43"/>
    </row>
    <row r="444" spans="2:13" outlineLevel="1">
      <c r="B444" s="40" t="str">
        <f t="shared" si="20"/>
        <v/>
      </c>
      <c r="C444" s="41"/>
      <c r="D444" s="41"/>
      <c r="E444" s="41"/>
      <c r="F444" s="41"/>
      <c r="G444" s="41"/>
      <c r="H444" s="41"/>
      <c r="I444" s="41"/>
      <c r="J444" s="42"/>
      <c r="K444" s="41"/>
      <c r="L444" s="41"/>
      <c r="M444" s="43"/>
    </row>
    <row r="445" spans="2:13" outlineLevel="1">
      <c r="B445" s="40" t="str">
        <f t="shared" si="20"/>
        <v/>
      </c>
      <c r="C445" s="41"/>
      <c r="D445" s="41"/>
      <c r="E445" s="41"/>
      <c r="F445" s="41"/>
      <c r="G445" s="41"/>
      <c r="H445" s="41"/>
      <c r="I445" s="41"/>
      <c r="J445" s="42"/>
      <c r="K445" s="41"/>
      <c r="L445" s="41"/>
      <c r="M445" s="43"/>
    </row>
    <row r="446" spans="2:13" outlineLevel="1">
      <c r="B446" s="40" t="str">
        <f t="shared" si="20"/>
        <v/>
      </c>
      <c r="C446" s="41"/>
      <c r="D446" s="41"/>
      <c r="E446" s="41"/>
      <c r="F446" s="41"/>
      <c r="G446" s="41"/>
      <c r="H446" s="41"/>
      <c r="I446" s="41"/>
      <c r="J446" s="42"/>
      <c r="K446" s="41"/>
      <c r="L446" s="41"/>
      <c r="M446" s="43"/>
    </row>
    <row r="447" spans="2:13" outlineLevel="1">
      <c r="B447" s="40" t="str">
        <f t="shared" si="20"/>
        <v/>
      </c>
      <c r="C447" s="41"/>
      <c r="D447" s="41"/>
      <c r="E447" s="41"/>
      <c r="F447" s="41"/>
      <c r="G447" s="41"/>
      <c r="H447" s="41"/>
      <c r="I447" s="41"/>
      <c r="J447" s="42"/>
      <c r="K447" s="41"/>
      <c r="L447" s="41"/>
      <c r="M447" s="43"/>
    </row>
    <row r="448" spans="2:13" outlineLevel="1">
      <c r="B448" s="40" t="str">
        <f t="shared" si="20"/>
        <v/>
      </c>
      <c r="C448" s="41"/>
      <c r="D448" s="41"/>
      <c r="E448" s="41"/>
      <c r="F448" s="41"/>
      <c r="G448" s="41"/>
      <c r="H448" s="41"/>
      <c r="I448" s="41"/>
      <c r="J448" s="42"/>
      <c r="K448" s="41"/>
      <c r="L448" s="41"/>
      <c r="M448" s="43"/>
    </row>
    <row r="449" spans="2:13" outlineLevel="1">
      <c r="B449" s="40" t="str">
        <f t="shared" si="20"/>
        <v/>
      </c>
      <c r="C449" s="41"/>
      <c r="D449" s="41"/>
      <c r="E449" s="41"/>
      <c r="F449" s="41"/>
      <c r="G449" s="41"/>
      <c r="H449" s="41"/>
      <c r="I449" s="41"/>
      <c r="J449" s="42"/>
      <c r="K449" s="41"/>
      <c r="L449" s="41"/>
      <c r="M449" s="43"/>
    </row>
    <row r="450" spans="2:13" outlineLevel="1">
      <c r="B450" s="40" t="str">
        <f t="shared" si="20"/>
        <v/>
      </c>
      <c r="C450" s="41"/>
      <c r="D450" s="41"/>
      <c r="E450" s="41"/>
      <c r="F450" s="41"/>
      <c r="G450" s="41"/>
      <c r="H450" s="41"/>
      <c r="I450" s="41"/>
      <c r="J450" s="42"/>
      <c r="K450" s="41"/>
      <c r="L450" s="41"/>
      <c r="M450" s="43"/>
    </row>
    <row r="451" spans="2:13" outlineLevel="1">
      <c r="B451" s="35" t="str">
        <f t="shared" si="20"/>
        <v/>
      </c>
      <c r="C451" s="41"/>
      <c r="D451" s="41"/>
      <c r="E451" s="1"/>
      <c r="F451" s="1"/>
      <c r="G451" s="1"/>
      <c r="H451" s="1"/>
      <c r="I451" s="1"/>
      <c r="J451" s="36"/>
      <c r="K451" s="1"/>
      <c r="L451" s="1"/>
      <c r="M451" s="2"/>
    </row>
    <row r="452" spans="2:13" ht="15.75" outlineLevel="1" thickBot="1">
      <c r="B452" s="37" t="str">
        <f t="shared" si="20"/>
        <v/>
      </c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9"/>
    </row>
    <row r="453" spans="2:13" ht="24" customHeight="1" thickBot="1">
      <c r="B453" s="320" t="s">
        <v>59</v>
      </c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2"/>
    </row>
    <row r="454" spans="2:13" ht="24" customHeight="1" thickBot="1">
      <c r="B454" s="26" t="s">
        <v>49</v>
      </c>
      <c r="C454" s="27" t="s">
        <v>60</v>
      </c>
      <c r="D454" s="27" t="s">
        <v>61</v>
      </c>
      <c r="E454" s="27" t="s">
        <v>62</v>
      </c>
      <c r="F454" s="27" t="s">
        <v>63</v>
      </c>
      <c r="G454" s="27" t="s">
        <v>64</v>
      </c>
      <c r="H454" s="27" t="s">
        <v>65</v>
      </c>
      <c r="I454" s="27" t="s">
        <v>66</v>
      </c>
      <c r="J454" s="27" t="s">
        <v>67</v>
      </c>
      <c r="K454" s="27" t="s">
        <v>6</v>
      </c>
      <c r="L454" s="27" t="s">
        <v>7</v>
      </c>
      <c r="M454" s="28" t="s">
        <v>68</v>
      </c>
    </row>
    <row r="455" spans="2:13">
      <c r="B455" s="46" t="s">
        <v>8</v>
      </c>
      <c r="C455" s="41">
        <f>COUNTIFS(B353:B452,"&gt;"&amp;0,C353:C452,"="&amp;B455)</f>
        <v>0</v>
      </c>
      <c r="D455" s="41"/>
      <c r="E455" s="41">
        <f>COUNTIFS(B353:B452,"&gt;="&amp;1,C353:C452,B455,L353:L452,"&gt;="&amp;0,L353:L452,"&lt;"&amp;50)</f>
        <v>0</v>
      </c>
      <c r="F455" s="41">
        <f>COUNTIFS(B353:B452,"&gt;="&amp;1,C353:C452,B455,L353:L452,"&gt;="&amp;50,L353:L452,"&lt;"&amp;500)</f>
        <v>0</v>
      </c>
      <c r="G455" s="41">
        <f>COUNTIFS(B353:B452,"&gt;="&amp;1,C353:C452,B455,L353:L452,"&gt;="&amp;500)</f>
        <v>0</v>
      </c>
      <c r="H455" s="41">
        <f>COUNTIFS(B353:B452,"&gt;="&amp;1,C353:C452,B455,L353:L452,"&gt;="&amp;0,J353:J452,"&gt;"&amp;DATE(2021,1,1))</f>
        <v>0</v>
      </c>
      <c r="I455" s="47" t="str">
        <f>IF(H455=0,"-",(SUM(F455,G455)/H455))</f>
        <v>-</v>
      </c>
      <c r="J455" s="41">
        <f>IF((COUNTIFS(B353:B452,"&gt;="&amp;1,C353:C452,"="&amp;B455))&gt;228,228,(COUNTIFS(B353:B452,"&gt;="&amp;1,C353:C452,"="&amp;B455)))</f>
        <v>0</v>
      </c>
      <c r="K455" s="47" t="str">
        <f>IF(J455=0,"-",(COUNTIFS(C353:C452,"="&amp;B455,J353:J452,"&lt;="&amp;DATE(2024,12,31),L353:L452,"&gt;="&amp;0)/J455))</f>
        <v>-</v>
      </c>
      <c r="L455" s="47" t="str">
        <f>IF(J455=0,"-",IF(K455=1,"-",(COUNTIFS(B353:B452,"&gt;"&amp;0,C353:C452,"="&amp;B455,J353:J452,"&gt;"&amp;DATE(2024,12,31),L353:L452,"&gt;="&amp;0)/(J455-COUNTIFS(B353:B452,"&gt;"&amp;0,C353:C452,"="&amp;B455,J353:J452,"&lt;="&amp;DATE(2024,12,31),L353:L452,"&gt;="&amp;0)))))</f>
        <v>-</v>
      </c>
      <c r="M455" s="48" t="str">
        <f>IF(J455=0,"-",H455/J455)</f>
        <v>-</v>
      </c>
    </row>
    <row r="456" spans="2:13">
      <c r="B456" s="7" t="s">
        <v>9</v>
      </c>
      <c r="C456" s="1">
        <f>COUNTIFS(B353:B452,"&gt;"&amp;0,C353:C452,"="&amp;B456)</f>
        <v>0</v>
      </c>
      <c r="D456" s="1"/>
      <c r="E456" s="1">
        <f>COUNTIFS(B353:B452,"&gt;="&amp;1,C353:C452,B456,L353:L452,"&gt;="&amp;0,L353:L452,"&lt;"&amp;50)</f>
        <v>0</v>
      </c>
      <c r="F456" s="1">
        <f>COUNTIFS(B353:B452,"&gt;="&amp;1,C353:C452,B456,L353:L452,"&gt;="&amp;50,L353:L452,"&lt;"&amp;500)</f>
        <v>0</v>
      </c>
      <c r="G456" s="1">
        <f>COUNTIFS(B353:B452,"&gt;="&amp;1,C353:C452,B456,L353:L452,"&gt;="&amp;500)</f>
        <v>0</v>
      </c>
      <c r="H456" s="1">
        <f>COUNTIFS(B353:B452,"&gt;="&amp;1,C353:C452,B456,L353:L452,"&gt;="&amp;0,J353:J452,"&gt;"&amp;DATE(2021,1,1))</f>
        <v>0</v>
      </c>
      <c r="I456" s="44" t="str">
        <f t="shared" ref="I456:I458" si="21">IF(H456=0,"-",(SUM(F456,G456)/H456))</f>
        <v>-</v>
      </c>
      <c r="J456" s="1">
        <f>IF((COUNTIFS(B353:B452,"&gt;="&amp;1,C353:C452,"="&amp;B456))&gt;228,228,(COUNTIFS(B353:B452,"&gt;="&amp;1,C353:C452,"="&amp;B456)))</f>
        <v>0</v>
      </c>
      <c r="K456" s="44" t="str">
        <f>IF(J456=0,"-",(COUNTIFS(C353:C452,"="&amp;B456,J353:J452,"&lt;="&amp;DATE(2024,12,31),L353:L452,"&gt;="&amp;0)/J456))</f>
        <v>-</v>
      </c>
      <c r="L456" s="47" t="str">
        <f>IF(J456=0,"-",IF(K456=1,"-",(COUNTIFS(B353:B452,"&gt;"&amp;0,C353:C452,"="&amp;B456,J353:J452,"&gt;"&amp;DATE(2024,12,31),L353:L452,"&gt;="&amp;0)/(J456-COUNTIFS(B353:B452,"&gt;"&amp;0,C353:C452,"="&amp;B456,J353:J452,"&lt;="&amp;DATE(2024,12,31),L353:L452,"&gt;="&amp;0)))))</f>
        <v>-</v>
      </c>
      <c r="M456" s="45" t="str">
        <f t="shared" ref="M456:M458" si="22">IF(J456=0,"-",H456/J456)</f>
        <v>-</v>
      </c>
    </row>
    <row r="457" spans="2:13">
      <c r="B457" s="7" t="s">
        <v>69</v>
      </c>
      <c r="C457" s="1">
        <f>COUNTIFS(B353:B452,"&gt;"&amp;0,C353:C452,"="&amp;B457)</f>
        <v>0</v>
      </c>
      <c r="D457" s="1"/>
      <c r="E457" s="1">
        <f>COUNTIFS(B353:B452,"&gt;="&amp;1,C353:C452,B457,L353:L452,"&gt;="&amp;0,L353:L452,"&lt;"&amp;50)</f>
        <v>0</v>
      </c>
      <c r="F457" s="1">
        <f>COUNTIFS(B353:B452,"&gt;="&amp;1,C353:C452,B457,L353:L452,"&gt;="&amp;50,L353:L452,"&lt;"&amp;500)</f>
        <v>0</v>
      </c>
      <c r="G457" s="1">
        <f>COUNTIFS(B353:B451,"&gt;="&amp;1,C353:C451,B457,L353:L451,"&gt;="&amp;500)</f>
        <v>0</v>
      </c>
      <c r="H457" s="1">
        <f>COUNTIFS(B353:B452,"&gt;="&amp;1,C353:C452,B457,L353:L452,"&gt;="&amp;0,J353:J452,"&gt;"&amp;DATE(2021,1,1))</f>
        <v>0</v>
      </c>
      <c r="I457" s="44" t="str">
        <f t="shared" si="21"/>
        <v>-</v>
      </c>
      <c r="J457" s="1">
        <f>IF((COUNTIFS(B353:B451,"&gt;="&amp;1,C353:C451,"="&amp;B457))&gt;228,228,(COUNTIFS(B353:B451,"&gt;="&amp;1,C353:C451,"="&amp;B457)))</f>
        <v>0</v>
      </c>
      <c r="K457" s="44" t="str">
        <f>IF(J457=0,"-",(COUNTIFS(C353:C452,"="&amp;B457,J353:J452,"&lt;="&amp;DATE(2024,12,31),L353:L452,"&gt;="&amp;0)/J457))</f>
        <v>-</v>
      </c>
      <c r="L457" s="47" t="str">
        <f>IF(J457=0,"-",IF(K457=1,"-",(COUNTIFS(B353:B452,"&gt;"&amp;0,C353:C452,"="&amp;B457,J353:J452,"&gt;"&amp;DATE(2024,12,31),L353:L452,"&gt;="&amp;0)/(J457-COUNTIFS(B353:B452,"&gt;"&amp;0,C353:C452,"="&amp;B457,J353:J452,"&lt;="&amp;DATE(2024,12,31),L353:L452,"&gt;="&amp;0)))))</f>
        <v>-</v>
      </c>
      <c r="M457" s="45" t="str">
        <f t="shared" si="22"/>
        <v>-</v>
      </c>
    </row>
    <row r="458" spans="2:13" ht="24" customHeight="1" thickBot="1">
      <c r="B458" s="49" t="s">
        <v>59</v>
      </c>
      <c r="C458" s="50">
        <f>SUM(C455:C457)</f>
        <v>0</v>
      </c>
      <c r="D458" s="50"/>
      <c r="E458" s="50">
        <f>SUM(E455:E457)</f>
        <v>0</v>
      </c>
      <c r="F458" s="50">
        <f>SUM(F455:F457)</f>
        <v>0</v>
      </c>
      <c r="G458" s="50">
        <f>SUM(G455:G457)</f>
        <v>0</v>
      </c>
      <c r="H458" s="50">
        <f>SUM(H455:H457)</f>
        <v>0</v>
      </c>
      <c r="I458" s="51" t="str">
        <f t="shared" si="21"/>
        <v>-</v>
      </c>
      <c r="J458" s="50">
        <f>SUM(J455:J457)</f>
        <v>0</v>
      </c>
      <c r="K458" s="51" t="str">
        <f>IF(J458=0,"-",(COUNTIFS(J353:J452,"&lt;="&amp;DATE(2024,12,31),L353:L452,"&gt;="&amp;0)/J458))</f>
        <v>-</v>
      </c>
      <c r="L458" s="51" t="str">
        <f>IF(J458=0,"-",IF(K458=1,"-",(COUNTIFS(B353:B452,"&gt;"&amp;0,J353:J452,"&gt;"&amp;DATE(2024,12,31),L353:L452,"&gt;="&amp;0)/(J458-COUNTIFS(B353:B452,"&gt;"&amp;0,J353:J452,"&lt;="&amp;DATE(2024,12,31),L353:L452,"&gt;="&amp;0)))))</f>
        <v>-</v>
      </c>
      <c r="M458" s="52" t="str">
        <f t="shared" si="22"/>
        <v>-</v>
      </c>
    </row>
    <row r="460" spans="2:13" ht="15.75" thickBot="1"/>
    <row r="461" spans="2:13" ht="33" customHeight="1" thickBot="1">
      <c r="B461" s="320" t="str">
        <f>_xlfn.CONCAT("Transformadores de Distribuição - TD's",TEXT(IF(SUM(J1382:J1385)=0," ",(SUM(H1382:H1385)/SUM(J1382:J1385))), " 0,00%"))</f>
        <v>Transformadores de Distribuição - TD's 12,83%</v>
      </c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2"/>
    </row>
    <row r="462" spans="2:13" ht="25.5" customHeight="1" thickBot="1">
      <c r="B462" s="26" t="s">
        <v>48</v>
      </c>
      <c r="C462" s="27" t="s">
        <v>49</v>
      </c>
      <c r="D462" s="27"/>
      <c r="E462" s="27" t="s">
        <v>50</v>
      </c>
      <c r="F462" s="27" t="s">
        <v>51</v>
      </c>
      <c r="G462" s="27" t="s">
        <v>52</v>
      </c>
      <c r="H462" s="27" t="s">
        <v>53</v>
      </c>
      <c r="I462" s="27" t="s">
        <v>54</v>
      </c>
      <c r="J462" s="27" t="s">
        <v>55</v>
      </c>
      <c r="K462" s="27" t="s">
        <v>56</v>
      </c>
      <c r="L462" s="27" t="s">
        <v>57</v>
      </c>
      <c r="M462" s="28" t="s">
        <v>58</v>
      </c>
    </row>
    <row r="463" spans="2:13" outlineLevel="2">
      <c r="B463" s="40">
        <f>ROW(A1)</f>
        <v>1</v>
      </c>
      <c r="C463" s="41" t="s">
        <v>8</v>
      </c>
      <c r="D463" s="41"/>
      <c r="E463" s="41" t="s">
        <v>122</v>
      </c>
      <c r="F463" s="41">
        <v>5753</v>
      </c>
      <c r="G463" s="41">
        <v>175007</v>
      </c>
      <c r="H463" s="41">
        <v>1987</v>
      </c>
      <c r="I463" s="41"/>
      <c r="J463" s="42"/>
      <c r="K463" s="41"/>
      <c r="L463" s="41">
        <v>25</v>
      </c>
      <c r="M463" s="43">
        <v>45127</v>
      </c>
    </row>
    <row r="464" spans="2:13" outlineLevel="2">
      <c r="B464" s="40">
        <f t="shared" ref="B464" si="23">ROW(A2)</f>
        <v>2</v>
      </c>
      <c r="C464" s="41" t="s">
        <v>8</v>
      </c>
      <c r="D464" s="41"/>
      <c r="E464" s="41" t="s">
        <v>123</v>
      </c>
      <c r="F464" s="41">
        <v>14860</v>
      </c>
      <c r="G464" s="41"/>
      <c r="H464" s="41">
        <v>1988</v>
      </c>
      <c r="I464" s="41"/>
      <c r="J464" s="42">
        <v>45162</v>
      </c>
      <c r="K464" s="41" t="s">
        <v>124</v>
      </c>
      <c r="L464" s="41">
        <v>17</v>
      </c>
      <c r="M464" s="65">
        <v>72028</v>
      </c>
    </row>
    <row r="465" spans="2:13" outlineLevel="2">
      <c r="B465" s="40">
        <f t="shared" ref="B465:B528" si="24">ROW(A3)</f>
        <v>3</v>
      </c>
      <c r="C465" s="41" t="s">
        <v>8</v>
      </c>
      <c r="D465" s="41"/>
      <c r="E465" s="41" t="s">
        <v>125</v>
      </c>
      <c r="F465" s="41">
        <v>5562</v>
      </c>
      <c r="G465" s="41"/>
      <c r="H465" s="41">
        <v>1987</v>
      </c>
      <c r="I465" s="41"/>
      <c r="J465" s="42"/>
      <c r="K465" s="41"/>
      <c r="L465" s="41">
        <v>14</v>
      </c>
      <c r="M465" s="43">
        <v>75573</v>
      </c>
    </row>
    <row r="466" spans="2:13" outlineLevel="2">
      <c r="B466" s="40">
        <f t="shared" si="24"/>
        <v>4</v>
      </c>
      <c r="C466" s="41" t="s">
        <v>8</v>
      </c>
      <c r="D466" s="41"/>
      <c r="E466" s="41" t="s">
        <v>126</v>
      </c>
      <c r="F466" s="41">
        <v>75366</v>
      </c>
      <c r="G466" s="41">
        <v>109595</v>
      </c>
      <c r="H466" s="41">
        <v>1988</v>
      </c>
      <c r="I466" s="41"/>
      <c r="J466" s="42"/>
      <c r="K466" s="41"/>
      <c r="L466" s="41">
        <v>2</v>
      </c>
      <c r="M466" s="43">
        <v>81705</v>
      </c>
    </row>
    <row r="467" spans="2:13" outlineLevel="2">
      <c r="B467" s="40">
        <f t="shared" si="24"/>
        <v>5</v>
      </c>
      <c r="C467" s="41" t="s">
        <v>8</v>
      </c>
      <c r="D467" s="41"/>
      <c r="E467" s="41" t="s">
        <v>127</v>
      </c>
      <c r="F467" s="41">
        <v>832981</v>
      </c>
      <c r="G467" s="41"/>
      <c r="H467" s="41">
        <v>1988</v>
      </c>
      <c r="I467" s="41"/>
      <c r="J467" s="42"/>
      <c r="K467" s="41"/>
      <c r="L467" s="41">
        <v>15</v>
      </c>
      <c r="M467" s="43">
        <v>61921</v>
      </c>
    </row>
    <row r="468" spans="2:13" outlineLevel="2">
      <c r="B468" s="40">
        <f t="shared" si="24"/>
        <v>6</v>
      </c>
      <c r="C468" s="41" t="s">
        <v>8</v>
      </c>
      <c r="D468" s="41"/>
      <c r="E468" s="41" t="s">
        <v>128</v>
      </c>
      <c r="F468" s="41">
        <v>9435</v>
      </c>
      <c r="G468" s="41"/>
      <c r="H468" s="41">
        <v>1988</v>
      </c>
      <c r="I468" s="41"/>
      <c r="J468" s="42"/>
      <c r="K468" s="41"/>
      <c r="L468" s="41">
        <v>14</v>
      </c>
      <c r="M468" s="43">
        <v>61934</v>
      </c>
    </row>
    <row r="469" spans="2:13" outlineLevel="2">
      <c r="B469" s="40">
        <f t="shared" si="24"/>
        <v>7</v>
      </c>
      <c r="C469" s="41" t="s">
        <v>8</v>
      </c>
      <c r="D469" s="41"/>
      <c r="E469" s="41" t="s">
        <v>129</v>
      </c>
      <c r="F469" s="41">
        <v>11472</v>
      </c>
      <c r="G469" s="41">
        <v>11472</v>
      </c>
      <c r="H469" s="41">
        <v>1988</v>
      </c>
      <c r="I469" s="41"/>
      <c r="J469" s="42"/>
      <c r="K469" s="41"/>
      <c r="L469" s="41">
        <v>35</v>
      </c>
      <c r="M469" s="43">
        <v>61955</v>
      </c>
    </row>
    <row r="470" spans="2:13" outlineLevel="2">
      <c r="B470" s="40">
        <f t="shared" si="24"/>
        <v>8</v>
      </c>
      <c r="C470" s="41" t="s">
        <v>8</v>
      </c>
      <c r="D470" s="41"/>
      <c r="E470" s="41" t="s">
        <v>130</v>
      </c>
      <c r="F470" s="41">
        <v>5723</v>
      </c>
      <c r="G470" s="41"/>
      <c r="H470" s="41">
        <v>1988</v>
      </c>
      <c r="I470" s="41"/>
      <c r="J470" s="42"/>
      <c r="K470" s="41"/>
      <c r="L470" s="41">
        <v>3</v>
      </c>
      <c r="M470" s="43">
        <v>61964</v>
      </c>
    </row>
    <row r="471" spans="2:13" outlineLevel="2">
      <c r="B471" s="40">
        <f t="shared" si="24"/>
        <v>9</v>
      </c>
      <c r="C471" s="41" t="s">
        <v>8</v>
      </c>
      <c r="D471" s="41"/>
      <c r="E471" s="41" t="s">
        <v>129</v>
      </c>
      <c r="F471" s="41">
        <v>2139482</v>
      </c>
      <c r="G471" s="41"/>
      <c r="H471" s="41">
        <v>1988</v>
      </c>
      <c r="I471" s="41"/>
      <c r="J471" s="42"/>
      <c r="K471" s="41"/>
      <c r="L471" s="41">
        <v>25</v>
      </c>
      <c r="M471" s="43">
        <v>61969</v>
      </c>
    </row>
    <row r="472" spans="2:13" outlineLevel="2">
      <c r="B472" s="40">
        <f t="shared" si="24"/>
        <v>10</v>
      </c>
      <c r="C472" s="41" t="s">
        <v>8</v>
      </c>
      <c r="D472" s="41"/>
      <c r="E472" s="41" t="s">
        <v>129</v>
      </c>
      <c r="F472" s="41">
        <v>1214735</v>
      </c>
      <c r="G472" s="41">
        <v>545025</v>
      </c>
      <c r="H472" s="41">
        <v>1988</v>
      </c>
      <c r="I472" s="41"/>
      <c r="J472" s="42"/>
      <c r="K472" s="41"/>
      <c r="L472" s="41">
        <v>38</v>
      </c>
      <c r="M472" s="43">
        <v>61980</v>
      </c>
    </row>
    <row r="473" spans="2:13" outlineLevel="2">
      <c r="B473" s="40">
        <f t="shared" si="24"/>
        <v>11</v>
      </c>
      <c r="C473" s="41" t="s">
        <v>8</v>
      </c>
      <c r="D473" s="41"/>
      <c r="E473" s="41" t="s">
        <v>128</v>
      </c>
      <c r="F473" s="41">
        <v>2000297</v>
      </c>
      <c r="G473" s="41">
        <v>179306</v>
      </c>
      <c r="H473" s="41">
        <v>1987</v>
      </c>
      <c r="I473" s="41"/>
      <c r="J473" s="42"/>
      <c r="K473" s="41"/>
      <c r="L473" s="41">
        <v>31</v>
      </c>
      <c r="M473" s="43">
        <v>63229</v>
      </c>
    </row>
    <row r="474" spans="2:13" outlineLevel="2">
      <c r="B474" s="40">
        <f t="shared" si="24"/>
        <v>12</v>
      </c>
      <c r="C474" s="41" t="s">
        <v>8</v>
      </c>
      <c r="D474" s="41"/>
      <c r="E474" s="41" t="s">
        <v>130</v>
      </c>
      <c r="F474" s="41">
        <v>404957</v>
      </c>
      <c r="G474" s="41">
        <v>63764</v>
      </c>
      <c r="H474" s="41">
        <v>1988</v>
      </c>
      <c r="I474" s="41"/>
      <c r="J474" s="42"/>
      <c r="K474" s="41"/>
      <c r="L474" s="41">
        <v>39</v>
      </c>
      <c r="M474" s="43">
        <v>63247</v>
      </c>
    </row>
    <row r="475" spans="2:13" outlineLevel="2">
      <c r="B475" s="40">
        <f t="shared" si="24"/>
        <v>13</v>
      </c>
      <c r="C475" s="41" t="s">
        <v>8</v>
      </c>
      <c r="D475" s="41"/>
      <c r="E475" s="41" t="s">
        <v>129</v>
      </c>
      <c r="F475" s="41">
        <v>1208621</v>
      </c>
      <c r="G475" s="41">
        <v>544614</v>
      </c>
      <c r="H475" s="41">
        <v>1988</v>
      </c>
      <c r="I475" s="41"/>
      <c r="J475" s="42"/>
      <c r="K475" s="41"/>
      <c r="L475" s="41">
        <v>26</v>
      </c>
      <c r="M475" s="43">
        <v>63253</v>
      </c>
    </row>
    <row r="476" spans="2:13" outlineLevel="2">
      <c r="B476" s="40">
        <f t="shared" si="24"/>
        <v>14</v>
      </c>
      <c r="C476" s="41" t="s">
        <v>8</v>
      </c>
      <c r="D476" s="41"/>
      <c r="E476" s="41" t="s">
        <v>131</v>
      </c>
      <c r="F476" s="41">
        <v>62446</v>
      </c>
      <c r="G476" s="41">
        <v>106990</v>
      </c>
      <c r="H476" s="41">
        <v>1988</v>
      </c>
      <c r="I476" s="41"/>
      <c r="J476" s="42"/>
      <c r="K476" s="41"/>
      <c r="L476" s="41">
        <v>16</v>
      </c>
      <c r="M476" s="43">
        <v>63263</v>
      </c>
    </row>
    <row r="477" spans="2:13" outlineLevel="2">
      <c r="B477" s="40">
        <f t="shared" si="24"/>
        <v>15</v>
      </c>
      <c r="C477" s="41" t="s">
        <v>8</v>
      </c>
      <c r="D477" s="41"/>
      <c r="E477" s="41" t="s">
        <v>122</v>
      </c>
      <c r="F477" s="41">
        <v>2951</v>
      </c>
      <c r="G477" s="41"/>
      <c r="H477" s="41">
        <v>1987</v>
      </c>
      <c r="I477" s="41"/>
      <c r="J477" s="42"/>
      <c r="K477" s="41"/>
      <c r="L477" s="41">
        <v>26</v>
      </c>
      <c r="M477" s="43">
        <v>67243</v>
      </c>
    </row>
    <row r="478" spans="2:13" outlineLevel="2">
      <c r="B478" s="40">
        <f t="shared" si="24"/>
        <v>16</v>
      </c>
      <c r="C478" s="41" t="s">
        <v>8</v>
      </c>
      <c r="D478" s="41"/>
      <c r="E478" s="41" t="s">
        <v>126</v>
      </c>
      <c r="F478" s="41">
        <v>16522</v>
      </c>
      <c r="G478" s="41">
        <v>109304</v>
      </c>
      <c r="H478" s="41">
        <v>1988</v>
      </c>
      <c r="I478" s="41"/>
      <c r="J478" s="42"/>
      <c r="K478" s="41"/>
      <c r="L478" s="41">
        <v>3</v>
      </c>
      <c r="M478" s="43">
        <v>67233</v>
      </c>
    </row>
    <row r="479" spans="2:13" outlineLevel="2">
      <c r="B479" s="40">
        <f t="shared" si="24"/>
        <v>17</v>
      </c>
      <c r="C479" s="41" t="s">
        <v>8</v>
      </c>
      <c r="D479" s="41"/>
      <c r="E479" s="41" t="s">
        <v>132</v>
      </c>
      <c r="F479" s="41">
        <v>412</v>
      </c>
      <c r="G479" s="41"/>
      <c r="H479" s="41">
        <v>1988</v>
      </c>
      <c r="I479" s="41"/>
      <c r="J479" s="42"/>
      <c r="K479" s="41"/>
      <c r="L479" s="41">
        <v>13</v>
      </c>
      <c r="M479" s="43">
        <v>67226</v>
      </c>
    </row>
    <row r="480" spans="2:13" outlineLevel="2">
      <c r="B480" s="40">
        <f t="shared" si="24"/>
        <v>18</v>
      </c>
      <c r="C480" s="41" t="s">
        <v>8</v>
      </c>
      <c r="D480" s="41"/>
      <c r="E480" s="41" t="s">
        <v>133</v>
      </c>
      <c r="F480" s="41">
        <v>6439</v>
      </c>
      <c r="G480" s="41">
        <v>8855810</v>
      </c>
      <c r="H480" s="41">
        <v>1988</v>
      </c>
      <c r="I480" s="41"/>
      <c r="J480" s="42"/>
      <c r="K480" s="41"/>
      <c r="L480" s="41">
        <v>34</v>
      </c>
      <c r="M480" s="43">
        <v>67225</v>
      </c>
    </row>
    <row r="481" spans="2:13" outlineLevel="2">
      <c r="B481" s="40">
        <f t="shared" si="24"/>
        <v>19</v>
      </c>
      <c r="C481" s="41" t="s">
        <v>8</v>
      </c>
      <c r="D481" s="41"/>
      <c r="E481" s="41" t="s">
        <v>134</v>
      </c>
      <c r="F481" s="41">
        <v>5275</v>
      </c>
      <c r="G481" s="41">
        <v>8283</v>
      </c>
      <c r="H481" s="41">
        <v>1988</v>
      </c>
      <c r="I481" s="41"/>
      <c r="J481" s="42"/>
      <c r="K481" s="41"/>
      <c r="L481" s="41">
        <v>21</v>
      </c>
      <c r="M481" s="43">
        <v>67218</v>
      </c>
    </row>
    <row r="482" spans="2:13" outlineLevel="2">
      <c r="B482" s="40">
        <f t="shared" si="24"/>
        <v>20</v>
      </c>
      <c r="C482" s="41" t="s">
        <v>8</v>
      </c>
      <c r="D482" s="41"/>
      <c r="E482" s="41" t="s">
        <v>123</v>
      </c>
      <c r="F482" s="41">
        <v>8816581</v>
      </c>
      <c r="G482" s="41"/>
      <c r="H482" s="41">
        <v>1988</v>
      </c>
      <c r="I482" s="41"/>
      <c r="J482" s="42"/>
      <c r="K482" s="41"/>
      <c r="L482" s="41">
        <v>8</v>
      </c>
      <c r="M482" s="43">
        <v>69278</v>
      </c>
    </row>
    <row r="483" spans="2:13" outlineLevel="2">
      <c r="B483" s="40">
        <f t="shared" si="24"/>
        <v>21</v>
      </c>
      <c r="C483" s="41" t="s">
        <v>8</v>
      </c>
      <c r="D483" s="41"/>
      <c r="E483" s="41" t="s">
        <v>133</v>
      </c>
      <c r="F483" s="41">
        <v>8855806</v>
      </c>
      <c r="G483" s="41"/>
      <c r="H483" s="41">
        <v>1988</v>
      </c>
      <c r="I483" s="41"/>
      <c r="J483" s="42"/>
      <c r="K483" s="41"/>
      <c r="L483" s="41">
        <v>23</v>
      </c>
      <c r="M483" s="43">
        <v>69272</v>
      </c>
    </row>
    <row r="484" spans="2:13" outlineLevel="2">
      <c r="B484" s="40">
        <f t="shared" si="24"/>
        <v>22</v>
      </c>
      <c r="C484" s="41" t="s">
        <v>8</v>
      </c>
      <c r="D484" s="41"/>
      <c r="E484" s="41" t="s">
        <v>135</v>
      </c>
      <c r="F484" s="41">
        <v>5821</v>
      </c>
      <c r="G484" s="41">
        <v>8750432</v>
      </c>
      <c r="H484" s="41">
        <v>1987</v>
      </c>
      <c r="I484" s="41"/>
      <c r="J484" s="42"/>
      <c r="K484" s="41"/>
      <c r="L484" s="41">
        <v>21</v>
      </c>
      <c r="M484" s="43">
        <v>69262</v>
      </c>
    </row>
    <row r="485" spans="2:13" outlineLevel="2">
      <c r="B485" s="40">
        <f t="shared" si="24"/>
        <v>23</v>
      </c>
      <c r="C485" s="41" t="s">
        <v>8</v>
      </c>
      <c r="D485" s="41"/>
      <c r="E485" s="41" t="s">
        <v>136</v>
      </c>
      <c r="F485" s="41">
        <v>167038</v>
      </c>
      <c r="G485" s="41">
        <v>7468</v>
      </c>
      <c r="H485" s="41">
        <v>1988</v>
      </c>
      <c r="I485" s="41"/>
      <c r="J485" s="42"/>
      <c r="K485" s="41"/>
      <c r="L485" s="41">
        <v>2</v>
      </c>
      <c r="M485" s="43">
        <v>69114</v>
      </c>
    </row>
    <row r="486" spans="2:13" outlineLevel="2">
      <c r="B486" s="40">
        <f t="shared" si="24"/>
        <v>24</v>
      </c>
      <c r="C486" s="41" t="s">
        <v>8</v>
      </c>
      <c r="D486" s="41"/>
      <c r="E486" s="41" t="s">
        <v>136</v>
      </c>
      <c r="F486" s="41">
        <v>8816362</v>
      </c>
      <c r="G486" s="41"/>
      <c r="H486" s="41">
        <v>1988</v>
      </c>
      <c r="I486" s="41"/>
      <c r="J486" s="42"/>
      <c r="K486" s="41"/>
      <c r="L486" s="41">
        <v>33</v>
      </c>
      <c r="M486" s="43">
        <v>69112</v>
      </c>
    </row>
    <row r="487" spans="2:13" outlineLevel="2">
      <c r="B487" s="40">
        <f t="shared" si="24"/>
        <v>25</v>
      </c>
      <c r="C487" s="41" t="s">
        <v>8</v>
      </c>
      <c r="D487" s="41"/>
      <c r="E487" s="41" t="s">
        <v>123</v>
      </c>
      <c r="F487" s="41">
        <v>339</v>
      </c>
      <c r="G487" s="41"/>
      <c r="H487" s="41">
        <v>1988</v>
      </c>
      <c r="I487" s="41"/>
      <c r="J487" s="42"/>
      <c r="K487" s="41"/>
      <c r="L487" s="41">
        <v>38</v>
      </c>
      <c r="M487" s="43">
        <v>69078</v>
      </c>
    </row>
    <row r="488" spans="2:13" outlineLevel="2">
      <c r="B488" s="40">
        <f t="shared" si="24"/>
        <v>26</v>
      </c>
      <c r="C488" s="41" t="s">
        <v>8</v>
      </c>
      <c r="D488" s="41"/>
      <c r="E488" s="41" t="s">
        <v>135</v>
      </c>
      <c r="F488" s="41">
        <v>87121717</v>
      </c>
      <c r="G488" s="41"/>
      <c r="H488" s="41">
        <v>1987</v>
      </c>
      <c r="I488" s="41"/>
      <c r="J488" s="42"/>
      <c r="K488" s="41"/>
      <c r="L488" s="41">
        <v>15</v>
      </c>
      <c r="M488" s="43">
        <v>69064</v>
      </c>
    </row>
    <row r="489" spans="2:13" outlineLevel="2">
      <c r="B489" s="40">
        <f t="shared" si="24"/>
        <v>27</v>
      </c>
      <c r="C489" s="41" t="s">
        <v>8</v>
      </c>
      <c r="D489" s="41"/>
      <c r="E489" s="41" t="s">
        <v>137</v>
      </c>
      <c r="F489" s="41">
        <v>6017</v>
      </c>
      <c r="G489" s="41"/>
      <c r="H489" s="41">
        <v>1988</v>
      </c>
      <c r="I489" s="41"/>
      <c r="J489" s="42"/>
      <c r="K489" s="41"/>
      <c r="L489" s="41">
        <v>17</v>
      </c>
      <c r="M489" s="43">
        <v>69051</v>
      </c>
    </row>
    <row r="490" spans="2:13" outlineLevel="2">
      <c r="B490" s="40">
        <f t="shared" si="24"/>
        <v>28</v>
      </c>
      <c r="C490" s="41" t="s">
        <v>8</v>
      </c>
      <c r="D490" s="41"/>
      <c r="E490" s="41" t="s">
        <v>132</v>
      </c>
      <c r="F490" s="41">
        <v>8712917</v>
      </c>
      <c r="G490" s="41"/>
      <c r="H490" s="41">
        <v>1987</v>
      </c>
      <c r="I490" s="41"/>
      <c r="J490" s="42"/>
      <c r="K490" s="41"/>
      <c r="L490" s="41">
        <v>6</v>
      </c>
      <c r="M490" s="43">
        <v>69033</v>
      </c>
    </row>
    <row r="491" spans="2:13" outlineLevel="2">
      <c r="B491" s="40">
        <f t="shared" si="24"/>
        <v>29</v>
      </c>
      <c r="C491" s="41" t="s">
        <v>8</v>
      </c>
      <c r="D491" s="41"/>
      <c r="E491" s="41" t="s">
        <v>126</v>
      </c>
      <c r="F491" s="41">
        <v>8750691</v>
      </c>
      <c r="G491" s="41"/>
      <c r="H491" s="41">
        <v>1987</v>
      </c>
      <c r="I491" s="41"/>
      <c r="J491" s="42"/>
      <c r="K491" s="41"/>
      <c r="L491" s="41">
        <v>5</v>
      </c>
      <c r="M491" s="43">
        <v>69024</v>
      </c>
    </row>
    <row r="492" spans="2:13" outlineLevel="2">
      <c r="B492" s="40">
        <f t="shared" si="24"/>
        <v>30</v>
      </c>
      <c r="C492" s="41" t="s">
        <v>8</v>
      </c>
      <c r="D492" s="41"/>
      <c r="E492" s="41" t="s">
        <v>138</v>
      </c>
      <c r="F492" s="41">
        <v>214408</v>
      </c>
      <c r="G492" s="41"/>
      <c r="H492" s="41">
        <v>1988</v>
      </c>
      <c r="I492" s="41"/>
      <c r="J492" s="42"/>
      <c r="K492" s="41"/>
      <c r="L492" s="41">
        <v>29</v>
      </c>
      <c r="M492" s="43">
        <v>69000</v>
      </c>
    </row>
    <row r="493" spans="2:13" outlineLevel="2">
      <c r="B493" s="40">
        <f t="shared" si="24"/>
        <v>31</v>
      </c>
      <c r="C493" s="41" t="s">
        <v>8</v>
      </c>
      <c r="D493" s="41"/>
      <c r="E493" s="41" t="s">
        <v>132</v>
      </c>
      <c r="F493" s="41">
        <v>15940</v>
      </c>
      <c r="G493" s="41">
        <v>15940</v>
      </c>
      <c r="H493" s="41">
        <v>1988</v>
      </c>
      <c r="I493" s="41"/>
      <c r="J493" s="42"/>
      <c r="K493" s="41"/>
      <c r="L493" s="41">
        <v>17</v>
      </c>
      <c r="M493" s="43">
        <v>69470</v>
      </c>
    </row>
    <row r="494" spans="2:13" outlineLevel="2">
      <c r="B494" s="40">
        <f t="shared" si="24"/>
        <v>32</v>
      </c>
      <c r="C494" s="41" t="s">
        <v>8</v>
      </c>
      <c r="D494" s="41"/>
      <c r="E494" s="41" t="s">
        <v>137</v>
      </c>
      <c r="F494" s="41">
        <v>8713574</v>
      </c>
      <c r="G494" s="41"/>
      <c r="H494" s="41">
        <v>1987</v>
      </c>
      <c r="I494" s="41"/>
      <c r="J494" s="42"/>
      <c r="K494" s="41"/>
      <c r="L494" s="41">
        <v>24</v>
      </c>
      <c r="M494" s="43">
        <v>69469</v>
      </c>
    </row>
    <row r="495" spans="2:13" outlineLevel="2">
      <c r="B495" s="40">
        <f t="shared" si="24"/>
        <v>33</v>
      </c>
      <c r="C495" s="41" t="s">
        <v>8</v>
      </c>
      <c r="D495" s="41"/>
      <c r="E495" s="41" t="s">
        <v>139</v>
      </c>
      <c r="F495" s="41">
        <v>166732</v>
      </c>
      <c r="G495" s="41">
        <v>9313</v>
      </c>
      <c r="H495" s="41">
        <v>1988</v>
      </c>
      <c r="I495" s="41"/>
      <c r="J495" s="42"/>
      <c r="K495" s="41"/>
      <c r="L495" s="41">
        <v>19</v>
      </c>
      <c r="M495" s="43">
        <v>69468</v>
      </c>
    </row>
    <row r="496" spans="2:13" outlineLevel="2">
      <c r="B496" s="40">
        <f t="shared" si="24"/>
        <v>34</v>
      </c>
      <c r="C496" s="41" t="s">
        <v>8</v>
      </c>
      <c r="D496" s="41"/>
      <c r="E496" s="41" t="s">
        <v>132</v>
      </c>
      <c r="F496" s="41">
        <v>8854608</v>
      </c>
      <c r="G496" s="41"/>
      <c r="H496" s="41">
        <v>1988</v>
      </c>
      <c r="I496" s="41"/>
      <c r="J496" s="42"/>
      <c r="K496" s="41"/>
      <c r="L496" s="41">
        <v>26</v>
      </c>
      <c r="M496" s="43">
        <v>69456</v>
      </c>
    </row>
    <row r="497" spans="2:13" outlineLevel="2">
      <c r="B497" s="40">
        <f t="shared" si="24"/>
        <v>35</v>
      </c>
      <c r="C497" s="41" t="s">
        <v>8</v>
      </c>
      <c r="D497" s="41"/>
      <c r="E497" s="41" t="s">
        <v>126</v>
      </c>
      <c r="F497" s="41">
        <v>8748192</v>
      </c>
      <c r="G497" s="41"/>
      <c r="H497" s="41">
        <v>1987</v>
      </c>
      <c r="I497" s="41"/>
      <c r="J497" s="42"/>
      <c r="K497" s="41"/>
      <c r="L497" s="41">
        <v>2</v>
      </c>
      <c r="M497" s="43">
        <v>69453</v>
      </c>
    </row>
    <row r="498" spans="2:13" outlineLevel="2">
      <c r="B498" s="40">
        <f t="shared" si="24"/>
        <v>36</v>
      </c>
      <c r="C498" s="41" t="s">
        <v>8</v>
      </c>
      <c r="D498" s="41"/>
      <c r="E498" s="41" t="s">
        <v>137</v>
      </c>
      <c r="F498" s="41">
        <v>2993</v>
      </c>
      <c r="G498" s="41"/>
      <c r="H498" s="41">
        <v>1987</v>
      </c>
      <c r="I498" s="41"/>
      <c r="J498" s="42"/>
      <c r="K498" s="41"/>
      <c r="L498" s="41">
        <v>21</v>
      </c>
      <c r="M498" s="43">
        <v>69434</v>
      </c>
    </row>
    <row r="499" spans="2:13" outlineLevel="2">
      <c r="B499" s="40">
        <f t="shared" si="24"/>
        <v>37</v>
      </c>
      <c r="C499" s="41" t="s">
        <v>8</v>
      </c>
      <c r="D499" s="41"/>
      <c r="E499" s="41" t="s">
        <v>122</v>
      </c>
      <c r="F499" s="41">
        <v>504912</v>
      </c>
      <c r="G499" s="41"/>
      <c r="H499" s="41">
        <v>1987</v>
      </c>
      <c r="I499" s="41"/>
      <c r="J499" s="42"/>
      <c r="K499" s="41"/>
      <c r="L499" s="41">
        <v>24</v>
      </c>
      <c r="M499" s="43">
        <v>45127</v>
      </c>
    </row>
    <row r="500" spans="2:13" outlineLevel="2">
      <c r="B500" s="40">
        <f t="shared" si="24"/>
        <v>38</v>
      </c>
      <c r="C500" s="41" t="s">
        <v>8</v>
      </c>
      <c r="D500" s="41"/>
      <c r="E500" s="41" t="s">
        <v>136</v>
      </c>
      <c r="F500" s="41">
        <v>167084</v>
      </c>
      <c r="G500" s="41"/>
      <c r="H500" s="41">
        <v>1988</v>
      </c>
      <c r="I500" s="41"/>
      <c r="J500" s="42"/>
      <c r="K500" s="41"/>
      <c r="L500" s="41">
        <v>145</v>
      </c>
      <c r="M500" s="43">
        <v>45127</v>
      </c>
    </row>
    <row r="501" spans="2:13" outlineLevel="2">
      <c r="B501" s="40">
        <f t="shared" si="24"/>
        <v>39</v>
      </c>
      <c r="C501" s="41" t="s">
        <v>8</v>
      </c>
      <c r="D501" s="41"/>
      <c r="E501" s="41" t="s">
        <v>135</v>
      </c>
      <c r="F501" s="41">
        <v>86821</v>
      </c>
      <c r="G501" s="41"/>
      <c r="H501" s="41">
        <v>1988</v>
      </c>
      <c r="I501" s="41"/>
      <c r="J501" s="42"/>
      <c r="K501" s="41"/>
      <c r="L501" s="41">
        <v>15</v>
      </c>
      <c r="M501" s="43">
        <v>45142</v>
      </c>
    </row>
    <row r="502" spans="2:13" outlineLevel="2">
      <c r="B502" s="40">
        <f t="shared" si="24"/>
        <v>40</v>
      </c>
      <c r="C502" s="41" t="s">
        <v>8</v>
      </c>
      <c r="D502" s="41"/>
      <c r="E502" s="41" t="s">
        <v>134</v>
      </c>
      <c r="F502" s="41">
        <v>3515</v>
      </c>
      <c r="G502" s="41">
        <v>8826</v>
      </c>
      <c r="H502" s="41">
        <v>1988</v>
      </c>
      <c r="I502" s="41"/>
      <c r="J502" s="42"/>
      <c r="K502" s="41"/>
      <c r="L502" s="41">
        <v>18</v>
      </c>
      <c r="M502" s="43">
        <v>45142</v>
      </c>
    </row>
    <row r="503" spans="2:13" outlineLevel="2">
      <c r="B503" s="40">
        <f t="shared" si="24"/>
        <v>41</v>
      </c>
      <c r="C503" s="41" t="s">
        <v>8</v>
      </c>
      <c r="D503" s="41"/>
      <c r="E503" s="41" t="s">
        <v>135</v>
      </c>
      <c r="F503" s="41">
        <v>302</v>
      </c>
      <c r="G503" s="41">
        <v>30030</v>
      </c>
      <c r="H503" s="41">
        <v>1988</v>
      </c>
      <c r="I503" s="41"/>
      <c r="J503" s="42"/>
      <c r="K503" s="41"/>
      <c r="L503" s="41">
        <v>108</v>
      </c>
      <c r="M503" s="43">
        <v>45142</v>
      </c>
    </row>
    <row r="504" spans="2:13" outlineLevel="2">
      <c r="B504" s="40">
        <f t="shared" si="24"/>
        <v>42</v>
      </c>
      <c r="C504" s="41" t="s">
        <v>8</v>
      </c>
      <c r="D504" s="41"/>
      <c r="E504" s="41" t="s">
        <v>139</v>
      </c>
      <c r="F504" s="41">
        <v>8632507</v>
      </c>
      <c r="G504" s="41"/>
      <c r="H504" s="41">
        <v>1988</v>
      </c>
      <c r="I504" s="41"/>
      <c r="J504" s="42"/>
      <c r="K504" s="41"/>
      <c r="L504" s="41">
        <v>23</v>
      </c>
      <c r="M504" s="43">
        <v>45142</v>
      </c>
    </row>
    <row r="505" spans="2:13" outlineLevel="2">
      <c r="B505" s="40">
        <f t="shared" si="24"/>
        <v>43</v>
      </c>
      <c r="C505" s="41" t="s">
        <v>8</v>
      </c>
      <c r="D505" s="41"/>
      <c r="E505" s="41" t="s">
        <v>126</v>
      </c>
      <c r="F505" s="41">
        <v>2893</v>
      </c>
      <c r="G505" s="41"/>
      <c r="H505" s="41">
        <v>1988</v>
      </c>
      <c r="I505" s="41"/>
      <c r="J505" s="42"/>
      <c r="K505" s="41"/>
      <c r="L505" s="41">
        <v>24</v>
      </c>
      <c r="M505" s="43">
        <v>45142</v>
      </c>
    </row>
    <row r="506" spans="2:13" outlineLevel="2">
      <c r="B506" s="40">
        <f t="shared" si="24"/>
        <v>44</v>
      </c>
      <c r="C506" s="41" t="s">
        <v>8</v>
      </c>
      <c r="D506" s="41"/>
      <c r="E506" s="41" t="s">
        <v>137</v>
      </c>
      <c r="F506" s="41">
        <v>429</v>
      </c>
      <c r="G506" s="41"/>
      <c r="H506" s="41">
        <v>1988</v>
      </c>
      <c r="I506" s="41"/>
      <c r="J506" s="42"/>
      <c r="K506" s="41"/>
      <c r="L506" s="41">
        <v>40</v>
      </c>
      <c r="M506" s="43">
        <v>45142</v>
      </c>
    </row>
    <row r="507" spans="2:13" outlineLevel="2">
      <c r="B507" s="40">
        <f t="shared" si="24"/>
        <v>45</v>
      </c>
      <c r="C507" s="41" t="s">
        <v>8</v>
      </c>
      <c r="D507" s="41"/>
      <c r="E507" s="41" t="s">
        <v>140</v>
      </c>
      <c r="F507" s="41">
        <v>8751905</v>
      </c>
      <c r="G507" s="41">
        <v>107773</v>
      </c>
      <c r="H507" s="41">
        <v>1987</v>
      </c>
      <c r="I507" s="41"/>
      <c r="J507" s="42"/>
      <c r="K507" s="41"/>
      <c r="L507" s="41">
        <v>21</v>
      </c>
      <c r="M507" s="43">
        <v>72080</v>
      </c>
    </row>
    <row r="508" spans="2:13" outlineLevel="2">
      <c r="B508" s="40">
        <f t="shared" si="24"/>
        <v>46</v>
      </c>
      <c r="C508" s="41" t="s">
        <v>8</v>
      </c>
      <c r="D508" s="41"/>
      <c r="E508" s="41" t="s">
        <v>125</v>
      </c>
      <c r="F508" s="41">
        <v>8856131</v>
      </c>
      <c r="G508" s="41"/>
      <c r="H508" s="41">
        <v>1988</v>
      </c>
      <c r="I508" s="41"/>
      <c r="J508" s="42"/>
      <c r="K508" s="41"/>
      <c r="L508" s="41">
        <v>10</v>
      </c>
      <c r="M508" s="43">
        <v>72047</v>
      </c>
    </row>
    <row r="509" spans="2:13" outlineLevel="2">
      <c r="B509" s="40">
        <f t="shared" si="24"/>
        <v>47</v>
      </c>
      <c r="C509" s="41" t="s">
        <v>8</v>
      </c>
      <c r="D509" s="41"/>
      <c r="E509" s="41" t="s">
        <v>141</v>
      </c>
      <c r="F509" s="41">
        <v>8713372</v>
      </c>
      <c r="G509" s="41">
        <v>1987</v>
      </c>
      <c r="H509" s="41">
        <v>1987</v>
      </c>
      <c r="I509" s="41"/>
      <c r="J509" s="42"/>
      <c r="K509" s="41"/>
      <c r="L509" s="41">
        <v>27</v>
      </c>
      <c r="M509" s="43">
        <v>72022</v>
      </c>
    </row>
    <row r="510" spans="2:13" outlineLevel="2">
      <c r="B510" s="40">
        <f t="shared" si="24"/>
        <v>48</v>
      </c>
      <c r="C510" s="41" t="s">
        <v>8</v>
      </c>
      <c r="D510" s="41"/>
      <c r="E510" s="41" t="s">
        <v>136</v>
      </c>
      <c r="F510" s="41">
        <v>166972</v>
      </c>
      <c r="G510" s="41">
        <v>9233</v>
      </c>
      <c r="H510" s="41">
        <v>1988</v>
      </c>
      <c r="I510" s="41"/>
      <c r="J510" s="42"/>
      <c r="K510" s="41"/>
      <c r="L510" s="41">
        <v>2</v>
      </c>
      <c r="M510" s="43">
        <v>72018</v>
      </c>
    </row>
    <row r="511" spans="2:13" outlineLevel="2">
      <c r="B511" s="40">
        <f t="shared" si="24"/>
        <v>49</v>
      </c>
      <c r="C511" s="41" t="s">
        <v>8</v>
      </c>
      <c r="D511" s="41"/>
      <c r="E511" s="41" t="s">
        <v>132</v>
      </c>
      <c r="F511" s="41">
        <v>8751176</v>
      </c>
      <c r="G511" s="41"/>
      <c r="H511" s="41">
        <v>1987</v>
      </c>
      <c r="I511" s="41"/>
      <c r="J511" s="42"/>
      <c r="K511" s="41"/>
      <c r="L511" s="41">
        <v>49</v>
      </c>
      <c r="M511" s="43">
        <v>72016</v>
      </c>
    </row>
    <row r="512" spans="2:13" outlineLevel="2">
      <c r="B512" s="40">
        <f t="shared" si="24"/>
        <v>50</v>
      </c>
      <c r="C512" s="41" t="s">
        <v>8</v>
      </c>
      <c r="D512" s="41"/>
      <c r="E512" s="41" t="s">
        <v>139</v>
      </c>
      <c r="F512" s="41">
        <v>166704</v>
      </c>
      <c r="G512" s="41">
        <v>50873</v>
      </c>
      <c r="H512" s="41">
        <v>1988</v>
      </c>
      <c r="I512" s="41"/>
      <c r="J512" s="42"/>
      <c r="K512" s="41"/>
      <c r="L512" s="41">
        <v>16</v>
      </c>
      <c r="M512" s="43">
        <v>72002</v>
      </c>
    </row>
    <row r="513" spans="2:13" outlineLevel="2">
      <c r="B513" s="40">
        <f t="shared" si="24"/>
        <v>51</v>
      </c>
      <c r="C513" s="41" t="s">
        <v>8</v>
      </c>
      <c r="D513" s="41"/>
      <c r="E513" s="41" t="s">
        <v>134</v>
      </c>
      <c r="F513" s="41">
        <v>8817276</v>
      </c>
      <c r="G513" s="41">
        <v>8481</v>
      </c>
      <c r="H513" s="41">
        <v>1988</v>
      </c>
      <c r="I513" s="41"/>
      <c r="J513" s="42"/>
      <c r="K513" s="41"/>
      <c r="L513" s="41">
        <v>21</v>
      </c>
      <c r="M513" s="43">
        <v>71997</v>
      </c>
    </row>
    <row r="514" spans="2:13" outlineLevel="2">
      <c r="B514" s="40">
        <f t="shared" si="24"/>
        <v>52</v>
      </c>
      <c r="C514" s="41" t="s">
        <v>8</v>
      </c>
      <c r="D514" s="41"/>
      <c r="E514" s="41" t="s">
        <v>133</v>
      </c>
      <c r="F514" s="41">
        <v>247</v>
      </c>
      <c r="G514" s="41"/>
      <c r="H514" s="41">
        <v>1987</v>
      </c>
      <c r="I514" s="41"/>
      <c r="J514" s="42"/>
      <c r="K514" s="41"/>
      <c r="L514" s="41">
        <v>30</v>
      </c>
      <c r="M514" s="43">
        <v>71991</v>
      </c>
    </row>
    <row r="515" spans="2:13" outlineLevel="2">
      <c r="B515" s="40">
        <f t="shared" si="24"/>
        <v>53</v>
      </c>
      <c r="C515" s="41" t="s">
        <v>8</v>
      </c>
      <c r="D515" s="41"/>
      <c r="E515" s="41" t="s">
        <v>141</v>
      </c>
      <c r="F515" s="41">
        <v>77349</v>
      </c>
      <c r="G515" s="41"/>
      <c r="H515" s="41">
        <v>1987</v>
      </c>
      <c r="I515" s="41"/>
      <c r="J515" s="42"/>
      <c r="K515" s="41"/>
      <c r="L515" s="41">
        <v>14</v>
      </c>
      <c r="M515" s="43">
        <v>71988</v>
      </c>
    </row>
    <row r="516" spans="2:13" outlineLevel="2">
      <c r="B516" s="40">
        <f t="shared" si="24"/>
        <v>54</v>
      </c>
      <c r="C516" s="41" t="s">
        <v>8</v>
      </c>
      <c r="D516" s="41"/>
      <c r="E516" s="41" t="s">
        <v>134</v>
      </c>
      <c r="F516" s="41">
        <v>185</v>
      </c>
      <c r="G516" s="41">
        <v>30886</v>
      </c>
      <c r="H516" s="41">
        <v>1987</v>
      </c>
      <c r="I516" s="41"/>
      <c r="J516" s="42"/>
      <c r="K516" s="41"/>
      <c r="L516" s="41">
        <v>17</v>
      </c>
      <c r="M516" s="43">
        <v>71987</v>
      </c>
    </row>
    <row r="517" spans="2:13" outlineLevel="2">
      <c r="B517" s="40">
        <f t="shared" si="24"/>
        <v>55</v>
      </c>
      <c r="C517" s="41" t="s">
        <v>8</v>
      </c>
      <c r="D517" s="41"/>
      <c r="E517" s="41" t="s">
        <v>137</v>
      </c>
      <c r="F517" s="41">
        <v>8714445</v>
      </c>
      <c r="G517" s="41"/>
      <c r="H517" s="41">
        <v>1987</v>
      </c>
      <c r="I517" s="41"/>
      <c r="J517" s="42"/>
      <c r="K517" s="41"/>
      <c r="L517" s="41">
        <v>2</v>
      </c>
      <c r="M517" s="43">
        <v>73553</v>
      </c>
    </row>
    <row r="518" spans="2:13" outlineLevel="2">
      <c r="B518" s="40">
        <f t="shared" si="24"/>
        <v>56</v>
      </c>
      <c r="C518" s="41" t="s">
        <v>8</v>
      </c>
      <c r="D518" s="41"/>
      <c r="E518" s="41" t="s">
        <v>132</v>
      </c>
      <c r="F518" s="41">
        <v>20729</v>
      </c>
      <c r="G518" s="41"/>
      <c r="H518" s="41">
        <v>1987</v>
      </c>
      <c r="I518" s="41"/>
      <c r="J518" s="42"/>
      <c r="K518" s="41"/>
      <c r="L518" s="41">
        <v>2</v>
      </c>
      <c r="M518" s="43">
        <v>73501</v>
      </c>
    </row>
    <row r="519" spans="2:13" outlineLevel="2">
      <c r="B519" s="40">
        <f t="shared" si="24"/>
        <v>57</v>
      </c>
      <c r="C519" s="41" t="s">
        <v>8</v>
      </c>
      <c r="D519" s="41"/>
      <c r="E519" s="41" t="s">
        <v>126</v>
      </c>
      <c r="F519" s="41">
        <v>13587</v>
      </c>
      <c r="G519" s="41"/>
      <c r="H519" s="41">
        <v>1987</v>
      </c>
      <c r="I519" s="41"/>
      <c r="J519" s="42"/>
      <c r="K519" s="41"/>
      <c r="L519" s="41">
        <v>2</v>
      </c>
      <c r="M519" s="43">
        <v>73498</v>
      </c>
    </row>
    <row r="520" spans="2:13" outlineLevel="2">
      <c r="B520" s="40">
        <f t="shared" si="24"/>
        <v>58</v>
      </c>
      <c r="C520" s="41" t="s">
        <v>8</v>
      </c>
      <c r="D520" s="41"/>
      <c r="E520" s="41" t="s">
        <v>142</v>
      </c>
      <c r="F520" s="41">
        <v>516017</v>
      </c>
      <c r="G520" s="41"/>
      <c r="H520" s="41">
        <v>1987</v>
      </c>
      <c r="I520" s="41"/>
      <c r="J520" s="42"/>
      <c r="K520" s="41"/>
      <c r="L520" s="41">
        <v>106</v>
      </c>
      <c r="M520" s="43">
        <v>73489</v>
      </c>
    </row>
    <row r="521" spans="2:13" outlineLevel="2">
      <c r="B521" s="40">
        <f t="shared" si="24"/>
        <v>59</v>
      </c>
      <c r="C521" s="41" t="s">
        <v>8</v>
      </c>
      <c r="D521" s="41"/>
      <c r="E521" s="41" t="s">
        <v>143</v>
      </c>
      <c r="F521" s="41">
        <v>6143</v>
      </c>
      <c r="G521" s="41">
        <v>8853380</v>
      </c>
      <c r="H521" s="41">
        <v>1988</v>
      </c>
      <c r="I521" s="41"/>
      <c r="J521" s="42"/>
      <c r="K521" s="41"/>
      <c r="L521" s="41">
        <v>49</v>
      </c>
      <c r="M521" s="43">
        <v>73483</v>
      </c>
    </row>
    <row r="522" spans="2:13" outlineLevel="2">
      <c r="B522" s="40">
        <f t="shared" si="24"/>
        <v>60</v>
      </c>
      <c r="C522" s="41" t="s">
        <v>8</v>
      </c>
      <c r="D522" s="41"/>
      <c r="E522" s="41" t="s">
        <v>136</v>
      </c>
      <c r="F522" s="41">
        <v>166977</v>
      </c>
      <c r="G522" s="41"/>
      <c r="H522" s="41">
        <v>1988</v>
      </c>
      <c r="I522" s="41"/>
      <c r="J522" s="42"/>
      <c r="K522" s="41"/>
      <c r="L522" s="41">
        <v>3</v>
      </c>
      <c r="M522" s="43">
        <v>75545</v>
      </c>
    </row>
    <row r="523" spans="2:13" outlineLevel="2">
      <c r="B523" s="40">
        <f t="shared" si="24"/>
        <v>61</v>
      </c>
      <c r="C523" s="41" t="s">
        <v>8</v>
      </c>
      <c r="D523" s="41"/>
      <c r="E523" s="41" t="s">
        <v>123</v>
      </c>
      <c r="F523" s="41">
        <v>2559</v>
      </c>
      <c r="G523" s="41"/>
      <c r="H523" s="41">
        <v>1987</v>
      </c>
      <c r="I523" s="41"/>
      <c r="J523" s="42"/>
      <c r="K523" s="41"/>
      <c r="L523" s="41">
        <v>22</v>
      </c>
      <c r="M523" s="43">
        <v>75543</v>
      </c>
    </row>
    <row r="524" spans="2:13" outlineLevel="2">
      <c r="B524" s="40">
        <f t="shared" si="24"/>
        <v>62</v>
      </c>
      <c r="C524" s="41" t="s">
        <v>8</v>
      </c>
      <c r="D524" s="41"/>
      <c r="E524" s="41" t="s">
        <v>132</v>
      </c>
      <c r="F524" s="41">
        <v>2924</v>
      </c>
      <c r="G524" s="41"/>
      <c r="H524" s="41">
        <v>1987</v>
      </c>
      <c r="I524" s="41"/>
      <c r="J524" s="42"/>
      <c r="K524" s="41"/>
      <c r="L524" s="41">
        <v>17</v>
      </c>
      <c r="M524" s="43">
        <v>75539</v>
      </c>
    </row>
    <row r="525" spans="2:13" outlineLevel="2">
      <c r="B525" s="40">
        <f t="shared" si="24"/>
        <v>63</v>
      </c>
      <c r="C525" s="41" t="s">
        <v>8</v>
      </c>
      <c r="D525" s="41"/>
      <c r="E525" s="41" t="s">
        <v>122</v>
      </c>
      <c r="F525" s="41">
        <v>8713801</v>
      </c>
      <c r="G525" s="41"/>
      <c r="H525" s="41">
        <v>1987</v>
      </c>
      <c r="I525" s="41"/>
      <c r="J525" s="42"/>
      <c r="K525" s="41"/>
      <c r="L525" s="41">
        <v>28</v>
      </c>
      <c r="M525" s="43">
        <v>75538</v>
      </c>
    </row>
    <row r="526" spans="2:13" outlineLevel="2">
      <c r="B526" s="40">
        <f t="shared" si="24"/>
        <v>64</v>
      </c>
      <c r="C526" s="41" t="s">
        <v>8</v>
      </c>
      <c r="D526" s="41"/>
      <c r="E526" s="41" t="s">
        <v>122</v>
      </c>
      <c r="F526" s="41">
        <v>1620</v>
      </c>
      <c r="G526" s="41"/>
      <c r="H526" s="41">
        <v>1987</v>
      </c>
      <c r="I526" s="41"/>
      <c r="J526" s="42"/>
      <c r="K526" s="41"/>
      <c r="L526" s="41">
        <v>8</v>
      </c>
      <c r="M526" s="43">
        <v>75531</v>
      </c>
    </row>
    <row r="527" spans="2:13" outlineLevel="2">
      <c r="B527" s="40">
        <f t="shared" si="24"/>
        <v>65</v>
      </c>
      <c r="C527" s="41" t="s">
        <v>8</v>
      </c>
      <c r="D527" s="41"/>
      <c r="E527" s="41" t="s">
        <v>126</v>
      </c>
      <c r="F527" s="41">
        <v>2915</v>
      </c>
      <c r="G527" s="41">
        <v>8712862</v>
      </c>
      <c r="H527" s="41">
        <v>1987</v>
      </c>
      <c r="I527" s="41"/>
      <c r="J527" s="42"/>
      <c r="K527" s="41"/>
      <c r="L527" s="41">
        <v>12</v>
      </c>
      <c r="M527" s="43">
        <v>75529</v>
      </c>
    </row>
    <row r="528" spans="2:13" outlineLevel="2">
      <c r="B528" s="40">
        <f t="shared" si="24"/>
        <v>66</v>
      </c>
      <c r="C528" s="41" t="s">
        <v>8</v>
      </c>
      <c r="D528" s="41"/>
      <c r="E528" s="41" t="s">
        <v>122</v>
      </c>
      <c r="F528" s="41">
        <v>6092</v>
      </c>
      <c r="G528" s="41">
        <v>8852825</v>
      </c>
      <c r="H528" s="41">
        <v>1988</v>
      </c>
      <c r="I528" s="41"/>
      <c r="J528" s="42"/>
      <c r="K528" s="41"/>
      <c r="L528" s="41">
        <v>3</v>
      </c>
      <c r="M528" s="43">
        <v>75527</v>
      </c>
    </row>
    <row r="529" spans="2:13" outlineLevel="2">
      <c r="B529" s="40">
        <f t="shared" ref="B529:B592" si="25">ROW(A67)</f>
        <v>67</v>
      </c>
      <c r="C529" s="41" t="s">
        <v>8</v>
      </c>
      <c r="D529" s="41"/>
      <c r="E529" s="41" t="s">
        <v>123</v>
      </c>
      <c r="F529" s="41">
        <v>8712661</v>
      </c>
      <c r="G529" s="41"/>
      <c r="H529" s="41">
        <v>1987</v>
      </c>
      <c r="I529" s="41"/>
      <c r="J529" s="42"/>
      <c r="K529" s="41"/>
      <c r="L529" s="41">
        <v>23</v>
      </c>
      <c r="M529" s="43">
        <v>75512</v>
      </c>
    </row>
    <row r="530" spans="2:13" outlineLevel="2">
      <c r="B530" s="40">
        <f t="shared" si="25"/>
        <v>68</v>
      </c>
      <c r="C530" s="41" t="s">
        <v>8</v>
      </c>
      <c r="D530" s="41"/>
      <c r="E530" s="41" t="s">
        <v>144</v>
      </c>
      <c r="F530" s="41">
        <v>13604</v>
      </c>
      <c r="G530" s="41"/>
      <c r="H530" s="41">
        <v>1987</v>
      </c>
      <c r="I530" s="41"/>
      <c r="J530" s="42"/>
      <c r="K530" s="41"/>
      <c r="L530" s="41">
        <v>3</v>
      </c>
      <c r="M530" s="43">
        <v>75511</v>
      </c>
    </row>
    <row r="531" spans="2:13" outlineLevel="2">
      <c r="B531" s="40">
        <f t="shared" si="25"/>
        <v>69</v>
      </c>
      <c r="C531" s="41" t="s">
        <v>8</v>
      </c>
      <c r="D531" s="41"/>
      <c r="E531" s="41" t="s">
        <v>132</v>
      </c>
      <c r="F531" s="41">
        <v>8749669</v>
      </c>
      <c r="G531" s="41"/>
      <c r="H531" s="41">
        <v>1987</v>
      </c>
      <c r="I531" s="41"/>
      <c r="J531" s="42"/>
      <c r="K531" s="41"/>
      <c r="L531" s="41">
        <v>32</v>
      </c>
      <c r="M531" s="43">
        <v>75505</v>
      </c>
    </row>
    <row r="532" spans="2:13" outlineLevel="2">
      <c r="B532" s="40">
        <f t="shared" si="25"/>
        <v>70</v>
      </c>
      <c r="C532" s="41" t="s">
        <v>8</v>
      </c>
      <c r="D532" s="41"/>
      <c r="E532" s="41" t="s">
        <v>141</v>
      </c>
      <c r="F532" s="41">
        <v>60288</v>
      </c>
      <c r="G532" s="41"/>
      <c r="H532" s="41">
        <v>1988</v>
      </c>
      <c r="I532" s="41"/>
      <c r="J532" s="42"/>
      <c r="K532" s="41"/>
      <c r="L532" s="41">
        <v>45</v>
      </c>
      <c r="M532" s="43">
        <v>75811</v>
      </c>
    </row>
    <row r="533" spans="2:13" outlineLevel="2">
      <c r="B533" s="40">
        <f t="shared" si="25"/>
        <v>71</v>
      </c>
      <c r="C533" s="41" t="s">
        <v>8</v>
      </c>
      <c r="D533" s="41"/>
      <c r="E533" s="41" t="s">
        <v>132</v>
      </c>
      <c r="F533" s="41">
        <v>166366</v>
      </c>
      <c r="G533" s="41"/>
      <c r="H533" s="41">
        <v>1988</v>
      </c>
      <c r="I533" s="41"/>
      <c r="J533" s="42"/>
      <c r="K533" s="41"/>
      <c r="L533" s="41">
        <v>173</v>
      </c>
      <c r="M533" s="43">
        <v>75804</v>
      </c>
    </row>
    <row r="534" spans="2:13" outlineLevel="2">
      <c r="B534" s="40">
        <f t="shared" si="25"/>
        <v>72</v>
      </c>
      <c r="C534" s="41" t="s">
        <v>8</v>
      </c>
      <c r="D534" s="41"/>
      <c r="E534" s="41" t="s">
        <v>132</v>
      </c>
      <c r="F534" s="41">
        <v>8748249</v>
      </c>
      <c r="G534" s="41"/>
      <c r="H534" s="41">
        <v>1987</v>
      </c>
      <c r="I534" s="41"/>
      <c r="J534" s="42"/>
      <c r="K534" s="41"/>
      <c r="L534" s="41">
        <v>4</v>
      </c>
      <c r="M534" s="43">
        <v>75792</v>
      </c>
    </row>
    <row r="535" spans="2:13" outlineLevel="2">
      <c r="B535" s="40">
        <f t="shared" si="25"/>
        <v>73</v>
      </c>
      <c r="C535" s="41" t="s">
        <v>8</v>
      </c>
      <c r="D535" s="41"/>
      <c r="E535" s="41" t="s">
        <v>123</v>
      </c>
      <c r="F535" s="41">
        <v>15073</v>
      </c>
      <c r="G535" s="41"/>
      <c r="H535" s="41">
        <v>1988</v>
      </c>
      <c r="I535" s="41"/>
      <c r="J535" s="42"/>
      <c r="K535" s="41"/>
      <c r="L535" s="41">
        <v>47</v>
      </c>
      <c r="M535" s="43">
        <v>75791</v>
      </c>
    </row>
    <row r="536" spans="2:13" outlineLevel="2">
      <c r="B536" s="40">
        <f t="shared" si="25"/>
        <v>74</v>
      </c>
      <c r="C536" s="41" t="s">
        <v>8</v>
      </c>
      <c r="D536" s="41"/>
      <c r="E536" s="41" t="s">
        <v>132</v>
      </c>
      <c r="F536" s="41">
        <v>166447</v>
      </c>
      <c r="G536" s="41">
        <v>30030</v>
      </c>
      <c r="H536" s="41">
        <v>1988</v>
      </c>
      <c r="I536" s="41"/>
      <c r="J536" s="42"/>
      <c r="K536" s="41"/>
      <c r="L536" s="41">
        <v>13</v>
      </c>
      <c r="M536" s="43">
        <v>76606</v>
      </c>
    </row>
    <row r="537" spans="2:13" outlineLevel="2">
      <c r="B537" s="40">
        <f t="shared" si="25"/>
        <v>75</v>
      </c>
      <c r="C537" s="41" t="s">
        <v>8</v>
      </c>
      <c r="D537" s="41"/>
      <c r="E537" s="41" t="s">
        <v>134</v>
      </c>
      <c r="F537" s="41">
        <v>8816352</v>
      </c>
      <c r="G537" s="41">
        <v>12856</v>
      </c>
      <c r="H537" s="41">
        <v>1988</v>
      </c>
      <c r="I537" s="41"/>
      <c r="J537" s="42"/>
      <c r="K537" s="41"/>
      <c r="L537" s="41">
        <v>36</v>
      </c>
      <c r="M537" s="43">
        <v>76598</v>
      </c>
    </row>
    <row r="538" spans="2:13" outlineLevel="2">
      <c r="B538" s="40">
        <f t="shared" si="25"/>
        <v>76</v>
      </c>
      <c r="C538" s="41" t="s">
        <v>8</v>
      </c>
      <c r="D538" s="41"/>
      <c r="E538" s="41" t="s">
        <v>137</v>
      </c>
      <c r="F538" s="41">
        <v>8018202</v>
      </c>
      <c r="G538" s="41"/>
      <c r="H538" s="41">
        <v>1988</v>
      </c>
      <c r="I538" s="41"/>
      <c r="J538" s="42"/>
      <c r="K538" s="41"/>
      <c r="L538" s="41">
        <v>8</v>
      </c>
      <c r="M538" s="43">
        <v>79179</v>
      </c>
    </row>
    <row r="539" spans="2:13" outlineLevel="2">
      <c r="B539" s="40">
        <f t="shared" si="25"/>
        <v>77</v>
      </c>
      <c r="C539" s="41" t="s">
        <v>8</v>
      </c>
      <c r="D539" s="41"/>
      <c r="E539" s="41" t="s">
        <v>126</v>
      </c>
      <c r="F539" s="41">
        <v>8750615</v>
      </c>
      <c r="G539" s="41">
        <v>200016</v>
      </c>
      <c r="H539" s="41">
        <v>1987</v>
      </c>
      <c r="I539" s="41"/>
      <c r="J539" s="42"/>
      <c r="K539" s="41"/>
      <c r="L539" s="41">
        <v>5</v>
      </c>
      <c r="M539" s="43">
        <v>79171</v>
      </c>
    </row>
    <row r="540" spans="2:13" outlineLevel="2">
      <c r="B540" s="40">
        <f t="shared" si="25"/>
        <v>78</v>
      </c>
      <c r="C540" s="41" t="s">
        <v>8</v>
      </c>
      <c r="D540" s="41"/>
      <c r="E540" s="41" t="s">
        <v>139</v>
      </c>
      <c r="F540" s="41">
        <v>8632578</v>
      </c>
      <c r="G540" s="41">
        <v>8632578</v>
      </c>
      <c r="H540" s="41">
        <v>1987</v>
      </c>
      <c r="I540" s="41"/>
      <c r="J540" s="42"/>
      <c r="K540" s="41"/>
      <c r="L540" s="41">
        <v>2</v>
      </c>
      <c r="M540" s="43">
        <v>79169</v>
      </c>
    </row>
    <row r="541" spans="2:13" outlineLevel="2">
      <c r="B541" s="40">
        <f t="shared" si="25"/>
        <v>79</v>
      </c>
      <c r="C541" s="41" t="s">
        <v>8</v>
      </c>
      <c r="D541" s="41"/>
      <c r="E541" s="41" t="s">
        <v>139</v>
      </c>
      <c r="F541" s="41">
        <v>8632574</v>
      </c>
      <c r="G541" s="41">
        <v>12701</v>
      </c>
      <c r="H541" s="41">
        <v>1987</v>
      </c>
      <c r="I541" s="41"/>
      <c r="J541" s="42"/>
      <c r="K541" s="41"/>
      <c r="L541" s="41">
        <v>23</v>
      </c>
      <c r="M541" s="43">
        <v>79161</v>
      </c>
    </row>
    <row r="542" spans="2:13" outlineLevel="2">
      <c r="B542" s="40">
        <f t="shared" si="25"/>
        <v>80</v>
      </c>
      <c r="C542" s="41" t="s">
        <v>8</v>
      </c>
      <c r="D542" s="41"/>
      <c r="E542" s="41" t="s">
        <v>144</v>
      </c>
      <c r="F542" s="41">
        <v>13524</v>
      </c>
      <c r="G542" s="41"/>
      <c r="H542" s="41">
        <v>1987</v>
      </c>
      <c r="I542" s="41"/>
      <c r="J542" s="42"/>
      <c r="K542" s="41"/>
      <c r="L542" s="41">
        <v>368</v>
      </c>
      <c r="M542" s="43">
        <v>79159</v>
      </c>
    </row>
    <row r="543" spans="2:13" outlineLevel="2">
      <c r="B543" s="40">
        <f t="shared" si="25"/>
        <v>81</v>
      </c>
      <c r="C543" s="41" t="s">
        <v>8</v>
      </c>
      <c r="D543" s="41"/>
      <c r="E543" s="41" t="s">
        <v>139</v>
      </c>
      <c r="F543" s="41">
        <v>166726</v>
      </c>
      <c r="G543" s="41"/>
      <c r="H543" s="41">
        <v>1988</v>
      </c>
      <c r="I543" s="41"/>
      <c r="J543" s="42"/>
      <c r="K543" s="41"/>
      <c r="L543" s="41">
        <v>3</v>
      </c>
      <c r="M543" s="43">
        <v>79144</v>
      </c>
    </row>
    <row r="544" spans="2:13" outlineLevel="2">
      <c r="B544" s="40">
        <f t="shared" si="25"/>
        <v>82</v>
      </c>
      <c r="C544" s="41" t="s">
        <v>8</v>
      </c>
      <c r="D544" s="41"/>
      <c r="E544" s="41" t="s">
        <v>126</v>
      </c>
      <c r="F544" s="41">
        <v>8751465</v>
      </c>
      <c r="G544" s="41"/>
      <c r="H544" s="41">
        <v>1987</v>
      </c>
      <c r="I544" s="41"/>
      <c r="J544" s="42"/>
      <c r="K544" s="41"/>
      <c r="L544" s="41">
        <v>36</v>
      </c>
      <c r="M544" s="43">
        <v>81839</v>
      </c>
    </row>
    <row r="545" spans="2:13" outlineLevel="2">
      <c r="B545" s="40">
        <f t="shared" si="25"/>
        <v>83</v>
      </c>
      <c r="C545" s="41" t="s">
        <v>8</v>
      </c>
      <c r="D545" s="41"/>
      <c r="E545" s="41" t="s">
        <v>132</v>
      </c>
      <c r="F545" s="41">
        <v>21967</v>
      </c>
      <c r="G545" s="41"/>
      <c r="H545" s="41">
        <v>1987</v>
      </c>
      <c r="I545" s="41"/>
      <c r="J545" s="42"/>
      <c r="K545" s="41"/>
      <c r="L545" s="41">
        <v>2</v>
      </c>
      <c r="M545" s="43">
        <v>81711</v>
      </c>
    </row>
    <row r="546" spans="2:13" outlineLevel="2">
      <c r="B546" s="40">
        <f t="shared" si="25"/>
        <v>84</v>
      </c>
      <c r="C546" s="41" t="s">
        <v>8</v>
      </c>
      <c r="D546" s="41"/>
      <c r="E546" s="41" t="s">
        <v>123</v>
      </c>
      <c r="F546" s="41">
        <v>8712612</v>
      </c>
      <c r="G546" s="41"/>
      <c r="H546" s="41">
        <v>1987</v>
      </c>
      <c r="I546" s="41"/>
      <c r="J546" s="42"/>
      <c r="K546" s="41"/>
      <c r="L546" s="41">
        <v>2</v>
      </c>
      <c r="M546" s="43">
        <v>81699</v>
      </c>
    </row>
    <row r="547" spans="2:13" outlineLevel="2">
      <c r="B547" s="40">
        <f t="shared" si="25"/>
        <v>85</v>
      </c>
      <c r="C547" s="41" t="s">
        <v>8</v>
      </c>
      <c r="D547" s="41"/>
      <c r="E547" s="41" t="s">
        <v>137</v>
      </c>
      <c r="F547" s="41">
        <v>8855712</v>
      </c>
      <c r="G547" s="41">
        <v>6420</v>
      </c>
      <c r="H547" s="41">
        <v>1988</v>
      </c>
      <c r="I547" s="41"/>
      <c r="J547" s="42"/>
      <c r="K547" s="41"/>
      <c r="L547" s="41">
        <v>2</v>
      </c>
      <c r="M547" s="43">
        <v>81693</v>
      </c>
    </row>
    <row r="548" spans="2:13" outlineLevel="2">
      <c r="B548" s="40">
        <f t="shared" si="25"/>
        <v>86</v>
      </c>
      <c r="C548" s="41" t="s">
        <v>8</v>
      </c>
      <c r="D548" s="41"/>
      <c r="E548" s="41" t="s">
        <v>123</v>
      </c>
      <c r="F548" s="41">
        <v>258309</v>
      </c>
      <c r="G548" s="41"/>
      <c r="H548" s="41">
        <v>1987</v>
      </c>
      <c r="I548" s="41"/>
      <c r="J548" s="42"/>
      <c r="K548" s="41"/>
      <c r="L548" s="41">
        <v>7</v>
      </c>
      <c r="M548" s="43">
        <v>81690</v>
      </c>
    </row>
    <row r="549" spans="2:13" outlineLevel="2">
      <c r="B549" s="40">
        <f t="shared" si="25"/>
        <v>87</v>
      </c>
      <c r="C549" s="41" t="s">
        <v>8</v>
      </c>
      <c r="D549" s="41"/>
      <c r="E549" s="41" t="s">
        <v>132</v>
      </c>
      <c r="F549" s="41">
        <v>8750870</v>
      </c>
      <c r="G549" s="41"/>
      <c r="H549" s="41">
        <v>1987</v>
      </c>
      <c r="I549" s="41"/>
      <c r="J549" s="42"/>
      <c r="K549" s="41"/>
      <c r="L549" s="41">
        <v>15</v>
      </c>
      <c r="M549" s="43">
        <v>84528</v>
      </c>
    </row>
    <row r="550" spans="2:13" outlineLevel="2">
      <c r="B550" s="40">
        <f t="shared" si="25"/>
        <v>88</v>
      </c>
      <c r="C550" s="41" t="s">
        <v>8</v>
      </c>
      <c r="D550" s="41"/>
      <c r="E550" s="41" t="s">
        <v>132</v>
      </c>
      <c r="F550" s="41">
        <v>21999</v>
      </c>
      <c r="G550" s="41"/>
      <c r="H550" s="41">
        <v>1987</v>
      </c>
      <c r="I550" s="41"/>
      <c r="J550" s="42"/>
      <c r="K550" s="41"/>
      <c r="L550" s="41">
        <v>47</v>
      </c>
      <c r="M550" s="43">
        <v>84381</v>
      </c>
    </row>
    <row r="551" spans="2:13" outlineLevel="2">
      <c r="B551" s="40">
        <f t="shared" si="25"/>
        <v>89</v>
      </c>
      <c r="C551" s="41" t="s">
        <v>8</v>
      </c>
      <c r="D551" s="41"/>
      <c r="E551" s="41" t="s">
        <v>122</v>
      </c>
      <c r="F551" s="41">
        <v>5619</v>
      </c>
      <c r="G551" s="41">
        <v>8748432</v>
      </c>
      <c r="H551" s="41">
        <v>1987</v>
      </c>
      <c r="I551" s="41"/>
      <c r="J551" s="42"/>
      <c r="K551" s="41"/>
      <c r="L551" s="41">
        <v>25</v>
      </c>
      <c r="M551" s="43">
        <v>84376</v>
      </c>
    </row>
    <row r="552" spans="2:13" outlineLevel="2">
      <c r="B552" s="40">
        <f t="shared" si="25"/>
        <v>90</v>
      </c>
      <c r="C552" s="41" t="s">
        <v>8</v>
      </c>
      <c r="D552" s="41"/>
      <c r="E552" s="41" t="s">
        <v>122</v>
      </c>
      <c r="F552" s="41">
        <v>6068</v>
      </c>
      <c r="G552" s="41">
        <v>8852586</v>
      </c>
      <c r="H552" s="41">
        <v>1988</v>
      </c>
      <c r="I552" s="41"/>
      <c r="J552" s="42"/>
      <c r="K552" s="41"/>
      <c r="L552" s="41">
        <v>339</v>
      </c>
      <c r="M552" s="43">
        <v>84356</v>
      </c>
    </row>
    <row r="553" spans="2:13" outlineLevel="2">
      <c r="B553" s="40">
        <f t="shared" si="25"/>
        <v>91</v>
      </c>
      <c r="C553" s="41" t="s">
        <v>8</v>
      </c>
      <c r="D553" s="41"/>
      <c r="E553" s="41" t="s">
        <v>123</v>
      </c>
      <c r="F553" s="41">
        <v>214447</v>
      </c>
      <c r="G553" s="41"/>
      <c r="H553" s="41">
        <v>1988</v>
      </c>
      <c r="I553" s="41"/>
      <c r="J553" s="42"/>
      <c r="K553" s="41"/>
      <c r="L553" s="41">
        <v>35</v>
      </c>
      <c r="M553" s="43">
        <v>84347</v>
      </c>
    </row>
    <row r="554" spans="2:13" outlineLevel="2">
      <c r="B554" s="40">
        <f t="shared" si="25"/>
        <v>92</v>
      </c>
      <c r="C554" s="41" t="s">
        <v>8</v>
      </c>
      <c r="D554" s="41"/>
      <c r="E554" s="41" t="s">
        <v>134</v>
      </c>
      <c r="F554" s="41">
        <v>51593</v>
      </c>
      <c r="G554" s="41"/>
      <c r="H554" s="41">
        <v>1987</v>
      </c>
      <c r="I554" s="41"/>
      <c r="J554" s="42"/>
      <c r="K554" s="41"/>
      <c r="L554" s="41">
        <v>6</v>
      </c>
      <c r="M554" s="43">
        <v>84345</v>
      </c>
    </row>
    <row r="555" spans="2:13" outlineLevel="2">
      <c r="B555" s="40">
        <f t="shared" si="25"/>
        <v>93</v>
      </c>
      <c r="C555" s="41" t="s">
        <v>8</v>
      </c>
      <c r="D555" s="41"/>
      <c r="E555" s="41" t="s">
        <v>137</v>
      </c>
      <c r="F555" s="41">
        <v>6441</v>
      </c>
      <c r="G555" s="41"/>
      <c r="H555" s="41">
        <v>1988</v>
      </c>
      <c r="I555" s="41"/>
      <c r="J555" s="42"/>
      <c r="K555" s="41"/>
      <c r="L555" s="41">
        <v>19</v>
      </c>
      <c r="M555" s="43">
        <v>86046</v>
      </c>
    </row>
    <row r="556" spans="2:13" outlineLevel="2">
      <c r="B556" s="40">
        <f t="shared" si="25"/>
        <v>94</v>
      </c>
      <c r="C556" s="41" t="s">
        <v>8</v>
      </c>
      <c r="D556" s="41"/>
      <c r="E556" s="41" t="s">
        <v>123</v>
      </c>
      <c r="F556" s="41">
        <v>8751875</v>
      </c>
      <c r="G556" s="41"/>
      <c r="H556" s="41">
        <v>1987</v>
      </c>
      <c r="I556" s="41"/>
      <c r="J556" s="42"/>
      <c r="K556" s="41"/>
      <c r="L556" s="41">
        <v>8</v>
      </c>
      <c r="M556" s="43">
        <v>86001</v>
      </c>
    </row>
    <row r="557" spans="2:13" outlineLevel="2">
      <c r="B557" s="40">
        <f t="shared" si="25"/>
        <v>95</v>
      </c>
      <c r="C557" s="41" t="s">
        <v>8</v>
      </c>
      <c r="D557" s="41"/>
      <c r="E557" s="41" t="s">
        <v>137</v>
      </c>
      <c r="F557" s="41" t="s">
        <v>145</v>
      </c>
      <c r="G557" s="41"/>
      <c r="H557" s="41">
        <v>1988</v>
      </c>
      <c r="I557" s="41"/>
      <c r="J557" s="42"/>
      <c r="K557" s="41"/>
      <c r="L557" s="41">
        <v>22</v>
      </c>
      <c r="M557" s="43">
        <v>85993</v>
      </c>
    </row>
    <row r="558" spans="2:13" outlineLevel="2">
      <c r="B558" s="40">
        <f t="shared" si="25"/>
        <v>96</v>
      </c>
      <c r="C558" s="41" t="s">
        <v>8</v>
      </c>
      <c r="D558" s="41"/>
      <c r="E558" s="41" t="s">
        <v>139</v>
      </c>
      <c r="F558" s="41">
        <v>166911</v>
      </c>
      <c r="G558" s="41"/>
      <c r="H558" s="41">
        <v>1988</v>
      </c>
      <c r="I558" s="41"/>
      <c r="J558" s="42"/>
      <c r="K558" s="41"/>
      <c r="L558" s="41">
        <v>20</v>
      </c>
      <c r="M558" s="43">
        <v>85987</v>
      </c>
    </row>
    <row r="559" spans="2:13" outlineLevel="2">
      <c r="B559" s="40">
        <f t="shared" si="25"/>
        <v>97</v>
      </c>
      <c r="C559" s="41" t="s">
        <v>8</v>
      </c>
      <c r="D559" s="41"/>
      <c r="E559" s="41" t="s">
        <v>126</v>
      </c>
      <c r="F559" s="41">
        <v>8852155</v>
      </c>
      <c r="G559" s="41"/>
      <c r="H559" s="41">
        <v>1988</v>
      </c>
      <c r="I559" s="41"/>
      <c r="J559" s="42"/>
      <c r="K559" s="41"/>
      <c r="L559" s="41">
        <v>10</v>
      </c>
      <c r="M559" s="43">
        <v>87024</v>
      </c>
    </row>
    <row r="560" spans="2:13" outlineLevel="2">
      <c r="B560" s="40">
        <f t="shared" si="25"/>
        <v>98</v>
      </c>
      <c r="C560" s="41" t="s">
        <v>8</v>
      </c>
      <c r="D560" s="41"/>
      <c r="E560" s="41" t="s">
        <v>135</v>
      </c>
      <c r="F560" s="41">
        <v>276</v>
      </c>
      <c r="G560" s="41"/>
      <c r="H560" s="41">
        <v>1988</v>
      </c>
      <c r="I560" s="41"/>
      <c r="J560" s="42"/>
      <c r="K560" s="41"/>
      <c r="L560" s="41">
        <v>26</v>
      </c>
      <c r="M560" s="43">
        <v>87013</v>
      </c>
    </row>
    <row r="561" spans="2:13" outlineLevel="2">
      <c r="B561" s="40">
        <f t="shared" si="25"/>
        <v>99</v>
      </c>
      <c r="C561" s="41" t="s">
        <v>8</v>
      </c>
      <c r="D561" s="41"/>
      <c r="E561" s="41" t="s">
        <v>132</v>
      </c>
      <c r="F561" s="41">
        <v>20716</v>
      </c>
      <c r="G561" s="41"/>
      <c r="H561" s="41">
        <v>1987</v>
      </c>
      <c r="I561" s="41"/>
      <c r="J561" s="42"/>
      <c r="K561" s="41"/>
      <c r="L561" s="41">
        <v>18</v>
      </c>
      <c r="M561" s="43">
        <v>86999</v>
      </c>
    </row>
    <row r="562" spans="2:13" outlineLevel="2">
      <c r="B562" s="40">
        <f t="shared" si="25"/>
        <v>100</v>
      </c>
      <c r="C562" s="41" t="s">
        <v>8</v>
      </c>
      <c r="D562" s="41"/>
      <c r="E562" s="41" t="s">
        <v>146</v>
      </c>
      <c r="F562" s="41">
        <v>77167</v>
      </c>
      <c r="G562" s="41"/>
      <c r="H562" s="41">
        <v>1987</v>
      </c>
      <c r="I562" s="41"/>
      <c r="J562" s="42"/>
      <c r="K562" s="41"/>
      <c r="L562" s="41">
        <v>44</v>
      </c>
      <c r="M562" s="43">
        <v>87410</v>
      </c>
    </row>
    <row r="563" spans="2:13" outlineLevel="2">
      <c r="B563" s="40">
        <f t="shared" si="25"/>
        <v>101</v>
      </c>
      <c r="C563" s="41" t="s">
        <v>8</v>
      </c>
      <c r="D563" s="41"/>
      <c r="E563" s="41" t="s">
        <v>136</v>
      </c>
      <c r="F563" s="41">
        <v>167075</v>
      </c>
      <c r="G563" s="41">
        <v>30075</v>
      </c>
      <c r="H563" s="41">
        <v>1988</v>
      </c>
      <c r="I563" s="41"/>
      <c r="J563" s="42"/>
      <c r="K563" s="41"/>
      <c r="L563" s="41">
        <v>46</v>
      </c>
      <c r="M563" s="43">
        <v>87396</v>
      </c>
    </row>
    <row r="564" spans="2:13" outlineLevel="2">
      <c r="B564" s="40">
        <f t="shared" si="25"/>
        <v>102</v>
      </c>
      <c r="C564" s="41" t="s">
        <v>8</v>
      </c>
      <c r="D564" s="41"/>
      <c r="E564" s="41" t="s">
        <v>137</v>
      </c>
      <c r="F564" s="41">
        <v>8854632</v>
      </c>
      <c r="G564" s="41"/>
      <c r="H564" s="41">
        <v>1988</v>
      </c>
      <c r="I564" s="41"/>
      <c r="J564" s="42"/>
      <c r="K564" s="41"/>
      <c r="L564" s="41">
        <v>12</v>
      </c>
      <c r="M564" s="43">
        <v>87737</v>
      </c>
    </row>
    <row r="565" spans="2:13" outlineLevel="2">
      <c r="B565" s="40">
        <f t="shared" si="25"/>
        <v>103</v>
      </c>
      <c r="C565" s="41" t="s">
        <v>8</v>
      </c>
      <c r="D565" s="41"/>
      <c r="E565" s="41" t="s">
        <v>132</v>
      </c>
      <c r="F565" s="41">
        <v>8751635</v>
      </c>
      <c r="G565" s="41"/>
      <c r="H565" s="41">
        <v>1987</v>
      </c>
      <c r="I565" s="41"/>
      <c r="J565" s="42"/>
      <c r="K565" s="41"/>
      <c r="L565" s="41">
        <v>12</v>
      </c>
      <c r="M565" s="43">
        <v>87652</v>
      </c>
    </row>
    <row r="566" spans="2:13" outlineLevel="2">
      <c r="B566" s="40">
        <f t="shared" si="25"/>
        <v>104</v>
      </c>
      <c r="C566" s="41" t="s">
        <v>8</v>
      </c>
      <c r="D566" s="41"/>
      <c r="E566" s="41" t="s">
        <v>126</v>
      </c>
      <c r="F566" s="41">
        <v>48</v>
      </c>
      <c r="G566" s="41"/>
      <c r="H566" s="41">
        <v>1987</v>
      </c>
      <c r="I566" s="41"/>
      <c r="J566" s="42"/>
      <c r="K566" s="41"/>
      <c r="L566" s="41">
        <v>24</v>
      </c>
      <c r="M566" s="43">
        <v>87638</v>
      </c>
    </row>
    <row r="567" spans="2:13" outlineLevel="2">
      <c r="B567" s="40">
        <f t="shared" si="25"/>
        <v>105</v>
      </c>
      <c r="C567" s="41" t="s">
        <v>8</v>
      </c>
      <c r="D567" s="41"/>
      <c r="E567" s="41" t="s">
        <v>139</v>
      </c>
      <c r="F567" s="41">
        <v>166750</v>
      </c>
      <c r="G567" s="41">
        <v>166750</v>
      </c>
      <c r="H567" s="41">
        <v>1988</v>
      </c>
      <c r="I567" s="41"/>
      <c r="J567" s="42"/>
      <c r="K567" s="41"/>
      <c r="L567" s="41">
        <v>29</v>
      </c>
      <c r="M567" s="43">
        <v>90535</v>
      </c>
    </row>
    <row r="568" spans="2:13" outlineLevel="2">
      <c r="B568" s="40">
        <f t="shared" si="25"/>
        <v>106</v>
      </c>
      <c r="C568" s="41" t="s">
        <v>8</v>
      </c>
      <c r="D568" s="41"/>
      <c r="E568" s="41" t="s">
        <v>147</v>
      </c>
      <c r="F568" s="41">
        <v>218</v>
      </c>
      <c r="G568" s="41"/>
      <c r="H568" s="41">
        <v>1988</v>
      </c>
      <c r="I568" s="41"/>
      <c r="J568" s="42"/>
      <c r="K568" s="41"/>
      <c r="L568" s="41">
        <v>2</v>
      </c>
      <c r="M568" s="43">
        <v>90523</v>
      </c>
    </row>
    <row r="569" spans="2:13" outlineLevel="2">
      <c r="B569" s="40">
        <f t="shared" si="25"/>
        <v>107</v>
      </c>
      <c r="C569" s="41" t="s">
        <v>8</v>
      </c>
      <c r="D569" s="41"/>
      <c r="E569" s="41" t="s">
        <v>126</v>
      </c>
      <c r="F569" s="41">
        <v>166188</v>
      </c>
      <c r="G569" s="41"/>
      <c r="H569" s="41">
        <v>1987</v>
      </c>
      <c r="I569" s="41"/>
      <c r="J569" s="42"/>
      <c r="K569" s="41"/>
      <c r="L569" s="41">
        <v>2</v>
      </c>
      <c r="M569" s="43">
        <v>90520</v>
      </c>
    </row>
    <row r="570" spans="2:13" outlineLevel="2">
      <c r="B570" s="40">
        <f t="shared" si="25"/>
        <v>108</v>
      </c>
      <c r="C570" s="41" t="s">
        <v>8</v>
      </c>
      <c r="D570" s="41"/>
      <c r="E570" s="41" t="s">
        <v>126</v>
      </c>
      <c r="F570" s="41">
        <v>8748781</v>
      </c>
      <c r="G570" s="41"/>
      <c r="H570" s="41">
        <v>1987</v>
      </c>
      <c r="I570" s="41"/>
      <c r="J570" s="42"/>
      <c r="K570" s="41"/>
      <c r="L570" s="41">
        <v>4</v>
      </c>
      <c r="M570" s="43">
        <v>90518</v>
      </c>
    </row>
    <row r="571" spans="2:13" outlineLevel="2">
      <c r="B571" s="40">
        <f t="shared" si="25"/>
        <v>109</v>
      </c>
      <c r="C571" s="41" t="s">
        <v>8</v>
      </c>
      <c r="D571" s="41"/>
      <c r="E571" s="41" t="s">
        <v>139</v>
      </c>
      <c r="F571" s="41">
        <v>166717</v>
      </c>
      <c r="G571" s="41">
        <v>12292</v>
      </c>
      <c r="H571" s="41">
        <v>1988</v>
      </c>
      <c r="I571" s="41"/>
      <c r="J571" s="42"/>
      <c r="K571" s="41"/>
      <c r="L571" s="41">
        <v>7</v>
      </c>
      <c r="M571" s="43">
        <v>90514</v>
      </c>
    </row>
    <row r="572" spans="2:13" outlineLevel="2">
      <c r="B572" s="40">
        <f t="shared" si="25"/>
        <v>110</v>
      </c>
      <c r="C572" s="41" t="s">
        <v>8</v>
      </c>
      <c r="D572" s="41"/>
      <c r="E572" s="41" t="s">
        <v>132</v>
      </c>
      <c r="F572" s="41">
        <v>88896</v>
      </c>
      <c r="G572" s="41"/>
      <c r="H572" s="41">
        <v>1987</v>
      </c>
      <c r="I572" s="41"/>
      <c r="J572" s="42"/>
      <c r="K572" s="41"/>
      <c r="L572" s="41">
        <v>41</v>
      </c>
      <c r="M572" s="43">
        <v>90513</v>
      </c>
    </row>
    <row r="573" spans="2:13" outlineLevel="2">
      <c r="B573" s="40">
        <f t="shared" si="25"/>
        <v>111</v>
      </c>
      <c r="C573" s="41" t="s">
        <v>8</v>
      </c>
      <c r="D573" s="41"/>
      <c r="E573" s="41" t="s">
        <v>132</v>
      </c>
      <c r="F573" s="41">
        <v>8751611</v>
      </c>
      <c r="G573" s="41"/>
      <c r="H573" s="41">
        <v>1987</v>
      </c>
      <c r="I573" s="41"/>
      <c r="J573" s="42"/>
      <c r="K573" s="41"/>
      <c r="L573" s="41">
        <v>8</v>
      </c>
      <c r="M573" s="43">
        <v>91215</v>
      </c>
    </row>
    <row r="574" spans="2:13" outlineLevel="2">
      <c r="B574" s="40">
        <f t="shared" si="25"/>
        <v>112</v>
      </c>
      <c r="C574" s="41" t="s">
        <v>8</v>
      </c>
      <c r="D574" s="41"/>
      <c r="E574" s="41" t="s">
        <v>126</v>
      </c>
      <c r="F574" s="41">
        <v>8750816</v>
      </c>
      <c r="G574" s="41"/>
      <c r="H574" s="41">
        <v>1987</v>
      </c>
      <c r="I574" s="41"/>
      <c r="J574" s="42"/>
      <c r="K574" s="41"/>
      <c r="L574" s="41">
        <v>7</v>
      </c>
      <c r="M574" s="43">
        <v>91214</v>
      </c>
    </row>
    <row r="575" spans="2:13" outlineLevel="2">
      <c r="B575" s="40">
        <f t="shared" si="25"/>
        <v>113</v>
      </c>
      <c r="C575" s="41" t="s">
        <v>8</v>
      </c>
      <c r="D575" s="41"/>
      <c r="E575" s="41" t="s">
        <v>122</v>
      </c>
      <c r="F575" s="41">
        <v>8852838</v>
      </c>
      <c r="G575" s="41"/>
      <c r="H575" s="41">
        <v>1988</v>
      </c>
      <c r="I575" s="41"/>
      <c r="J575" s="42"/>
      <c r="K575" s="41"/>
      <c r="L575" s="41">
        <v>23</v>
      </c>
      <c r="M575" s="43">
        <v>91203</v>
      </c>
    </row>
    <row r="576" spans="2:13" outlineLevel="2">
      <c r="B576" s="40">
        <f t="shared" si="25"/>
        <v>114</v>
      </c>
      <c r="C576" s="41" t="s">
        <v>8</v>
      </c>
      <c r="D576" s="41"/>
      <c r="E576" s="41" t="s">
        <v>123</v>
      </c>
      <c r="F576" s="41">
        <v>16252</v>
      </c>
      <c r="G576" s="41"/>
      <c r="H576" s="41">
        <v>1988</v>
      </c>
      <c r="I576" s="41"/>
      <c r="J576" s="42"/>
      <c r="K576" s="41"/>
      <c r="L576" s="41">
        <v>15</v>
      </c>
      <c r="M576" s="43">
        <v>91806</v>
      </c>
    </row>
    <row r="577" spans="2:13" outlineLevel="2">
      <c r="B577" s="40">
        <f t="shared" si="25"/>
        <v>115</v>
      </c>
      <c r="C577" s="41" t="s">
        <v>8</v>
      </c>
      <c r="D577" s="41"/>
      <c r="E577" s="41" t="s">
        <v>132</v>
      </c>
      <c r="F577" s="41">
        <v>466396</v>
      </c>
      <c r="G577" s="41"/>
      <c r="H577" s="41">
        <v>1988</v>
      </c>
      <c r="I577" s="41"/>
      <c r="J577" s="42"/>
      <c r="K577" s="41"/>
      <c r="L577" s="41">
        <v>45</v>
      </c>
      <c r="M577" s="43">
        <v>91756</v>
      </c>
    </row>
    <row r="578" spans="2:13" outlineLevel="2">
      <c r="B578" s="40">
        <f t="shared" si="25"/>
        <v>116</v>
      </c>
      <c r="C578" s="41" t="s">
        <v>8</v>
      </c>
      <c r="D578" s="41"/>
      <c r="E578" s="41" t="s">
        <v>123</v>
      </c>
      <c r="F578" s="41">
        <v>166</v>
      </c>
      <c r="G578" s="41"/>
      <c r="H578" s="41">
        <v>1987</v>
      </c>
      <c r="I578" s="41"/>
      <c r="J578" s="42"/>
      <c r="K578" s="41"/>
      <c r="L578" s="41">
        <v>15</v>
      </c>
      <c r="M578" s="43">
        <v>91743</v>
      </c>
    </row>
    <row r="579" spans="2:13" outlineLevel="2">
      <c r="B579" s="40">
        <f t="shared" si="25"/>
        <v>117</v>
      </c>
      <c r="C579" s="41" t="s">
        <v>8</v>
      </c>
      <c r="D579" s="41"/>
      <c r="E579" s="41" t="s">
        <v>123</v>
      </c>
      <c r="F579" s="41">
        <v>24871</v>
      </c>
      <c r="G579" s="41"/>
      <c r="H579" s="41">
        <v>1987</v>
      </c>
      <c r="I579" s="41"/>
      <c r="J579" s="42"/>
      <c r="K579" s="41"/>
      <c r="L579" s="41">
        <v>8</v>
      </c>
      <c r="M579" s="43">
        <v>91742</v>
      </c>
    </row>
    <row r="580" spans="2:13" outlineLevel="2">
      <c r="B580" s="40">
        <f t="shared" si="25"/>
        <v>118</v>
      </c>
      <c r="C580" s="41" t="s">
        <v>8</v>
      </c>
      <c r="D580" s="41"/>
      <c r="E580" s="41" t="s">
        <v>135</v>
      </c>
      <c r="F580" s="41">
        <v>6195</v>
      </c>
      <c r="G580" s="41">
        <v>8748430</v>
      </c>
      <c r="H580" s="41">
        <v>1988</v>
      </c>
      <c r="I580" s="41"/>
      <c r="J580" s="42"/>
      <c r="K580" s="41"/>
      <c r="L580" s="41">
        <v>25</v>
      </c>
      <c r="M580" s="43">
        <v>91739</v>
      </c>
    </row>
    <row r="581" spans="2:13" outlineLevel="2">
      <c r="B581" s="40">
        <f t="shared" si="25"/>
        <v>119</v>
      </c>
      <c r="C581" s="41" t="s">
        <v>8</v>
      </c>
      <c r="D581" s="41"/>
      <c r="E581" s="41" t="s">
        <v>139</v>
      </c>
      <c r="F581" s="41">
        <v>166887</v>
      </c>
      <c r="G581" s="41">
        <v>9749</v>
      </c>
      <c r="H581" s="41">
        <v>1988</v>
      </c>
      <c r="I581" s="41"/>
      <c r="J581" s="42"/>
      <c r="K581" s="41"/>
      <c r="L581" s="41">
        <v>2</v>
      </c>
      <c r="M581" s="43">
        <v>91736</v>
      </c>
    </row>
    <row r="582" spans="2:13" outlineLevel="2">
      <c r="B582" s="40">
        <f t="shared" si="25"/>
        <v>120</v>
      </c>
      <c r="C582" s="41" t="s">
        <v>8</v>
      </c>
      <c r="D582" s="41"/>
      <c r="E582" s="41" t="s">
        <v>134</v>
      </c>
      <c r="F582" s="41" t="s">
        <v>148</v>
      </c>
      <c r="G582" s="41"/>
      <c r="H582" s="41">
        <v>1988</v>
      </c>
      <c r="I582" s="41"/>
      <c r="J582" s="42"/>
      <c r="K582" s="41"/>
      <c r="L582" s="41">
        <v>33</v>
      </c>
      <c r="M582" s="43">
        <v>94624</v>
      </c>
    </row>
    <row r="583" spans="2:13" outlineLevel="2">
      <c r="B583" s="40">
        <f t="shared" si="25"/>
        <v>121</v>
      </c>
      <c r="C583" s="41" t="s">
        <v>8</v>
      </c>
      <c r="D583" s="41"/>
      <c r="E583" s="41" t="s">
        <v>123</v>
      </c>
      <c r="F583" s="41">
        <v>96081579</v>
      </c>
      <c r="G583" s="41"/>
      <c r="H583" s="41">
        <v>1987</v>
      </c>
      <c r="I583" s="41"/>
      <c r="J583" s="42"/>
      <c r="K583" s="41"/>
      <c r="L583" s="41">
        <v>39</v>
      </c>
      <c r="M583" s="43">
        <v>94630</v>
      </c>
    </row>
    <row r="584" spans="2:13" outlineLevel="2">
      <c r="B584" s="40">
        <f t="shared" si="25"/>
        <v>122</v>
      </c>
      <c r="C584" s="41" t="s">
        <v>8</v>
      </c>
      <c r="D584" s="41"/>
      <c r="E584" s="41" t="s">
        <v>126</v>
      </c>
      <c r="F584" s="41">
        <v>8749234</v>
      </c>
      <c r="G584" s="41">
        <v>112621</v>
      </c>
      <c r="H584" s="41">
        <v>1987</v>
      </c>
      <c r="I584" s="41"/>
      <c r="J584" s="42"/>
      <c r="K584" s="41"/>
      <c r="L584" s="41">
        <v>7</v>
      </c>
      <c r="M584" s="43">
        <v>97586</v>
      </c>
    </row>
    <row r="585" spans="2:13" outlineLevel="2">
      <c r="B585" s="40">
        <f t="shared" si="25"/>
        <v>123</v>
      </c>
      <c r="C585" s="41" t="s">
        <v>8</v>
      </c>
      <c r="D585" s="41"/>
      <c r="E585" s="41" t="s">
        <v>136</v>
      </c>
      <c r="F585" s="41" t="s">
        <v>149</v>
      </c>
      <c r="G585" s="41"/>
      <c r="H585" s="41">
        <v>1987</v>
      </c>
      <c r="I585" s="41"/>
      <c r="J585" s="42"/>
      <c r="K585" s="41"/>
      <c r="L585" s="41">
        <v>15</v>
      </c>
      <c r="M585" s="43">
        <v>97584</v>
      </c>
    </row>
    <row r="586" spans="2:13" outlineLevel="2">
      <c r="B586" s="40">
        <f t="shared" si="25"/>
        <v>124</v>
      </c>
      <c r="C586" s="41" t="s">
        <v>8</v>
      </c>
      <c r="D586" s="41"/>
      <c r="E586" s="41" t="s">
        <v>135</v>
      </c>
      <c r="F586" s="41">
        <v>5533</v>
      </c>
      <c r="G586" s="41"/>
      <c r="H586" s="41">
        <v>1988</v>
      </c>
      <c r="I586" s="41"/>
      <c r="J586" s="42"/>
      <c r="K586" s="41"/>
      <c r="L586" s="41">
        <v>44</v>
      </c>
      <c r="M586" s="43">
        <v>97575</v>
      </c>
    </row>
    <row r="587" spans="2:13" outlineLevel="2">
      <c r="B587" s="40">
        <f t="shared" si="25"/>
        <v>125</v>
      </c>
      <c r="C587" s="41" t="s">
        <v>8</v>
      </c>
      <c r="D587" s="41"/>
      <c r="E587" s="41" t="s">
        <v>139</v>
      </c>
      <c r="F587" s="41">
        <v>166686</v>
      </c>
      <c r="G587" s="41"/>
      <c r="H587" s="41">
        <v>1988</v>
      </c>
      <c r="I587" s="41"/>
      <c r="J587" s="42"/>
      <c r="K587" s="41"/>
      <c r="L587" s="41">
        <v>21</v>
      </c>
      <c r="M587" s="43">
        <v>97573</v>
      </c>
    </row>
    <row r="588" spans="2:13" outlineLevel="2">
      <c r="B588" s="40">
        <f t="shared" si="25"/>
        <v>126</v>
      </c>
      <c r="C588" s="41" t="s">
        <v>8</v>
      </c>
      <c r="D588" s="41"/>
      <c r="E588" s="41" t="s">
        <v>132</v>
      </c>
      <c r="F588" s="41">
        <v>1987</v>
      </c>
      <c r="G588" s="41">
        <v>107201</v>
      </c>
      <c r="H588" s="41">
        <v>1987</v>
      </c>
      <c r="I588" s="41"/>
      <c r="J588" s="42"/>
      <c r="K588" s="41"/>
      <c r="L588" s="41">
        <v>21</v>
      </c>
      <c r="M588" s="43">
        <v>97558</v>
      </c>
    </row>
    <row r="589" spans="2:13" outlineLevel="2">
      <c r="B589" s="40">
        <f t="shared" si="25"/>
        <v>127</v>
      </c>
      <c r="C589" s="41" t="s">
        <v>8</v>
      </c>
      <c r="D589" s="41"/>
      <c r="E589" s="41" t="s">
        <v>135</v>
      </c>
      <c r="F589" s="41">
        <v>72896</v>
      </c>
      <c r="G589" s="41">
        <v>5324</v>
      </c>
      <c r="H589" s="41">
        <v>1987</v>
      </c>
      <c r="I589" s="41"/>
      <c r="J589" s="42"/>
      <c r="K589" s="41"/>
      <c r="L589" s="41">
        <v>117</v>
      </c>
      <c r="M589" s="43">
        <v>97556</v>
      </c>
    </row>
    <row r="590" spans="2:13" outlineLevel="2">
      <c r="B590" s="40">
        <f t="shared" si="25"/>
        <v>128</v>
      </c>
      <c r="C590" s="41" t="s">
        <v>8</v>
      </c>
      <c r="D590" s="41"/>
      <c r="E590" s="41" t="s">
        <v>126</v>
      </c>
      <c r="F590" s="41">
        <v>5274</v>
      </c>
      <c r="G590" s="41"/>
      <c r="H590" s="41">
        <v>1988</v>
      </c>
      <c r="I590" s="41"/>
      <c r="J590" s="42"/>
      <c r="K590" s="41"/>
      <c r="L590" s="41">
        <v>162</v>
      </c>
      <c r="M590" s="43">
        <v>97554</v>
      </c>
    </row>
    <row r="591" spans="2:13" outlineLevel="2">
      <c r="B591" s="40">
        <f t="shared" si="25"/>
        <v>129</v>
      </c>
      <c r="C591" s="41" t="s">
        <v>8</v>
      </c>
      <c r="D591" s="41"/>
      <c r="E591" s="41" t="s">
        <v>132</v>
      </c>
      <c r="F591" s="41">
        <v>14971</v>
      </c>
      <c r="G591" s="41"/>
      <c r="H591" s="41">
        <v>1988</v>
      </c>
      <c r="I591" s="41"/>
      <c r="J591" s="42"/>
      <c r="K591" s="41"/>
      <c r="L591" s="41">
        <v>10</v>
      </c>
      <c r="M591" s="43">
        <v>97547</v>
      </c>
    </row>
    <row r="592" spans="2:13" outlineLevel="2">
      <c r="B592" s="40">
        <f t="shared" si="25"/>
        <v>130</v>
      </c>
      <c r="C592" s="41" t="s">
        <v>8</v>
      </c>
      <c r="D592" s="41"/>
      <c r="E592" s="41" t="s">
        <v>138</v>
      </c>
      <c r="F592" s="41">
        <v>214420</v>
      </c>
      <c r="G592" s="41">
        <v>13490</v>
      </c>
      <c r="H592" s="41">
        <v>1988</v>
      </c>
      <c r="I592" s="41"/>
      <c r="J592" s="42"/>
      <c r="K592" s="41"/>
      <c r="L592" s="41">
        <v>11</v>
      </c>
      <c r="M592" s="43">
        <v>97944</v>
      </c>
    </row>
    <row r="593" spans="2:13" outlineLevel="2">
      <c r="B593" s="40">
        <f t="shared" ref="B593:B656" si="26">ROW(A131)</f>
        <v>131</v>
      </c>
      <c r="C593" s="41" t="s">
        <v>8</v>
      </c>
      <c r="D593" s="41"/>
      <c r="E593" s="41" t="s">
        <v>140</v>
      </c>
      <c r="F593" s="41">
        <v>8855427</v>
      </c>
      <c r="G593" s="41">
        <v>108806</v>
      </c>
      <c r="H593" s="41">
        <v>1988</v>
      </c>
      <c r="I593" s="41"/>
      <c r="J593" s="42"/>
      <c r="K593" s="41"/>
      <c r="L593" s="41">
        <v>15</v>
      </c>
      <c r="M593" s="43">
        <v>97943</v>
      </c>
    </row>
    <row r="594" spans="2:13" outlineLevel="2">
      <c r="B594" s="40">
        <f t="shared" si="26"/>
        <v>132</v>
      </c>
      <c r="C594" s="41" t="s">
        <v>8</v>
      </c>
      <c r="D594" s="41"/>
      <c r="E594" s="41" t="s">
        <v>150</v>
      </c>
      <c r="F594" s="41">
        <v>527</v>
      </c>
      <c r="G594" s="41">
        <v>106650</v>
      </c>
      <c r="H594" s="41">
        <v>1988</v>
      </c>
      <c r="I594" s="41"/>
      <c r="J594" s="42"/>
      <c r="K594" s="41"/>
      <c r="L594" s="41">
        <v>242</v>
      </c>
      <c r="M594" s="43">
        <v>97930</v>
      </c>
    </row>
    <row r="595" spans="2:13" outlineLevel="2">
      <c r="B595" s="40">
        <f t="shared" si="26"/>
        <v>133</v>
      </c>
      <c r="C595" s="41" t="s">
        <v>8</v>
      </c>
      <c r="D595" s="41"/>
      <c r="E595" s="41" t="s">
        <v>136</v>
      </c>
      <c r="F595" s="41">
        <v>167018</v>
      </c>
      <c r="G595" s="41">
        <v>50873</v>
      </c>
      <c r="H595" s="41">
        <v>1988</v>
      </c>
      <c r="I595" s="41"/>
      <c r="J595" s="42"/>
      <c r="K595" s="41"/>
      <c r="L595" s="41">
        <v>31</v>
      </c>
      <c r="M595" s="43">
        <v>97913</v>
      </c>
    </row>
    <row r="596" spans="2:13" outlineLevel="2">
      <c r="B596" s="40">
        <f t="shared" si="26"/>
        <v>134</v>
      </c>
      <c r="C596" s="41" t="s">
        <v>8</v>
      </c>
      <c r="D596" s="41"/>
      <c r="E596" s="41" t="s">
        <v>126</v>
      </c>
      <c r="F596" s="41">
        <v>1977</v>
      </c>
      <c r="G596" s="41"/>
      <c r="H596" s="41">
        <v>1987</v>
      </c>
      <c r="I596" s="41"/>
      <c r="J596" s="42"/>
      <c r="K596" s="41"/>
      <c r="L596" s="41">
        <v>14</v>
      </c>
      <c r="M596" s="43">
        <v>97904</v>
      </c>
    </row>
    <row r="597" spans="2:13" outlineLevel="2">
      <c r="B597" s="40">
        <f t="shared" si="26"/>
        <v>135</v>
      </c>
      <c r="C597" s="41" t="s">
        <v>8</v>
      </c>
      <c r="D597" s="41"/>
      <c r="E597" s="41" t="s">
        <v>132</v>
      </c>
      <c r="F597" s="41">
        <v>8748319</v>
      </c>
      <c r="G597" s="41"/>
      <c r="H597" s="41">
        <v>1987</v>
      </c>
      <c r="I597" s="41"/>
      <c r="J597" s="42"/>
      <c r="K597" s="41"/>
      <c r="L597" s="41">
        <v>153</v>
      </c>
      <c r="M597" s="43">
        <v>97903</v>
      </c>
    </row>
    <row r="598" spans="2:13" outlineLevel="2">
      <c r="B598" s="40">
        <f t="shared" si="26"/>
        <v>136</v>
      </c>
      <c r="C598" s="41" t="s">
        <v>8</v>
      </c>
      <c r="D598" s="41"/>
      <c r="E598" s="41" t="s">
        <v>126</v>
      </c>
      <c r="F598" s="41">
        <v>8747220</v>
      </c>
      <c r="G598" s="41">
        <v>99839</v>
      </c>
      <c r="H598" s="41">
        <v>1987</v>
      </c>
      <c r="I598" s="41"/>
      <c r="J598" s="42"/>
      <c r="K598" s="41"/>
      <c r="L598" s="41">
        <v>15</v>
      </c>
      <c r="M598" s="43">
        <v>100893</v>
      </c>
    </row>
    <row r="599" spans="2:13" outlineLevel="2">
      <c r="B599" s="40">
        <f t="shared" si="26"/>
        <v>137</v>
      </c>
      <c r="C599" s="41" t="s">
        <v>8</v>
      </c>
      <c r="D599" s="41"/>
      <c r="E599" s="41" t="s">
        <v>132</v>
      </c>
      <c r="F599" s="41">
        <v>8748229</v>
      </c>
      <c r="G599" s="41">
        <v>107233</v>
      </c>
      <c r="H599" s="41">
        <v>1987</v>
      </c>
      <c r="I599" s="41"/>
      <c r="J599" s="42"/>
      <c r="K599" s="41"/>
      <c r="L599" s="41">
        <v>8</v>
      </c>
      <c r="M599" s="43">
        <v>101131</v>
      </c>
    </row>
    <row r="600" spans="2:13" outlineLevel="2">
      <c r="B600" s="40">
        <f t="shared" si="26"/>
        <v>138</v>
      </c>
      <c r="C600" s="41" t="s">
        <v>8</v>
      </c>
      <c r="D600" s="41"/>
      <c r="E600" s="41" t="s">
        <v>123</v>
      </c>
      <c r="F600" s="41">
        <v>243</v>
      </c>
      <c r="G600" s="41"/>
      <c r="H600" s="41">
        <v>1988</v>
      </c>
      <c r="I600" s="41"/>
      <c r="J600" s="42"/>
      <c r="K600" s="41"/>
      <c r="L600" s="41">
        <v>513</v>
      </c>
      <c r="M600" s="43">
        <v>101110</v>
      </c>
    </row>
    <row r="601" spans="2:13" outlineLevel="2">
      <c r="B601" s="40">
        <f t="shared" si="26"/>
        <v>139</v>
      </c>
      <c r="C601" s="41" t="s">
        <v>8</v>
      </c>
      <c r="D601" s="41"/>
      <c r="E601" s="41" t="s">
        <v>136</v>
      </c>
      <c r="F601" s="41">
        <v>166994</v>
      </c>
      <c r="G601" s="41">
        <v>9336</v>
      </c>
      <c r="H601" s="41">
        <v>1988</v>
      </c>
      <c r="I601" s="41"/>
      <c r="J601" s="42"/>
      <c r="K601" s="41"/>
      <c r="L601" s="41">
        <v>2</v>
      </c>
      <c r="M601" s="43">
        <v>101225</v>
      </c>
    </row>
    <row r="602" spans="2:13" outlineLevel="2">
      <c r="B602" s="40">
        <f t="shared" si="26"/>
        <v>140</v>
      </c>
      <c r="C602" s="41" t="s">
        <v>8</v>
      </c>
      <c r="D602" s="41"/>
      <c r="E602" s="41" t="s">
        <v>151</v>
      </c>
      <c r="F602" s="41">
        <v>2448</v>
      </c>
      <c r="G602" s="41">
        <v>99629</v>
      </c>
      <c r="H602" s="41">
        <v>1988</v>
      </c>
      <c r="I602" s="41"/>
      <c r="J602" s="42"/>
      <c r="K602" s="41"/>
      <c r="L602" s="41">
        <v>7</v>
      </c>
      <c r="M602" s="43">
        <v>101212</v>
      </c>
    </row>
    <row r="603" spans="2:13" outlineLevel="2">
      <c r="B603" s="40">
        <f t="shared" si="26"/>
        <v>141</v>
      </c>
      <c r="C603" s="41" t="s">
        <v>8</v>
      </c>
      <c r="D603" s="41"/>
      <c r="E603" s="41" t="s">
        <v>136</v>
      </c>
      <c r="F603" s="41">
        <v>167003</v>
      </c>
      <c r="G603" s="41">
        <v>24216</v>
      </c>
      <c r="H603" s="41">
        <v>1988</v>
      </c>
      <c r="I603" s="41"/>
      <c r="J603" s="42"/>
      <c r="K603" s="41"/>
      <c r="L603" s="41">
        <v>8</v>
      </c>
      <c r="M603" s="43">
        <v>101192</v>
      </c>
    </row>
    <row r="604" spans="2:13" outlineLevel="2">
      <c r="B604" s="40">
        <f t="shared" si="26"/>
        <v>142</v>
      </c>
      <c r="C604" s="41" t="s">
        <v>8</v>
      </c>
      <c r="D604" s="41"/>
      <c r="E604" s="41" t="s">
        <v>136</v>
      </c>
      <c r="F604" s="41">
        <v>8816385</v>
      </c>
      <c r="G604" s="41"/>
      <c r="H604" s="41">
        <v>1988</v>
      </c>
      <c r="I604" s="41"/>
      <c r="J604" s="42"/>
      <c r="K604" s="41"/>
      <c r="L604" s="41">
        <v>40</v>
      </c>
      <c r="M604" s="43">
        <v>101579</v>
      </c>
    </row>
    <row r="605" spans="2:13" outlineLevel="2">
      <c r="B605" s="40">
        <f t="shared" si="26"/>
        <v>143</v>
      </c>
      <c r="C605" s="41" t="s">
        <v>8</v>
      </c>
      <c r="D605" s="41"/>
      <c r="E605" s="41" t="s">
        <v>137</v>
      </c>
      <c r="F605" s="41">
        <v>143263</v>
      </c>
      <c r="G605" s="41"/>
      <c r="H605" s="41">
        <v>1987</v>
      </c>
      <c r="I605" s="41"/>
      <c r="J605" s="42"/>
      <c r="K605" s="41"/>
      <c r="L605" s="41">
        <v>2</v>
      </c>
      <c r="M605" s="43">
        <v>102002</v>
      </c>
    </row>
    <row r="606" spans="2:13" outlineLevel="2">
      <c r="B606" s="40">
        <f t="shared" si="26"/>
        <v>144</v>
      </c>
      <c r="C606" s="41" t="s">
        <v>8</v>
      </c>
      <c r="D606" s="41"/>
      <c r="E606" s="41" t="s">
        <v>152</v>
      </c>
      <c r="F606" s="41">
        <v>231</v>
      </c>
      <c r="G606" s="41">
        <v>108398</v>
      </c>
      <c r="H606" s="41">
        <v>1988</v>
      </c>
      <c r="I606" s="41"/>
      <c r="J606" s="42"/>
      <c r="K606" s="41"/>
      <c r="L606" s="41">
        <v>203</v>
      </c>
      <c r="M606" s="43">
        <v>101997</v>
      </c>
    </row>
    <row r="607" spans="2:13" outlineLevel="2">
      <c r="B607" s="40">
        <f t="shared" si="26"/>
        <v>145</v>
      </c>
      <c r="C607" s="41" t="s">
        <v>8</v>
      </c>
      <c r="D607" s="41"/>
      <c r="E607" s="41" t="s">
        <v>126</v>
      </c>
      <c r="F607" s="41">
        <v>16403</v>
      </c>
      <c r="G607" s="41">
        <v>110</v>
      </c>
      <c r="H607" s="41">
        <v>1988</v>
      </c>
      <c r="I607" s="41"/>
      <c r="J607" s="42"/>
      <c r="K607" s="41"/>
      <c r="L607" s="41">
        <v>10</v>
      </c>
      <c r="M607" s="43">
        <v>101981</v>
      </c>
    </row>
    <row r="608" spans="2:13" outlineLevel="2">
      <c r="B608" s="40">
        <f t="shared" si="26"/>
        <v>146</v>
      </c>
      <c r="C608" s="41" t="s">
        <v>8</v>
      </c>
      <c r="D608" s="41"/>
      <c r="E608" s="41" t="s">
        <v>132</v>
      </c>
      <c r="F608" s="41">
        <v>136207</v>
      </c>
      <c r="G608" s="41"/>
      <c r="H608" s="41">
        <v>1987</v>
      </c>
      <c r="I608" s="41"/>
      <c r="J608" s="42"/>
      <c r="K608" s="41"/>
      <c r="L608" s="41">
        <v>49</v>
      </c>
      <c r="M608" s="43">
        <v>101979</v>
      </c>
    </row>
    <row r="609" spans="2:13" outlineLevel="2">
      <c r="B609" s="40">
        <f t="shared" si="26"/>
        <v>147</v>
      </c>
      <c r="C609" s="41" t="s">
        <v>8</v>
      </c>
      <c r="D609" s="41"/>
      <c r="E609" s="41" t="s">
        <v>132</v>
      </c>
      <c r="F609" s="41">
        <v>8828661</v>
      </c>
      <c r="G609" s="41"/>
      <c r="H609" s="41">
        <v>1988</v>
      </c>
      <c r="I609" s="41"/>
      <c r="J609" s="42"/>
      <c r="K609" s="41"/>
      <c r="L609" s="41">
        <v>46</v>
      </c>
      <c r="M609" s="43">
        <v>101958</v>
      </c>
    </row>
    <row r="610" spans="2:13" outlineLevel="2">
      <c r="B610" s="40">
        <f t="shared" si="26"/>
        <v>148</v>
      </c>
      <c r="C610" s="41" t="s">
        <v>8</v>
      </c>
      <c r="D610" s="41"/>
      <c r="E610" s="41" t="s">
        <v>122</v>
      </c>
      <c r="F610" s="41">
        <v>3355</v>
      </c>
      <c r="G610" s="41"/>
      <c r="H610" s="41">
        <v>1988</v>
      </c>
      <c r="I610" s="41"/>
      <c r="J610" s="42"/>
      <c r="K610" s="41"/>
      <c r="L610" s="41">
        <v>42</v>
      </c>
      <c r="M610" s="43">
        <v>101921</v>
      </c>
    </row>
    <row r="611" spans="2:13" outlineLevel="2">
      <c r="B611" s="40">
        <f t="shared" si="26"/>
        <v>149</v>
      </c>
      <c r="C611" s="41" t="s">
        <v>8</v>
      </c>
      <c r="D611" s="41"/>
      <c r="E611" s="41" t="s">
        <v>126</v>
      </c>
      <c r="F611" s="41">
        <v>34097</v>
      </c>
      <c r="G611" s="41">
        <v>102256</v>
      </c>
      <c r="H611" s="41">
        <v>1988</v>
      </c>
      <c r="I611" s="41"/>
      <c r="J611" s="42"/>
      <c r="K611" s="41"/>
      <c r="L611" s="41">
        <v>22</v>
      </c>
      <c r="M611" s="43">
        <v>102563</v>
      </c>
    </row>
    <row r="612" spans="2:13" outlineLevel="2">
      <c r="B612" s="40">
        <f t="shared" si="26"/>
        <v>150</v>
      </c>
      <c r="C612" s="41" t="s">
        <v>8</v>
      </c>
      <c r="D612" s="41"/>
      <c r="E612" s="41" t="s">
        <v>126</v>
      </c>
      <c r="F612" s="41">
        <v>58699</v>
      </c>
      <c r="G612" s="41">
        <v>10827</v>
      </c>
      <c r="H612" s="41">
        <v>1988</v>
      </c>
      <c r="I612" s="41"/>
      <c r="J612" s="42"/>
      <c r="K612" s="41"/>
      <c r="L612" s="41">
        <v>2</v>
      </c>
      <c r="M612" s="43">
        <v>102559</v>
      </c>
    </row>
    <row r="613" spans="2:13" outlineLevel="2">
      <c r="B613" s="40">
        <f t="shared" si="26"/>
        <v>151</v>
      </c>
      <c r="C613" s="41" t="s">
        <v>8</v>
      </c>
      <c r="D613" s="41"/>
      <c r="E613" s="41" t="s">
        <v>122</v>
      </c>
      <c r="F613" s="41">
        <v>86818</v>
      </c>
      <c r="G613" s="41"/>
      <c r="H613" s="41">
        <v>1988</v>
      </c>
      <c r="I613" s="41"/>
      <c r="J613" s="42"/>
      <c r="K613" s="41"/>
      <c r="L613" s="41">
        <v>22</v>
      </c>
      <c r="M613" s="43">
        <v>102455</v>
      </c>
    </row>
    <row r="614" spans="2:13" outlineLevel="2">
      <c r="B614" s="40">
        <f t="shared" si="26"/>
        <v>152</v>
      </c>
      <c r="C614" s="41" t="s">
        <v>8</v>
      </c>
      <c r="D614" s="41"/>
      <c r="E614" s="41" t="s">
        <v>123</v>
      </c>
      <c r="F614" s="41">
        <v>144617</v>
      </c>
      <c r="G614" s="41">
        <v>17014</v>
      </c>
      <c r="H614" s="41">
        <v>1987</v>
      </c>
      <c r="I614" s="41"/>
      <c r="J614" s="42"/>
      <c r="K614" s="41"/>
      <c r="L614" s="41">
        <v>49</v>
      </c>
      <c r="M614" s="43">
        <v>102686</v>
      </c>
    </row>
    <row r="615" spans="2:13" outlineLevel="2">
      <c r="B615" s="40">
        <f t="shared" si="26"/>
        <v>153</v>
      </c>
      <c r="C615" s="41" t="s">
        <v>8</v>
      </c>
      <c r="D615" s="41"/>
      <c r="E615" s="41" t="s">
        <v>132</v>
      </c>
      <c r="F615" s="41">
        <v>166466</v>
      </c>
      <c r="G615" s="41">
        <v>9778</v>
      </c>
      <c r="H615" s="41">
        <v>1988</v>
      </c>
      <c r="I615" s="41"/>
      <c r="J615" s="42"/>
      <c r="K615" s="41"/>
      <c r="L615" s="41">
        <v>32</v>
      </c>
      <c r="M615" s="43">
        <v>102769</v>
      </c>
    </row>
    <row r="616" spans="2:13" outlineLevel="2">
      <c r="B616" s="40">
        <f t="shared" si="26"/>
        <v>154</v>
      </c>
      <c r="C616" s="41" t="s">
        <v>8</v>
      </c>
      <c r="D616" s="41"/>
      <c r="E616" s="41" t="s">
        <v>126</v>
      </c>
      <c r="F616" s="41">
        <v>8854996</v>
      </c>
      <c r="G616" s="41">
        <v>109165</v>
      </c>
      <c r="H616" s="41">
        <v>1988</v>
      </c>
      <c r="I616" s="41"/>
      <c r="J616" s="42"/>
      <c r="K616" s="41"/>
      <c r="L616" s="41">
        <v>11</v>
      </c>
      <c r="M616" s="43">
        <v>103465</v>
      </c>
    </row>
    <row r="617" spans="2:13" outlineLevel="2">
      <c r="B617" s="40">
        <f t="shared" si="26"/>
        <v>155</v>
      </c>
      <c r="C617" s="41" t="s">
        <v>8</v>
      </c>
      <c r="D617" s="41"/>
      <c r="E617" s="41" t="s">
        <v>136</v>
      </c>
      <c r="F617" s="41">
        <v>354</v>
      </c>
      <c r="G617" s="41"/>
      <c r="H617" s="41">
        <v>1988</v>
      </c>
      <c r="I617" s="41"/>
      <c r="J617" s="42"/>
      <c r="K617" s="41"/>
      <c r="L617" s="41">
        <v>2</v>
      </c>
      <c r="M617" s="43">
        <v>103617</v>
      </c>
    </row>
    <row r="618" spans="2:13" outlineLevel="2">
      <c r="B618" s="40">
        <f t="shared" si="26"/>
        <v>156</v>
      </c>
      <c r="C618" s="41" t="s">
        <v>8</v>
      </c>
      <c r="D618" s="41"/>
      <c r="E618" s="41" t="s">
        <v>136</v>
      </c>
      <c r="F618" s="41">
        <v>166960</v>
      </c>
      <c r="G618" s="41">
        <v>960083</v>
      </c>
      <c r="H618" s="41">
        <v>1988</v>
      </c>
      <c r="I618" s="41"/>
      <c r="J618" s="42"/>
      <c r="K618" s="41"/>
      <c r="L618" s="41">
        <v>14</v>
      </c>
      <c r="M618" s="43">
        <v>104047</v>
      </c>
    </row>
    <row r="619" spans="2:13" outlineLevel="2">
      <c r="B619" s="40">
        <f t="shared" si="26"/>
        <v>157</v>
      </c>
      <c r="C619" s="41" t="s">
        <v>8</v>
      </c>
      <c r="D619" s="41"/>
      <c r="E619" s="41" t="s">
        <v>152</v>
      </c>
      <c r="F619" s="41">
        <v>241</v>
      </c>
      <c r="G619" s="41">
        <v>960356</v>
      </c>
      <c r="H619" s="41">
        <v>1987</v>
      </c>
      <c r="I619" s="41"/>
      <c r="J619" s="42"/>
      <c r="K619" s="41"/>
      <c r="L619" s="41">
        <v>173</v>
      </c>
      <c r="M619" s="43">
        <v>105189</v>
      </c>
    </row>
    <row r="620" spans="2:13" outlineLevel="2">
      <c r="B620" s="40">
        <f t="shared" si="26"/>
        <v>158</v>
      </c>
      <c r="C620" s="41" t="s">
        <v>8</v>
      </c>
      <c r="D620" s="41"/>
      <c r="E620" s="41" t="s">
        <v>139</v>
      </c>
      <c r="F620" s="41">
        <v>166931</v>
      </c>
      <c r="G620" s="41">
        <v>50873</v>
      </c>
      <c r="H620" s="41">
        <v>1988</v>
      </c>
      <c r="I620" s="41"/>
      <c r="J620" s="42"/>
      <c r="K620" s="41"/>
      <c r="L620" s="41">
        <v>7</v>
      </c>
      <c r="M620" s="43">
        <v>105159</v>
      </c>
    </row>
    <row r="621" spans="2:13" outlineLevel="2">
      <c r="B621" s="40">
        <f t="shared" si="26"/>
        <v>159</v>
      </c>
      <c r="C621" s="41" t="s">
        <v>8</v>
      </c>
      <c r="D621" s="41"/>
      <c r="E621" s="41" t="s">
        <v>139</v>
      </c>
      <c r="F621" s="41">
        <v>166917</v>
      </c>
      <c r="G621" s="41">
        <v>10089</v>
      </c>
      <c r="H621" s="41">
        <v>1988</v>
      </c>
      <c r="I621" s="41"/>
      <c r="J621" s="42"/>
      <c r="K621" s="41"/>
      <c r="L621" s="41">
        <v>30</v>
      </c>
      <c r="M621" s="43">
        <v>105341</v>
      </c>
    </row>
    <row r="622" spans="2:13" outlineLevel="2">
      <c r="B622" s="40">
        <f t="shared" si="26"/>
        <v>160</v>
      </c>
      <c r="C622" s="41" t="s">
        <v>8</v>
      </c>
      <c r="D622" s="41"/>
      <c r="E622" s="41" t="s">
        <v>139</v>
      </c>
      <c r="F622" s="41">
        <v>8853309</v>
      </c>
      <c r="G622" s="41"/>
      <c r="H622" s="41">
        <v>1988</v>
      </c>
      <c r="I622" s="41"/>
      <c r="J622" s="42"/>
      <c r="K622" s="41"/>
      <c r="L622" s="41">
        <v>250</v>
      </c>
      <c r="M622" s="43">
        <v>105287</v>
      </c>
    </row>
    <row r="623" spans="2:13" outlineLevel="2">
      <c r="B623" s="40">
        <f t="shared" si="26"/>
        <v>161</v>
      </c>
      <c r="C623" s="41" t="s">
        <v>8</v>
      </c>
      <c r="D623" s="41"/>
      <c r="E623" s="41" t="s">
        <v>153</v>
      </c>
      <c r="F623" s="41">
        <v>8751157</v>
      </c>
      <c r="G623" s="41"/>
      <c r="H623" s="41">
        <v>1987</v>
      </c>
      <c r="I623" s="41"/>
      <c r="J623" s="42"/>
      <c r="K623" s="41"/>
      <c r="L623" s="41">
        <v>4</v>
      </c>
      <c r="M623" s="43">
        <v>105847</v>
      </c>
    </row>
    <row r="624" spans="2:13" outlineLevel="2">
      <c r="B624" s="40">
        <f t="shared" si="26"/>
        <v>162</v>
      </c>
      <c r="C624" s="41" t="s">
        <v>8</v>
      </c>
      <c r="D624" s="41"/>
      <c r="E624" s="41" t="s">
        <v>153</v>
      </c>
      <c r="F624" s="41">
        <v>5227</v>
      </c>
      <c r="G624" s="41">
        <v>8816353</v>
      </c>
      <c r="H624" s="41">
        <v>1988</v>
      </c>
      <c r="I624" s="41"/>
      <c r="J624" s="42"/>
      <c r="K624" s="41"/>
      <c r="L624" s="41">
        <v>5</v>
      </c>
      <c r="M624" s="43">
        <v>105818</v>
      </c>
    </row>
    <row r="625" spans="2:13" outlineLevel="2">
      <c r="B625" s="40">
        <f t="shared" si="26"/>
        <v>163</v>
      </c>
      <c r="C625" s="41" t="s">
        <v>8</v>
      </c>
      <c r="D625" s="41"/>
      <c r="E625" s="41" t="s">
        <v>153</v>
      </c>
      <c r="F625" s="41">
        <v>575</v>
      </c>
      <c r="G625" s="41"/>
      <c r="H625" s="41">
        <v>1988</v>
      </c>
      <c r="I625" s="41"/>
      <c r="J625" s="42"/>
      <c r="K625" s="41"/>
      <c r="L625" s="41">
        <v>107</v>
      </c>
      <c r="M625" s="43">
        <v>106180</v>
      </c>
    </row>
    <row r="626" spans="2:13" outlineLevel="2">
      <c r="B626" s="40">
        <f t="shared" si="26"/>
        <v>164</v>
      </c>
      <c r="C626" s="41" t="s">
        <v>8</v>
      </c>
      <c r="D626" s="41"/>
      <c r="E626" s="41" t="s">
        <v>153</v>
      </c>
      <c r="F626" s="41">
        <v>50438</v>
      </c>
      <c r="G626" s="41"/>
      <c r="H626" s="41">
        <v>1988</v>
      </c>
      <c r="I626" s="41"/>
      <c r="J626" s="42"/>
      <c r="K626" s="41"/>
      <c r="L626" s="41">
        <v>6</v>
      </c>
      <c r="M626" s="43">
        <v>106169</v>
      </c>
    </row>
    <row r="627" spans="2:13" outlineLevel="2">
      <c r="B627" s="40">
        <f t="shared" si="26"/>
        <v>165</v>
      </c>
      <c r="C627" s="41" t="s">
        <v>8</v>
      </c>
      <c r="D627" s="41"/>
      <c r="E627" s="41" t="s">
        <v>153</v>
      </c>
      <c r="F627" s="41">
        <v>552</v>
      </c>
      <c r="G627" s="41"/>
      <c r="H627" s="41">
        <v>1988</v>
      </c>
      <c r="I627" s="41"/>
      <c r="J627" s="42"/>
      <c r="K627" s="41"/>
      <c r="L627" s="41">
        <v>17</v>
      </c>
      <c r="M627" s="43">
        <v>106822</v>
      </c>
    </row>
    <row r="628" spans="2:13" outlineLevel="2">
      <c r="B628" s="40">
        <f t="shared" si="26"/>
        <v>166</v>
      </c>
      <c r="C628" s="41" t="s">
        <v>8</v>
      </c>
      <c r="D628" s="41"/>
      <c r="E628" s="41" t="s">
        <v>153</v>
      </c>
      <c r="F628" s="41">
        <v>456</v>
      </c>
      <c r="G628" s="41">
        <v>960518</v>
      </c>
      <c r="H628" s="41">
        <v>1988</v>
      </c>
      <c r="I628" s="41"/>
      <c r="J628" s="42"/>
      <c r="K628" s="41"/>
      <c r="L628" s="41">
        <v>17</v>
      </c>
      <c r="M628" s="43">
        <v>106815</v>
      </c>
    </row>
    <row r="629" spans="2:13" outlineLevel="2">
      <c r="B629" s="40">
        <f t="shared" si="26"/>
        <v>167</v>
      </c>
      <c r="C629" s="41" t="s">
        <v>8</v>
      </c>
      <c r="D629" s="41"/>
      <c r="E629" s="41" t="s">
        <v>153</v>
      </c>
      <c r="F629" s="41">
        <v>166669</v>
      </c>
      <c r="G629" s="41">
        <v>73342</v>
      </c>
      <c r="H629" s="41">
        <v>1988</v>
      </c>
      <c r="I629" s="41"/>
      <c r="J629" s="42"/>
      <c r="K629" s="41"/>
      <c r="L629" s="41">
        <v>2</v>
      </c>
      <c r="M629" s="43">
        <v>107019</v>
      </c>
    </row>
    <row r="630" spans="2:13" outlineLevel="2">
      <c r="B630" s="40">
        <f t="shared" si="26"/>
        <v>168</v>
      </c>
      <c r="C630" s="41" t="s">
        <v>8</v>
      </c>
      <c r="D630" s="41"/>
      <c r="E630" s="41" t="s">
        <v>153</v>
      </c>
      <c r="F630" s="41">
        <v>87825</v>
      </c>
      <c r="G630" s="41"/>
      <c r="H630" s="41">
        <v>1988</v>
      </c>
      <c r="I630" s="41"/>
      <c r="J630" s="42"/>
      <c r="K630" s="41"/>
      <c r="L630" s="41">
        <v>18</v>
      </c>
      <c r="M630" s="43">
        <v>107264</v>
      </c>
    </row>
    <row r="631" spans="2:13" outlineLevel="2">
      <c r="B631" s="40">
        <f t="shared" si="26"/>
        <v>169</v>
      </c>
      <c r="C631" s="41" t="s">
        <v>8</v>
      </c>
      <c r="D631" s="41"/>
      <c r="E631" s="41" t="s">
        <v>153</v>
      </c>
      <c r="F631" s="41">
        <v>3091</v>
      </c>
      <c r="G631" s="41">
        <v>8714186</v>
      </c>
      <c r="H631" s="41">
        <v>1987</v>
      </c>
      <c r="I631" s="41"/>
      <c r="J631" s="42"/>
      <c r="K631" s="41"/>
      <c r="L631" s="41">
        <v>15</v>
      </c>
      <c r="M631" s="43">
        <v>107219</v>
      </c>
    </row>
    <row r="632" spans="2:13" outlineLevel="2">
      <c r="B632" s="40">
        <f t="shared" si="26"/>
        <v>170</v>
      </c>
      <c r="C632" s="41" t="s">
        <v>8</v>
      </c>
      <c r="D632" s="41"/>
      <c r="E632" s="41" t="s">
        <v>153</v>
      </c>
      <c r="F632" s="41">
        <v>164</v>
      </c>
      <c r="G632" s="41" t="s">
        <v>154</v>
      </c>
      <c r="H632" s="41">
        <v>1987</v>
      </c>
      <c r="I632" s="41"/>
      <c r="J632" s="42"/>
      <c r="K632" s="41"/>
      <c r="L632" s="41">
        <v>4</v>
      </c>
      <c r="M632" s="43">
        <v>107296</v>
      </c>
    </row>
    <row r="633" spans="2:13" outlineLevel="2">
      <c r="B633" s="40">
        <f t="shared" si="26"/>
        <v>171</v>
      </c>
      <c r="C633" s="41" t="s">
        <v>8</v>
      </c>
      <c r="D633" s="41"/>
      <c r="E633" s="41" t="s">
        <v>153</v>
      </c>
      <c r="F633" s="41">
        <v>20835</v>
      </c>
      <c r="G633" s="41" t="s">
        <v>154</v>
      </c>
      <c r="H633" s="41">
        <v>1988</v>
      </c>
      <c r="I633" s="41"/>
      <c r="J633" s="42"/>
      <c r="K633" s="41"/>
      <c r="L633" s="41">
        <v>6</v>
      </c>
      <c r="M633" s="43">
        <v>107291</v>
      </c>
    </row>
    <row r="634" spans="2:13" outlineLevel="2">
      <c r="B634" s="40">
        <f t="shared" si="26"/>
        <v>172</v>
      </c>
      <c r="C634" s="41" t="s">
        <v>8</v>
      </c>
      <c r="D634" s="41"/>
      <c r="E634" s="41" t="s">
        <v>153</v>
      </c>
      <c r="F634" s="41">
        <v>5713</v>
      </c>
      <c r="G634" s="41">
        <v>8750027</v>
      </c>
      <c r="H634" s="41">
        <v>1987</v>
      </c>
      <c r="I634" s="41"/>
      <c r="J634" s="42"/>
      <c r="K634" s="41"/>
      <c r="L634" s="41">
        <v>19</v>
      </c>
      <c r="M634" s="43">
        <v>107283</v>
      </c>
    </row>
    <row r="635" spans="2:13" outlineLevel="2">
      <c r="B635" s="40">
        <f t="shared" si="26"/>
        <v>173</v>
      </c>
      <c r="C635" s="41" t="s">
        <v>8</v>
      </c>
      <c r="D635" s="41"/>
      <c r="E635" s="41" t="s">
        <v>153</v>
      </c>
      <c r="F635" s="41">
        <v>8808244</v>
      </c>
      <c r="G635" s="41" t="s">
        <v>154</v>
      </c>
      <c r="H635" s="41">
        <v>1988</v>
      </c>
      <c r="I635" s="41"/>
      <c r="J635" s="42"/>
      <c r="K635" s="41"/>
      <c r="L635" s="41">
        <v>167</v>
      </c>
      <c r="M635" s="43">
        <v>107281</v>
      </c>
    </row>
    <row r="636" spans="2:13" outlineLevel="2">
      <c r="B636" s="40">
        <f t="shared" si="26"/>
        <v>174</v>
      </c>
      <c r="C636" s="41" t="s">
        <v>8</v>
      </c>
      <c r="D636" s="41"/>
      <c r="E636" s="41" t="s">
        <v>153</v>
      </c>
      <c r="F636" s="41">
        <v>5561</v>
      </c>
      <c r="G636" s="41">
        <v>8747630</v>
      </c>
      <c r="H636" s="41">
        <v>1987</v>
      </c>
      <c r="I636" s="41"/>
      <c r="J636" s="42"/>
      <c r="K636" s="41"/>
      <c r="L636" s="41">
        <v>2</v>
      </c>
      <c r="M636" s="43">
        <v>107500</v>
      </c>
    </row>
    <row r="637" spans="2:13" outlineLevel="2">
      <c r="B637" s="40">
        <f t="shared" si="26"/>
        <v>175</v>
      </c>
      <c r="C637" s="41" t="s">
        <v>8</v>
      </c>
      <c r="D637" s="41"/>
      <c r="E637" s="41" t="s">
        <v>153</v>
      </c>
      <c r="F637" s="41">
        <v>5223</v>
      </c>
      <c r="G637" s="41"/>
      <c r="H637" s="41">
        <v>1988</v>
      </c>
      <c r="I637" s="41"/>
      <c r="J637" s="42"/>
      <c r="K637" s="41"/>
      <c r="L637" s="41">
        <v>14</v>
      </c>
      <c r="M637" s="43">
        <v>108015</v>
      </c>
    </row>
    <row r="638" spans="2:13" outlineLevel="2">
      <c r="B638" s="40">
        <f t="shared" si="26"/>
        <v>176</v>
      </c>
      <c r="C638" s="41" t="s">
        <v>8</v>
      </c>
      <c r="D638" s="41"/>
      <c r="E638" s="41" t="s">
        <v>153</v>
      </c>
      <c r="F638" s="41">
        <v>17591</v>
      </c>
      <c r="G638" s="41"/>
      <c r="H638" s="41">
        <v>1988</v>
      </c>
      <c r="I638" s="41"/>
      <c r="J638" s="42"/>
      <c r="K638" s="41"/>
      <c r="L638" s="41">
        <v>22</v>
      </c>
      <c r="M638" s="43">
        <v>109196</v>
      </c>
    </row>
    <row r="639" spans="2:13" outlineLevel="2">
      <c r="B639" s="40">
        <f t="shared" si="26"/>
        <v>177</v>
      </c>
      <c r="C639" s="41" t="s">
        <v>8</v>
      </c>
      <c r="D639" s="41"/>
      <c r="E639" s="41" t="s">
        <v>153</v>
      </c>
      <c r="F639" s="41">
        <v>310</v>
      </c>
      <c r="G639" s="41"/>
      <c r="H639" s="41">
        <v>1988</v>
      </c>
      <c r="I639" s="41"/>
      <c r="J639" s="42"/>
      <c r="K639" s="41"/>
      <c r="L639" s="41">
        <v>11</v>
      </c>
      <c r="M639" s="43">
        <v>109130</v>
      </c>
    </row>
    <row r="640" spans="2:13" outlineLevel="2">
      <c r="B640" s="40">
        <f t="shared" si="26"/>
        <v>178</v>
      </c>
      <c r="C640" s="41" t="s">
        <v>8</v>
      </c>
      <c r="D640" s="41"/>
      <c r="E640" s="41" t="s">
        <v>153</v>
      </c>
      <c r="F640" s="41">
        <v>5976</v>
      </c>
      <c r="G640" s="41">
        <v>8751873</v>
      </c>
      <c r="H640" s="41">
        <v>1987</v>
      </c>
      <c r="I640" s="41"/>
      <c r="J640" s="42"/>
      <c r="K640" s="41"/>
      <c r="L640" s="41">
        <v>22</v>
      </c>
      <c r="M640" s="43">
        <v>109102</v>
      </c>
    </row>
    <row r="641" spans="2:13" outlineLevel="2">
      <c r="B641" s="40">
        <f t="shared" si="26"/>
        <v>179</v>
      </c>
      <c r="C641" s="41" t="s">
        <v>8</v>
      </c>
      <c r="D641" s="41"/>
      <c r="E641" s="41" t="s">
        <v>153</v>
      </c>
      <c r="F641" s="41">
        <v>166433</v>
      </c>
      <c r="G641" s="41">
        <v>50873</v>
      </c>
      <c r="H641" s="41">
        <v>1988</v>
      </c>
      <c r="I641" s="41"/>
      <c r="J641" s="42"/>
      <c r="K641" s="41"/>
      <c r="L641" s="41">
        <v>15</v>
      </c>
      <c r="M641" s="43">
        <v>109095</v>
      </c>
    </row>
    <row r="642" spans="2:13" outlineLevel="2">
      <c r="B642" s="40">
        <f t="shared" si="26"/>
        <v>180</v>
      </c>
      <c r="C642" s="41" t="s">
        <v>8</v>
      </c>
      <c r="D642" s="41"/>
      <c r="E642" s="41" t="s">
        <v>153</v>
      </c>
      <c r="F642" s="41">
        <v>6083</v>
      </c>
      <c r="G642" s="41">
        <v>8852760</v>
      </c>
      <c r="H642" s="41">
        <v>1988</v>
      </c>
      <c r="I642" s="41"/>
      <c r="J642" s="42"/>
      <c r="K642" s="41"/>
      <c r="L642" s="41">
        <v>11</v>
      </c>
      <c r="M642" s="43">
        <v>109049</v>
      </c>
    </row>
    <row r="643" spans="2:13" outlineLevel="2">
      <c r="B643" s="40">
        <f t="shared" si="26"/>
        <v>181</v>
      </c>
      <c r="C643" s="41" t="s">
        <v>8</v>
      </c>
      <c r="D643" s="41"/>
      <c r="E643" s="41" t="s">
        <v>153</v>
      </c>
      <c r="F643" s="41">
        <v>5577</v>
      </c>
      <c r="G643" s="41">
        <v>8747845</v>
      </c>
      <c r="H643" s="41">
        <v>1987</v>
      </c>
      <c r="I643" s="41"/>
      <c r="J643" s="42"/>
      <c r="K643" s="41"/>
      <c r="L643" s="41">
        <v>14</v>
      </c>
      <c r="M643" s="43">
        <v>109592</v>
      </c>
    </row>
    <row r="644" spans="2:13" outlineLevel="2">
      <c r="B644" s="40">
        <f t="shared" si="26"/>
        <v>182</v>
      </c>
      <c r="C644" s="41" t="s">
        <v>8</v>
      </c>
      <c r="D644" s="41"/>
      <c r="E644" s="41" t="s">
        <v>153</v>
      </c>
      <c r="F644" s="41">
        <v>166796</v>
      </c>
      <c r="G644" s="41">
        <v>9855</v>
      </c>
      <c r="H644" s="41">
        <v>1988</v>
      </c>
      <c r="I644" s="41"/>
      <c r="J644" s="42"/>
      <c r="K644" s="41"/>
      <c r="L644" s="41">
        <v>27</v>
      </c>
      <c r="M644" s="43">
        <v>109588</v>
      </c>
    </row>
    <row r="645" spans="2:13" outlineLevel="2">
      <c r="B645" s="40">
        <f t="shared" si="26"/>
        <v>183</v>
      </c>
      <c r="C645" s="41" t="s">
        <v>8</v>
      </c>
      <c r="D645" s="41"/>
      <c r="E645" s="41" t="s">
        <v>153</v>
      </c>
      <c r="F645" s="41">
        <v>10529</v>
      </c>
      <c r="G645" s="41"/>
      <c r="H645" s="41">
        <v>1984</v>
      </c>
      <c r="I645" s="41"/>
      <c r="J645" s="42"/>
      <c r="K645" s="41"/>
      <c r="L645" s="41">
        <v>22</v>
      </c>
      <c r="M645" s="43">
        <v>109806</v>
      </c>
    </row>
    <row r="646" spans="2:13" outlineLevel="2">
      <c r="B646" s="40">
        <f t="shared" si="26"/>
        <v>184</v>
      </c>
      <c r="C646" s="41" t="s">
        <v>8</v>
      </c>
      <c r="D646" s="41"/>
      <c r="E646" s="41" t="s">
        <v>153</v>
      </c>
      <c r="F646" s="41" t="s">
        <v>155</v>
      </c>
      <c r="G646" s="41">
        <v>108391</v>
      </c>
      <c r="H646" s="41">
        <v>1984</v>
      </c>
      <c r="I646" s="41"/>
      <c r="J646" s="42"/>
      <c r="K646" s="41"/>
      <c r="L646" s="41">
        <v>4</v>
      </c>
      <c r="M646" s="43">
        <v>109797</v>
      </c>
    </row>
    <row r="647" spans="2:13" outlineLevel="2">
      <c r="B647" s="40">
        <f t="shared" si="26"/>
        <v>185</v>
      </c>
      <c r="C647" s="41" t="s">
        <v>8</v>
      </c>
      <c r="D647" s="41"/>
      <c r="E647" s="41" t="s">
        <v>153</v>
      </c>
      <c r="F647" s="41">
        <v>3183</v>
      </c>
      <c r="G647" s="41">
        <v>8226705</v>
      </c>
      <c r="H647" s="41">
        <v>1982</v>
      </c>
      <c r="I647" s="41"/>
      <c r="J647" s="42"/>
      <c r="K647" s="41"/>
      <c r="L647" s="41">
        <v>8</v>
      </c>
      <c r="M647" s="43">
        <v>109788</v>
      </c>
    </row>
    <row r="648" spans="2:13" outlineLevel="2">
      <c r="B648" s="40">
        <f t="shared" si="26"/>
        <v>186</v>
      </c>
      <c r="C648" s="41" t="s">
        <v>8</v>
      </c>
      <c r="D648" s="41"/>
      <c r="E648" s="41" t="s">
        <v>153</v>
      </c>
      <c r="F648" s="41">
        <v>211</v>
      </c>
      <c r="G648" s="41"/>
      <c r="H648" s="41">
        <v>1988</v>
      </c>
      <c r="I648" s="41"/>
      <c r="J648" s="42"/>
      <c r="K648" s="41"/>
      <c r="L648" s="41">
        <v>670</v>
      </c>
      <c r="M648" s="43">
        <v>109766</v>
      </c>
    </row>
    <row r="649" spans="2:13" outlineLevel="2">
      <c r="B649" s="40">
        <f t="shared" si="26"/>
        <v>187</v>
      </c>
      <c r="C649" s="41" t="s">
        <v>8</v>
      </c>
      <c r="D649" s="41"/>
      <c r="E649" s="41" t="s">
        <v>153</v>
      </c>
      <c r="F649" s="41">
        <v>5709</v>
      </c>
      <c r="G649" s="41"/>
      <c r="H649" s="41">
        <v>1979</v>
      </c>
      <c r="I649" s="41"/>
      <c r="J649" s="42"/>
      <c r="K649" s="41"/>
      <c r="L649" s="41">
        <v>18</v>
      </c>
      <c r="M649" s="43">
        <v>112575</v>
      </c>
    </row>
    <row r="650" spans="2:13" outlineLevel="2">
      <c r="B650" s="40">
        <f t="shared" si="26"/>
        <v>188</v>
      </c>
      <c r="C650" s="41" t="s">
        <v>8</v>
      </c>
      <c r="D650" s="41"/>
      <c r="E650" s="41" t="s">
        <v>153</v>
      </c>
      <c r="F650" s="41">
        <v>170575</v>
      </c>
      <c r="G650" s="41"/>
      <c r="H650" s="41">
        <v>1976</v>
      </c>
      <c r="I650" s="41"/>
      <c r="J650" s="42"/>
      <c r="K650" s="41"/>
      <c r="L650" s="41">
        <v>221</v>
      </c>
      <c r="M650" s="43">
        <v>112573</v>
      </c>
    </row>
    <row r="651" spans="2:13" outlineLevel="2">
      <c r="B651" s="40">
        <f t="shared" si="26"/>
        <v>189</v>
      </c>
      <c r="C651" s="41" t="s">
        <v>8</v>
      </c>
      <c r="D651" s="41"/>
      <c r="E651" s="41" t="s">
        <v>153</v>
      </c>
      <c r="F651" s="41">
        <v>8712001</v>
      </c>
      <c r="G651" s="41"/>
      <c r="H651" s="41">
        <v>1981</v>
      </c>
      <c r="I651" s="41"/>
      <c r="J651" s="42"/>
      <c r="K651" s="41"/>
      <c r="L651" s="41">
        <v>2</v>
      </c>
      <c r="M651" s="43">
        <v>6706</v>
      </c>
    </row>
    <row r="652" spans="2:13" outlineLevel="2">
      <c r="B652" s="40">
        <f t="shared" si="26"/>
        <v>190</v>
      </c>
      <c r="C652" s="41" t="s">
        <v>8</v>
      </c>
      <c r="D652" s="41"/>
      <c r="E652" s="41" t="s">
        <v>153</v>
      </c>
      <c r="F652" s="41">
        <v>2448</v>
      </c>
      <c r="G652" s="41">
        <v>8018932</v>
      </c>
      <c r="H652" s="41">
        <v>1980</v>
      </c>
      <c r="I652" s="41"/>
      <c r="J652" s="42"/>
      <c r="K652" s="41"/>
      <c r="L652" s="41">
        <v>2</v>
      </c>
      <c r="M652" s="43">
        <v>7651</v>
      </c>
    </row>
    <row r="653" spans="2:13" outlineLevel="2">
      <c r="B653" s="40">
        <f t="shared" si="26"/>
        <v>191</v>
      </c>
      <c r="C653" s="41" t="s">
        <v>8</v>
      </c>
      <c r="D653" s="41"/>
      <c r="E653" s="41" t="s">
        <v>153</v>
      </c>
      <c r="F653" s="41" t="s">
        <v>156</v>
      </c>
      <c r="G653" s="41"/>
      <c r="H653" s="41">
        <v>32478</v>
      </c>
      <c r="I653" s="41"/>
      <c r="J653" s="42"/>
      <c r="K653" s="41"/>
      <c r="L653" s="41">
        <v>28</v>
      </c>
      <c r="M653" s="43">
        <v>101</v>
      </c>
    </row>
    <row r="654" spans="2:13" outlineLevel="2">
      <c r="B654" s="40">
        <f t="shared" si="26"/>
        <v>192</v>
      </c>
      <c r="C654" s="41" t="s">
        <v>8</v>
      </c>
      <c r="D654" s="41"/>
      <c r="E654" s="41" t="s">
        <v>153</v>
      </c>
      <c r="F654" s="41">
        <v>8747710</v>
      </c>
      <c r="G654" s="41"/>
      <c r="H654" s="41">
        <v>31778</v>
      </c>
      <c r="I654" s="41"/>
      <c r="J654" s="42"/>
      <c r="K654" s="41"/>
      <c r="L654" s="41">
        <v>19</v>
      </c>
      <c r="M654" s="43">
        <v>102</v>
      </c>
    </row>
    <row r="655" spans="2:13" outlineLevel="2">
      <c r="B655" s="40">
        <f t="shared" si="26"/>
        <v>193</v>
      </c>
      <c r="C655" s="41" t="s">
        <v>8</v>
      </c>
      <c r="D655" s="41"/>
      <c r="E655" s="41" t="s">
        <v>153</v>
      </c>
      <c r="F655" s="41">
        <v>8632597</v>
      </c>
      <c r="G655" s="41"/>
      <c r="H655" s="41">
        <v>31868</v>
      </c>
      <c r="I655" s="41"/>
      <c r="J655" s="42"/>
      <c r="K655" s="41"/>
      <c r="L655" s="41">
        <v>12</v>
      </c>
      <c r="M655" s="43">
        <v>107</v>
      </c>
    </row>
    <row r="656" spans="2:13" outlineLevel="2">
      <c r="B656" s="40">
        <f t="shared" si="26"/>
        <v>194</v>
      </c>
      <c r="C656" s="41" t="s">
        <v>8</v>
      </c>
      <c r="D656" s="41"/>
      <c r="E656" s="41" t="s">
        <v>153</v>
      </c>
      <c r="F656" s="41">
        <v>8419308</v>
      </c>
      <c r="G656" s="41"/>
      <c r="H656" s="41">
        <v>31048</v>
      </c>
      <c r="I656" s="41"/>
      <c r="J656" s="42"/>
      <c r="K656" s="41"/>
      <c r="L656" s="41">
        <v>42</v>
      </c>
      <c r="M656" s="43">
        <v>110</v>
      </c>
    </row>
    <row r="657" spans="2:13" outlineLevel="2">
      <c r="B657" s="40">
        <f t="shared" ref="B657:B690" si="27">ROW(A195)</f>
        <v>195</v>
      </c>
      <c r="C657" s="41" t="s">
        <v>8</v>
      </c>
      <c r="D657" s="41"/>
      <c r="E657" s="41" t="s">
        <v>153</v>
      </c>
      <c r="F657" s="41" t="s">
        <v>157</v>
      </c>
      <c r="G657" s="41"/>
      <c r="H657" s="41">
        <v>32112</v>
      </c>
      <c r="I657" s="41"/>
      <c r="J657" s="42"/>
      <c r="K657" s="41"/>
      <c r="L657" s="41">
        <v>8</v>
      </c>
      <c r="M657" s="43">
        <v>117</v>
      </c>
    </row>
    <row r="658" spans="2:13" outlineLevel="2">
      <c r="B658" s="40">
        <f t="shared" si="27"/>
        <v>196</v>
      </c>
      <c r="C658" s="41" t="s">
        <v>8</v>
      </c>
      <c r="D658" s="41"/>
      <c r="E658" s="41" t="s">
        <v>153</v>
      </c>
      <c r="F658" s="41">
        <v>166408</v>
      </c>
      <c r="G658" s="41"/>
      <c r="H658" s="41" t="s">
        <v>158</v>
      </c>
      <c r="I658" s="41"/>
      <c r="J658" s="42"/>
      <c r="K658" s="41"/>
      <c r="L658" s="41">
        <v>0</v>
      </c>
      <c r="M658" s="43">
        <v>118</v>
      </c>
    </row>
    <row r="659" spans="2:13" outlineLevel="2">
      <c r="B659" s="40">
        <f t="shared" si="27"/>
        <v>197</v>
      </c>
      <c r="C659" s="41" t="s">
        <v>8</v>
      </c>
      <c r="D659" s="41"/>
      <c r="E659" s="41" t="s">
        <v>153</v>
      </c>
      <c r="F659" s="41">
        <v>11960</v>
      </c>
      <c r="G659" s="41"/>
      <c r="H659" s="41" t="s">
        <v>159</v>
      </c>
      <c r="I659" s="41"/>
      <c r="J659" s="42"/>
      <c r="K659" s="41"/>
      <c r="L659" s="41">
        <v>26</v>
      </c>
      <c r="M659" s="43">
        <v>120</v>
      </c>
    </row>
    <row r="660" spans="2:13" outlineLevel="2">
      <c r="B660" s="40">
        <f t="shared" si="27"/>
        <v>198</v>
      </c>
      <c r="C660" s="41" t="s">
        <v>8</v>
      </c>
      <c r="D660" s="41"/>
      <c r="E660" s="41" t="s">
        <v>153</v>
      </c>
      <c r="F660" s="41">
        <v>12002</v>
      </c>
      <c r="G660" s="41"/>
      <c r="H660" s="41" t="s">
        <v>159</v>
      </c>
      <c r="I660" s="41"/>
      <c r="J660" s="42"/>
      <c r="K660" s="41"/>
      <c r="L660" s="41">
        <v>27</v>
      </c>
      <c r="M660" s="43">
        <v>121</v>
      </c>
    </row>
    <row r="661" spans="2:13" outlineLevel="2">
      <c r="B661" s="40">
        <f t="shared" si="27"/>
        <v>199</v>
      </c>
      <c r="C661" s="41" t="s">
        <v>8</v>
      </c>
      <c r="D661" s="41"/>
      <c r="E661" s="41" t="s">
        <v>153</v>
      </c>
      <c r="F661" s="41">
        <v>3111</v>
      </c>
      <c r="G661" s="41"/>
      <c r="H661" s="41" t="s">
        <v>160</v>
      </c>
      <c r="I661" s="41"/>
      <c r="J661" s="42"/>
      <c r="K661" s="41"/>
      <c r="L661" s="41">
        <v>28</v>
      </c>
      <c r="M661" s="43">
        <v>132</v>
      </c>
    </row>
    <row r="662" spans="2:13" outlineLevel="2">
      <c r="B662" s="40">
        <f t="shared" si="27"/>
        <v>200</v>
      </c>
      <c r="C662" s="41" t="s">
        <v>8</v>
      </c>
      <c r="D662" s="41"/>
      <c r="E662" s="41" t="s">
        <v>153</v>
      </c>
      <c r="F662" s="41">
        <v>8713795</v>
      </c>
      <c r="G662" s="41"/>
      <c r="H662" s="41" t="s">
        <v>160</v>
      </c>
      <c r="I662" s="41"/>
      <c r="J662" s="42"/>
      <c r="K662" s="41"/>
      <c r="L662" s="41">
        <v>25</v>
      </c>
      <c r="M662" s="43">
        <v>136</v>
      </c>
    </row>
    <row r="663" spans="2:13" outlineLevel="2">
      <c r="B663" s="40">
        <f t="shared" si="27"/>
        <v>201</v>
      </c>
      <c r="C663" s="41" t="s">
        <v>8</v>
      </c>
      <c r="D663" s="41"/>
      <c r="E663" s="41" t="s">
        <v>153</v>
      </c>
      <c r="F663" s="41">
        <v>8434488</v>
      </c>
      <c r="G663" s="41"/>
      <c r="H663" s="41" t="s">
        <v>161</v>
      </c>
      <c r="I663" s="41"/>
      <c r="J663" s="42"/>
      <c r="K663" s="41"/>
      <c r="L663" s="41">
        <v>10</v>
      </c>
      <c r="M663" s="43">
        <v>138</v>
      </c>
    </row>
    <row r="664" spans="2:13" outlineLevel="2">
      <c r="B664" s="40">
        <f t="shared" si="27"/>
        <v>202</v>
      </c>
      <c r="C664" s="41" t="s">
        <v>8</v>
      </c>
      <c r="D664" s="41"/>
      <c r="E664" s="41" t="s">
        <v>153</v>
      </c>
      <c r="F664" s="41">
        <v>8747277</v>
      </c>
      <c r="G664" s="41"/>
      <c r="H664" s="41">
        <v>31778</v>
      </c>
      <c r="I664" s="41"/>
      <c r="J664" s="42"/>
      <c r="K664" s="41"/>
      <c r="L664" s="41">
        <v>22</v>
      </c>
      <c r="M664" s="43">
        <v>141</v>
      </c>
    </row>
    <row r="665" spans="2:13" outlineLevel="2">
      <c r="B665" s="40">
        <f t="shared" si="27"/>
        <v>203</v>
      </c>
      <c r="C665" s="41" t="s">
        <v>8</v>
      </c>
      <c r="D665" s="41"/>
      <c r="E665" s="41" t="s">
        <v>153</v>
      </c>
      <c r="F665" s="41">
        <v>10573</v>
      </c>
      <c r="G665" s="41"/>
      <c r="H665" s="41">
        <v>29799</v>
      </c>
      <c r="I665" s="41"/>
      <c r="J665" s="42"/>
      <c r="K665" s="41"/>
      <c r="L665" s="41">
        <v>18</v>
      </c>
      <c r="M665" s="43">
        <v>147</v>
      </c>
    </row>
    <row r="666" spans="2:13" outlineLevel="2">
      <c r="B666" s="40">
        <f t="shared" si="27"/>
        <v>204</v>
      </c>
      <c r="C666" s="41" t="s">
        <v>8</v>
      </c>
      <c r="D666" s="41"/>
      <c r="E666" s="41" t="s">
        <v>153</v>
      </c>
      <c r="F666" s="41">
        <v>39386</v>
      </c>
      <c r="G666" s="41"/>
      <c r="H666" s="41">
        <v>30713</v>
      </c>
      <c r="I666" s="41"/>
      <c r="J666" s="42"/>
      <c r="K666" s="41"/>
      <c r="L666" s="41">
        <v>18</v>
      </c>
      <c r="M666" s="43">
        <v>162</v>
      </c>
    </row>
    <row r="667" spans="2:13" outlineLevel="2">
      <c r="B667" s="40">
        <f t="shared" si="27"/>
        <v>205</v>
      </c>
      <c r="C667" s="41" t="s">
        <v>8</v>
      </c>
      <c r="D667" s="41"/>
      <c r="E667" s="41" t="s">
        <v>153</v>
      </c>
      <c r="F667" s="41">
        <v>821532</v>
      </c>
      <c r="G667" s="41"/>
      <c r="H667" s="41" t="s">
        <v>162</v>
      </c>
      <c r="I667" s="41"/>
      <c r="J667" s="42"/>
      <c r="K667" s="41"/>
      <c r="L667" s="41">
        <v>14</v>
      </c>
      <c r="M667" s="43">
        <v>163</v>
      </c>
    </row>
    <row r="668" spans="2:13" outlineLevel="2">
      <c r="B668" s="40">
        <f t="shared" si="27"/>
        <v>206</v>
      </c>
      <c r="C668" s="41" t="s">
        <v>8</v>
      </c>
      <c r="D668" s="41"/>
      <c r="E668" s="41" t="s">
        <v>153</v>
      </c>
      <c r="F668" s="41">
        <v>868510</v>
      </c>
      <c r="G668" s="41"/>
      <c r="H668" s="41" t="s">
        <v>159</v>
      </c>
      <c r="I668" s="41"/>
      <c r="J668" s="42"/>
      <c r="K668" s="41"/>
      <c r="L668" s="41">
        <v>12</v>
      </c>
      <c r="M668" s="43">
        <v>165</v>
      </c>
    </row>
    <row r="669" spans="2:13" outlineLevel="2">
      <c r="B669" s="40">
        <f t="shared" si="27"/>
        <v>207</v>
      </c>
      <c r="C669" s="41" t="s">
        <v>8</v>
      </c>
      <c r="D669" s="41"/>
      <c r="E669" s="41" t="s">
        <v>153</v>
      </c>
      <c r="F669" s="41">
        <v>56584</v>
      </c>
      <c r="G669" s="41"/>
      <c r="H669" s="41">
        <v>28369</v>
      </c>
      <c r="I669" s="41"/>
      <c r="J669" s="42"/>
      <c r="K669" s="41"/>
      <c r="L669" s="41">
        <v>10</v>
      </c>
      <c r="M669" s="43">
        <v>818</v>
      </c>
    </row>
    <row r="670" spans="2:13" outlineLevel="2">
      <c r="B670" s="40">
        <f t="shared" si="27"/>
        <v>208</v>
      </c>
      <c r="C670" s="41" t="s">
        <v>8</v>
      </c>
      <c r="D670" s="41"/>
      <c r="E670" s="41" t="s">
        <v>153</v>
      </c>
      <c r="F670" s="41">
        <v>8751463</v>
      </c>
      <c r="G670" s="41"/>
      <c r="H670" s="41">
        <v>32082</v>
      </c>
      <c r="I670" s="41"/>
      <c r="J670" s="42"/>
      <c r="K670" s="41"/>
      <c r="L670" s="41">
        <v>12</v>
      </c>
      <c r="M670" s="43">
        <v>824</v>
      </c>
    </row>
    <row r="671" spans="2:13" outlineLevel="2">
      <c r="B671" s="40">
        <f t="shared" si="27"/>
        <v>209</v>
      </c>
      <c r="C671" s="41" t="s">
        <v>8</v>
      </c>
      <c r="D671" s="41"/>
      <c r="E671" s="41" t="s">
        <v>153</v>
      </c>
      <c r="F671" s="41" t="s">
        <v>163</v>
      </c>
      <c r="G671" s="41"/>
      <c r="H671" s="41">
        <v>31778</v>
      </c>
      <c r="I671" s="41"/>
      <c r="J671" s="42"/>
      <c r="K671" s="41"/>
      <c r="L671" s="41">
        <v>18</v>
      </c>
      <c r="M671" s="43">
        <v>833</v>
      </c>
    </row>
    <row r="672" spans="2:13" outlineLevel="2">
      <c r="B672" s="40">
        <f t="shared" si="27"/>
        <v>210</v>
      </c>
      <c r="C672" s="41" t="s">
        <v>8</v>
      </c>
      <c r="D672" s="41"/>
      <c r="E672" s="41" t="s">
        <v>153</v>
      </c>
      <c r="F672" s="41">
        <v>5996</v>
      </c>
      <c r="G672" s="41"/>
      <c r="H672" s="41">
        <v>32325</v>
      </c>
      <c r="I672" s="41"/>
      <c r="J672" s="42"/>
      <c r="K672" s="41"/>
      <c r="L672" s="41">
        <v>16</v>
      </c>
      <c r="M672" s="43">
        <v>843</v>
      </c>
    </row>
    <row r="673" spans="2:13" outlineLevel="2">
      <c r="B673" s="40">
        <f t="shared" si="27"/>
        <v>211</v>
      </c>
      <c r="C673" s="41" t="s">
        <v>8</v>
      </c>
      <c r="D673" s="41"/>
      <c r="E673" s="41" t="s">
        <v>153</v>
      </c>
      <c r="F673" s="41">
        <v>45862</v>
      </c>
      <c r="G673" s="41"/>
      <c r="H673" s="41">
        <v>28430</v>
      </c>
      <c r="I673" s="41"/>
      <c r="J673" s="42"/>
      <c r="K673" s="41"/>
      <c r="L673" s="41">
        <v>10</v>
      </c>
      <c r="M673" s="43">
        <v>859</v>
      </c>
    </row>
    <row r="674" spans="2:13" outlineLevel="2">
      <c r="B674" s="40">
        <f t="shared" si="27"/>
        <v>212</v>
      </c>
      <c r="C674" s="41" t="s">
        <v>8</v>
      </c>
      <c r="D674" s="41"/>
      <c r="E674" s="41" t="s">
        <v>153</v>
      </c>
      <c r="F674" s="41">
        <v>8854734</v>
      </c>
      <c r="G674" s="41"/>
      <c r="H674" s="41">
        <v>32356</v>
      </c>
      <c r="I674" s="41"/>
      <c r="J674" s="42"/>
      <c r="K674" s="41"/>
      <c r="L674" s="41">
        <v>12</v>
      </c>
      <c r="M674" s="43">
        <v>866</v>
      </c>
    </row>
    <row r="675" spans="2:13" outlineLevel="2">
      <c r="B675" s="40">
        <f t="shared" si="27"/>
        <v>213</v>
      </c>
      <c r="C675" s="41" t="s">
        <v>8</v>
      </c>
      <c r="D675" s="41"/>
      <c r="E675" s="41" t="s">
        <v>153</v>
      </c>
      <c r="F675" s="41">
        <v>8852493</v>
      </c>
      <c r="G675" s="41"/>
      <c r="H675" s="41">
        <v>32143</v>
      </c>
      <c r="I675" s="41"/>
      <c r="J675" s="42"/>
      <c r="K675" s="41"/>
      <c r="L675" s="41">
        <v>6</v>
      </c>
      <c r="M675" s="43">
        <v>872</v>
      </c>
    </row>
    <row r="676" spans="2:13" outlineLevel="2">
      <c r="B676" s="40">
        <f t="shared" si="27"/>
        <v>214</v>
      </c>
      <c r="C676" s="41" t="s">
        <v>8</v>
      </c>
      <c r="D676" s="41"/>
      <c r="E676" s="41" t="s">
        <v>153</v>
      </c>
      <c r="F676" s="41">
        <v>31405</v>
      </c>
      <c r="G676" s="41"/>
      <c r="H676" s="41">
        <v>30713</v>
      </c>
      <c r="I676" s="41"/>
      <c r="J676" s="42"/>
      <c r="K676" s="41"/>
      <c r="L676" s="41">
        <v>29</v>
      </c>
      <c r="M676" s="43">
        <v>903</v>
      </c>
    </row>
    <row r="677" spans="2:13" outlineLevel="2">
      <c r="B677" s="40">
        <f t="shared" si="27"/>
        <v>215</v>
      </c>
      <c r="C677" s="41" t="s">
        <v>8</v>
      </c>
      <c r="D677" s="41"/>
      <c r="E677" s="41" t="s">
        <v>153</v>
      </c>
      <c r="F677" s="41">
        <v>8816303</v>
      </c>
      <c r="G677" s="41"/>
      <c r="H677" s="41">
        <v>32203</v>
      </c>
      <c r="I677" s="41"/>
      <c r="J677" s="42"/>
      <c r="K677" s="41"/>
      <c r="L677" s="41">
        <v>30</v>
      </c>
      <c r="M677" s="43">
        <v>1410</v>
      </c>
    </row>
    <row r="678" spans="2:13" outlineLevel="2">
      <c r="B678" s="40">
        <f t="shared" si="27"/>
        <v>216</v>
      </c>
      <c r="C678" s="41" t="s">
        <v>8</v>
      </c>
      <c r="D678" s="41"/>
      <c r="E678" s="41" t="s">
        <v>153</v>
      </c>
      <c r="F678" s="41">
        <v>8749690</v>
      </c>
      <c r="G678" s="41"/>
      <c r="H678" s="41">
        <v>31898</v>
      </c>
      <c r="I678" s="41"/>
      <c r="J678" s="42"/>
      <c r="K678" s="41"/>
      <c r="L678" s="41">
        <v>12</v>
      </c>
      <c r="M678" s="43">
        <v>1419</v>
      </c>
    </row>
    <row r="679" spans="2:13" outlineLevel="2">
      <c r="B679" s="40">
        <f t="shared" si="27"/>
        <v>217</v>
      </c>
      <c r="C679" s="41" t="s">
        <v>8</v>
      </c>
      <c r="D679" s="41"/>
      <c r="E679" s="41" t="s">
        <v>153</v>
      </c>
      <c r="F679" s="41">
        <v>8435683</v>
      </c>
      <c r="G679" s="41"/>
      <c r="H679" s="41">
        <v>30926</v>
      </c>
      <c r="I679" s="41"/>
      <c r="J679" s="42"/>
      <c r="K679" s="41"/>
      <c r="L679" s="41">
        <v>10</v>
      </c>
      <c r="M679" s="43">
        <v>1424</v>
      </c>
    </row>
    <row r="680" spans="2:13" outlineLevel="2">
      <c r="B680" s="40">
        <f t="shared" si="27"/>
        <v>218</v>
      </c>
      <c r="C680" s="41" t="s">
        <v>8</v>
      </c>
      <c r="D680" s="41"/>
      <c r="E680" s="41" t="s">
        <v>153</v>
      </c>
      <c r="F680" s="41">
        <v>1952</v>
      </c>
      <c r="G680" s="41"/>
      <c r="H680" s="41">
        <v>31747</v>
      </c>
      <c r="I680" s="41"/>
      <c r="J680" s="42"/>
      <c r="K680" s="41"/>
      <c r="L680" s="41">
        <v>10</v>
      </c>
      <c r="M680" s="43">
        <v>1427</v>
      </c>
    </row>
    <row r="681" spans="2:13" outlineLevel="2">
      <c r="B681" s="40">
        <f t="shared" si="27"/>
        <v>219</v>
      </c>
      <c r="C681" s="41" t="s">
        <v>8</v>
      </c>
      <c r="D681" s="41"/>
      <c r="E681" s="41" t="s">
        <v>153</v>
      </c>
      <c r="F681" s="41">
        <v>394</v>
      </c>
      <c r="G681" s="41"/>
      <c r="H681" s="41">
        <v>32325</v>
      </c>
      <c r="I681" s="41"/>
      <c r="J681" s="42"/>
      <c r="K681" s="41"/>
      <c r="L681" s="41">
        <v>18</v>
      </c>
      <c r="M681" s="43">
        <v>1442</v>
      </c>
    </row>
    <row r="682" spans="2:13" outlineLevel="2">
      <c r="B682" s="40">
        <f t="shared" si="27"/>
        <v>220</v>
      </c>
      <c r="C682" s="41" t="s">
        <v>8</v>
      </c>
      <c r="D682" s="41"/>
      <c r="E682" s="41" t="s">
        <v>153</v>
      </c>
      <c r="F682" s="41">
        <v>45730</v>
      </c>
      <c r="G682" s="41"/>
      <c r="H682" s="41">
        <v>31199</v>
      </c>
      <c r="I682" s="41"/>
      <c r="J682" s="42"/>
      <c r="K682" s="41"/>
      <c r="L682" s="41">
        <v>8</v>
      </c>
      <c r="M682" s="43">
        <v>1444</v>
      </c>
    </row>
    <row r="683" spans="2:13" outlineLevel="2">
      <c r="B683" s="40">
        <f t="shared" si="27"/>
        <v>221</v>
      </c>
      <c r="C683" s="41" t="s">
        <v>8</v>
      </c>
      <c r="D683" s="41"/>
      <c r="E683" s="41" t="s">
        <v>153</v>
      </c>
      <c r="F683" s="41">
        <v>32190</v>
      </c>
      <c r="G683" s="41"/>
      <c r="H683" s="41">
        <v>29587</v>
      </c>
      <c r="I683" s="41"/>
      <c r="J683" s="42"/>
      <c r="K683" s="41"/>
      <c r="L683" s="41">
        <v>20</v>
      </c>
      <c r="M683" s="43">
        <v>2146</v>
      </c>
    </row>
    <row r="684" spans="2:13" outlineLevel="2">
      <c r="B684" s="40">
        <f t="shared" si="27"/>
        <v>222</v>
      </c>
      <c r="C684" s="41" t="s">
        <v>8</v>
      </c>
      <c r="D684" s="41"/>
      <c r="E684" s="41" t="s">
        <v>153</v>
      </c>
      <c r="F684" s="41">
        <v>33965</v>
      </c>
      <c r="G684" s="41"/>
      <c r="H684" s="41">
        <v>30560</v>
      </c>
      <c r="I684" s="41"/>
      <c r="J684" s="42"/>
      <c r="K684" s="41"/>
      <c r="L684" s="41">
        <v>48</v>
      </c>
      <c r="M684" s="43">
        <v>2161</v>
      </c>
    </row>
    <row r="685" spans="2:13" outlineLevel="2">
      <c r="B685" s="40">
        <f t="shared" si="27"/>
        <v>223</v>
      </c>
      <c r="C685" s="41" t="s">
        <v>8</v>
      </c>
      <c r="D685" s="41"/>
      <c r="E685" s="41" t="s">
        <v>153</v>
      </c>
      <c r="F685" s="41">
        <v>8958759</v>
      </c>
      <c r="G685" s="41"/>
      <c r="H685" s="41">
        <v>30590</v>
      </c>
      <c r="I685" s="41"/>
      <c r="J685" s="42"/>
      <c r="K685" s="41"/>
      <c r="L685" s="41">
        <v>33</v>
      </c>
      <c r="M685" s="43">
        <v>2213</v>
      </c>
    </row>
    <row r="686" spans="2:13" outlineLevel="2">
      <c r="B686" s="40">
        <f t="shared" si="27"/>
        <v>224</v>
      </c>
      <c r="C686" s="41" t="s">
        <v>8</v>
      </c>
      <c r="D686" s="41"/>
      <c r="E686" s="41" t="s">
        <v>153</v>
      </c>
      <c r="F686" s="41" t="s">
        <v>164</v>
      </c>
      <c r="G686" s="41"/>
      <c r="H686" s="41">
        <v>31079</v>
      </c>
      <c r="I686" s="41"/>
      <c r="J686" s="42"/>
      <c r="K686" s="41"/>
      <c r="L686" s="41">
        <v>47</v>
      </c>
      <c r="M686" s="43">
        <v>2218</v>
      </c>
    </row>
    <row r="687" spans="2:13" outlineLevel="2">
      <c r="B687" s="40">
        <f t="shared" si="27"/>
        <v>225</v>
      </c>
      <c r="C687" s="41" t="s">
        <v>8</v>
      </c>
      <c r="D687" s="41"/>
      <c r="E687" s="41" t="s">
        <v>153</v>
      </c>
      <c r="F687" s="41">
        <v>11369</v>
      </c>
      <c r="G687" s="41"/>
      <c r="H687" s="41">
        <v>30103</v>
      </c>
      <c r="I687" s="41"/>
      <c r="J687" s="42"/>
      <c r="K687" s="41"/>
      <c r="L687" s="41">
        <v>0</v>
      </c>
      <c r="M687" s="43">
        <v>2474</v>
      </c>
    </row>
    <row r="688" spans="2:13" outlineLevel="2">
      <c r="B688" s="40">
        <f t="shared" si="27"/>
        <v>226</v>
      </c>
      <c r="C688" s="41" t="s">
        <v>8</v>
      </c>
      <c r="D688" s="41"/>
      <c r="E688" s="41" t="s">
        <v>153</v>
      </c>
      <c r="F688" s="41">
        <v>8751496</v>
      </c>
      <c r="G688" s="41"/>
      <c r="H688" s="41">
        <v>32112</v>
      </c>
      <c r="I688" s="41"/>
      <c r="J688" s="42"/>
      <c r="K688" s="41"/>
      <c r="L688" s="41">
        <v>32</v>
      </c>
      <c r="M688" s="43">
        <v>2477</v>
      </c>
    </row>
    <row r="689" spans="2:13" outlineLevel="2">
      <c r="B689" s="40">
        <f t="shared" si="27"/>
        <v>227</v>
      </c>
      <c r="C689" s="41" t="s">
        <v>8</v>
      </c>
      <c r="D689" s="41"/>
      <c r="E689" s="41" t="s">
        <v>153</v>
      </c>
      <c r="F689" s="41">
        <v>8817139</v>
      </c>
      <c r="G689" s="41"/>
      <c r="H689" s="41">
        <v>32356</v>
      </c>
      <c r="I689" s="41"/>
      <c r="J689" s="42"/>
      <c r="K689" s="41"/>
      <c r="L689" s="41">
        <v>31</v>
      </c>
      <c r="M689" s="43">
        <v>2496</v>
      </c>
    </row>
    <row r="690" spans="2:13" outlineLevel="2">
      <c r="B690" s="40">
        <f t="shared" si="27"/>
        <v>228</v>
      </c>
      <c r="C690" s="41" t="s">
        <v>8</v>
      </c>
      <c r="D690" s="41"/>
      <c r="E690" s="41" t="s">
        <v>153</v>
      </c>
      <c r="F690" s="41">
        <v>51959</v>
      </c>
      <c r="G690" s="41"/>
      <c r="H690" s="41">
        <v>31382</v>
      </c>
      <c r="I690" s="41"/>
      <c r="J690" s="42"/>
      <c r="K690" s="41"/>
      <c r="L690" s="41">
        <v>35</v>
      </c>
      <c r="M690" s="43">
        <v>2627</v>
      </c>
    </row>
    <row r="691" spans="2:13" outlineLevel="1">
      <c r="B691" s="59" t="s">
        <v>165</v>
      </c>
      <c r="C691" s="41">
        <f>SUBTOTAL(3,C463:C690)</f>
        <v>228</v>
      </c>
      <c r="D691" s="41"/>
      <c r="E691" s="41">
        <f>COUNTA(E463:E690)</f>
        <v>228</v>
      </c>
      <c r="F691" s="47">
        <f>(E691/C691)</f>
        <v>1</v>
      </c>
      <c r="G691" s="47"/>
      <c r="H691" s="41"/>
      <c r="I691" s="41"/>
      <c r="J691" s="41"/>
      <c r="K691" s="41"/>
      <c r="L691" s="41"/>
      <c r="M691" s="41"/>
    </row>
    <row r="692" spans="2:13" outlineLevel="2">
      <c r="B692" s="40">
        <f t="shared" ref="B692:B755" si="28">ROW(A229)</f>
        <v>229</v>
      </c>
      <c r="C692" s="41" t="s">
        <v>9</v>
      </c>
      <c r="D692" s="41"/>
      <c r="E692" s="41" t="s">
        <v>166</v>
      </c>
      <c r="F692" s="68">
        <v>1036255015</v>
      </c>
      <c r="G692" s="1">
        <v>66375</v>
      </c>
      <c r="H692" s="1">
        <v>2017</v>
      </c>
      <c r="I692" s="1"/>
      <c r="J692" s="36"/>
      <c r="K692" s="1"/>
      <c r="L692" s="1">
        <v>30</v>
      </c>
      <c r="M692" s="2">
        <v>42039</v>
      </c>
    </row>
    <row r="693" spans="2:13" outlineLevel="2">
      <c r="B693" s="40">
        <f t="shared" si="28"/>
        <v>230</v>
      </c>
      <c r="C693" s="41" t="s">
        <v>9</v>
      </c>
      <c r="D693" s="41"/>
      <c r="E693" s="41" t="s">
        <v>131</v>
      </c>
      <c r="F693" s="68">
        <v>78378</v>
      </c>
      <c r="G693" s="1">
        <v>82643</v>
      </c>
      <c r="H693" s="1">
        <v>2006</v>
      </c>
      <c r="I693" s="1"/>
      <c r="J693" s="36"/>
      <c r="K693" s="1"/>
      <c r="L693" s="1">
        <v>5</v>
      </c>
      <c r="M693" s="2">
        <v>43606</v>
      </c>
    </row>
    <row r="694" spans="2:13" outlineLevel="2">
      <c r="B694" s="40">
        <f t="shared" si="28"/>
        <v>231</v>
      </c>
      <c r="C694" s="41" t="s">
        <v>9</v>
      </c>
      <c r="D694" s="41"/>
      <c r="E694" s="41" t="s">
        <v>128</v>
      </c>
      <c r="F694" s="68">
        <v>1041322184</v>
      </c>
      <c r="G694" s="1">
        <v>69662</v>
      </c>
      <c r="H694" s="1">
        <v>2017</v>
      </c>
      <c r="I694" s="1"/>
      <c r="J694" s="36"/>
      <c r="K694" s="1"/>
      <c r="L694" s="1">
        <v>16</v>
      </c>
      <c r="M694" s="2">
        <v>42040</v>
      </c>
    </row>
    <row r="695" spans="2:13" outlineLevel="2">
      <c r="B695" s="40">
        <f t="shared" si="28"/>
        <v>232</v>
      </c>
      <c r="C695" s="41" t="s">
        <v>9</v>
      </c>
      <c r="D695" s="41"/>
      <c r="E695" s="41" t="s">
        <v>130</v>
      </c>
      <c r="F695" s="68">
        <v>202853</v>
      </c>
      <c r="G695" s="1">
        <v>254591</v>
      </c>
      <c r="H695" s="1">
        <v>2010</v>
      </c>
      <c r="I695" s="1"/>
      <c r="J695" s="36"/>
      <c r="K695" s="1"/>
      <c r="L695" s="1">
        <v>10</v>
      </c>
      <c r="M695" s="2">
        <v>39688</v>
      </c>
    </row>
    <row r="696" spans="2:13" outlineLevel="2">
      <c r="B696" s="40">
        <f t="shared" si="28"/>
        <v>233</v>
      </c>
      <c r="C696" s="41" t="s">
        <v>9</v>
      </c>
      <c r="D696" s="41"/>
      <c r="E696" s="41" t="s">
        <v>127</v>
      </c>
      <c r="F696" s="68">
        <v>662770</v>
      </c>
      <c r="G696" s="1">
        <v>91816</v>
      </c>
      <c r="H696" s="1">
        <v>2006</v>
      </c>
      <c r="I696" s="1"/>
      <c r="J696" s="36"/>
      <c r="K696" s="1"/>
      <c r="L696" s="1">
        <v>5</v>
      </c>
      <c r="M696" s="2">
        <v>36995</v>
      </c>
    </row>
    <row r="697" spans="2:13" outlineLevel="2">
      <c r="B697" s="40">
        <f t="shared" si="28"/>
        <v>234</v>
      </c>
      <c r="C697" s="41" t="s">
        <v>9</v>
      </c>
      <c r="D697" s="41"/>
      <c r="E697" s="41" t="s">
        <v>130</v>
      </c>
      <c r="F697" s="68">
        <v>1093587</v>
      </c>
      <c r="G697" s="1">
        <v>65606</v>
      </c>
      <c r="H697" s="1">
        <v>2017</v>
      </c>
      <c r="I697" s="1"/>
      <c r="J697" s="36"/>
      <c r="K697" s="1"/>
      <c r="L697" s="1">
        <v>26</v>
      </c>
      <c r="M697" s="2">
        <v>45981</v>
      </c>
    </row>
    <row r="698" spans="2:13" outlineLevel="2">
      <c r="B698" s="40">
        <f t="shared" si="28"/>
        <v>235</v>
      </c>
      <c r="C698" s="41" t="s">
        <v>9</v>
      </c>
      <c r="D698" s="41"/>
      <c r="E698" s="41" t="s">
        <v>167</v>
      </c>
      <c r="F698" s="68">
        <v>1171197</v>
      </c>
      <c r="G698" s="1">
        <v>542474</v>
      </c>
      <c r="H698" s="1">
        <v>2018</v>
      </c>
      <c r="I698" s="1"/>
      <c r="J698" s="36"/>
      <c r="K698" s="1"/>
      <c r="L698" s="1">
        <v>22</v>
      </c>
      <c r="M698" s="2">
        <v>45980</v>
      </c>
    </row>
    <row r="699" spans="2:13" outlineLevel="2">
      <c r="B699" s="40">
        <f t="shared" si="28"/>
        <v>236</v>
      </c>
      <c r="C699" s="41" t="s">
        <v>9</v>
      </c>
      <c r="D699" s="41"/>
      <c r="E699" s="41" t="s">
        <v>129</v>
      </c>
      <c r="F699" s="68">
        <v>422802</v>
      </c>
      <c r="G699" s="1">
        <v>85927</v>
      </c>
      <c r="H699" s="1">
        <v>2006</v>
      </c>
      <c r="I699" s="1"/>
      <c r="J699" s="36"/>
      <c r="K699" s="1"/>
      <c r="L699" s="1">
        <v>18</v>
      </c>
      <c r="M699" s="2">
        <v>45979</v>
      </c>
    </row>
    <row r="700" spans="2:13" outlineLevel="2">
      <c r="B700" s="40">
        <f t="shared" si="28"/>
        <v>237</v>
      </c>
      <c r="C700" s="41" t="s">
        <v>9</v>
      </c>
      <c r="D700" s="41"/>
      <c r="E700" s="41" t="s">
        <v>167</v>
      </c>
      <c r="F700" s="68">
        <v>921977</v>
      </c>
      <c r="G700" s="1">
        <v>53711</v>
      </c>
      <c r="H700" s="1">
        <v>2014</v>
      </c>
      <c r="I700" s="1"/>
      <c r="J700" s="36"/>
      <c r="K700" s="1"/>
      <c r="L700" s="1">
        <v>20</v>
      </c>
      <c r="M700" s="2">
        <v>45978</v>
      </c>
    </row>
    <row r="701" spans="2:13" outlineLevel="2">
      <c r="B701" s="40">
        <f t="shared" si="28"/>
        <v>238</v>
      </c>
      <c r="C701" s="41" t="s">
        <v>9</v>
      </c>
      <c r="D701" s="41"/>
      <c r="E701" s="41" t="s">
        <v>130</v>
      </c>
      <c r="F701" s="68">
        <v>395763</v>
      </c>
      <c r="G701" s="1">
        <v>563705</v>
      </c>
      <c r="H701" s="1">
        <v>2020</v>
      </c>
      <c r="I701" s="1"/>
      <c r="J701" s="36"/>
      <c r="K701" s="1"/>
      <c r="L701" s="1">
        <v>29</v>
      </c>
      <c r="M701" s="2">
        <v>45977</v>
      </c>
    </row>
    <row r="702" spans="2:13" outlineLevel="2">
      <c r="B702" s="40">
        <f t="shared" si="28"/>
        <v>239</v>
      </c>
      <c r="C702" s="41" t="s">
        <v>9</v>
      </c>
      <c r="D702" s="41"/>
      <c r="E702" s="41" t="s">
        <v>131</v>
      </c>
      <c r="F702" s="68">
        <v>1036534986</v>
      </c>
      <c r="G702" s="1">
        <v>67345</v>
      </c>
      <c r="H702" s="1">
        <v>2017</v>
      </c>
      <c r="I702" s="1"/>
      <c r="J702" s="36"/>
      <c r="K702" s="1"/>
      <c r="L702" s="1">
        <v>26</v>
      </c>
      <c r="M702" s="2">
        <v>45976</v>
      </c>
    </row>
    <row r="703" spans="2:13" outlineLevel="2">
      <c r="B703" s="40">
        <f t="shared" si="28"/>
        <v>240</v>
      </c>
      <c r="C703" s="41" t="s">
        <v>9</v>
      </c>
      <c r="D703" s="41"/>
      <c r="E703" s="41" t="s">
        <v>167</v>
      </c>
      <c r="F703" s="68">
        <v>305515</v>
      </c>
      <c r="G703" s="1">
        <v>77636</v>
      </c>
      <c r="H703" s="1">
        <v>2014</v>
      </c>
      <c r="I703" s="1"/>
      <c r="J703" s="36"/>
      <c r="K703" s="1"/>
      <c r="L703" s="1">
        <v>17</v>
      </c>
      <c r="M703" s="2">
        <v>57478</v>
      </c>
    </row>
    <row r="704" spans="2:13" outlineLevel="2">
      <c r="B704" s="40">
        <f t="shared" si="28"/>
        <v>241</v>
      </c>
      <c r="C704" s="41" t="s">
        <v>9</v>
      </c>
      <c r="D704" s="41"/>
      <c r="E704" s="41" t="s">
        <v>129</v>
      </c>
      <c r="F704" s="68">
        <v>1144742</v>
      </c>
      <c r="G704" s="1">
        <v>110750</v>
      </c>
      <c r="H704" s="1">
        <v>2018</v>
      </c>
      <c r="I704" s="1"/>
      <c r="J704" s="36"/>
      <c r="K704" s="1"/>
      <c r="L704" s="1">
        <v>28</v>
      </c>
      <c r="M704" s="2">
        <v>57483</v>
      </c>
    </row>
    <row r="705" spans="2:13" outlineLevel="2">
      <c r="B705" s="40">
        <f t="shared" si="28"/>
        <v>242</v>
      </c>
      <c r="C705" s="41" t="s">
        <v>9</v>
      </c>
      <c r="D705" s="41"/>
      <c r="E705" s="41" t="s">
        <v>167</v>
      </c>
      <c r="F705" s="68">
        <v>181404</v>
      </c>
      <c r="G705" s="1">
        <v>96416</v>
      </c>
      <c r="H705" s="1">
        <v>2009</v>
      </c>
      <c r="I705" s="1"/>
      <c r="J705" s="36"/>
      <c r="K705" s="1"/>
      <c r="L705" s="1">
        <v>15</v>
      </c>
      <c r="M705" s="2">
        <v>61895</v>
      </c>
    </row>
    <row r="706" spans="2:13" outlineLevel="2">
      <c r="B706" s="40">
        <f t="shared" si="28"/>
        <v>243</v>
      </c>
      <c r="C706" s="41" t="s">
        <v>9</v>
      </c>
      <c r="D706" s="41"/>
      <c r="E706" s="41" t="s">
        <v>127</v>
      </c>
      <c r="F706" s="68">
        <v>1343</v>
      </c>
      <c r="G706" s="1">
        <v>1</v>
      </c>
      <c r="H706" s="1">
        <v>1996</v>
      </c>
      <c r="I706" s="1"/>
      <c r="J706" s="36"/>
      <c r="K706" s="1"/>
      <c r="L706" s="1">
        <v>19</v>
      </c>
      <c r="M706" s="2">
        <v>61931</v>
      </c>
    </row>
    <row r="707" spans="2:13" outlineLevel="2">
      <c r="B707" s="40">
        <f t="shared" si="28"/>
        <v>244</v>
      </c>
      <c r="C707" s="41" t="s">
        <v>9</v>
      </c>
      <c r="D707" s="41"/>
      <c r="E707" s="41" t="s">
        <v>130</v>
      </c>
      <c r="F707" s="68">
        <v>1019646</v>
      </c>
      <c r="G707" s="1">
        <v>59410</v>
      </c>
      <c r="H707" s="1">
        <v>2016</v>
      </c>
      <c r="I707" s="1"/>
      <c r="J707" s="36"/>
      <c r="K707" s="1"/>
      <c r="L707" s="1">
        <v>38</v>
      </c>
      <c r="M707" s="2">
        <v>62950</v>
      </c>
    </row>
    <row r="708" spans="2:13" outlineLevel="2">
      <c r="B708" s="40">
        <f t="shared" si="28"/>
        <v>245</v>
      </c>
      <c r="C708" s="41" t="s">
        <v>9</v>
      </c>
      <c r="D708" s="41"/>
      <c r="E708" s="41" t="s">
        <v>167</v>
      </c>
      <c r="F708" s="68">
        <v>1171204</v>
      </c>
      <c r="G708" s="1">
        <v>542418</v>
      </c>
      <c r="H708" s="1">
        <v>2017</v>
      </c>
      <c r="I708" s="1"/>
      <c r="J708" s="36"/>
      <c r="K708" s="1"/>
      <c r="L708" s="1">
        <v>35</v>
      </c>
      <c r="M708" s="2">
        <v>62951</v>
      </c>
    </row>
    <row r="709" spans="2:13" outlineLevel="2">
      <c r="B709" s="40">
        <f t="shared" si="28"/>
        <v>246</v>
      </c>
      <c r="C709" s="41" t="s">
        <v>9</v>
      </c>
      <c r="D709" s="41"/>
      <c r="E709" s="41" t="s">
        <v>167</v>
      </c>
      <c r="F709" s="68">
        <v>1079781</v>
      </c>
      <c r="G709" s="1">
        <v>64005</v>
      </c>
      <c r="H709" s="1">
        <v>2006</v>
      </c>
      <c r="I709" s="1"/>
      <c r="J709" s="36"/>
      <c r="K709" s="1"/>
      <c r="L709" s="1">
        <v>34</v>
      </c>
      <c r="M709" s="2">
        <v>62952</v>
      </c>
    </row>
    <row r="710" spans="2:13" outlineLevel="2">
      <c r="B710" s="40">
        <f t="shared" si="28"/>
        <v>247</v>
      </c>
      <c r="C710" s="41" t="s">
        <v>9</v>
      </c>
      <c r="D710" s="41"/>
      <c r="E710" s="41" t="s">
        <v>168</v>
      </c>
      <c r="F710" s="68">
        <v>7106</v>
      </c>
      <c r="G710" s="1">
        <v>3287</v>
      </c>
      <c r="H710" s="1">
        <v>2003</v>
      </c>
      <c r="I710" s="1"/>
      <c r="J710" s="36"/>
      <c r="K710" s="1"/>
      <c r="L710" s="1">
        <v>44</v>
      </c>
      <c r="M710" s="2">
        <v>65646</v>
      </c>
    </row>
    <row r="711" spans="2:13" outlineLevel="2">
      <c r="B711" s="40">
        <f t="shared" si="28"/>
        <v>248</v>
      </c>
      <c r="C711" s="41" t="s">
        <v>9</v>
      </c>
      <c r="D711" s="41"/>
      <c r="E711" s="41" t="s">
        <v>135</v>
      </c>
      <c r="F711" s="68">
        <v>66519</v>
      </c>
      <c r="G711" s="1">
        <v>66519</v>
      </c>
      <c r="H711" s="1">
        <v>1990</v>
      </c>
      <c r="I711" s="1"/>
      <c r="J711" s="36"/>
      <c r="K711" s="1"/>
      <c r="L711" s="1">
        <v>33</v>
      </c>
      <c r="M711" s="2">
        <v>65663</v>
      </c>
    </row>
    <row r="712" spans="2:13" outlineLevel="2">
      <c r="B712" s="40">
        <f t="shared" si="28"/>
        <v>249</v>
      </c>
      <c r="C712" s="41" t="s">
        <v>9</v>
      </c>
      <c r="D712" s="41"/>
      <c r="E712" s="41" t="s">
        <v>126</v>
      </c>
      <c r="F712" s="68">
        <v>1044099218</v>
      </c>
      <c r="G712" s="1">
        <v>111836</v>
      </c>
      <c r="H712" s="1">
        <v>2018</v>
      </c>
      <c r="I712" s="1"/>
      <c r="J712" s="36"/>
      <c r="K712" s="1"/>
      <c r="L712" s="1">
        <v>4</v>
      </c>
      <c r="M712" s="2">
        <v>66951</v>
      </c>
    </row>
    <row r="713" spans="2:13" outlineLevel="2">
      <c r="B713" s="40">
        <f t="shared" si="28"/>
        <v>250</v>
      </c>
      <c r="C713" s="41" t="s">
        <v>9</v>
      </c>
      <c r="D713" s="41"/>
      <c r="E713" s="41" t="s">
        <v>150</v>
      </c>
      <c r="F713" s="68">
        <v>1086137</v>
      </c>
      <c r="G713" s="1">
        <v>66994</v>
      </c>
      <c r="H713" s="1">
        <v>2017</v>
      </c>
      <c r="I713" s="1"/>
      <c r="J713" s="36"/>
      <c r="K713" s="1"/>
      <c r="L713" s="1">
        <v>4</v>
      </c>
      <c r="M713" s="2">
        <v>66950</v>
      </c>
    </row>
    <row r="714" spans="2:13" outlineLevel="2">
      <c r="B714" s="40">
        <f t="shared" si="28"/>
        <v>251</v>
      </c>
      <c r="C714" s="41" t="s">
        <v>9</v>
      </c>
      <c r="D714" s="41"/>
      <c r="E714" s="41" t="s">
        <v>150</v>
      </c>
      <c r="F714" s="68">
        <v>199131</v>
      </c>
      <c r="G714" s="1">
        <v>75893</v>
      </c>
      <c r="H714" s="1">
        <v>2009</v>
      </c>
      <c r="I714" s="1"/>
      <c r="J714" s="36"/>
      <c r="K714" s="1"/>
      <c r="L714" s="1">
        <v>4</v>
      </c>
      <c r="M714" s="2">
        <v>66949</v>
      </c>
    </row>
    <row r="715" spans="2:13" outlineLevel="2">
      <c r="B715" s="40">
        <f t="shared" si="28"/>
        <v>252</v>
      </c>
      <c r="C715" s="41" t="s">
        <v>9</v>
      </c>
      <c r="D715" s="41"/>
      <c r="E715" s="41" t="s">
        <v>133</v>
      </c>
      <c r="F715" s="68">
        <v>1080296</v>
      </c>
      <c r="G715" s="1">
        <v>64380</v>
      </c>
      <c r="H715" s="1">
        <v>2017</v>
      </c>
      <c r="I715" s="1"/>
      <c r="J715" s="36"/>
      <c r="K715" s="1"/>
      <c r="L715" s="1">
        <v>4</v>
      </c>
      <c r="M715" s="2">
        <v>66948</v>
      </c>
    </row>
    <row r="716" spans="2:13" outlineLevel="2">
      <c r="B716" s="40">
        <f t="shared" si="28"/>
        <v>253</v>
      </c>
      <c r="C716" s="41" t="s">
        <v>9</v>
      </c>
      <c r="D716" s="41"/>
      <c r="E716" s="41" t="s">
        <v>135</v>
      </c>
      <c r="F716" s="68">
        <v>1203079</v>
      </c>
      <c r="G716" s="1">
        <v>544288</v>
      </c>
      <c r="H716" s="1">
        <v>2019</v>
      </c>
      <c r="I716" s="1"/>
      <c r="J716" s="36"/>
      <c r="K716" s="1"/>
      <c r="L716" s="1">
        <v>3</v>
      </c>
      <c r="M716" s="2">
        <v>67144</v>
      </c>
    </row>
    <row r="717" spans="2:13" outlineLevel="2">
      <c r="B717" s="40">
        <f t="shared" si="28"/>
        <v>254</v>
      </c>
      <c r="C717" s="41" t="s">
        <v>9</v>
      </c>
      <c r="D717" s="41"/>
      <c r="E717" s="41" t="s">
        <v>150</v>
      </c>
      <c r="F717" s="68">
        <v>128547</v>
      </c>
      <c r="G717" s="1">
        <v>30345</v>
      </c>
      <c r="H717" s="1">
        <v>2010</v>
      </c>
      <c r="I717" s="1"/>
      <c r="J717" s="36"/>
      <c r="K717" s="1"/>
      <c r="L717" s="1">
        <v>22</v>
      </c>
      <c r="M717" s="2">
        <v>67149</v>
      </c>
    </row>
    <row r="718" spans="2:13" outlineLevel="2">
      <c r="B718" s="40">
        <f t="shared" si="28"/>
        <v>255</v>
      </c>
      <c r="C718" s="41" t="s">
        <v>9</v>
      </c>
      <c r="D718" s="41"/>
      <c r="E718" s="41" t="s">
        <v>135</v>
      </c>
      <c r="F718" s="68">
        <v>168316</v>
      </c>
      <c r="G718" s="1">
        <v>73891</v>
      </c>
      <c r="H718" s="1">
        <v>2000</v>
      </c>
      <c r="I718" s="1"/>
      <c r="J718" s="36"/>
      <c r="K718" s="1"/>
      <c r="L718" s="1">
        <v>31</v>
      </c>
      <c r="M718" s="2">
        <v>67128</v>
      </c>
    </row>
    <row r="719" spans="2:13" outlineLevel="2">
      <c r="B719" s="40">
        <f t="shared" si="28"/>
        <v>256</v>
      </c>
      <c r="C719" s="41" t="s">
        <v>9</v>
      </c>
      <c r="D719" s="41"/>
      <c r="E719" s="41" t="s">
        <v>136</v>
      </c>
      <c r="F719" s="68">
        <v>138827</v>
      </c>
      <c r="G719" s="1">
        <v>24333</v>
      </c>
      <c r="H719" s="1">
        <v>1998</v>
      </c>
      <c r="I719" s="1"/>
      <c r="J719" s="36"/>
      <c r="K719" s="1"/>
      <c r="L719" s="1">
        <v>2</v>
      </c>
      <c r="M719" s="2">
        <v>67121</v>
      </c>
    </row>
    <row r="720" spans="2:13" outlineLevel="2">
      <c r="B720" s="40">
        <f t="shared" si="28"/>
        <v>257</v>
      </c>
      <c r="C720" s="41" t="s">
        <v>9</v>
      </c>
      <c r="D720" s="41"/>
      <c r="E720" s="41" t="s">
        <v>123</v>
      </c>
      <c r="F720" s="68">
        <v>2084</v>
      </c>
      <c r="G720" s="1">
        <v>1</v>
      </c>
      <c r="H720" s="1">
        <v>1991</v>
      </c>
      <c r="I720" s="1"/>
      <c r="J720" s="36"/>
      <c r="K720" s="1"/>
      <c r="L720" s="1">
        <v>22</v>
      </c>
      <c r="M720" s="2">
        <v>67257</v>
      </c>
    </row>
    <row r="721" spans="2:13" outlineLevel="2">
      <c r="B721" s="40">
        <f t="shared" si="28"/>
        <v>258</v>
      </c>
      <c r="C721" s="41" t="s">
        <v>9</v>
      </c>
      <c r="D721" s="41"/>
      <c r="E721" s="41" t="s">
        <v>150</v>
      </c>
      <c r="F721" s="68">
        <v>1228146</v>
      </c>
      <c r="G721" s="1">
        <v>548920</v>
      </c>
      <c r="H721" s="1">
        <v>2020</v>
      </c>
      <c r="I721" s="1"/>
      <c r="J721" s="36"/>
      <c r="K721" s="1"/>
      <c r="L721" s="1">
        <v>2</v>
      </c>
      <c r="M721" s="2">
        <v>67157</v>
      </c>
    </row>
    <row r="722" spans="2:13" outlineLevel="2">
      <c r="B722" s="40">
        <f t="shared" si="28"/>
        <v>259</v>
      </c>
      <c r="C722" s="41" t="s">
        <v>9</v>
      </c>
      <c r="D722" s="41"/>
      <c r="E722" s="41" t="s">
        <v>139</v>
      </c>
      <c r="F722" s="68">
        <v>763921</v>
      </c>
      <c r="G722" s="1">
        <v>38238</v>
      </c>
      <c r="H722" s="1">
        <v>2011</v>
      </c>
      <c r="I722" s="1"/>
      <c r="J722" s="36"/>
      <c r="K722" s="1"/>
      <c r="L722" s="1">
        <v>2</v>
      </c>
      <c r="M722" s="2">
        <v>67132</v>
      </c>
    </row>
    <row r="723" spans="2:13" outlineLevel="2">
      <c r="B723" s="40">
        <f t="shared" si="28"/>
        <v>260</v>
      </c>
      <c r="C723" s="41" t="s">
        <v>9</v>
      </c>
      <c r="D723" s="41"/>
      <c r="E723" s="41" t="s">
        <v>150</v>
      </c>
      <c r="F723" s="68">
        <v>369141</v>
      </c>
      <c r="G723" s="1">
        <v>60079</v>
      </c>
      <c r="H723" s="1">
        <v>2015</v>
      </c>
      <c r="I723" s="1"/>
      <c r="J723" s="36"/>
      <c r="K723" s="1"/>
      <c r="L723" s="1">
        <v>2</v>
      </c>
      <c r="M723" s="2">
        <v>68783</v>
      </c>
    </row>
    <row r="724" spans="2:13" outlineLevel="2">
      <c r="B724" s="40">
        <f t="shared" si="28"/>
        <v>261</v>
      </c>
      <c r="C724" s="41" t="s">
        <v>9</v>
      </c>
      <c r="D724" s="41"/>
      <c r="E724" s="41" t="s">
        <v>135</v>
      </c>
      <c r="F724" s="68">
        <v>1258028</v>
      </c>
      <c r="G724" s="1">
        <v>546895</v>
      </c>
      <c r="H724" s="1">
        <v>2019</v>
      </c>
      <c r="I724" s="1"/>
      <c r="J724" s="36"/>
      <c r="K724" s="1"/>
      <c r="L724" s="1">
        <v>3</v>
      </c>
      <c r="M724" s="2">
        <v>68774</v>
      </c>
    </row>
    <row r="725" spans="2:13" outlineLevel="2">
      <c r="B725" s="40">
        <f t="shared" si="28"/>
        <v>262</v>
      </c>
      <c r="C725" s="41" t="s">
        <v>9</v>
      </c>
      <c r="D725" s="41"/>
      <c r="E725" s="41" t="s">
        <v>123</v>
      </c>
      <c r="F725" s="68">
        <v>103122</v>
      </c>
      <c r="G725" s="1">
        <v>130452</v>
      </c>
      <c r="H725" s="1">
        <v>1999</v>
      </c>
      <c r="I725" s="1"/>
      <c r="J725" s="36"/>
      <c r="K725" s="1"/>
      <c r="L725" s="1">
        <v>19</v>
      </c>
      <c r="M725" s="2">
        <v>69276</v>
      </c>
    </row>
    <row r="726" spans="2:13" outlineLevel="2">
      <c r="B726" s="40">
        <f t="shared" si="28"/>
        <v>263</v>
      </c>
      <c r="C726" s="41" t="s">
        <v>9</v>
      </c>
      <c r="D726" s="41"/>
      <c r="E726" s="41" t="s">
        <v>135</v>
      </c>
      <c r="F726" s="68">
        <v>1278042</v>
      </c>
      <c r="G726" s="1">
        <v>566670</v>
      </c>
      <c r="H726" s="1">
        <v>2021</v>
      </c>
      <c r="I726" s="1"/>
      <c r="J726" s="36"/>
      <c r="K726" s="1"/>
      <c r="L726" s="1">
        <v>15</v>
      </c>
      <c r="M726" s="2">
        <v>69266</v>
      </c>
    </row>
    <row r="727" spans="2:13" outlineLevel="2">
      <c r="B727" s="40">
        <f t="shared" si="28"/>
        <v>264</v>
      </c>
      <c r="C727" s="41" t="s">
        <v>9</v>
      </c>
      <c r="D727" s="41"/>
      <c r="E727" s="41" t="s">
        <v>143</v>
      </c>
      <c r="F727" s="68">
        <v>3512</v>
      </c>
      <c r="G727" s="1">
        <v>112472</v>
      </c>
      <c r="H727" s="1">
        <v>1992</v>
      </c>
      <c r="I727" s="1"/>
      <c r="J727" s="36"/>
      <c r="K727" s="1"/>
      <c r="L727" s="1">
        <v>12</v>
      </c>
      <c r="M727" s="2">
        <v>69119</v>
      </c>
    </row>
    <row r="728" spans="2:13" outlineLevel="2">
      <c r="B728" s="40">
        <f t="shared" si="28"/>
        <v>265</v>
      </c>
      <c r="C728" s="41" t="s">
        <v>9</v>
      </c>
      <c r="D728" s="41"/>
      <c r="E728" s="41" t="s">
        <v>132</v>
      </c>
      <c r="F728" s="68">
        <v>1227</v>
      </c>
      <c r="G728" s="1">
        <v>1</v>
      </c>
      <c r="H728" s="1">
        <v>1990</v>
      </c>
      <c r="I728" s="1"/>
      <c r="J728" s="36"/>
      <c r="K728" s="1"/>
      <c r="L728" s="1">
        <v>7</v>
      </c>
      <c r="M728" s="2">
        <v>69105</v>
      </c>
    </row>
    <row r="729" spans="2:13" outlineLevel="2">
      <c r="B729" s="40">
        <f t="shared" si="28"/>
        <v>266</v>
      </c>
      <c r="C729" s="41" t="s">
        <v>9</v>
      </c>
      <c r="D729" s="41"/>
      <c r="E729" s="41" t="s">
        <v>136</v>
      </c>
      <c r="F729" s="68">
        <v>88787</v>
      </c>
      <c r="G729" s="1">
        <v>1310</v>
      </c>
      <c r="H729" s="1">
        <v>1997</v>
      </c>
      <c r="I729" s="1"/>
      <c r="J729" s="36"/>
      <c r="K729" s="1"/>
      <c r="L729" s="1">
        <v>23</v>
      </c>
      <c r="M729" s="2">
        <v>69038</v>
      </c>
    </row>
    <row r="730" spans="2:13" outlineLevel="2">
      <c r="B730" s="40">
        <f t="shared" si="28"/>
        <v>267</v>
      </c>
      <c r="C730" s="41" t="s">
        <v>9</v>
      </c>
      <c r="D730" s="41"/>
      <c r="E730" s="41" t="s">
        <v>126</v>
      </c>
      <c r="F730" s="68">
        <v>140340</v>
      </c>
      <c r="G730" s="1">
        <v>1</v>
      </c>
      <c r="H730" s="1">
        <v>2018</v>
      </c>
      <c r="I730" s="1"/>
      <c r="J730" s="36"/>
      <c r="K730" s="1"/>
      <c r="L730" s="1">
        <v>20</v>
      </c>
      <c r="M730" s="2">
        <v>69028</v>
      </c>
    </row>
    <row r="731" spans="2:13" outlineLevel="2">
      <c r="B731" s="40">
        <f t="shared" si="28"/>
        <v>268</v>
      </c>
      <c r="C731" s="41" t="s">
        <v>9</v>
      </c>
      <c r="D731" s="41"/>
      <c r="E731" s="41" t="s">
        <v>169</v>
      </c>
      <c r="F731" s="68">
        <v>4774</v>
      </c>
      <c r="G731" s="1">
        <v>1</v>
      </c>
      <c r="H731" s="1">
        <v>1998</v>
      </c>
      <c r="I731" s="1"/>
      <c r="J731" s="36"/>
      <c r="K731" s="1"/>
      <c r="L731" s="1">
        <v>4</v>
      </c>
      <c r="M731" s="2">
        <v>69455</v>
      </c>
    </row>
    <row r="732" spans="2:13" outlineLevel="2">
      <c r="B732" s="40">
        <f t="shared" si="28"/>
        <v>269</v>
      </c>
      <c r="C732" s="41" t="s">
        <v>9</v>
      </c>
      <c r="D732" s="41"/>
      <c r="E732" s="41" t="s">
        <v>126</v>
      </c>
      <c r="F732" s="68">
        <v>6109</v>
      </c>
      <c r="G732" s="1">
        <v>1</v>
      </c>
      <c r="H732" s="1">
        <v>1994</v>
      </c>
      <c r="I732" s="1"/>
      <c r="J732" s="36"/>
      <c r="K732" s="1"/>
      <c r="L732" s="1">
        <v>2</v>
      </c>
      <c r="M732" s="2">
        <v>69454</v>
      </c>
    </row>
    <row r="733" spans="2:13" outlineLevel="2">
      <c r="B733" s="40">
        <f t="shared" si="28"/>
        <v>270</v>
      </c>
      <c r="C733" s="41" t="s">
        <v>9</v>
      </c>
      <c r="D733" s="41"/>
      <c r="E733" s="41" t="s">
        <v>150</v>
      </c>
      <c r="F733" s="68">
        <v>858599</v>
      </c>
      <c r="G733" s="1">
        <v>44266</v>
      </c>
      <c r="H733" s="1">
        <v>2019</v>
      </c>
      <c r="I733" s="1"/>
      <c r="J733" s="36"/>
      <c r="K733" s="1"/>
      <c r="L733" s="1">
        <v>29</v>
      </c>
      <c r="M733" s="2">
        <v>45119</v>
      </c>
    </row>
    <row r="734" spans="2:13" outlineLevel="2">
      <c r="B734" s="40">
        <f t="shared" si="28"/>
        <v>271</v>
      </c>
      <c r="C734" s="41" t="s">
        <v>9</v>
      </c>
      <c r="D734" s="41"/>
      <c r="E734" s="41" t="s">
        <v>150</v>
      </c>
      <c r="F734" s="68">
        <v>1121151</v>
      </c>
      <c r="G734" s="1">
        <v>100544</v>
      </c>
      <c r="H734" s="1">
        <v>2017</v>
      </c>
      <c r="I734" s="1"/>
      <c r="J734" s="36"/>
      <c r="K734" s="1"/>
      <c r="L734" s="1">
        <v>15</v>
      </c>
      <c r="M734" s="2">
        <v>45119</v>
      </c>
    </row>
    <row r="735" spans="2:13" outlineLevel="2">
      <c r="B735" s="40">
        <f t="shared" si="28"/>
        <v>272</v>
      </c>
      <c r="C735" s="41" t="s">
        <v>9</v>
      </c>
      <c r="D735" s="41"/>
      <c r="E735" s="41" t="s">
        <v>135</v>
      </c>
      <c r="F735" s="68">
        <v>1117276</v>
      </c>
      <c r="G735" s="1">
        <v>69854</v>
      </c>
      <c r="H735" s="1">
        <v>2017</v>
      </c>
      <c r="I735" s="1"/>
      <c r="J735" s="36"/>
      <c r="K735" s="1"/>
      <c r="L735" s="1">
        <v>3</v>
      </c>
      <c r="M735" s="2">
        <v>45119</v>
      </c>
    </row>
    <row r="736" spans="2:13" outlineLevel="2">
      <c r="B736" s="40">
        <f t="shared" si="28"/>
        <v>273</v>
      </c>
      <c r="C736" s="41" t="s">
        <v>9</v>
      </c>
      <c r="D736" s="41"/>
      <c r="E736" s="41" t="s">
        <v>150</v>
      </c>
      <c r="F736" s="68">
        <v>905300</v>
      </c>
      <c r="G736" s="1">
        <v>52661</v>
      </c>
      <c r="H736" s="1">
        <v>2014</v>
      </c>
      <c r="I736" s="1"/>
      <c r="J736" s="36"/>
      <c r="K736" s="1"/>
      <c r="L736" s="1">
        <v>21</v>
      </c>
      <c r="M736" s="2">
        <v>45119</v>
      </c>
    </row>
    <row r="737" spans="2:13" outlineLevel="2">
      <c r="B737" s="40">
        <f t="shared" si="28"/>
        <v>274</v>
      </c>
      <c r="C737" s="41" t="s">
        <v>9</v>
      </c>
      <c r="D737" s="41"/>
      <c r="E737" s="41" t="s">
        <v>132</v>
      </c>
      <c r="F737" s="68">
        <v>123456</v>
      </c>
      <c r="G737" s="1">
        <v>30019</v>
      </c>
      <c r="H737" s="1">
        <v>1994</v>
      </c>
      <c r="I737" s="1"/>
      <c r="J737" s="36"/>
      <c r="K737" s="1"/>
      <c r="L737" s="1">
        <v>2</v>
      </c>
      <c r="M737" s="2">
        <v>45127</v>
      </c>
    </row>
    <row r="738" spans="2:13" outlineLevel="2">
      <c r="B738" s="40">
        <f t="shared" si="28"/>
        <v>275</v>
      </c>
      <c r="C738" s="41" t="s">
        <v>9</v>
      </c>
      <c r="D738" s="41"/>
      <c r="E738" s="41" t="s">
        <v>122</v>
      </c>
      <c r="F738" s="68">
        <v>1210</v>
      </c>
      <c r="G738" s="1">
        <v>3158</v>
      </c>
      <c r="H738" s="1">
        <v>1990</v>
      </c>
      <c r="I738" s="1"/>
      <c r="J738" s="36"/>
      <c r="K738" s="1"/>
      <c r="L738" s="1">
        <v>32</v>
      </c>
      <c r="M738" s="2">
        <v>45127</v>
      </c>
    </row>
    <row r="739" spans="2:13" outlineLevel="2">
      <c r="B739" s="40">
        <f t="shared" si="28"/>
        <v>276</v>
      </c>
      <c r="C739" s="41" t="s">
        <v>9</v>
      </c>
      <c r="D739" s="41"/>
      <c r="E739" s="41" t="s">
        <v>123</v>
      </c>
      <c r="F739" s="68">
        <v>5750</v>
      </c>
      <c r="G739" s="1">
        <v>1</v>
      </c>
      <c r="H739" s="1">
        <v>1999</v>
      </c>
      <c r="I739" s="1"/>
      <c r="J739" s="36"/>
      <c r="K739" s="1"/>
      <c r="L739" s="1">
        <v>10</v>
      </c>
      <c r="M739" s="2">
        <v>45127</v>
      </c>
    </row>
    <row r="740" spans="2:13" outlineLevel="2">
      <c r="B740" s="40">
        <f t="shared" si="28"/>
        <v>277</v>
      </c>
      <c r="C740" s="41" t="s">
        <v>9</v>
      </c>
      <c r="D740" s="41"/>
      <c r="E740" s="41" t="s">
        <v>132</v>
      </c>
      <c r="F740" s="68">
        <v>184198</v>
      </c>
      <c r="G740" s="1">
        <v>26552</v>
      </c>
      <c r="H740" s="1">
        <v>2001</v>
      </c>
      <c r="I740" s="1"/>
      <c r="J740" s="36"/>
      <c r="K740" s="1"/>
      <c r="L740" s="1">
        <v>8</v>
      </c>
      <c r="M740" s="2">
        <v>45132</v>
      </c>
    </row>
    <row r="741" spans="2:13" outlineLevel="2">
      <c r="B741" s="40">
        <f t="shared" si="28"/>
        <v>278</v>
      </c>
      <c r="C741" s="41" t="s">
        <v>9</v>
      </c>
      <c r="D741" s="41"/>
      <c r="E741" s="41" t="s">
        <v>122</v>
      </c>
      <c r="F741" s="68">
        <v>213592</v>
      </c>
      <c r="G741" s="1">
        <v>35219</v>
      </c>
      <c r="H741" s="1">
        <v>2011</v>
      </c>
      <c r="I741" s="1"/>
      <c r="J741" s="36"/>
      <c r="K741" s="1"/>
      <c r="L741" s="1">
        <v>12</v>
      </c>
      <c r="M741" s="2">
        <v>45141</v>
      </c>
    </row>
    <row r="742" spans="2:13" outlineLevel="2">
      <c r="B742" s="40">
        <f t="shared" si="28"/>
        <v>279</v>
      </c>
      <c r="C742" s="41" t="s">
        <v>9</v>
      </c>
      <c r="D742" s="41"/>
      <c r="E742" s="41" t="s">
        <v>135</v>
      </c>
      <c r="F742" s="68">
        <v>111</v>
      </c>
      <c r="G742" s="1">
        <v>314407</v>
      </c>
      <c r="H742" s="1">
        <v>2000</v>
      </c>
      <c r="I742" s="1"/>
      <c r="J742" s="36"/>
      <c r="K742" s="1"/>
      <c r="L742" s="1">
        <v>22</v>
      </c>
      <c r="M742" s="2">
        <v>45142</v>
      </c>
    </row>
    <row r="743" spans="2:13" outlineLevel="2">
      <c r="B743" s="40">
        <f t="shared" si="28"/>
        <v>280</v>
      </c>
      <c r="C743" s="41" t="s">
        <v>9</v>
      </c>
      <c r="D743" s="41"/>
      <c r="E743" s="41" t="s">
        <v>135</v>
      </c>
      <c r="F743" s="68">
        <v>11</v>
      </c>
      <c r="G743" s="1">
        <v>95441</v>
      </c>
      <c r="H743" s="1">
        <v>2000</v>
      </c>
      <c r="I743" s="1"/>
      <c r="J743" s="36"/>
      <c r="K743" s="1"/>
      <c r="L743" s="1">
        <v>18</v>
      </c>
      <c r="M743" s="2">
        <v>45142</v>
      </c>
    </row>
    <row r="744" spans="2:13" outlineLevel="2">
      <c r="B744" s="40">
        <f t="shared" si="28"/>
        <v>281</v>
      </c>
      <c r="C744" s="41" t="s">
        <v>9</v>
      </c>
      <c r="D744" s="41"/>
      <c r="E744" s="41" t="s">
        <v>150</v>
      </c>
      <c r="F744" s="68">
        <v>1200505</v>
      </c>
      <c r="G744" s="1">
        <v>546202</v>
      </c>
      <c r="H744" s="1">
        <v>2019</v>
      </c>
      <c r="I744" s="1"/>
      <c r="J744" s="36"/>
      <c r="K744" s="1"/>
      <c r="L744" s="1">
        <v>6</v>
      </c>
      <c r="M744" s="2">
        <v>45149</v>
      </c>
    </row>
    <row r="745" spans="2:13" outlineLevel="2">
      <c r="B745" s="40">
        <f t="shared" si="28"/>
        <v>282</v>
      </c>
      <c r="C745" s="41" t="s">
        <v>9</v>
      </c>
      <c r="D745" s="41"/>
      <c r="E745" s="41" t="s">
        <v>150</v>
      </c>
      <c r="F745" s="68">
        <v>1348051</v>
      </c>
      <c r="G745" s="1">
        <v>560378</v>
      </c>
      <c r="H745" s="1">
        <v>2021</v>
      </c>
      <c r="I745" s="1"/>
      <c r="J745" s="36"/>
      <c r="K745" s="1"/>
      <c r="L745" s="1">
        <v>9</v>
      </c>
      <c r="M745" s="2">
        <v>71921</v>
      </c>
    </row>
    <row r="746" spans="2:13" outlineLevel="2">
      <c r="B746" s="40">
        <f t="shared" si="28"/>
        <v>283</v>
      </c>
      <c r="C746" s="41" t="s">
        <v>9</v>
      </c>
      <c r="D746" s="41"/>
      <c r="E746" s="41" t="s">
        <v>136</v>
      </c>
      <c r="F746" s="68">
        <v>858016</v>
      </c>
      <c r="G746" s="1">
        <v>44462</v>
      </c>
      <c r="H746" s="1">
        <v>2013</v>
      </c>
      <c r="I746" s="1"/>
      <c r="J746" s="36"/>
      <c r="K746" s="1"/>
      <c r="L746" s="1">
        <v>25</v>
      </c>
      <c r="M746" s="2">
        <v>71915</v>
      </c>
    </row>
    <row r="747" spans="2:13" outlineLevel="2">
      <c r="B747" s="40">
        <f t="shared" si="28"/>
        <v>284</v>
      </c>
      <c r="C747" s="41" t="s">
        <v>9</v>
      </c>
      <c r="D747" s="41"/>
      <c r="E747" s="41" t="s">
        <v>139</v>
      </c>
      <c r="F747" s="68">
        <v>31837898</v>
      </c>
      <c r="G747" s="1">
        <v>60615</v>
      </c>
      <c r="H747" s="1">
        <v>2016</v>
      </c>
      <c r="I747" s="1"/>
      <c r="J747" s="36"/>
      <c r="K747" s="1"/>
      <c r="L747" s="1">
        <v>32</v>
      </c>
      <c r="M747" s="2">
        <v>71900</v>
      </c>
    </row>
    <row r="748" spans="2:13" outlineLevel="2">
      <c r="B748" s="40">
        <f t="shared" si="28"/>
        <v>285</v>
      </c>
      <c r="C748" s="41" t="s">
        <v>9</v>
      </c>
      <c r="D748" s="41"/>
      <c r="E748" s="41" t="s">
        <v>126</v>
      </c>
      <c r="F748" s="68">
        <v>5562</v>
      </c>
      <c r="G748" s="1">
        <v>1</v>
      </c>
      <c r="H748" s="1">
        <v>1993</v>
      </c>
      <c r="I748" s="1"/>
      <c r="J748" s="36"/>
      <c r="K748" s="1"/>
      <c r="L748" s="1">
        <v>5</v>
      </c>
      <c r="M748" s="2">
        <v>72026</v>
      </c>
    </row>
    <row r="749" spans="2:13" outlineLevel="2">
      <c r="B749" s="40">
        <f t="shared" si="28"/>
        <v>286</v>
      </c>
      <c r="C749" s="41" t="s">
        <v>9</v>
      </c>
      <c r="D749" s="41"/>
      <c r="E749" s="41" t="s">
        <v>169</v>
      </c>
      <c r="F749" s="68">
        <v>11</v>
      </c>
      <c r="G749" s="1">
        <v>1</v>
      </c>
      <c r="H749" s="1">
        <v>2000</v>
      </c>
      <c r="I749" s="1"/>
      <c r="J749" s="36"/>
      <c r="K749" s="1"/>
      <c r="L749" s="1">
        <v>48</v>
      </c>
      <c r="M749" s="2">
        <v>72009</v>
      </c>
    </row>
    <row r="750" spans="2:13" outlineLevel="2">
      <c r="B750" s="40">
        <f t="shared" si="28"/>
        <v>287</v>
      </c>
      <c r="C750" s="41" t="s">
        <v>9</v>
      </c>
      <c r="D750" s="41"/>
      <c r="E750" s="41" t="s">
        <v>169</v>
      </c>
      <c r="F750" s="68">
        <v>111</v>
      </c>
      <c r="G750" s="1">
        <v>1</v>
      </c>
      <c r="H750" s="1">
        <v>2000</v>
      </c>
      <c r="I750" s="1"/>
      <c r="J750" s="36"/>
      <c r="K750" s="1"/>
      <c r="L750" s="1">
        <v>16</v>
      </c>
      <c r="M750" s="2">
        <v>72008</v>
      </c>
    </row>
    <row r="751" spans="2:13" outlineLevel="2">
      <c r="B751" s="40">
        <f t="shared" si="28"/>
        <v>288</v>
      </c>
      <c r="C751" s="41" t="s">
        <v>9</v>
      </c>
      <c r="D751" s="41"/>
      <c r="E751" s="41" t="s">
        <v>143</v>
      </c>
      <c r="F751" s="68">
        <v>1154386</v>
      </c>
      <c r="G751" s="1">
        <v>111787</v>
      </c>
      <c r="H751" s="1">
        <v>2016</v>
      </c>
      <c r="I751" s="1"/>
      <c r="J751" s="36"/>
      <c r="K751" s="1"/>
      <c r="L751" s="1">
        <v>2</v>
      </c>
      <c r="M751" s="2">
        <v>73321</v>
      </c>
    </row>
    <row r="752" spans="2:13" outlineLevel="2">
      <c r="B752" s="40">
        <f t="shared" si="28"/>
        <v>289</v>
      </c>
      <c r="C752" s="41" t="s">
        <v>9</v>
      </c>
      <c r="D752" s="41"/>
      <c r="E752" s="41" t="s">
        <v>139</v>
      </c>
      <c r="F752" s="68">
        <v>279715</v>
      </c>
      <c r="G752" s="1">
        <v>29918</v>
      </c>
      <c r="H752" s="1">
        <v>2004</v>
      </c>
      <c r="I752" s="1"/>
      <c r="J752" s="36"/>
      <c r="K752" s="1"/>
      <c r="L752" s="1">
        <v>16</v>
      </c>
      <c r="M752" s="2">
        <v>73298</v>
      </c>
    </row>
    <row r="753" spans="2:13" outlineLevel="2">
      <c r="B753" s="40">
        <f t="shared" si="28"/>
        <v>290</v>
      </c>
      <c r="C753" s="41" t="s">
        <v>9</v>
      </c>
      <c r="D753" s="41"/>
      <c r="E753" s="41" t="s">
        <v>143</v>
      </c>
      <c r="F753" s="68">
        <v>309441</v>
      </c>
      <c r="G753" s="1">
        <v>78282</v>
      </c>
      <c r="H753" s="1">
        <v>2012</v>
      </c>
      <c r="I753" s="1"/>
      <c r="J753" s="36"/>
      <c r="K753" s="1"/>
      <c r="L753" s="1">
        <v>2</v>
      </c>
      <c r="M753" s="2">
        <v>73471</v>
      </c>
    </row>
    <row r="754" spans="2:13" outlineLevel="2">
      <c r="B754" s="40">
        <f t="shared" si="28"/>
        <v>291</v>
      </c>
      <c r="C754" s="41" t="s">
        <v>9</v>
      </c>
      <c r="D754" s="41"/>
      <c r="E754" s="41" t="s">
        <v>139</v>
      </c>
      <c r="F754" s="68">
        <v>468277</v>
      </c>
      <c r="G754" s="1">
        <v>34416</v>
      </c>
      <c r="H754" s="1">
        <v>2006</v>
      </c>
      <c r="I754" s="1"/>
      <c r="J754" s="36"/>
      <c r="K754" s="1"/>
      <c r="L754" s="1">
        <v>30</v>
      </c>
      <c r="M754" s="2">
        <v>73435</v>
      </c>
    </row>
    <row r="755" spans="2:13" outlineLevel="2">
      <c r="B755" s="40">
        <f t="shared" si="28"/>
        <v>292</v>
      </c>
      <c r="C755" s="41" t="s">
        <v>9</v>
      </c>
      <c r="D755" s="41"/>
      <c r="E755" s="41" t="s">
        <v>135</v>
      </c>
      <c r="F755" s="68">
        <v>152554</v>
      </c>
      <c r="G755" s="1">
        <v>92970</v>
      </c>
      <c r="H755" s="1">
        <v>2009</v>
      </c>
      <c r="I755" s="1"/>
      <c r="J755" s="36"/>
      <c r="K755" s="1"/>
      <c r="L755" s="1">
        <v>28</v>
      </c>
      <c r="M755" s="2">
        <v>73432</v>
      </c>
    </row>
    <row r="756" spans="2:13" outlineLevel="2">
      <c r="B756" s="40">
        <f t="shared" ref="B756:B819" si="29">ROW(A293)</f>
        <v>293</v>
      </c>
      <c r="C756" s="41" t="s">
        <v>9</v>
      </c>
      <c r="D756" s="41"/>
      <c r="E756" s="41" t="s">
        <v>135</v>
      </c>
      <c r="F756" s="68">
        <v>625826</v>
      </c>
      <c r="G756" s="1">
        <v>941481</v>
      </c>
      <c r="H756" s="1">
        <v>2022</v>
      </c>
      <c r="I756" s="1"/>
      <c r="J756" s="36"/>
      <c r="K756" s="1"/>
      <c r="L756" s="1">
        <v>25</v>
      </c>
      <c r="M756" s="2">
        <v>73431</v>
      </c>
    </row>
    <row r="757" spans="2:13" outlineLevel="2">
      <c r="B757" s="40">
        <f t="shared" si="29"/>
        <v>294</v>
      </c>
      <c r="C757" s="41" t="s">
        <v>9</v>
      </c>
      <c r="D757" s="41"/>
      <c r="E757" s="41" t="s">
        <v>143</v>
      </c>
      <c r="F757" s="68">
        <v>515833</v>
      </c>
      <c r="G757" s="1">
        <v>90213</v>
      </c>
      <c r="H757" s="1">
        <v>2008</v>
      </c>
      <c r="I757" s="1"/>
      <c r="J757" s="36"/>
      <c r="K757" s="1"/>
      <c r="L757" s="1">
        <v>36</v>
      </c>
      <c r="M757" s="2">
        <v>73426</v>
      </c>
    </row>
    <row r="758" spans="2:13" outlineLevel="2">
      <c r="B758" s="40">
        <f t="shared" si="29"/>
        <v>295</v>
      </c>
      <c r="C758" s="41" t="s">
        <v>9</v>
      </c>
      <c r="D758" s="41"/>
      <c r="E758" s="41" t="s">
        <v>143</v>
      </c>
      <c r="F758" s="68">
        <v>278458</v>
      </c>
      <c r="G758" s="1">
        <v>76278</v>
      </c>
      <c r="H758" s="1">
        <v>2021</v>
      </c>
      <c r="I758" s="1"/>
      <c r="J758" s="36"/>
      <c r="K758" s="1"/>
      <c r="L758" s="1">
        <v>35</v>
      </c>
      <c r="M758" s="2">
        <v>73424</v>
      </c>
    </row>
    <row r="759" spans="2:13" outlineLevel="2">
      <c r="B759" s="40">
        <f t="shared" si="29"/>
        <v>296</v>
      </c>
      <c r="C759" s="41" t="s">
        <v>9</v>
      </c>
      <c r="D759" s="41"/>
      <c r="E759" s="41" t="s">
        <v>132</v>
      </c>
      <c r="F759" s="68">
        <v>926809</v>
      </c>
      <c r="G759" s="1">
        <v>54354</v>
      </c>
      <c r="H759" s="1">
        <v>2014</v>
      </c>
      <c r="I759" s="1"/>
      <c r="J759" s="36"/>
      <c r="K759" s="1"/>
      <c r="L759" s="1">
        <v>29</v>
      </c>
      <c r="M759" s="2">
        <v>73419</v>
      </c>
    </row>
    <row r="760" spans="2:13" outlineLevel="2">
      <c r="B760" s="40">
        <f t="shared" si="29"/>
        <v>297</v>
      </c>
      <c r="C760" s="41" t="s">
        <v>9</v>
      </c>
      <c r="D760" s="41"/>
      <c r="E760" s="41" t="s">
        <v>150</v>
      </c>
      <c r="F760" s="68">
        <v>1131397</v>
      </c>
      <c r="G760" s="1">
        <v>106156</v>
      </c>
      <c r="H760" s="1">
        <v>2018</v>
      </c>
      <c r="I760" s="1"/>
      <c r="J760" s="36"/>
      <c r="K760" s="1"/>
      <c r="L760" s="1">
        <v>13</v>
      </c>
      <c r="M760" s="2">
        <v>73417</v>
      </c>
    </row>
    <row r="761" spans="2:13" outlineLevel="2">
      <c r="B761" s="40">
        <f t="shared" si="29"/>
        <v>298</v>
      </c>
      <c r="C761" s="41" t="s">
        <v>9</v>
      </c>
      <c r="D761" s="41"/>
      <c r="E761" s="41" t="s">
        <v>135</v>
      </c>
      <c r="F761" s="68">
        <v>102520</v>
      </c>
      <c r="G761" s="1">
        <v>90353</v>
      </c>
      <c r="H761" s="1">
        <v>2009</v>
      </c>
      <c r="I761" s="1"/>
      <c r="J761" s="36"/>
      <c r="K761" s="1"/>
      <c r="L761" s="1">
        <v>43</v>
      </c>
      <c r="M761" s="2">
        <v>73416</v>
      </c>
    </row>
    <row r="762" spans="2:13" outlineLevel="2">
      <c r="B762" s="40">
        <f t="shared" si="29"/>
        <v>299</v>
      </c>
      <c r="C762" s="41" t="s">
        <v>9</v>
      </c>
      <c r="D762" s="41"/>
      <c r="E762" s="41" t="s">
        <v>123</v>
      </c>
      <c r="F762" s="68">
        <v>633</v>
      </c>
      <c r="G762" s="1">
        <v>99465</v>
      </c>
      <c r="H762" s="1">
        <v>1997</v>
      </c>
      <c r="I762" s="1"/>
      <c r="J762" s="36"/>
      <c r="K762" s="1"/>
      <c r="L762" s="1">
        <v>2</v>
      </c>
      <c r="M762" s="2">
        <v>73559</v>
      </c>
    </row>
    <row r="763" spans="2:13" outlineLevel="2">
      <c r="B763" s="40">
        <f t="shared" si="29"/>
        <v>300</v>
      </c>
      <c r="C763" s="41" t="s">
        <v>9</v>
      </c>
      <c r="D763" s="41"/>
      <c r="E763" s="41" t="s">
        <v>126</v>
      </c>
      <c r="F763" s="68">
        <v>6109</v>
      </c>
      <c r="G763" s="1">
        <v>1</v>
      </c>
      <c r="H763" s="1">
        <v>1994</v>
      </c>
      <c r="I763" s="1"/>
      <c r="J763" s="36"/>
      <c r="K763" s="1"/>
      <c r="L763" s="1">
        <v>2</v>
      </c>
      <c r="M763" s="2">
        <v>73546</v>
      </c>
    </row>
    <row r="764" spans="2:13" outlineLevel="2">
      <c r="B764" s="40">
        <f t="shared" si="29"/>
        <v>301</v>
      </c>
      <c r="C764" s="41" t="s">
        <v>9</v>
      </c>
      <c r="D764" s="41"/>
      <c r="E764" s="41" t="s">
        <v>123</v>
      </c>
      <c r="F764" s="68">
        <v>2177</v>
      </c>
      <c r="G764" s="1">
        <v>2177</v>
      </c>
      <c r="H764" s="1">
        <v>2000</v>
      </c>
      <c r="I764" s="1"/>
      <c r="J764" s="36"/>
      <c r="K764" s="1"/>
      <c r="L764" s="1">
        <v>2</v>
      </c>
      <c r="M764" s="2">
        <v>73520</v>
      </c>
    </row>
    <row r="765" spans="2:13" outlineLevel="2">
      <c r="B765" s="40">
        <f t="shared" si="29"/>
        <v>302</v>
      </c>
      <c r="C765" s="41" t="s">
        <v>9</v>
      </c>
      <c r="D765" s="41"/>
      <c r="E765" s="41" t="s">
        <v>150</v>
      </c>
      <c r="F765" s="68">
        <v>1284816</v>
      </c>
      <c r="G765" s="1">
        <v>567881</v>
      </c>
      <c r="H765" s="1">
        <v>2021</v>
      </c>
      <c r="I765" s="1"/>
      <c r="J765" s="36"/>
      <c r="K765" s="1"/>
      <c r="L765" s="1">
        <v>9</v>
      </c>
      <c r="M765" s="2">
        <v>74417</v>
      </c>
    </row>
    <row r="766" spans="2:13" outlineLevel="2">
      <c r="B766" s="40">
        <f t="shared" si="29"/>
        <v>303</v>
      </c>
      <c r="C766" s="41" t="s">
        <v>9</v>
      </c>
      <c r="D766" s="41"/>
      <c r="E766" s="41" t="s">
        <v>150</v>
      </c>
      <c r="F766" s="68">
        <v>1285150</v>
      </c>
      <c r="G766" s="1">
        <v>109905</v>
      </c>
      <c r="H766" s="1">
        <v>2021</v>
      </c>
      <c r="I766" s="1"/>
      <c r="J766" s="36"/>
      <c r="K766" s="1"/>
      <c r="L766" s="1">
        <v>5</v>
      </c>
      <c r="M766" s="2">
        <v>75043</v>
      </c>
    </row>
    <row r="767" spans="2:13" outlineLevel="2">
      <c r="B767" s="40">
        <f t="shared" si="29"/>
        <v>304</v>
      </c>
      <c r="C767" s="41" t="s">
        <v>9</v>
      </c>
      <c r="D767" s="41"/>
      <c r="E767" s="41" t="s">
        <v>139</v>
      </c>
      <c r="F767" s="68">
        <v>1048651887</v>
      </c>
      <c r="G767" s="1">
        <v>544828</v>
      </c>
      <c r="H767" s="1">
        <v>2019</v>
      </c>
      <c r="I767" s="1"/>
      <c r="J767" s="36"/>
      <c r="K767" s="1"/>
      <c r="L767" s="1">
        <v>27</v>
      </c>
      <c r="M767" s="2">
        <v>74985</v>
      </c>
    </row>
    <row r="768" spans="2:13" outlineLevel="2">
      <c r="B768" s="40">
        <f t="shared" si="29"/>
        <v>305</v>
      </c>
      <c r="C768" s="41" t="s">
        <v>9</v>
      </c>
      <c r="D768" s="41"/>
      <c r="E768" s="41" t="s">
        <v>122</v>
      </c>
      <c r="F768" s="68">
        <v>0</v>
      </c>
      <c r="G768" s="1">
        <v>0</v>
      </c>
      <c r="H768" s="1">
        <v>2000</v>
      </c>
      <c r="I768" s="1"/>
      <c r="J768" s="36"/>
      <c r="K768" s="1"/>
      <c r="L768" s="1">
        <v>130</v>
      </c>
      <c r="M768" s="2">
        <v>75526</v>
      </c>
    </row>
    <row r="769" spans="2:13" outlineLevel="2">
      <c r="B769" s="40">
        <f t="shared" si="29"/>
        <v>306</v>
      </c>
      <c r="C769" s="41" t="s">
        <v>9</v>
      </c>
      <c r="D769" s="41"/>
      <c r="E769" s="41" t="s">
        <v>126</v>
      </c>
      <c r="F769" s="68">
        <v>2456</v>
      </c>
      <c r="G769" s="1">
        <v>30015</v>
      </c>
      <c r="H769" s="1">
        <v>1991</v>
      </c>
      <c r="I769" s="1"/>
      <c r="J769" s="36"/>
      <c r="K769" s="1"/>
      <c r="L769" s="1">
        <v>2</v>
      </c>
      <c r="M769" s="2">
        <v>75835</v>
      </c>
    </row>
    <row r="770" spans="2:13" outlineLevel="2">
      <c r="B770" s="40">
        <f t="shared" si="29"/>
        <v>307</v>
      </c>
      <c r="C770" s="41" t="s">
        <v>9</v>
      </c>
      <c r="D770" s="41"/>
      <c r="E770" s="41" t="s">
        <v>170</v>
      </c>
      <c r="F770" s="68">
        <v>181719</v>
      </c>
      <c r="G770" s="1">
        <v>96610</v>
      </c>
      <c r="H770" s="1">
        <v>2010</v>
      </c>
      <c r="I770" s="1"/>
      <c r="J770" s="36"/>
      <c r="K770" s="1"/>
      <c r="L770" s="1">
        <v>2</v>
      </c>
      <c r="M770" s="2">
        <v>75818</v>
      </c>
    </row>
    <row r="771" spans="2:13" outlineLevel="2">
      <c r="B771" s="40">
        <f t="shared" si="29"/>
        <v>308</v>
      </c>
      <c r="C771" s="41" t="s">
        <v>9</v>
      </c>
      <c r="D771" s="41"/>
      <c r="E771" s="41" t="s">
        <v>143</v>
      </c>
      <c r="F771" s="68">
        <v>305515</v>
      </c>
      <c r="G771" s="1">
        <v>77636</v>
      </c>
      <c r="H771" s="1">
        <v>2014</v>
      </c>
      <c r="I771" s="1"/>
      <c r="J771" s="36"/>
      <c r="K771" s="1"/>
      <c r="L771" s="1">
        <v>42</v>
      </c>
      <c r="M771" s="2">
        <v>76390</v>
      </c>
    </row>
    <row r="772" spans="2:13" outlineLevel="2">
      <c r="B772" s="40">
        <f t="shared" si="29"/>
        <v>309</v>
      </c>
      <c r="C772" s="41" t="s">
        <v>9</v>
      </c>
      <c r="D772" s="41"/>
      <c r="E772" s="41" t="s">
        <v>135</v>
      </c>
      <c r="F772" s="68">
        <v>168316</v>
      </c>
      <c r="G772" s="1">
        <v>73891</v>
      </c>
      <c r="H772" s="1">
        <v>2000</v>
      </c>
      <c r="I772" s="1"/>
      <c r="J772" s="36"/>
      <c r="K772" s="1"/>
      <c r="L772" s="1">
        <v>27</v>
      </c>
      <c r="M772" s="2">
        <v>76388</v>
      </c>
    </row>
    <row r="773" spans="2:13" outlineLevel="2">
      <c r="B773" s="40">
        <f t="shared" si="29"/>
        <v>310</v>
      </c>
      <c r="C773" s="41" t="s">
        <v>9</v>
      </c>
      <c r="D773" s="41"/>
      <c r="E773" s="41" t="s">
        <v>132</v>
      </c>
      <c r="F773" s="68">
        <v>146447</v>
      </c>
      <c r="G773" s="1">
        <v>30543</v>
      </c>
      <c r="H773" s="1">
        <v>1999</v>
      </c>
      <c r="I773" s="1"/>
      <c r="J773" s="36"/>
      <c r="K773" s="1"/>
      <c r="L773" s="1">
        <v>17</v>
      </c>
      <c r="M773" s="2">
        <v>76387</v>
      </c>
    </row>
    <row r="774" spans="2:13" outlineLevel="2">
      <c r="B774" s="40">
        <f t="shared" si="29"/>
        <v>311</v>
      </c>
      <c r="C774" s="41" t="s">
        <v>9</v>
      </c>
      <c r="D774" s="41"/>
      <c r="E774" s="41" t="s">
        <v>125</v>
      </c>
      <c r="F774" s="68">
        <v>463738</v>
      </c>
      <c r="G774" s="1">
        <v>87661</v>
      </c>
      <c r="H774" s="1">
        <v>2007</v>
      </c>
      <c r="I774" s="1"/>
      <c r="J774" s="36"/>
      <c r="K774" s="1"/>
      <c r="L774" s="1">
        <v>20</v>
      </c>
      <c r="M774" s="2">
        <v>76386</v>
      </c>
    </row>
    <row r="775" spans="2:13" outlineLevel="2">
      <c r="B775" s="40">
        <f t="shared" si="29"/>
        <v>312</v>
      </c>
      <c r="C775" s="41" t="s">
        <v>9</v>
      </c>
      <c r="D775" s="41"/>
      <c r="E775" s="41" t="s">
        <v>137</v>
      </c>
      <c r="F775" s="68">
        <v>813184</v>
      </c>
      <c r="G775" s="1">
        <v>38376</v>
      </c>
      <c r="H775" s="1">
        <v>2011</v>
      </c>
      <c r="I775" s="1"/>
      <c r="J775" s="36"/>
      <c r="K775" s="1"/>
      <c r="L775" s="1">
        <v>23</v>
      </c>
      <c r="M775" s="2">
        <v>76385</v>
      </c>
    </row>
    <row r="776" spans="2:13" outlineLevel="2">
      <c r="B776" s="40">
        <f t="shared" si="29"/>
        <v>313</v>
      </c>
      <c r="C776" s="41" t="s">
        <v>9</v>
      </c>
      <c r="D776" s="41"/>
      <c r="E776" s="41" t="s">
        <v>132</v>
      </c>
      <c r="F776" s="68">
        <v>1079743</v>
      </c>
      <c r="G776" s="1">
        <v>64468</v>
      </c>
      <c r="H776" s="1">
        <v>2017</v>
      </c>
      <c r="I776" s="1"/>
      <c r="J776" s="36"/>
      <c r="K776" s="1"/>
      <c r="L776" s="1">
        <v>3</v>
      </c>
      <c r="M776" s="2">
        <v>76380</v>
      </c>
    </row>
    <row r="777" spans="2:13" outlineLevel="2">
      <c r="B777" s="40">
        <f t="shared" si="29"/>
        <v>314</v>
      </c>
      <c r="C777" s="41" t="s">
        <v>9</v>
      </c>
      <c r="D777" s="41"/>
      <c r="E777" s="41" t="s">
        <v>136</v>
      </c>
      <c r="F777" s="68">
        <v>138827</v>
      </c>
      <c r="G777" s="1">
        <v>24333</v>
      </c>
      <c r="H777" s="1">
        <v>1998</v>
      </c>
      <c r="I777" s="1"/>
      <c r="J777" s="36"/>
      <c r="K777" s="1"/>
      <c r="L777" s="1">
        <v>8</v>
      </c>
      <c r="M777" s="2">
        <v>76362</v>
      </c>
    </row>
    <row r="778" spans="2:13" outlineLevel="2">
      <c r="B778" s="40">
        <f t="shared" si="29"/>
        <v>315</v>
      </c>
      <c r="C778" s="41" t="s">
        <v>9</v>
      </c>
      <c r="D778" s="41"/>
      <c r="E778" s="41" t="s">
        <v>132</v>
      </c>
      <c r="F778" s="68">
        <v>155004</v>
      </c>
      <c r="G778" s="1">
        <v>44534</v>
      </c>
      <c r="H778" s="1">
        <v>1999</v>
      </c>
      <c r="I778" s="1"/>
      <c r="J778" s="36"/>
      <c r="K778" s="1"/>
      <c r="L778" s="1">
        <v>2</v>
      </c>
      <c r="M778" s="2">
        <v>76315</v>
      </c>
    </row>
    <row r="779" spans="2:13" outlineLevel="2">
      <c r="B779" s="40">
        <f t="shared" si="29"/>
        <v>316</v>
      </c>
      <c r="C779" s="41" t="s">
        <v>9</v>
      </c>
      <c r="D779" s="41"/>
      <c r="E779" s="41" t="s">
        <v>139</v>
      </c>
      <c r="F779" s="68">
        <v>763921</v>
      </c>
      <c r="G779" s="1">
        <v>38238</v>
      </c>
      <c r="H779" s="1">
        <v>2011</v>
      </c>
      <c r="I779" s="1"/>
      <c r="J779" s="36"/>
      <c r="K779" s="1"/>
      <c r="L779" s="1">
        <v>42</v>
      </c>
      <c r="M779" s="2">
        <v>76652</v>
      </c>
    </row>
    <row r="780" spans="2:13" outlineLevel="2">
      <c r="B780" s="40">
        <f t="shared" si="29"/>
        <v>317</v>
      </c>
      <c r="C780" s="41" t="s">
        <v>9</v>
      </c>
      <c r="D780" s="41"/>
      <c r="E780" s="41" t="s">
        <v>126</v>
      </c>
      <c r="F780" s="68">
        <v>7670</v>
      </c>
      <c r="G780" s="1">
        <v>0</v>
      </c>
      <c r="H780" s="1">
        <v>1996</v>
      </c>
      <c r="I780" s="1"/>
      <c r="J780" s="36"/>
      <c r="K780" s="1"/>
      <c r="L780" s="1">
        <v>7</v>
      </c>
      <c r="M780" s="2">
        <v>76617</v>
      </c>
    </row>
    <row r="781" spans="2:13" outlineLevel="2">
      <c r="B781" s="40">
        <f t="shared" si="29"/>
        <v>318</v>
      </c>
      <c r="C781" s="41" t="s">
        <v>9</v>
      </c>
      <c r="D781" s="41"/>
      <c r="E781" s="41" t="s">
        <v>150</v>
      </c>
      <c r="F781" s="68">
        <v>816033</v>
      </c>
      <c r="G781" s="1">
        <v>38450</v>
      </c>
      <c r="H781" s="1">
        <v>2012</v>
      </c>
      <c r="I781" s="1"/>
      <c r="J781" s="36"/>
      <c r="K781" s="1"/>
      <c r="L781" s="1">
        <v>29</v>
      </c>
      <c r="M781" s="2">
        <v>78075</v>
      </c>
    </row>
    <row r="782" spans="2:13" outlineLevel="2">
      <c r="B782" s="40">
        <f t="shared" si="29"/>
        <v>319</v>
      </c>
      <c r="C782" s="41" t="s">
        <v>9</v>
      </c>
      <c r="D782" s="41"/>
      <c r="E782" s="41" t="s">
        <v>135</v>
      </c>
      <c r="F782" s="68">
        <v>1066001</v>
      </c>
      <c r="G782" s="1">
        <v>63097</v>
      </c>
      <c r="H782" s="1">
        <v>2016</v>
      </c>
      <c r="I782" s="1"/>
      <c r="J782" s="36"/>
      <c r="K782" s="1"/>
      <c r="L782" s="1">
        <v>3</v>
      </c>
      <c r="M782" s="2">
        <v>78073</v>
      </c>
    </row>
    <row r="783" spans="2:13" outlineLevel="2">
      <c r="B783" s="40">
        <f t="shared" si="29"/>
        <v>320</v>
      </c>
      <c r="C783" s="41" t="s">
        <v>9</v>
      </c>
      <c r="D783" s="41"/>
      <c r="E783" s="41" t="s">
        <v>139</v>
      </c>
      <c r="F783" s="68">
        <v>763914</v>
      </c>
      <c r="G783" s="1">
        <v>38231</v>
      </c>
      <c r="H783" s="1">
        <v>2011</v>
      </c>
      <c r="I783" s="1"/>
      <c r="J783" s="36"/>
      <c r="K783" s="1"/>
      <c r="L783" s="1">
        <v>30</v>
      </c>
      <c r="M783" s="2">
        <v>78045</v>
      </c>
    </row>
    <row r="784" spans="2:13" outlineLevel="2">
      <c r="B784" s="40">
        <f t="shared" si="29"/>
        <v>321</v>
      </c>
      <c r="C784" s="41" t="s">
        <v>9</v>
      </c>
      <c r="D784" s="41"/>
      <c r="E784" s="41" t="s">
        <v>132</v>
      </c>
      <c r="F784" s="68">
        <v>1043376660</v>
      </c>
      <c r="G784" s="1">
        <v>111558</v>
      </c>
      <c r="H784" s="1">
        <v>2018</v>
      </c>
      <c r="I784" s="1"/>
      <c r="J784" s="36"/>
      <c r="K784" s="1"/>
      <c r="L784" s="1">
        <v>4</v>
      </c>
      <c r="M784" s="2">
        <v>78038</v>
      </c>
    </row>
    <row r="785" spans="2:13" outlineLevel="2">
      <c r="B785" s="40">
        <f t="shared" si="29"/>
        <v>322</v>
      </c>
      <c r="C785" s="41" t="s">
        <v>9</v>
      </c>
      <c r="D785" s="41"/>
      <c r="E785" s="41" t="s">
        <v>136</v>
      </c>
      <c r="F785" s="68">
        <v>1280958</v>
      </c>
      <c r="G785" s="1">
        <v>566636</v>
      </c>
      <c r="H785" s="1">
        <v>2021</v>
      </c>
      <c r="I785" s="1"/>
      <c r="J785" s="36"/>
      <c r="K785" s="1"/>
      <c r="L785" s="1">
        <v>19</v>
      </c>
      <c r="M785" s="2">
        <v>78368</v>
      </c>
    </row>
    <row r="786" spans="2:13" outlineLevel="2">
      <c r="B786" s="40">
        <f t="shared" si="29"/>
        <v>323</v>
      </c>
      <c r="C786" s="41" t="s">
        <v>9</v>
      </c>
      <c r="D786" s="41"/>
      <c r="E786" s="41" t="s">
        <v>132</v>
      </c>
      <c r="F786" s="68">
        <v>266714</v>
      </c>
      <c r="G786" s="1">
        <v>941102</v>
      </c>
      <c r="H786" s="1">
        <v>2003</v>
      </c>
      <c r="I786" s="1"/>
      <c r="J786" s="36"/>
      <c r="K786" s="1"/>
      <c r="L786" s="1">
        <v>8</v>
      </c>
      <c r="M786" s="2">
        <v>78353</v>
      </c>
    </row>
    <row r="787" spans="2:13" outlineLevel="2">
      <c r="B787" s="40">
        <f t="shared" si="29"/>
        <v>324</v>
      </c>
      <c r="C787" s="41" t="s">
        <v>9</v>
      </c>
      <c r="D787" s="41"/>
      <c r="E787" s="41" t="s">
        <v>171</v>
      </c>
      <c r="F787" s="68">
        <v>30174</v>
      </c>
      <c r="G787" s="1">
        <v>4284</v>
      </c>
      <c r="H787" s="1">
        <v>1998</v>
      </c>
      <c r="I787" s="1"/>
      <c r="J787" s="36"/>
      <c r="K787" s="1"/>
      <c r="L787" s="1">
        <v>5</v>
      </c>
      <c r="M787" s="2">
        <v>78624</v>
      </c>
    </row>
    <row r="788" spans="2:13" outlineLevel="2">
      <c r="B788" s="40">
        <f t="shared" si="29"/>
        <v>325</v>
      </c>
      <c r="C788" s="41" t="s">
        <v>9</v>
      </c>
      <c r="D788" s="41"/>
      <c r="E788" s="41" t="s">
        <v>132</v>
      </c>
      <c r="F788" s="68">
        <v>3701</v>
      </c>
      <c r="G788" s="1">
        <v>0</v>
      </c>
      <c r="H788" s="1">
        <v>1992</v>
      </c>
      <c r="I788" s="1"/>
      <c r="J788" s="36"/>
      <c r="K788" s="1"/>
      <c r="L788" s="1">
        <v>3</v>
      </c>
      <c r="M788" s="2">
        <v>78610</v>
      </c>
    </row>
    <row r="789" spans="2:13" outlineLevel="2">
      <c r="B789" s="40">
        <f t="shared" si="29"/>
        <v>326</v>
      </c>
      <c r="C789" s="41" t="s">
        <v>9</v>
      </c>
      <c r="D789" s="41"/>
      <c r="E789" s="41" t="s">
        <v>123</v>
      </c>
      <c r="F789" s="68">
        <v>94560</v>
      </c>
      <c r="G789" s="1">
        <v>0</v>
      </c>
      <c r="H789" s="1">
        <v>1989</v>
      </c>
      <c r="I789" s="1"/>
      <c r="J789" s="36"/>
      <c r="K789" s="1"/>
      <c r="L789" s="1">
        <v>30</v>
      </c>
      <c r="M789" s="2">
        <v>78570</v>
      </c>
    </row>
    <row r="790" spans="2:13" outlineLevel="2">
      <c r="B790" s="40">
        <f t="shared" si="29"/>
        <v>327</v>
      </c>
      <c r="C790" s="41" t="s">
        <v>9</v>
      </c>
      <c r="D790" s="41"/>
      <c r="E790" s="41" t="s">
        <v>139</v>
      </c>
      <c r="F790" s="68">
        <v>10411</v>
      </c>
      <c r="G790" s="1">
        <v>6135</v>
      </c>
      <c r="H790" s="1">
        <v>2000</v>
      </c>
      <c r="I790" s="1"/>
      <c r="J790" s="36"/>
      <c r="K790" s="1"/>
      <c r="L790" s="1">
        <v>32</v>
      </c>
      <c r="M790" s="2">
        <v>78568</v>
      </c>
    </row>
    <row r="791" spans="2:13" outlineLevel="2">
      <c r="B791" s="40">
        <f t="shared" si="29"/>
        <v>328</v>
      </c>
      <c r="C791" s="41" t="s">
        <v>9</v>
      </c>
      <c r="D791" s="41"/>
      <c r="E791" s="41" t="s">
        <v>137</v>
      </c>
      <c r="F791" s="68">
        <v>0</v>
      </c>
      <c r="G791" s="1">
        <v>1</v>
      </c>
      <c r="H791" s="1">
        <v>2000</v>
      </c>
      <c r="I791" s="1"/>
      <c r="J791" s="36"/>
      <c r="K791" s="1"/>
      <c r="L791" s="1">
        <v>21</v>
      </c>
      <c r="M791" s="2">
        <v>79182</v>
      </c>
    </row>
    <row r="792" spans="2:13" outlineLevel="2">
      <c r="B792" s="40">
        <f t="shared" si="29"/>
        <v>329</v>
      </c>
      <c r="C792" s="41" t="s">
        <v>9</v>
      </c>
      <c r="D792" s="41"/>
      <c r="E792" s="41" t="s">
        <v>126</v>
      </c>
      <c r="F792" s="68">
        <v>519</v>
      </c>
      <c r="G792" s="1">
        <v>0</v>
      </c>
      <c r="H792" s="1">
        <v>2000</v>
      </c>
      <c r="I792" s="1"/>
      <c r="J792" s="36"/>
      <c r="K792" s="1"/>
      <c r="L792" s="1">
        <v>14</v>
      </c>
      <c r="M792" s="2">
        <v>79173</v>
      </c>
    </row>
    <row r="793" spans="2:13" outlineLevel="2">
      <c r="B793" s="40">
        <f t="shared" si="29"/>
        <v>330</v>
      </c>
      <c r="C793" s="41" t="s">
        <v>9</v>
      </c>
      <c r="D793" s="41"/>
      <c r="E793" s="41" t="s">
        <v>126</v>
      </c>
      <c r="F793" s="68">
        <v>6442</v>
      </c>
      <c r="G793" s="1">
        <v>0</v>
      </c>
      <c r="H793" s="1">
        <v>2001</v>
      </c>
      <c r="I793" s="1"/>
      <c r="J793" s="36"/>
      <c r="K793" s="1"/>
      <c r="L793" s="1">
        <v>2</v>
      </c>
      <c r="M793" s="2">
        <v>79153</v>
      </c>
    </row>
    <row r="794" spans="2:13" outlineLevel="2">
      <c r="B794" s="40">
        <f t="shared" si="29"/>
        <v>331</v>
      </c>
      <c r="C794" s="41" t="s">
        <v>9</v>
      </c>
      <c r="D794" s="41"/>
      <c r="E794" s="41" t="s">
        <v>123</v>
      </c>
      <c r="F794" s="68">
        <v>6046</v>
      </c>
      <c r="G794" s="1">
        <v>41923</v>
      </c>
      <c r="H794" s="1">
        <v>2023</v>
      </c>
      <c r="I794" s="1"/>
      <c r="J794" s="36"/>
      <c r="K794" s="1"/>
      <c r="L794" s="1">
        <v>32</v>
      </c>
      <c r="M794" s="2">
        <v>79140</v>
      </c>
    </row>
    <row r="795" spans="2:13" outlineLevel="2">
      <c r="B795" s="40">
        <f t="shared" si="29"/>
        <v>332</v>
      </c>
      <c r="C795" s="41" t="s">
        <v>9</v>
      </c>
      <c r="D795" s="41"/>
      <c r="E795" s="41" t="s">
        <v>143</v>
      </c>
      <c r="F795" s="68">
        <v>1171191</v>
      </c>
      <c r="G795" s="1">
        <v>542468</v>
      </c>
      <c r="H795" s="1">
        <v>2018</v>
      </c>
      <c r="I795" s="1"/>
      <c r="J795" s="36"/>
      <c r="K795" s="1"/>
      <c r="L795" s="1">
        <v>2</v>
      </c>
      <c r="M795" s="2">
        <v>79501</v>
      </c>
    </row>
    <row r="796" spans="2:13" outlineLevel="2">
      <c r="B796" s="40">
        <f t="shared" si="29"/>
        <v>333</v>
      </c>
      <c r="C796" s="41" t="s">
        <v>9</v>
      </c>
      <c r="D796" s="41"/>
      <c r="E796" s="41" t="s">
        <v>150</v>
      </c>
      <c r="F796" s="68">
        <v>1019551</v>
      </c>
      <c r="G796" s="1">
        <v>59488</v>
      </c>
      <c r="H796" s="1">
        <v>2016</v>
      </c>
      <c r="I796" s="1"/>
      <c r="J796" s="36"/>
      <c r="K796" s="1"/>
      <c r="L796" s="1">
        <v>2</v>
      </c>
      <c r="M796" s="2">
        <v>79497</v>
      </c>
    </row>
    <row r="797" spans="2:13" outlineLevel="2">
      <c r="B797" s="40">
        <f t="shared" si="29"/>
        <v>334</v>
      </c>
      <c r="C797" s="41" t="s">
        <v>9</v>
      </c>
      <c r="D797" s="41"/>
      <c r="E797" s="41" t="s">
        <v>139</v>
      </c>
      <c r="F797" s="68">
        <v>527061</v>
      </c>
      <c r="G797" s="1">
        <v>82419</v>
      </c>
      <c r="H797" s="1">
        <v>2014</v>
      </c>
      <c r="I797" s="1"/>
      <c r="J797" s="36"/>
      <c r="K797" s="1"/>
      <c r="L797" s="1">
        <v>22</v>
      </c>
      <c r="M797" s="2">
        <v>79496</v>
      </c>
    </row>
    <row r="798" spans="2:13" outlineLevel="2">
      <c r="B798" s="40">
        <f t="shared" si="29"/>
        <v>335</v>
      </c>
      <c r="C798" s="41" t="s">
        <v>9</v>
      </c>
      <c r="D798" s="41"/>
      <c r="E798" s="41" t="s">
        <v>122</v>
      </c>
      <c r="F798" s="68">
        <v>1028704</v>
      </c>
      <c r="G798" s="1">
        <v>60234</v>
      </c>
      <c r="H798" s="1">
        <v>2016</v>
      </c>
      <c r="I798" s="1"/>
      <c r="J798" s="36"/>
      <c r="K798" s="1"/>
      <c r="L798" s="1">
        <v>7</v>
      </c>
      <c r="M798" s="2">
        <v>79495</v>
      </c>
    </row>
    <row r="799" spans="2:13" outlineLevel="2">
      <c r="B799" s="40">
        <f t="shared" si="29"/>
        <v>336</v>
      </c>
      <c r="C799" s="41" t="s">
        <v>9</v>
      </c>
      <c r="D799" s="41"/>
      <c r="E799" s="41" t="s">
        <v>139</v>
      </c>
      <c r="F799" s="68">
        <v>279715</v>
      </c>
      <c r="G799" s="1">
        <v>29918</v>
      </c>
      <c r="H799" s="1">
        <v>2004</v>
      </c>
      <c r="I799" s="1"/>
      <c r="J799" s="36"/>
      <c r="K799" s="1"/>
      <c r="L799" s="1">
        <v>8</v>
      </c>
      <c r="M799" s="2">
        <v>79494</v>
      </c>
    </row>
    <row r="800" spans="2:13" outlineLevel="2">
      <c r="B800" s="40">
        <f t="shared" si="29"/>
        <v>337</v>
      </c>
      <c r="C800" s="41" t="s">
        <v>9</v>
      </c>
      <c r="D800" s="41"/>
      <c r="E800" s="41" t="s">
        <v>136</v>
      </c>
      <c r="F800" s="68">
        <v>1047721190</v>
      </c>
      <c r="G800" s="1">
        <v>544026</v>
      </c>
      <c r="H800" s="1">
        <v>2019</v>
      </c>
      <c r="I800" s="1"/>
      <c r="J800" s="36"/>
      <c r="K800" s="1"/>
      <c r="L800" s="1">
        <v>5</v>
      </c>
      <c r="M800" s="2">
        <v>79493</v>
      </c>
    </row>
    <row r="801" spans="2:13" outlineLevel="2">
      <c r="B801" s="40">
        <f t="shared" si="29"/>
        <v>338</v>
      </c>
      <c r="C801" s="41" t="s">
        <v>9</v>
      </c>
      <c r="D801" s="41"/>
      <c r="E801" s="41" t="s">
        <v>139</v>
      </c>
      <c r="F801" s="68">
        <v>527085</v>
      </c>
      <c r="G801" s="1">
        <v>82443</v>
      </c>
      <c r="H801" s="1">
        <v>2006</v>
      </c>
      <c r="I801" s="1"/>
      <c r="J801" s="36"/>
      <c r="K801" s="1"/>
      <c r="L801" s="1">
        <v>23</v>
      </c>
      <c r="M801" s="2">
        <v>79492</v>
      </c>
    </row>
    <row r="802" spans="2:13" outlineLevel="2">
      <c r="B802" s="40">
        <f t="shared" si="29"/>
        <v>339</v>
      </c>
      <c r="C802" s="41" t="s">
        <v>9</v>
      </c>
      <c r="D802" s="41"/>
      <c r="E802" s="41" t="s">
        <v>139</v>
      </c>
      <c r="F802" s="68">
        <v>822419</v>
      </c>
      <c r="G802" s="1">
        <v>45355</v>
      </c>
      <c r="H802" s="1">
        <v>2013</v>
      </c>
      <c r="I802" s="1"/>
      <c r="J802" s="36"/>
      <c r="K802" s="1"/>
      <c r="L802" s="1">
        <v>3</v>
      </c>
      <c r="M802" s="2">
        <v>79488</v>
      </c>
    </row>
    <row r="803" spans="2:13" outlineLevel="2">
      <c r="B803" s="40">
        <f t="shared" si="29"/>
        <v>340</v>
      </c>
      <c r="C803" s="41" t="s">
        <v>9</v>
      </c>
      <c r="D803" s="41"/>
      <c r="E803" s="41" t="s">
        <v>150</v>
      </c>
      <c r="F803" s="68">
        <v>1339644</v>
      </c>
      <c r="G803" s="1">
        <v>566058</v>
      </c>
      <c r="H803" s="1">
        <v>2021</v>
      </c>
      <c r="I803" s="1"/>
      <c r="J803" s="36"/>
      <c r="K803" s="1"/>
      <c r="L803" s="1">
        <v>10</v>
      </c>
      <c r="M803" s="2">
        <v>79481</v>
      </c>
    </row>
    <row r="804" spans="2:13" outlineLevel="2">
      <c r="B804" s="40">
        <f t="shared" si="29"/>
        <v>341</v>
      </c>
      <c r="C804" s="41" t="s">
        <v>9</v>
      </c>
      <c r="D804" s="41"/>
      <c r="E804" s="41" t="s">
        <v>132</v>
      </c>
      <c r="F804" s="68">
        <v>168302</v>
      </c>
      <c r="G804" s="1">
        <v>23986</v>
      </c>
      <c r="H804" s="1">
        <v>2008</v>
      </c>
      <c r="I804" s="1"/>
      <c r="J804" s="36"/>
      <c r="K804" s="1"/>
      <c r="L804" s="1">
        <v>46</v>
      </c>
      <c r="M804" s="2">
        <v>79453</v>
      </c>
    </row>
    <row r="805" spans="2:13" outlineLevel="2">
      <c r="B805" s="40">
        <f t="shared" si="29"/>
        <v>342</v>
      </c>
      <c r="C805" s="41" t="s">
        <v>9</v>
      </c>
      <c r="D805" s="41"/>
      <c r="E805" s="41" t="s">
        <v>150</v>
      </c>
      <c r="F805" s="68">
        <v>128547</v>
      </c>
      <c r="G805" s="1">
        <v>30345</v>
      </c>
      <c r="H805" s="1">
        <v>2023</v>
      </c>
      <c r="I805" s="1"/>
      <c r="J805" s="36"/>
      <c r="K805" s="1"/>
      <c r="L805" s="1">
        <v>3</v>
      </c>
      <c r="M805" s="2">
        <v>80846</v>
      </c>
    </row>
    <row r="806" spans="2:13" outlineLevel="2">
      <c r="B806" s="40">
        <f t="shared" si="29"/>
        <v>343</v>
      </c>
      <c r="C806" s="41" t="s">
        <v>9</v>
      </c>
      <c r="D806" s="41"/>
      <c r="E806" s="41" t="s">
        <v>150</v>
      </c>
      <c r="F806" s="68">
        <v>1200508</v>
      </c>
      <c r="G806" s="1">
        <v>546205</v>
      </c>
      <c r="H806" s="1">
        <v>2019</v>
      </c>
      <c r="I806" s="1"/>
      <c r="J806" s="36"/>
      <c r="K806" s="1"/>
      <c r="L806" s="1">
        <v>8</v>
      </c>
      <c r="M806" s="2">
        <v>80832</v>
      </c>
    </row>
    <row r="807" spans="2:13" outlineLevel="2">
      <c r="B807" s="40">
        <f t="shared" si="29"/>
        <v>344</v>
      </c>
      <c r="C807" s="41" t="s">
        <v>9</v>
      </c>
      <c r="D807" s="41"/>
      <c r="E807" s="41" t="s">
        <v>150</v>
      </c>
      <c r="F807" s="68">
        <v>1086137</v>
      </c>
      <c r="G807" s="1">
        <v>66994</v>
      </c>
      <c r="H807" s="1">
        <v>2017</v>
      </c>
      <c r="I807" s="1"/>
      <c r="J807" s="36"/>
      <c r="K807" s="1"/>
      <c r="L807" s="1">
        <v>8</v>
      </c>
      <c r="M807" s="2">
        <v>80825</v>
      </c>
    </row>
    <row r="808" spans="2:13" outlineLevel="2">
      <c r="B808" s="40">
        <f t="shared" si="29"/>
        <v>345</v>
      </c>
      <c r="C808" s="41" t="s">
        <v>9</v>
      </c>
      <c r="D808" s="41"/>
      <c r="E808" s="41" t="s">
        <v>150</v>
      </c>
      <c r="F808" s="68">
        <v>1200509</v>
      </c>
      <c r="G808" s="1">
        <v>546206</v>
      </c>
      <c r="H808" s="1">
        <v>2019</v>
      </c>
      <c r="I808" s="1"/>
      <c r="J808" s="36"/>
      <c r="K808" s="1"/>
      <c r="L808" s="1">
        <v>2</v>
      </c>
      <c r="M808" s="2">
        <v>80809</v>
      </c>
    </row>
    <row r="809" spans="2:13" outlineLevel="2">
      <c r="B809" s="40">
        <f t="shared" si="29"/>
        <v>346</v>
      </c>
      <c r="C809" s="41" t="s">
        <v>9</v>
      </c>
      <c r="D809" s="41"/>
      <c r="E809" s="41" t="s">
        <v>139</v>
      </c>
      <c r="F809" s="68">
        <v>169887</v>
      </c>
      <c r="G809" s="1">
        <v>24295</v>
      </c>
      <c r="H809" s="1">
        <v>2002</v>
      </c>
      <c r="I809" s="1"/>
      <c r="J809" s="36"/>
      <c r="K809" s="1"/>
      <c r="L809" s="1">
        <v>2</v>
      </c>
      <c r="M809" s="2">
        <v>81259</v>
      </c>
    </row>
    <row r="810" spans="2:13" outlineLevel="2">
      <c r="B810" s="40">
        <f t="shared" si="29"/>
        <v>347</v>
      </c>
      <c r="C810" s="41" t="s">
        <v>9</v>
      </c>
      <c r="D810" s="41"/>
      <c r="E810" s="41" t="s">
        <v>135</v>
      </c>
      <c r="F810" s="68">
        <v>1348286</v>
      </c>
      <c r="G810" s="1">
        <v>567417</v>
      </c>
      <c r="H810" s="1">
        <v>2021</v>
      </c>
      <c r="I810" s="1"/>
      <c r="J810" s="36"/>
      <c r="K810" s="1"/>
      <c r="L810" s="1">
        <v>19</v>
      </c>
      <c r="M810" s="2">
        <v>81247</v>
      </c>
    </row>
    <row r="811" spans="2:13" outlineLevel="2">
      <c r="B811" s="40">
        <f t="shared" si="29"/>
        <v>348</v>
      </c>
      <c r="C811" s="41" t="s">
        <v>9</v>
      </c>
      <c r="D811" s="41"/>
      <c r="E811" s="41" t="s">
        <v>133</v>
      </c>
      <c r="F811" s="68">
        <v>1268927</v>
      </c>
      <c r="G811" s="1">
        <v>547673</v>
      </c>
      <c r="H811" s="1">
        <v>2020</v>
      </c>
      <c r="I811" s="1"/>
      <c r="J811" s="36"/>
      <c r="K811" s="1"/>
      <c r="L811" s="1">
        <v>8</v>
      </c>
      <c r="M811" s="2">
        <v>81246</v>
      </c>
    </row>
    <row r="812" spans="2:13" outlineLevel="2">
      <c r="B812" s="40">
        <f t="shared" si="29"/>
        <v>349</v>
      </c>
      <c r="C812" s="41" t="s">
        <v>9</v>
      </c>
      <c r="D812" s="41"/>
      <c r="E812" s="41" t="s">
        <v>123</v>
      </c>
      <c r="F812" s="68">
        <v>3267</v>
      </c>
      <c r="G812" s="1">
        <v>215</v>
      </c>
      <c r="H812" s="1">
        <v>1992</v>
      </c>
      <c r="I812" s="1"/>
      <c r="J812" s="36"/>
      <c r="K812" s="1"/>
      <c r="L812" s="1">
        <v>25</v>
      </c>
      <c r="M812" s="2">
        <v>81838</v>
      </c>
    </row>
    <row r="813" spans="2:13" outlineLevel="2">
      <c r="B813" s="40">
        <f t="shared" si="29"/>
        <v>350</v>
      </c>
      <c r="C813" s="41" t="s">
        <v>9</v>
      </c>
      <c r="D813" s="41"/>
      <c r="E813" s="41" t="s">
        <v>132</v>
      </c>
      <c r="F813" s="68">
        <v>7749</v>
      </c>
      <c r="G813" s="1">
        <v>231091</v>
      </c>
      <c r="H813" s="1">
        <v>1996</v>
      </c>
      <c r="I813" s="1"/>
      <c r="J813" s="36"/>
      <c r="K813" s="1"/>
      <c r="L813" s="1">
        <v>2</v>
      </c>
      <c r="M813" s="2">
        <v>81725</v>
      </c>
    </row>
    <row r="814" spans="2:13" outlineLevel="2">
      <c r="B814" s="40">
        <f t="shared" si="29"/>
        <v>351</v>
      </c>
      <c r="C814" s="41" t="s">
        <v>9</v>
      </c>
      <c r="D814" s="41"/>
      <c r="E814" s="41" t="s">
        <v>126</v>
      </c>
      <c r="F814" s="68">
        <v>12958</v>
      </c>
      <c r="G814" s="1">
        <v>0</v>
      </c>
      <c r="H814" s="1">
        <v>1995</v>
      </c>
      <c r="I814" s="1"/>
      <c r="J814" s="36"/>
      <c r="K814" s="1"/>
      <c r="L814" s="1">
        <v>2</v>
      </c>
      <c r="M814" s="2">
        <v>81710</v>
      </c>
    </row>
    <row r="815" spans="2:13" outlineLevel="2">
      <c r="B815" s="40">
        <f t="shared" si="29"/>
        <v>352</v>
      </c>
      <c r="C815" s="41" t="s">
        <v>9</v>
      </c>
      <c r="D815" s="41"/>
      <c r="E815" s="41" t="s">
        <v>128</v>
      </c>
      <c r="F815" s="68">
        <v>133921</v>
      </c>
      <c r="G815" s="1">
        <v>227088</v>
      </c>
      <c r="H815" s="1">
        <v>2008</v>
      </c>
      <c r="I815" s="1"/>
      <c r="J815" s="36"/>
      <c r="K815" s="1"/>
      <c r="L815" s="1">
        <v>10</v>
      </c>
      <c r="M815" s="2">
        <v>35373</v>
      </c>
    </row>
    <row r="816" spans="2:13" outlineLevel="2">
      <c r="B816" s="40">
        <f t="shared" si="29"/>
        <v>353</v>
      </c>
      <c r="C816" s="41" t="s">
        <v>9</v>
      </c>
      <c r="D816" s="41"/>
      <c r="E816" s="41" t="s">
        <v>131</v>
      </c>
      <c r="F816" s="68">
        <v>136082</v>
      </c>
      <c r="G816" s="1">
        <v>19471</v>
      </c>
      <c r="H816" s="1">
        <v>2008</v>
      </c>
      <c r="I816" s="1"/>
      <c r="J816" s="36"/>
      <c r="K816" s="1"/>
      <c r="L816" s="1">
        <v>5</v>
      </c>
      <c r="M816" s="2">
        <v>35383</v>
      </c>
    </row>
    <row r="817" spans="2:13" outlineLevel="2">
      <c r="B817" s="40">
        <f t="shared" si="29"/>
        <v>354</v>
      </c>
      <c r="C817" s="41" t="s">
        <v>9</v>
      </c>
      <c r="D817" s="41"/>
      <c r="E817" s="41" t="s">
        <v>128</v>
      </c>
      <c r="F817" s="68">
        <v>1051733</v>
      </c>
      <c r="G817" s="1">
        <v>543039</v>
      </c>
      <c r="H817" s="1">
        <v>2018</v>
      </c>
      <c r="I817" s="1"/>
      <c r="J817" s="36"/>
      <c r="K817" s="1"/>
      <c r="L817" s="1">
        <v>929</v>
      </c>
      <c r="M817" s="2">
        <v>36335</v>
      </c>
    </row>
    <row r="818" spans="2:13" outlineLevel="2">
      <c r="B818" s="40">
        <f t="shared" si="29"/>
        <v>355</v>
      </c>
      <c r="C818" s="41" t="s">
        <v>9</v>
      </c>
      <c r="D818" s="41"/>
      <c r="E818" s="41" t="s">
        <v>128</v>
      </c>
      <c r="F818" s="68">
        <v>1080188</v>
      </c>
      <c r="G818" s="1">
        <v>64138</v>
      </c>
      <c r="H818" s="1">
        <v>2018</v>
      </c>
      <c r="I818" s="1"/>
      <c r="J818" s="36"/>
      <c r="K818" s="1"/>
      <c r="L818" s="1">
        <v>2</v>
      </c>
      <c r="M818" s="2">
        <v>36333</v>
      </c>
    </row>
    <row r="819" spans="2:13" outlineLevel="2">
      <c r="B819" s="40">
        <f t="shared" si="29"/>
        <v>356</v>
      </c>
      <c r="C819" s="41" t="s">
        <v>9</v>
      </c>
      <c r="D819" s="41"/>
      <c r="E819" s="41" t="s">
        <v>128</v>
      </c>
      <c r="F819" s="68">
        <v>988959</v>
      </c>
      <c r="G819" s="1">
        <v>56063</v>
      </c>
      <c r="H819" s="1">
        <v>2015</v>
      </c>
      <c r="I819" s="1"/>
      <c r="J819" s="36"/>
      <c r="K819" s="1"/>
      <c r="L819" s="1">
        <v>2</v>
      </c>
      <c r="M819" s="2">
        <v>36305</v>
      </c>
    </row>
    <row r="820" spans="2:13" outlineLevel="2">
      <c r="B820" s="40">
        <f t="shared" ref="B820:B883" si="30">ROW(A357)</f>
        <v>357</v>
      </c>
      <c r="C820" s="41" t="s">
        <v>9</v>
      </c>
      <c r="D820" s="41"/>
      <c r="E820" s="41" t="s">
        <v>128</v>
      </c>
      <c r="F820" s="68">
        <v>276870</v>
      </c>
      <c r="G820" s="1">
        <v>76463</v>
      </c>
      <c r="H820" s="1">
        <v>2004</v>
      </c>
      <c r="I820" s="1"/>
      <c r="J820" s="36"/>
      <c r="K820" s="1"/>
      <c r="L820" s="1">
        <v>378</v>
      </c>
      <c r="M820" s="2">
        <v>36337</v>
      </c>
    </row>
    <row r="821" spans="2:13" outlineLevel="2">
      <c r="B821" s="40">
        <f t="shared" si="30"/>
        <v>358</v>
      </c>
      <c r="C821" s="41" t="s">
        <v>9</v>
      </c>
      <c r="D821" s="41"/>
      <c r="E821" s="41" t="s">
        <v>130</v>
      </c>
      <c r="F821" s="68">
        <v>798464</v>
      </c>
      <c r="G821" s="1">
        <v>41613</v>
      </c>
      <c r="H821" s="1">
        <v>2012</v>
      </c>
      <c r="I821" s="1"/>
      <c r="J821" s="36"/>
      <c r="K821" s="1"/>
      <c r="L821" s="1">
        <v>22</v>
      </c>
      <c r="M821" s="2">
        <v>37041</v>
      </c>
    </row>
    <row r="822" spans="2:13" outlineLevel="2">
      <c r="B822" s="40">
        <f t="shared" si="30"/>
        <v>359</v>
      </c>
      <c r="C822" s="41" t="s">
        <v>9</v>
      </c>
      <c r="D822" s="41"/>
      <c r="E822" s="41" t="s">
        <v>166</v>
      </c>
      <c r="F822" s="68">
        <v>199941</v>
      </c>
      <c r="G822" s="1">
        <v>28628</v>
      </c>
      <c r="H822" s="1">
        <v>2003</v>
      </c>
      <c r="I822" s="1"/>
      <c r="J822" s="36"/>
      <c r="K822" s="1"/>
      <c r="L822" s="1">
        <v>23</v>
      </c>
      <c r="M822" s="2">
        <v>37112</v>
      </c>
    </row>
    <row r="823" spans="2:13" outlineLevel="2">
      <c r="B823" s="40">
        <f t="shared" si="30"/>
        <v>360</v>
      </c>
      <c r="C823" s="41" t="s">
        <v>9</v>
      </c>
      <c r="D823" s="41"/>
      <c r="E823" s="41" t="s">
        <v>127</v>
      </c>
      <c r="F823" s="68">
        <v>1034766</v>
      </c>
      <c r="G823" s="1">
        <v>60736</v>
      </c>
      <c r="H823" s="1">
        <v>2016</v>
      </c>
      <c r="I823" s="1"/>
      <c r="J823" s="36"/>
      <c r="K823" s="1"/>
      <c r="L823" s="1">
        <v>12</v>
      </c>
      <c r="M823" s="2">
        <v>38356</v>
      </c>
    </row>
    <row r="824" spans="2:13" outlineLevel="2">
      <c r="B824" s="40">
        <f t="shared" si="30"/>
        <v>361</v>
      </c>
      <c r="C824" s="41" t="s">
        <v>9</v>
      </c>
      <c r="D824" s="41"/>
      <c r="E824" s="41" t="s">
        <v>127</v>
      </c>
      <c r="F824" s="68">
        <v>943136</v>
      </c>
      <c r="G824" s="1">
        <v>52245</v>
      </c>
      <c r="H824" s="1">
        <v>2014</v>
      </c>
      <c r="I824" s="1"/>
      <c r="J824" s="36"/>
      <c r="K824" s="1"/>
      <c r="L824" s="1">
        <v>6</v>
      </c>
      <c r="M824" s="2">
        <v>38355</v>
      </c>
    </row>
    <row r="825" spans="2:13" outlineLevel="2">
      <c r="B825" s="40">
        <f t="shared" si="30"/>
        <v>362</v>
      </c>
      <c r="C825" s="41" t="s">
        <v>9</v>
      </c>
      <c r="D825" s="41"/>
      <c r="E825" s="41" t="s">
        <v>127</v>
      </c>
      <c r="F825" s="68">
        <v>1119610</v>
      </c>
      <c r="G825" s="1">
        <v>100300</v>
      </c>
      <c r="H825" s="1">
        <v>2017</v>
      </c>
      <c r="I825" s="1"/>
      <c r="J825" s="36"/>
      <c r="K825" s="1"/>
      <c r="L825" s="1">
        <v>8</v>
      </c>
      <c r="M825" s="2">
        <v>38354</v>
      </c>
    </row>
    <row r="826" spans="2:13" outlineLevel="2">
      <c r="B826" s="40">
        <f t="shared" si="30"/>
        <v>363</v>
      </c>
      <c r="C826" s="41" t="s">
        <v>9</v>
      </c>
      <c r="D826" s="41"/>
      <c r="E826" s="41" t="s">
        <v>127</v>
      </c>
      <c r="F826" s="68">
        <v>1171998</v>
      </c>
      <c r="G826" s="1">
        <v>542576</v>
      </c>
      <c r="H826" s="1">
        <v>2018</v>
      </c>
      <c r="I826" s="1"/>
      <c r="J826" s="36"/>
      <c r="K826" s="1"/>
      <c r="L826" s="1">
        <v>11</v>
      </c>
      <c r="M826" s="2">
        <v>38353</v>
      </c>
    </row>
    <row r="827" spans="2:13" outlineLevel="2">
      <c r="B827" s="40">
        <f t="shared" si="30"/>
        <v>364</v>
      </c>
      <c r="C827" s="41" t="s">
        <v>9</v>
      </c>
      <c r="D827" s="41"/>
      <c r="E827" s="41" t="s">
        <v>128</v>
      </c>
      <c r="F827" s="68">
        <v>927422</v>
      </c>
      <c r="G827" s="1">
        <v>54268</v>
      </c>
      <c r="H827" s="1">
        <v>2014</v>
      </c>
      <c r="I827" s="1"/>
      <c r="J827" s="36"/>
      <c r="K827" s="1"/>
      <c r="L827" s="1">
        <v>11</v>
      </c>
      <c r="M827" s="2">
        <v>38327</v>
      </c>
    </row>
    <row r="828" spans="2:13" outlineLevel="2">
      <c r="B828" s="40">
        <f t="shared" si="30"/>
        <v>365</v>
      </c>
      <c r="C828" s="41" t="s">
        <v>9</v>
      </c>
      <c r="D828" s="41"/>
      <c r="E828" s="41" t="s">
        <v>128</v>
      </c>
      <c r="F828" s="68">
        <v>1171216</v>
      </c>
      <c r="G828" s="1">
        <v>542430</v>
      </c>
      <c r="H828" s="1">
        <v>2018</v>
      </c>
      <c r="I828" s="1"/>
      <c r="J828" s="36"/>
      <c r="K828" s="1"/>
      <c r="L828" s="1">
        <v>14</v>
      </c>
      <c r="M828" s="2">
        <v>38331</v>
      </c>
    </row>
    <row r="829" spans="2:13" outlineLevel="2">
      <c r="B829" s="40">
        <f t="shared" si="30"/>
        <v>366</v>
      </c>
      <c r="C829" s="41" t="s">
        <v>9</v>
      </c>
      <c r="D829" s="41"/>
      <c r="E829" s="41" t="s">
        <v>128</v>
      </c>
      <c r="F829" s="68">
        <v>1131647</v>
      </c>
      <c r="G829" s="1">
        <v>106059</v>
      </c>
      <c r="H829" s="1">
        <v>2018</v>
      </c>
      <c r="I829" s="1"/>
      <c r="J829" s="36"/>
      <c r="K829" s="1"/>
      <c r="L829" s="1">
        <v>14</v>
      </c>
      <c r="M829" s="2">
        <v>38328</v>
      </c>
    </row>
    <row r="830" spans="2:13" outlineLevel="2">
      <c r="B830" s="40">
        <f t="shared" si="30"/>
        <v>367</v>
      </c>
      <c r="C830" s="41" t="s">
        <v>9</v>
      </c>
      <c r="D830" s="41"/>
      <c r="E830" s="41" t="s">
        <v>127</v>
      </c>
      <c r="F830" s="68">
        <v>1034758</v>
      </c>
      <c r="G830" s="1">
        <v>60728</v>
      </c>
      <c r="H830" s="1">
        <v>2016</v>
      </c>
      <c r="I830" s="1"/>
      <c r="J830" s="36"/>
      <c r="K830" s="1"/>
      <c r="L830" s="1">
        <v>8</v>
      </c>
      <c r="M830" s="2">
        <v>38945</v>
      </c>
    </row>
    <row r="831" spans="2:13" outlineLevel="2">
      <c r="B831" s="40">
        <f t="shared" si="30"/>
        <v>368</v>
      </c>
      <c r="C831" s="41" t="s">
        <v>9</v>
      </c>
      <c r="D831" s="41"/>
      <c r="E831" s="41" t="s">
        <v>127</v>
      </c>
      <c r="F831" s="68">
        <v>1042992901</v>
      </c>
      <c r="G831" s="1">
        <v>110292</v>
      </c>
      <c r="H831" s="1">
        <v>2018</v>
      </c>
      <c r="I831" s="1"/>
      <c r="J831" s="36"/>
      <c r="K831" s="1"/>
      <c r="L831" s="1">
        <v>9</v>
      </c>
      <c r="M831" s="2">
        <v>38941</v>
      </c>
    </row>
    <row r="832" spans="2:13" outlineLevel="2">
      <c r="B832" s="40">
        <f t="shared" si="30"/>
        <v>369</v>
      </c>
      <c r="C832" s="41" t="s">
        <v>9</v>
      </c>
      <c r="D832" s="41"/>
      <c r="E832" s="41" t="s">
        <v>127</v>
      </c>
      <c r="F832" s="68">
        <v>1119622</v>
      </c>
      <c r="G832" s="1">
        <v>100294</v>
      </c>
      <c r="H832" s="1">
        <v>2017</v>
      </c>
      <c r="I832" s="1"/>
      <c r="J832" s="36"/>
      <c r="K832" s="1"/>
      <c r="L832" s="1">
        <v>2</v>
      </c>
      <c r="M832" s="2">
        <v>39237</v>
      </c>
    </row>
    <row r="833" spans="2:13" outlineLevel="2">
      <c r="B833" s="40">
        <f t="shared" si="30"/>
        <v>370</v>
      </c>
      <c r="C833" s="41" t="s">
        <v>9</v>
      </c>
      <c r="D833" s="41"/>
      <c r="E833" s="41" t="s">
        <v>127</v>
      </c>
      <c r="F833" s="68">
        <v>1123051</v>
      </c>
      <c r="G833" s="1">
        <v>101321</v>
      </c>
      <c r="H833" s="1">
        <v>2018</v>
      </c>
      <c r="I833" s="1"/>
      <c r="J833" s="36"/>
      <c r="K833" s="1"/>
      <c r="L833" s="1">
        <v>14</v>
      </c>
      <c r="M833" s="2">
        <v>39212</v>
      </c>
    </row>
    <row r="834" spans="2:13" outlineLevel="2">
      <c r="B834" s="40">
        <f t="shared" si="30"/>
        <v>371</v>
      </c>
      <c r="C834" s="41" t="s">
        <v>9</v>
      </c>
      <c r="D834" s="41"/>
      <c r="E834" s="41" t="s">
        <v>127</v>
      </c>
      <c r="F834" s="68">
        <v>1220523</v>
      </c>
      <c r="G834" s="1">
        <v>545448</v>
      </c>
      <c r="H834" s="1">
        <v>2019</v>
      </c>
      <c r="I834" s="1"/>
      <c r="J834" s="36"/>
      <c r="K834" s="1"/>
      <c r="L834" s="1">
        <v>2</v>
      </c>
      <c r="M834" s="2">
        <v>39211</v>
      </c>
    </row>
    <row r="835" spans="2:13" outlineLevel="2">
      <c r="B835" s="40">
        <f t="shared" si="30"/>
        <v>372</v>
      </c>
      <c r="C835" s="41" t="s">
        <v>9</v>
      </c>
      <c r="D835" s="41"/>
      <c r="E835" s="41" t="s">
        <v>127</v>
      </c>
      <c r="F835" s="68">
        <v>1184897</v>
      </c>
      <c r="G835" s="1">
        <v>543231</v>
      </c>
      <c r="H835" s="1">
        <v>2018</v>
      </c>
      <c r="I835" s="1"/>
      <c r="J835" s="36"/>
      <c r="K835" s="1"/>
      <c r="L835" s="1">
        <v>9</v>
      </c>
      <c r="M835" s="2">
        <v>39238</v>
      </c>
    </row>
    <row r="836" spans="2:13" outlineLevel="2">
      <c r="B836" s="40">
        <f t="shared" si="30"/>
        <v>373</v>
      </c>
      <c r="C836" s="41" t="s">
        <v>9</v>
      </c>
      <c r="D836" s="41"/>
      <c r="E836" s="41" t="s">
        <v>127</v>
      </c>
      <c r="F836" s="68">
        <v>1034762</v>
      </c>
      <c r="G836" s="1">
        <v>60732</v>
      </c>
      <c r="H836" s="1">
        <v>2016</v>
      </c>
      <c r="I836" s="1"/>
      <c r="J836" s="36"/>
      <c r="K836" s="1"/>
      <c r="L836" s="1">
        <v>2</v>
      </c>
      <c r="M836" s="2">
        <v>39236</v>
      </c>
    </row>
    <row r="837" spans="2:13" outlineLevel="2">
      <c r="B837" s="40">
        <f t="shared" si="30"/>
        <v>374</v>
      </c>
      <c r="C837" s="41" t="s">
        <v>9</v>
      </c>
      <c r="D837" s="41"/>
      <c r="E837" s="41" t="s">
        <v>127</v>
      </c>
      <c r="F837" s="68">
        <v>662786</v>
      </c>
      <c r="G837" s="1">
        <v>91810</v>
      </c>
      <c r="H837" s="1">
        <v>2008</v>
      </c>
      <c r="I837" s="1"/>
      <c r="J837" s="36"/>
      <c r="K837" s="1"/>
      <c r="L837" s="1">
        <v>2</v>
      </c>
      <c r="M837" s="2">
        <v>39223</v>
      </c>
    </row>
    <row r="838" spans="2:13" outlineLevel="2">
      <c r="B838" s="40">
        <f t="shared" si="30"/>
        <v>375</v>
      </c>
      <c r="C838" s="41" t="s">
        <v>9</v>
      </c>
      <c r="D838" s="41"/>
      <c r="E838" s="41" t="s">
        <v>130</v>
      </c>
      <c r="F838" s="68">
        <v>199462</v>
      </c>
      <c r="G838" s="1">
        <v>90054</v>
      </c>
      <c r="H838" s="1">
        <v>2003</v>
      </c>
      <c r="I838" s="1"/>
      <c r="J838" s="36"/>
      <c r="K838" s="1"/>
      <c r="L838" s="1">
        <v>14</v>
      </c>
      <c r="M838" s="2">
        <v>39245</v>
      </c>
    </row>
    <row r="839" spans="2:13" outlineLevel="2">
      <c r="B839" s="40">
        <f t="shared" si="30"/>
        <v>376</v>
      </c>
      <c r="C839" s="41" t="s">
        <v>9</v>
      </c>
      <c r="D839" s="41"/>
      <c r="E839" s="41" t="s">
        <v>127</v>
      </c>
      <c r="F839" s="68">
        <v>1214776</v>
      </c>
      <c r="G839" s="1">
        <v>545066</v>
      </c>
      <c r="H839" s="1">
        <v>2019</v>
      </c>
      <c r="I839" s="1"/>
      <c r="J839" s="36"/>
      <c r="K839" s="1"/>
      <c r="L839" s="1">
        <v>10</v>
      </c>
      <c r="M839" s="2">
        <v>39228</v>
      </c>
    </row>
    <row r="840" spans="2:13" outlineLevel="2">
      <c r="B840" s="40">
        <f t="shared" si="30"/>
        <v>377</v>
      </c>
      <c r="C840" s="41" t="s">
        <v>9</v>
      </c>
      <c r="D840" s="41"/>
      <c r="E840" s="41" t="s">
        <v>127</v>
      </c>
      <c r="F840" s="68">
        <v>1181395</v>
      </c>
      <c r="G840" s="1">
        <v>542985</v>
      </c>
      <c r="H840" s="1">
        <v>2018</v>
      </c>
      <c r="I840" s="1"/>
      <c r="J840" s="36"/>
      <c r="K840" s="1"/>
      <c r="L840" s="1">
        <v>2</v>
      </c>
      <c r="M840" s="2">
        <v>40018</v>
      </c>
    </row>
    <row r="841" spans="2:13" outlineLevel="2">
      <c r="B841" s="40">
        <f t="shared" si="30"/>
        <v>378</v>
      </c>
      <c r="C841" s="41" t="s">
        <v>9</v>
      </c>
      <c r="D841" s="41"/>
      <c r="E841" s="41" t="s">
        <v>127</v>
      </c>
      <c r="F841" s="68">
        <v>1147784</v>
      </c>
      <c r="G841" s="1">
        <v>545898</v>
      </c>
      <c r="H841" s="1">
        <v>2018</v>
      </c>
      <c r="I841" s="1"/>
      <c r="J841" s="36"/>
      <c r="K841" s="1"/>
      <c r="L841" s="1">
        <v>2</v>
      </c>
      <c r="M841" s="2">
        <v>40016</v>
      </c>
    </row>
    <row r="842" spans="2:13" outlineLevel="2">
      <c r="B842" s="40">
        <f t="shared" si="30"/>
        <v>379</v>
      </c>
      <c r="C842" s="41" t="s">
        <v>9</v>
      </c>
      <c r="D842" s="41"/>
      <c r="E842" s="41" t="s">
        <v>127</v>
      </c>
      <c r="F842" s="68">
        <v>437833</v>
      </c>
      <c r="G842" s="1">
        <v>80218</v>
      </c>
      <c r="H842" s="1">
        <v>2013</v>
      </c>
      <c r="I842" s="1"/>
      <c r="J842" s="36"/>
      <c r="K842" s="1"/>
      <c r="L842" s="1">
        <v>43</v>
      </c>
      <c r="M842" s="2">
        <v>40031</v>
      </c>
    </row>
    <row r="843" spans="2:13" outlineLevel="2">
      <c r="B843" s="40">
        <f t="shared" si="30"/>
        <v>380</v>
      </c>
      <c r="C843" s="41" t="s">
        <v>9</v>
      </c>
      <c r="D843" s="41"/>
      <c r="E843" s="41" t="s">
        <v>127</v>
      </c>
      <c r="F843" s="68">
        <v>1173313</v>
      </c>
      <c r="G843" s="1">
        <v>542749</v>
      </c>
      <c r="H843" s="1">
        <v>2018</v>
      </c>
      <c r="I843" s="1"/>
      <c r="J843" s="36"/>
      <c r="K843" s="1"/>
      <c r="L843" s="1">
        <v>2</v>
      </c>
      <c r="M843" s="2">
        <v>40023</v>
      </c>
    </row>
    <row r="844" spans="2:13" outlineLevel="2">
      <c r="B844" s="40">
        <f t="shared" si="30"/>
        <v>381</v>
      </c>
      <c r="C844" s="41" t="s">
        <v>9</v>
      </c>
      <c r="D844" s="41"/>
      <c r="E844" s="41" t="s">
        <v>127</v>
      </c>
      <c r="F844" s="68">
        <v>1185084</v>
      </c>
      <c r="G844" s="1">
        <v>543141</v>
      </c>
      <c r="H844" s="1">
        <v>2018</v>
      </c>
      <c r="I844" s="1"/>
      <c r="J844" s="36"/>
      <c r="K844" s="1"/>
      <c r="L844" s="1">
        <v>34</v>
      </c>
      <c r="M844" s="2">
        <v>40022</v>
      </c>
    </row>
    <row r="845" spans="2:13" outlineLevel="2">
      <c r="B845" s="40">
        <f t="shared" si="30"/>
        <v>382</v>
      </c>
      <c r="C845" s="41" t="s">
        <v>9</v>
      </c>
      <c r="D845" s="41"/>
      <c r="E845" s="41" t="s">
        <v>127</v>
      </c>
      <c r="F845" s="68">
        <v>1028689</v>
      </c>
      <c r="G845" s="1">
        <v>60219</v>
      </c>
      <c r="H845" s="1">
        <v>2015</v>
      </c>
      <c r="I845" s="1"/>
      <c r="J845" s="36"/>
      <c r="K845" s="1"/>
      <c r="L845" s="1">
        <v>2</v>
      </c>
      <c r="M845" s="2">
        <v>40028</v>
      </c>
    </row>
    <row r="846" spans="2:13" outlineLevel="2">
      <c r="B846" s="40">
        <f t="shared" si="30"/>
        <v>383</v>
      </c>
      <c r="C846" s="41" t="s">
        <v>9</v>
      </c>
      <c r="D846" s="41"/>
      <c r="E846" s="41" t="s">
        <v>127</v>
      </c>
      <c r="F846" s="68">
        <v>1200679</v>
      </c>
      <c r="G846" s="1">
        <v>544112</v>
      </c>
      <c r="H846" s="1">
        <v>2019</v>
      </c>
      <c r="I846" s="1"/>
      <c r="J846" s="36"/>
      <c r="K846" s="1"/>
      <c r="L846" s="1">
        <v>5</v>
      </c>
      <c r="M846" s="2">
        <v>40115</v>
      </c>
    </row>
    <row r="847" spans="2:13" outlineLevel="2">
      <c r="B847" s="40">
        <f t="shared" si="30"/>
        <v>384</v>
      </c>
      <c r="C847" s="41" t="s">
        <v>9</v>
      </c>
      <c r="D847" s="41"/>
      <c r="E847" s="41" t="s">
        <v>131</v>
      </c>
      <c r="F847" s="68">
        <v>1291059</v>
      </c>
      <c r="G847" s="1">
        <v>568402</v>
      </c>
      <c r="H847" s="1">
        <v>2021</v>
      </c>
      <c r="I847" s="1"/>
      <c r="J847" s="36"/>
      <c r="K847" s="1"/>
      <c r="L847" s="1">
        <v>2</v>
      </c>
      <c r="M847" s="2">
        <v>48963</v>
      </c>
    </row>
    <row r="848" spans="2:13" outlineLevel="2">
      <c r="B848" s="40">
        <f t="shared" si="30"/>
        <v>385</v>
      </c>
      <c r="C848" s="41" t="s">
        <v>9</v>
      </c>
      <c r="D848" s="41"/>
      <c r="E848" s="41" t="s">
        <v>128</v>
      </c>
      <c r="F848" s="68">
        <v>197204</v>
      </c>
      <c r="G848" s="1">
        <v>99008</v>
      </c>
      <c r="H848" s="1">
        <v>2010</v>
      </c>
      <c r="I848" s="1"/>
      <c r="J848" s="36"/>
      <c r="K848" s="1"/>
      <c r="L848" s="1">
        <v>25</v>
      </c>
      <c r="M848" s="2">
        <v>40937</v>
      </c>
    </row>
    <row r="849" spans="2:13" outlineLevel="2">
      <c r="B849" s="40">
        <f t="shared" si="30"/>
        <v>386</v>
      </c>
      <c r="C849" s="41" t="s">
        <v>9</v>
      </c>
      <c r="D849" s="41"/>
      <c r="E849" s="41" t="s">
        <v>128</v>
      </c>
      <c r="F849" s="68">
        <v>276874</v>
      </c>
      <c r="G849" s="1">
        <v>76467</v>
      </c>
      <c r="H849" s="1">
        <v>2004</v>
      </c>
      <c r="I849" s="1"/>
      <c r="J849" s="36"/>
      <c r="K849" s="1"/>
      <c r="L849" s="1">
        <v>5</v>
      </c>
      <c r="M849" s="2">
        <v>40912</v>
      </c>
    </row>
    <row r="850" spans="2:13" outlineLevel="2">
      <c r="B850" s="40">
        <f t="shared" si="30"/>
        <v>387</v>
      </c>
      <c r="C850" s="41" t="s">
        <v>9</v>
      </c>
      <c r="D850" s="41"/>
      <c r="E850" s="41" t="s">
        <v>128</v>
      </c>
      <c r="F850" s="68">
        <v>199727</v>
      </c>
      <c r="G850" s="1">
        <v>75888</v>
      </c>
      <c r="H850" s="1">
        <v>2003</v>
      </c>
      <c r="I850" s="1"/>
      <c r="J850" s="36"/>
      <c r="K850" s="1"/>
      <c r="L850" s="1">
        <v>17</v>
      </c>
      <c r="M850" s="2">
        <v>41995</v>
      </c>
    </row>
    <row r="851" spans="2:13" outlineLevel="2">
      <c r="B851" s="40">
        <f t="shared" si="30"/>
        <v>388</v>
      </c>
      <c r="C851" s="41" t="s">
        <v>9</v>
      </c>
      <c r="D851" s="41"/>
      <c r="E851" s="41" t="s">
        <v>127</v>
      </c>
      <c r="F851" s="68">
        <v>1171986</v>
      </c>
      <c r="G851" s="1">
        <v>542564</v>
      </c>
      <c r="H851" s="1">
        <v>2018</v>
      </c>
      <c r="I851" s="1"/>
      <c r="J851" s="36"/>
      <c r="K851" s="1"/>
      <c r="L851" s="1">
        <v>12</v>
      </c>
      <c r="M851" s="2">
        <v>41229</v>
      </c>
    </row>
    <row r="852" spans="2:13" outlineLevel="2">
      <c r="B852" s="40">
        <f t="shared" si="30"/>
        <v>389</v>
      </c>
      <c r="C852" s="41" t="s">
        <v>9</v>
      </c>
      <c r="D852" s="41"/>
      <c r="E852" s="41" t="s">
        <v>127</v>
      </c>
      <c r="F852" s="68">
        <v>1205655</v>
      </c>
      <c r="G852" s="1">
        <v>544528</v>
      </c>
      <c r="H852" s="1">
        <v>2019</v>
      </c>
      <c r="I852" s="1"/>
      <c r="J852" s="36"/>
      <c r="K852" s="1"/>
      <c r="L852" s="1">
        <v>4</v>
      </c>
      <c r="M852" s="2">
        <v>41257</v>
      </c>
    </row>
    <row r="853" spans="2:13" outlineLevel="2">
      <c r="B853" s="40">
        <f t="shared" si="30"/>
        <v>390</v>
      </c>
      <c r="C853" s="41" t="s">
        <v>9</v>
      </c>
      <c r="D853" s="41"/>
      <c r="E853" s="41" t="s">
        <v>127</v>
      </c>
      <c r="F853" s="68">
        <v>846600</v>
      </c>
      <c r="G853" s="1">
        <v>48142</v>
      </c>
      <c r="H853" s="1">
        <v>2013</v>
      </c>
      <c r="I853" s="1"/>
      <c r="J853" s="36"/>
      <c r="K853" s="1"/>
      <c r="L853" s="1">
        <v>17</v>
      </c>
      <c r="M853" s="2">
        <v>41259</v>
      </c>
    </row>
    <row r="854" spans="2:13" outlineLevel="2">
      <c r="B854" s="40">
        <f t="shared" si="30"/>
        <v>391</v>
      </c>
      <c r="C854" s="41" t="s">
        <v>9</v>
      </c>
      <c r="D854" s="41"/>
      <c r="E854" s="41" t="s">
        <v>127</v>
      </c>
      <c r="F854" s="68">
        <v>1163872</v>
      </c>
      <c r="G854" s="1">
        <v>112080</v>
      </c>
      <c r="H854" s="1">
        <v>2018</v>
      </c>
      <c r="I854" s="1"/>
      <c r="J854" s="36"/>
      <c r="K854" s="1"/>
      <c r="L854" s="1">
        <v>19</v>
      </c>
      <c r="M854" s="2">
        <v>41260</v>
      </c>
    </row>
    <row r="855" spans="2:13" outlineLevel="2">
      <c r="B855" s="40">
        <f t="shared" si="30"/>
        <v>392</v>
      </c>
      <c r="C855" s="41" t="s">
        <v>9</v>
      </c>
      <c r="D855" s="41"/>
      <c r="E855" s="41" t="s">
        <v>128</v>
      </c>
      <c r="F855" s="68">
        <v>1275410</v>
      </c>
      <c r="G855" s="1">
        <v>548315</v>
      </c>
      <c r="H855" s="1">
        <v>2020</v>
      </c>
      <c r="I855" s="1"/>
      <c r="J855" s="36"/>
      <c r="K855" s="1"/>
      <c r="L855" s="1">
        <v>2</v>
      </c>
      <c r="M855" s="2">
        <v>41240</v>
      </c>
    </row>
    <row r="856" spans="2:13" outlineLevel="2">
      <c r="B856" s="40">
        <f t="shared" si="30"/>
        <v>393</v>
      </c>
      <c r="C856" s="41" t="s">
        <v>9</v>
      </c>
      <c r="D856" s="41"/>
      <c r="E856" s="41" t="s">
        <v>127</v>
      </c>
      <c r="F856" s="68">
        <v>1278019</v>
      </c>
      <c r="G856" s="1">
        <v>566639</v>
      </c>
      <c r="H856" s="1">
        <v>2021</v>
      </c>
      <c r="I856" s="1"/>
      <c r="J856" s="36"/>
      <c r="K856" s="1"/>
      <c r="L856" s="1">
        <v>5</v>
      </c>
      <c r="M856" s="2">
        <v>41241</v>
      </c>
    </row>
    <row r="857" spans="2:13" outlineLevel="2">
      <c r="B857" s="40">
        <f t="shared" si="30"/>
        <v>394</v>
      </c>
      <c r="C857" s="41" t="s">
        <v>9</v>
      </c>
      <c r="D857" s="41"/>
      <c r="E857" s="41" t="s">
        <v>128</v>
      </c>
      <c r="F857" s="68">
        <v>266733</v>
      </c>
      <c r="G857" s="1">
        <v>28788</v>
      </c>
      <c r="H857" s="1">
        <v>2014</v>
      </c>
      <c r="I857" s="1"/>
      <c r="J857" s="36"/>
      <c r="K857" s="1"/>
      <c r="L857" s="1">
        <v>4</v>
      </c>
      <c r="M857" s="2">
        <v>41252</v>
      </c>
    </row>
    <row r="858" spans="2:13" outlineLevel="2">
      <c r="B858" s="40">
        <f t="shared" si="30"/>
        <v>395</v>
      </c>
      <c r="C858" s="41" t="s">
        <v>9</v>
      </c>
      <c r="D858" s="41"/>
      <c r="E858" s="41" t="s">
        <v>131</v>
      </c>
      <c r="F858" s="68">
        <v>194263</v>
      </c>
      <c r="G858" s="1">
        <v>28159</v>
      </c>
      <c r="H858" s="1">
        <v>2002</v>
      </c>
      <c r="I858" s="1"/>
      <c r="J858" s="36"/>
      <c r="K858" s="1"/>
      <c r="L858" s="1">
        <v>16</v>
      </c>
      <c r="M858" s="2">
        <v>42836</v>
      </c>
    </row>
    <row r="859" spans="2:13" outlineLevel="2">
      <c r="B859" s="40">
        <f t="shared" si="30"/>
        <v>396</v>
      </c>
      <c r="C859" s="41" t="s">
        <v>9</v>
      </c>
      <c r="D859" s="41"/>
      <c r="E859" s="41" t="s">
        <v>130</v>
      </c>
      <c r="F859" s="68">
        <v>202300</v>
      </c>
      <c r="G859" s="1">
        <v>28559</v>
      </c>
      <c r="H859" s="1">
        <v>2003</v>
      </c>
      <c r="I859" s="1"/>
      <c r="J859" s="36"/>
      <c r="K859" s="1"/>
      <c r="L859" s="1">
        <v>15</v>
      </c>
      <c r="M859" s="2">
        <v>42798</v>
      </c>
    </row>
    <row r="860" spans="2:13" outlineLevel="2">
      <c r="B860" s="40">
        <f t="shared" si="30"/>
        <v>397</v>
      </c>
      <c r="C860" s="41" t="s">
        <v>9</v>
      </c>
      <c r="D860" s="41"/>
      <c r="E860" s="41" t="s">
        <v>130</v>
      </c>
      <c r="F860" s="68">
        <v>177022</v>
      </c>
      <c r="G860" s="1">
        <v>25626</v>
      </c>
      <c r="H860" s="1">
        <v>2001</v>
      </c>
      <c r="I860" s="1"/>
      <c r="J860" s="36"/>
      <c r="K860" s="1"/>
      <c r="L860" s="1">
        <v>30</v>
      </c>
      <c r="M860" s="2">
        <v>42812</v>
      </c>
    </row>
    <row r="861" spans="2:13" outlineLevel="2">
      <c r="B861" s="40">
        <f t="shared" si="30"/>
        <v>398</v>
      </c>
      <c r="C861" s="41" t="s">
        <v>9</v>
      </c>
      <c r="D861" s="41"/>
      <c r="E861" s="41" t="s">
        <v>167</v>
      </c>
      <c r="F861" s="68">
        <v>264736</v>
      </c>
      <c r="G861" s="1">
        <v>15618</v>
      </c>
      <c r="H861" s="1">
        <v>2003</v>
      </c>
      <c r="I861" s="1"/>
      <c r="J861" s="36"/>
      <c r="K861" s="1"/>
      <c r="L861" s="1">
        <v>2</v>
      </c>
      <c r="M861" s="2">
        <v>42835</v>
      </c>
    </row>
    <row r="862" spans="2:13" outlineLevel="2">
      <c r="B862" s="40">
        <f t="shared" si="30"/>
        <v>399</v>
      </c>
      <c r="C862" s="41" t="s">
        <v>9</v>
      </c>
      <c r="D862" s="41"/>
      <c r="E862" s="41" t="s">
        <v>130</v>
      </c>
      <c r="F862" s="68">
        <v>2007087</v>
      </c>
      <c r="G862" s="1">
        <v>202076</v>
      </c>
      <c r="H862" s="1">
        <v>2010</v>
      </c>
      <c r="I862" s="1"/>
      <c r="J862" s="36"/>
      <c r="K862" s="1"/>
      <c r="L862" s="1">
        <v>42</v>
      </c>
      <c r="M862" s="2">
        <v>42818</v>
      </c>
    </row>
    <row r="863" spans="2:13" outlineLevel="2">
      <c r="B863" s="40">
        <f t="shared" si="30"/>
        <v>400</v>
      </c>
      <c r="C863" s="41" t="s">
        <v>9</v>
      </c>
      <c r="D863" s="41"/>
      <c r="E863" s="41" t="s">
        <v>167</v>
      </c>
      <c r="F863" s="68">
        <v>264757</v>
      </c>
      <c r="G863" s="1">
        <v>76014</v>
      </c>
      <c r="H863" s="1">
        <v>2003</v>
      </c>
      <c r="I863" s="1"/>
      <c r="J863" s="36"/>
      <c r="K863" s="1"/>
      <c r="L863" s="1">
        <v>2</v>
      </c>
      <c r="M863" s="2">
        <v>42790</v>
      </c>
    </row>
    <row r="864" spans="2:13" outlineLevel="2">
      <c r="B864" s="40">
        <f t="shared" si="30"/>
        <v>401</v>
      </c>
      <c r="C864" s="41" t="s">
        <v>9</v>
      </c>
      <c r="D864" s="41"/>
      <c r="E864" s="41" t="s">
        <v>127</v>
      </c>
      <c r="F864" s="68">
        <v>1214717</v>
      </c>
      <c r="G864" s="1">
        <v>545007</v>
      </c>
      <c r="H864" s="1">
        <v>2019</v>
      </c>
      <c r="I864" s="1"/>
      <c r="J864" s="36"/>
      <c r="K864" s="1"/>
      <c r="L864" s="1">
        <v>4</v>
      </c>
      <c r="M864" s="2">
        <v>42834</v>
      </c>
    </row>
    <row r="865" spans="2:13" outlineLevel="2">
      <c r="B865" s="40">
        <f t="shared" si="30"/>
        <v>402</v>
      </c>
      <c r="C865" s="41" t="s">
        <v>9</v>
      </c>
      <c r="D865" s="41"/>
      <c r="E865" s="41" t="s">
        <v>127</v>
      </c>
      <c r="F865" s="68">
        <v>1090430</v>
      </c>
      <c r="G865" s="1">
        <v>65588</v>
      </c>
      <c r="H865" s="1">
        <v>2017</v>
      </c>
      <c r="I865" s="1"/>
      <c r="J865" s="36"/>
      <c r="K865" s="1"/>
      <c r="L865" s="1">
        <v>11</v>
      </c>
      <c r="M865" s="2">
        <v>45321</v>
      </c>
    </row>
    <row r="866" spans="2:13" outlineLevel="2">
      <c r="B866" s="40">
        <f t="shared" si="30"/>
        <v>403</v>
      </c>
      <c r="C866" s="41" t="s">
        <v>9</v>
      </c>
      <c r="D866" s="41"/>
      <c r="E866" s="41" t="s">
        <v>130</v>
      </c>
      <c r="F866" s="68">
        <v>194209</v>
      </c>
      <c r="G866" s="1">
        <v>28105</v>
      </c>
      <c r="H866" s="1">
        <v>2002</v>
      </c>
      <c r="I866" s="1"/>
      <c r="J866" s="36"/>
      <c r="K866" s="1"/>
      <c r="L866" s="1">
        <v>18</v>
      </c>
      <c r="M866" s="2">
        <v>45326</v>
      </c>
    </row>
    <row r="867" spans="2:13" outlineLevel="2">
      <c r="B867" s="40">
        <f t="shared" si="30"/>
        <v>404</v>
      </c>
      <c r="C867" s="41" t="s">
        <v>9</v>
      </c>
      <c r="D867" s="41"/>
      <c r="E867" s="41" t="s">
        <v>128</v>
      </c>
      <c r="F867" s="68">
        <v>197386</v>
      </c>
      <c r="G867" s="1">
        <v>28213</v>
      </c>
      <c r="H867" s="1">
        <v>2003</v>
      </c>
      <c r="I867" s="1"/>
      <c r="J867" s="36"/>
      <c r="K867" s="1"/>
      <c r="L867" s="1">
        <v>6</v>
      </c>
      <c r="M867" s="2">
        <v>45331</v>
      </c>
    </row>
    <row r="868" spans="2:13" outlineLevel="2">
      <c r="B868" s="40">
        <f t="shared" si="30"/>
        <v>405</v>
      </c>
      <c r="C868" s="41" t="s">
        <v>9</v>
      </c>
      <c r="D868" s="41"/>
      <c r="E868" s="41" t="s">
        <v>127</v>
      </c>
      <c r="F868" s="68">
        <v>184195</v>
      </c>
      <c r="G868" s="1">
        <v>70966</v>
      </c>
      <c r="H868" s="1">
        <v>2001</v>
      </c>
      <c r="I868" s="1"/>
      <c r="J868" s="36"/>
      <c r="K868" s="1"/>
      <c r="L868" s="1">
        <v>16</v>
      </c>
      <c r="M868" s="2">
        <v>45310</v>
      </c>
    </row>
    <row r="869" spans="2:13" outlineLevel="2">
      <c r="B869" s="40">
        <f t="shared" si="30"/>
        <v>406</v>
      </c>
      <c r="C869" s="41" t="s">
        <v>9</v>
      </c>
      <c r="D869" s="41"/>
      <c r="E869" s="41" t="s">
        <v>130</v>
      </c>
      <c r="F869" s="68">
        <v>2001923</v>
      </c>
      <c r="G869" s="1">
        <v>22009</v>
      </c>
      <c r="H869" s="1">
        <v>2002</v>
      </c>
      <c r="I869" s="1"/>
      <c r="J869" s="36"/>
      <c r="K869" s="1"/>
      <c r="L869" s="1">
        <v>32</v>
      </c>
      <c r="M869" s="2">
        <v>45319</v>
      </c>
    </row>
    <row r="870" spans="2:13" outlineLevel="2">
      <c r="B870" s="40">
        <f t="shared" si="30"/>
        <v>407</v>
      </c>
      <c r="C870" s="41" t="s">
        <v>9</v>
      </c>
      <c r="D870" s="41"/>
      <c r="E870" s="41" t="s">
        <v>128</v>
      </c>
      <c r="F870" s="68">
        <v>1085272</v>
      </c>
      <c r="G870" s="1">
        <v>67014</v>
      </c>
      <c r="H870" s="1">
        <v>2017</v>
      </c>
      <c r="I870" s="1"/>
      <c r="J870" s="36"/>
      <c r="K870" s="1"/>
      <c r="L870" s="1">
        <v>7</v>
      </c>
      <c r="M870" s="2">
        <v>45318</v>
      </c>
    </row>
    <row r="871" spans="2:13" outlineLevel="2">
      <c r="B871" s="40">
        <f t="shared" si="30"/>
        <v>408</v>
      </c>
      <c r="C871" s="41" t="s">
        <v>9</v>
      </c>
      <c r="D871" s="41"/>
      <c r="E871" s="41" t="s">
        <v>127</v>
      </c>
      <c r="F871" s="68">
        <v>1126499</v>
      </c>
      <c r="G871" s="1">
        <v>104847</v>
      </c>
      <c r="H871" s="1">
        <v>2018</v>
      </c>
      <c r="I871" s="1"/>
      <c r="J871" s="36"/>
      <c r="K871" s="1"/>
      <c r="L871" s="1">
        <v>4</v>
      </c>
      <c r="M871" s="2">
        <v>45324</v>
      </c>
    </row>
    <row r="872" spans="2:13" outlineLevel="2">
      <c r="B872" s="40">
        <f t="shared" si="30"/>
        <v>409</v>
      </c>
      <c r="C872" s="41" t="s">
        <v>9</v>
      </c>
      <c r="D872" s="41"/>
      <c r="E872" s="41" t="s">
        <v>128</v>
      </c>
      <c r="F872" s="68">
        <v>145003</v>
      </c>
      <c r="G872" s="1">
        <v>21886</v>
      </c>
      <c r="H872" s="1">
        <v>2002</v>
      </c>
      <c r="I872" s="1"/>
      <c r="J872" s="36"/>
      <c r="K872" s="1"/>
      <c r="L872" s="1">
        <v>18</v>
      </c>
      <c r="M872" s="2">
        <v>45323</v>
      </c>
    </row>
    <row r="873" spans="2:13" outlineLevel="2">
      <c r="B873" s="40">
        <f t="shared" si="30"/>
        <v>410</v>
      </c>
      <c r="C873" s="41" t="s">
        <v>9</v>
      </c>
      <c r="D873" s="41"/>
      <c r="E873" s="41" t="s">
        <v>127</v>
      </c>
      <c r="F873" s="68">
        <v>836234</v>
      </c>
      <c r="G873" s="1">
        <v>46615</v>
      </c>
      <c r="H873" s="1">
        <v>2013</v>
      </c>
      <c r="I873" s="1"/>
      <c r="J873" s="36"/>
      <c r="K873" s="1"/>
      <c r="L873" s="1">
        <v>6</v>
      </c>
      <c r="M873" s="2">
        <v>45305</v>
      </c>
    </row>
    <row r="874" spans="2:13" outlineLevel="2">
      <c r="B874" s="40">
        <f t="shared" si="30"/>
        <v>411</v>
      </c>
      <c r="C874" s="41" t="s">
        <v>9</v>
      </c>
      <c r="D874" s="41"/>
      <c r="E874" s="41" t="s">
        <v>131</v>
      </c>
      <c r="F874" s="68">
        <v>1304634</v>
      </c>
      <c r="G874" s="1">
        <v>565149</v>
      </c>
      <c r="H874" s="1">
        <v>2020</v>
      </c>
      <c r="I874" s="1"/>
      <c r="J874" s="36"/>
      <c r="K874" s="1"/>
      <c r="L874" s="1">
        <v>3</v>
      </c>
      <c r="M874" s="2">
        <v>45333</v>
      </c>
    </row>
    <row r="875" spans="2:13" outlineLevel="2">
      <c r="B875" s="40">
        <f t="shared" si="30"/>
        <v>412</v>
      </c>
      <c r="C875" s="41" t="s">
        <v>9</v>
      </c>
      <c r="D875" s="41"/>
      <c r="E875" s="41" t="s">
        <v>131</v>
      </c>
      <c r="F875" s="68">
        <v>1291056</v>
      </c>
      <c r="G875" s="1">
        <v>568399</v>
      </c>
      <c r="H875" s="1">
        <v>2021</v>
      </c>
      <c r="I875" s="1"/>
      <c r="J875" s="36"/>
      <c r="K875" s="1"/>
      <c r="L875" s="1">
        <v>2</v>
      </c>
      <c r="M875" s="2">
        <v>45317</v>
      </c>
    </row>
    <row r="876" spans="2:13" outlineLevel="2">
      <c r="B876" s="40">
        <f t="shared" si="30"/>
        <v>413</v>
      </c>
      <c r="C876" s="41" t="s">
        <v>9</v>
      </c>
      <c r="D876" s="41"/>
      <c r="E876" s="41" t="s">
        <v>131</v>
      </c>
      <c r="F876" s="68">
        <v>90328</v>
      </c>
      <c r="G876" s="1">
        <v>102331</v>
      </c>
      <c r="H876" s="1">
        <v>2008</v>
      </c>
      <c r="I876" s="1"/>
      <c r="J876" s="36"/>
      <c r="K876" s="1"/>
      <c r="L876" s="1">
        <v>2</v>
      </c>
      <c r="M876" s="2">
        <v>45302</v>
      </c>
    </row>
    <row r="877" spans="2:13" outlineLevel="2">
      <c r="B877" s="40">
        <f t="shared" si="30"/>
        <v>414</v>
      </c>
      <c r="C877" s="41" t="s">
        <v>9</v>
      </c>
      <c r="D877" s="41"/>
      <c r="E877" s="41" t="s">
        <v>131</v>
      </c>
      <c r="F877" s="68">
        <v>1041815627</v>
      </c>
      <c r="G877" s="1">
        <v>103109</v>
      </c>
      <c r="H877" s="1">
        <v>2018</v>
      </c>
      <c r="I877" s="1"/>
      <c r="J877" s="36"/>
      <c r="K877" s="1"/>
      <c r="L877" s="1">
        <v>24</v>
      </c>
      <c r="M877" s="2">
        <v>57477</v>
      </c>
    </row>
    <row r="878" spans="2:13" outlineLevel="2">
      <c r="B878" s="40">
        <f t="shared" si="30"/>
        <v>415</v>
      </c>
      <c r="C878" s="41" t="s">
        <v>9</v>
      </c>
      <c r="D878" s="41"/>
      <c r="E878" s="41" t="s">
        <v>167</v>
      </c>
      <c r="F878" s="68">
        <v>334513</v>
      </c>
      <c r="G878" s="1">
        <v>79189</v>
      </c>
      <c r="H878" s="1">
        <v>2005</v>
      </c>
      <c r="I878" s="1"/>
      <c r="J878" s="36"/>
      <c r="K878" s="1"/>
      <c r="L878" s="1">
        <v>15</v>
      </c>
      <c r="M878" s="2">
        <v>57479</v>
      </c>
    </row>
    <row r="879" spans="2:13" outlineLevel="2">
      <c r="B879" s="40">
        <f t="shared" si="30"/>
        <v>416</v>
      </c>
      <c r="C879" s="41" t="s">
        <v>9</v>
      </c>
      <c r="D879" s="41"/>
      <c r="E879" s="41" t="s">
        <v>167</v>
      </c>
      <c r="F879" s="68">
        <v>394921</v>
      </c>
      <c r="G879" s="1">
        <v>62016</v>
      </c>
      <c r="H879" s="1">
        <v>2016</v>
      </c>
      <c r="I879" s="1"/>
      <c r="J879" s="36"/>
      <c r="K879" s="1"/>
      <c r="L879" s="1">
        <v>4</v>
      </c>
      <c r="M879" s="2">
        <v>57480</v>
      </c>
    </row>
    <row r="880" spans="2:13" outlineLevel="2">
      <c r="B880" s="40">
        <f t="shared" si="30"/>
        <v>417</v>
      </c>
      <c r="C880" s="41" t="s">
        <v>9</v>
      </c>
      <c r="D880" s="41"/>
      <c r="E880" s="41" t="s">
        <v>167</v>
      </c>
      <c r="F880" s="68">
        <v>628961</v>
      </c>
      <c r="G880" s="1">
        <v>88776</v>
      </c>
      <c r="H880" s="1">
        <v>2008</v>
      </c>
      <c r="I880" s="1"/>
      <c r="J880" s="36"/>
      <c r="K880" s="1"/>
      <c r="L880" s="1">
        <v>28</v>
      </c>
      <c r="M880" s="2">
        <v>57481</v>
      </c>
    </row>
    <row r="881" spans="2:13" outlineLevel="2">
      <c r="B881" s="40">
        <f t="shared" si="30"/>
        <v>418</v>
      </c>
      <c r="C881" s="41" t="s">
        <v>9</v>
      </c>
      <c r="D881" s="41"/>
      <c r="E881" s="41" t="s">
        <v>167</v>
      </c>
      <c r="F881" s="68">
        <v>278401</v>
      </c>
      <c r="G881" s="1">
        <v>76227</v>
      </c>
      <c r="H881" s="1">
        <v>2001</v>
      </c>
      <c r="I881" s="1"/>
      <c r="J881" s="36"/>
      <c r="K881" s="1"/>
      <c r="L881" s="1">
        <v>16</v>
      </c>
      <c r="M881" s="2">
        <v>57482</v>
      </c>
    </row>
    <row r="882" spans="2:13" outlineLevel="2">
      <c r="B882" s="40">
        <f t="shared" si="30"/>
        <v>419</v>
      </c>
      <c r="C882" s="41" t="s">
        <v>9</v>
      </c>
      <c r="D882" s="41"/>
      <c r="E882" s="41" t="s">
        <v>129</v>
      </c>
      <c r="F882" s="68">
        <v>1200724</v>
      </c>
      <c r="G882" s="1">
        <v>544157</v>
      </c>
      <c r="H882" s="1">
        <v>2019</v>
      </c>
      <c r="I882" s="1"/>
      <c r="J882" s="36"/>
      <c r="K882" s="1"/>
      <c r="L882" s="1">
        <v>17</v>
      </c>
      <c r="M882" s="2">
        <v>57484</v>
      </c>
    </row>
    <row r="883" spans="2:13" outlineLevel="2">
      <c r="B883" s="40">
        <f t="shared" si="30"/>
        <v>420</v>
      </c>
      <c r="C883" s="41" t="s">
        <v>9</v>
      </c>
      <c r="D883" s="41"/>
      <c r="E883" s="41" t="s">
        <v>129</v>
      </c>
      <c r="F883" s="68">
        <v>1214704</v>
      </c>
      <c r="G883" s="1">
        <v>544994</v>
      </c>
      <c r="H883" s="1">
        <v>2019</v>
      </c>
      <c r="I883" s="1"/>
      <c r="J883" s="36"/>
      <c r="K883" s="1"/>
      <c r="L883" s="1">
        <v>25</v>
      </c>
      <c r="M883" s="2">
        <v>57485</v>
      </c>
    </row>
    <row r="884" spans="2:13" outlineLevel="2">
      <c r="B884" s="40">
        <f t="shared" ref="B884:B919" si="31">ROW(A421)</f>
        <v>421</v>
      </c>
      <c r="C884" s="41" t="s">
        <v>9</v>
      </c>
      <c r="D884" s="41"/>
      <c r="E884" s="41" t="s">
        <v>127</v>
      </c>
      <c r="F884" s="68">
        <v>1093548</v>
      </c>
      <c r="G884" s="1">
        <v>65689</v>
      </c>
      <c r="H884" s="1">
        <v>2017</v>
      </c>
      <c r="I884" s="1"/>
      <c r="J884" s="36"/>
      <c r="K884" s="1"/>
      <c r="L884" s="1">
        <v>3</v>
      </c>
      <c r="M884" s="2">
        <v>57486</v>
      </c>
    </row>
    <row r="885" spans="2:13" outlineLevel="2">
      <c r="B885" s="40">
        <f t="shared" si="31"/>
        <v>422</v>
      </c>
      <c r="C885" s="41" t="s">
        <v>9</v>
      </c>
      <c r="D885" s="41"/>
      <c r="E885" s="41" t="s">
        <v>127</v>
      </c>
      <c r="F885" s="68">
        <v>1179602</v>
      </c>
      <c r="G885" s="1">
        <v>543097</v>
      </c>
      <c r="H885" s="1">
        <v>2018</v>
      </c>
      <c r="I885" s="1"/>
      <c r="J885" s="36"/>
      <c r="K885" s="1"/>
      <c r="L885" s="1">
        <v>2</v>
      </c>
      <c r="M885" s="2">
        <v>57487</v>
      </c>
    </row>
    <row r="886" spans="2:13" outlineLevel="2">
      <c r="B886" s="40">
        <f t="shared" si="31"/>
        <v>423</v>
      </c>
      <c r="C886" s="41" t="s">
        <v>9</v>
      </c>
      <c r="D886" s="41"/>
      <c r="E886" s="41" t="s">
        <v>127</v>
      </c>
      <c r="F886" s="68">
        <v>1093540</v>
      </c>
      <c r="G886" s="1">
        <v>65681</v>
      </c>
      <c r="H886" s="1">
        <v>2017</v>
      </c>
      <c r="I886" s="1"/>
      <c r="J886" s="36"/>
      <c r="K886" s="1"/>
      <c r="L886" s="1">
        <v>2</v>
      </c>
      <c r="M886" s="2">
        <v>57488</v>
      </c>
    </row>
    <row r="887" spans="2:13" outlineLevel="2">
      <c r="B887" s="40">
        <f t="shared" si="31"/>
        <v>424</v>
      </c>
      <c r="C887" s="41" t="s">
        <v>9</v>
      </c>
      <c r="D887" s="41"/>
      <c r="E887" s="41" t="s">
        <v>127</v>
      </c>
      <c r="F887" s="68">
        <v>846594</v>
      </c>
      <c r="G887" s="1">
        <v>48136</v>
      </c>
      <c r="H887" s="1">
        <v>2013</v>
      </c>
      <c r="I887" s="1"/>
      <c r="J887" s="36"/>
      <c r="K887" s="1"/>
      <c r="L887" s="1">
        <v>2</v>
      </c>
      <c r="M887" s="2">
        <v>57489</v>
      </c>
    </row>
    <row r="888" spans="2:13" outlineLevel="2">
      <c r="B888" s="40">
        <f t="shared" si="31"/>
        <v>425</v>
      </c>
      <c r="C888" s="41" t="s">
        <v>9</v>
      </c>
      <c r="D888" s="41"/>
      <c r="E888" s="41" t="s">
        <v>127</v>
      </c>
      <c r="F888" s="68">
        <v>450527</v>
      </c>
      <c r="G888" s="1">
        <v>78566</v>
      </c>
      <c r="H888" s="1">
        <v>2005</v>
      </c>
      <c r="I888" s="1"/>
      <c r="J888" s="36"/>
      <c r="K888" s="1"/>
      <c r="L888" s="1">
        <v>39</v>
      </c>
      <c r="M888" s="2">
        <v>57490</v>
      </c>
    </row>
    <row r="889" spans="2:13" outlineLevel="2">
      <c r="B889" s="40">
        <f t="shared" si="31"/>
        <v>426</v>
      </c>
      <c r="C889" s="41" t="s">
        <v>9</v>
      </c>
      <c r="D889" s="41"/>
      <c r="E889" s="41" t="s">
        <v>128</v>
      </c>
      <c r="F889" s="68">
        <v>1219889</v>
      </c>
      <c r="G889" s="1">
        <v>547802</v>
      </c>
      <c r="H889" s="1">
        <v>2020</v>
      </c>
      <c r="I889" s="1"/>
      <c r="J889" s="36"/>
      <c r="K889" s="1"/>
      <c r="L889" s="1">
        <v>41</v>
      </c>
      <c r="M889" s="2">
        <v>57491</v>
      </c>
    </row>
    <row r="890" spans="2:13" outlineLevel="2">
      <c r="B890" s="40">
        <f t="shared" si="31"/>
        <v>427</v>
      </c>
      <c r="C890" s="41" t="s">
        <v>9</v>
      </c>
      <c r="D890" s="41"/>
      <c r="E890" s="41" t="s">
        <v>128</v>
      </c>
      <c r="F890" s="68">
        <v>1303194</v>
      </c>
      <c r="G890" s="1">
        <v>565041</v>
      </c>
      <c r="H890" s="1">
        <v>2020</v>
      </c>
      <c r="I890" s="1"/>
      <c r="J890" s="36"/>
      <c r="K890" s="1"/>
      <c r="L890" s="1">
        <v>26</v>
      </c>
      <c r="M890" s="2">
        <v>57492</v>
      </c>
    </row>
    <row r="891" spans="2:13" outlineLevel="2">
      <c r="B891" s="40">
        <f t="shared" si="31"/>
        <v>428</v>
      </c>
      <c r="C891" s="41" t="s">
        <v>9</v>
      </c>
      <c r="D891" s="41"/>
      <c r="E891" s="41" t="s">
        <v>128</v>
      </c>
      <c r="F891" s="68">
        <v>776169</v>
      </c>
      <c r="G891" s="1">
        <v>43373</v>
      </c>
      <c r="H891" s="1">
        <v>2012</v>
      </c>
      <c r="I891" s="1"/>
      <c r="J891" s="36"/>
      <c r="K891" s="1"/>
      <c r="L891" s="1">
        <v>45</v>
      </c>
      <c r="M891" s="2">
        <v>57493</v>
      </c>
    </row>
    <row r="892" spans="2:13" outlineLevel="2">
      <c r="B892" s="40">
        <f t="shared" si="31"/>
        <v>429</v>
      </c>
      <c r="C892" s="41" t="s">
        <v>9</v>
      </c>
      <c r="D892" s="41"/>
      <c r="E892" s="41" t="s">
        <v>128</v>
      </c>
      <c r="F892" s="68">
        <v>1073587</v>
      </c>
      <c r="G892" s="1">
        <v>63562</v>
      </c>
      <c r="H892" s="1">
        <v>2017</v>
      </c>
      <c r="I892" s="1"/>
      <c r="J892" s="36"/>
      <c r="K892" s="1"/>
      <c r="L892" s="1">
        <v>26</v>
      </c>
      <c r="M892" s="2">
        <v>57494</v>
      </c>
    </row>
    <row r="893" spans="2:13" outlineLevel="2">
      <c r="B893" s="40">
        <f t="shared" si="31"/>
        <v>430</v>
      </c>
      <c r="C893" s="41" t="s">
        <v>9</v>
      </c>
      <c r="D893" s="41"/>
      <c r="E893" s="41" t="s">
        <v>128</v>
      </c>
      <c r="F893" s="68">
        <v>1116793</v>
      </c>
      <c r="G893" s="1">
        <v>100466</v>
      </c>
      <c r="H893" s="1">
        <v>2017</v>
      </c>
      <c r="I893" s="1"/>
      <c r="J893" s="36"/>
      <c r="K893" s="1"/>
      <c r="L893" s="1">
        <v>4</v>
      </c>
      <c r="M893" s="2">
        <v>57495</v>
      </c>
    </row>
    <row r="894" spans="2:13" outlineLevel="2">
      <c r="B894" s="40">
        <f t="shared" si="31"/>
        <v>431</v>
      </c>
      <c r="C894" s="41" t="s">
        <v>9</v>
      </c>
      <c r="D894" s="41"/>
      <c r="E894" s="41" t="s">
        <v>128</v>
      </c>
      <c r="F894" s="68">
        <v>375877</v>
      </c>
      <c r="G894" s="1">
        <v>61834</v>
      </c>
      <c r="H894" s="1">
        <v>2016</v>
      </c>
      <c r="I894" s="1"/>
      <c r="J894" s="36"/>
      <c r="K894" s="1"/>
      <c r="L894" s="1">
        <v>25</v>
      </c>
      <c r="M894" s="2">
        <v>57496</v>
      </c>
    </row>
    <row r="895" spans="2:13" outlineLevel="2">
      <c r="B895" s="40">
        <f t="shared" si="31"/>
        <v>432</v>
      </c>
      <c r="C895" s="41" t="s">
        <v>9</v>
      </c>
      <c r="D895" s="41"/>
      <c r="E895" s="41" t="s">
        <v>128</v>
      </c>
      <c r="F895" s="68">
        <v>1284800</v>
      </c>
      <c r="G895" s="1">
        <v>567868</v>
      </c>
      <c r="H895" s="1">
        <v>2021</v>
      </c>
      <c r="I895" s="1"/>
      <c r="J895" s="36"/>
      <c r="K895" s="1"/>
      <c r="L895" s="1">
        <v>34</v>
      </c>
      <c r="M895" s="2">
        <v>57497</v>
      </c>
    </row>
    <row r="896" spans="2:13" outlineLevel="2">
      <c r="B896" s="40">
        <f t="shared" si="31"/>
        <v>433</v>
      </c>
      <c r="C896" s="41" t="s">
        <v>9</v>
      </c>
      <c r="D896" s="41"/>
      <c r="E896" s="41" t="s">
        <v>130</v>
      </c>
      <c r="F896" s="68">
        <v>1293216</v>
      </c>
      <c r="G896" s="1">
        <v>564317</v>
      </c>
      <c r="H896" s="1">
        <v>2020</v>
      </c>
      <c r="I896" s="1"/>
      <c r="J896" s="36"/>
      <c r="K896" s="1"/>
      <c r="L896" s="1">
        <v>29</v>
      </c>
      <c r="M896" s="2">
        <v>57498</v>
      </c>
    </row>
    <row r="897" spans="2:13" outlineLevel="2">
      <c r="B897" s="40">
        <f t="shared" si="31"/>
        <v>434</v>
      </c>
      <c r="C897" s="41" t="s">
        <v>9</v>
      </c>
      <c r="D897" s="41"/>
      <c r="E897" s="41" t="s">
        <v>130</v>
      </c>
      <c r="F897" s="68">
        <v>404360</v>
      </c>
      <c r="G897" s="1">
        <v>63710</v>
      </c>
      <c r="H897" s="1">
        <v>2016</v>
      </c>
      <c r="I897" s="1"/>
      <c r="J897" s="36"/>
      <c r="K897" s="1"/>
      <c r="L897" s="1">
        <v>17</v>
      </c>
      <c r="M897" s="2">
        <v>57499</v>
      </c>
    </row>
    <row r="898" spans="2:13" outlineLevel="2">
      <c r="B898" s="40">
        <f t="shared" si="31"/>
        <v>435</v>
      </c>
      <c r="C898" s="41" t="s">
        <v>9</v>
      </c>
      <c r="D898" s="41"/>
      <c r="E898" s="41" t="s">
        <v>167</v>
      </c>
      <c r="F898" s="68">
        <v>334168</v>
      </c>
      <c r="G898" s="1">
        <v>33020</v>
      </c>
      <c r="H898" s="1">
        <v>2005</v>
      </c>
      <c r="I898" s="1"/>
      <c r="J898" s="36"/>
      <c r="K898" s="1"/>
      <c r="L898" s="1">
        <v>19</v>
      </c>
      <c r="M898" s="2">
        <v>57500</v>
      </c>
    </row>
    <row r="899" spans="2:13" outlineLevel="2">
      <c r="B899" s="40">
        <f t="shared" si="31"/>
        <v>436</v>
      </c>
      <c r="C899" s="41" t="s">
        <v>9</v>
      </c>
      <c r="D899" s="41"/>
      <c r="E899" s="41" t="s">
        <v>129</v>
      </c>
      <c r="F899" s="68">
        <v>1093552</v>
      </c>
      <c r="G899" s="1">
        <v>67850</v>
      </c>
      <c r="H899" s="1">
        <v>2017</v>
      </c>
      <c r="I899" s="1"/>
      <c r="J899" s="36"/>
      <c r="K899" s="1"/>
      <c r="L899" s="1">
        <v>3</v>
      </c>
      <c r="M899" s="2">
        <v>57501</v>
      </c>
    </row>
    <row r="900" spans="2:13" outlineLevel="2">
      <c r="B900" s="40">
        <f t="shared" si="31"/>
        <v>437</v>
      </c>
      <c r="C900" s="41" t="s">
        <v>9</v>
      </c>
      <c r="D900" s="41"/>
      <c r="E900" s="41" t="s">
        <v>129</v>
      </c>
      <c r="F900" s="68">
        <v>868061</v>
      </c>
      <c r="G900" s="1">
        <v>44836</v>
      </c>
      <c r="H900" s="1">
        <v>2013</v>
      </c>
      <c r="I900" s="1"/>
      <c r="J900" s="36"/>
      <c r="K900" s="1"/>
      <c r="L900" s="1">
        <v>5</v>
      </c>
      <c r="M900" s="2">
        <v>57502</v>
      </c>
    </row>
    <row r="901" spans="2:13" outlineLevel="2">
      <c r="B901" s="40">
        <f t="shared" si="31"/>
        <v>438</v>
      </c>
      <c r="C901" s="41" t="s">
        <v>9</v>
      </c>
      <c r="D901" s="41"/>
      <c r="E901" s="41" t="s">
        <v>130</v>
      </c>
      <c r="F901" s="68">
        <v>9281</v>
      </c>
      <c r="G901" s="1" t="s">
        <v>172</v>
      </c>
      <c r="H901" s="1">
        <v>1997</v>
      </c>
      <c r="I901" s="1"/>
      <c r="J901" s="36"/>
      <c r="K901" s="1"/>
      <c r="L901" s="1">
        <v>28</v>
      </c>
      <c r="M901" s="2">
        <v>59437</v>
      </c>
    </row>
    <row r="902" spans="2:13" outlineLevel="2">
      <c r="B902" s="40">
        <f t="shared" si="31"/>
        <v>439</v>
      </c>
      <c r="C902" s="41" t="s">
        <v>9</v>
      </c>
      <c r="D902" s="41"/>
      <c r="E902" s="41" t="s">
        <v>167</v>
      </c>
      <c r="F902" s="68">
        <v>961917</v>
      </c>
      <c r="G902" s="1">
        <v>53831</v>
      </c>
      <c r="H902" s="1">
        <v>2004</v>
      </c>
      <c r="I902" s="1"/>
      <c r="J902" s="36"/>
      <c r="K902" s="1"/>
      <c r="L902" s="1">
        <v>32</v>
      </c>
      <c r="M902" s="2">
        <v>61889</v>
      </c>
    </row>
    <row r="903" spans="2:13" outlineLevel="2">
      <c r="B903" s="40">
        <f t="shared" si="31"/>
        <v>440</v>
      </c>
      <c r="C903" s="41" t="s">
        <v>9</v>
      </c>
      <c r="D903" s="41"/>
      <c r="E903" s="41" t="s">
        <v>129</v>
      </c>
      <c r="F903" s="68">
        <v>627478</v>
      </c>
      <c r="G903" s="1">
        <v>88768</v>
      </c>
      <c r="H903" s="1">
        <v>2008</v>
      </c>
      <c r="I903" s="1"/>
      <c r="J903" s="36"/>
      <c r="K903" s="1"/>
      <c r="L903" s="1">
        <v>33</v>
      </c>
      <c r="M903" s="2">
        <v>61890</v>
      </c>
    </row>
    <row r="904" spans="2:13" outlineLevel="2">
      <c r="B904" s="40">
        <f t="shared" si="31"/>
        <v>441</v>
      </c>
      <c r="C904" s="41" t="s">
        <v>9</v>
      </c>
      <c r="D904" s="41"/>
      <c r="E904" s="41" t="s">
        <v>129</v>
      </c>
      <c r="F904" s="68">
        <v>630889</v>
      </c>
      <c r="G904" s="1">
        <v>1</v>
      </c>
      <c r="H904" s="1">
        <v>2010</v>
      </c>
      <c r="I904" s="1"/>
      <c r="J904" s="36"/>
      <c r="K904" s="1"/>
      <c r="L904" s="1">
        <v>34</v>
      </c>
      <c r="M904" s="2">
        <v>61891</v>
      </c>
    </row>
    <row r="905" spans="2:13" outlineLevel="2">
      <c r="B905" s="40">
        <f t="shared" si="31"/>
        <v>442</v>
      </c>
      <c r="C905" s="41" t="s">
        <v>9</v>
      </c>
      <c r="D905" s="41"/>
      <c r="E905" s="41" t="s">
        <v>167</v>
      </c>
      <c r="F905" s="68">
        <v>515475</v>
      </c>
      <c r="G905" s="1">
        <v>89923</v>
      </c>
      <c r="H905" s="1">
        <v>2014</v>
      </c>
      <c r="I905" s="1"/>
      <c r="J905" s="36"/>
      <c r="K905" s="1"/>
      <c r="L905" s="1">
        <v>18</v>
      </c>
      <c r="M905" s="2">
        <v>61892</v>
      </c>
    </row>
    <row r="906" spans="2:13" outlineLevel="2">
      <c r="B906" s="40">
        <f t="shared" si="31"/>
        <v>443</v>
      </c>
      <c r="C906" s="41" t="s">
        <v>9</v>
      </c>
      <c r="D906" s="41"/>
      <c r="E906" s="41" t="s">
        <v>167</v>
      </c>
      <c r="F906" s="68">
        <v>656279</v>
      </c>
      <c r="G906" s="1">
        <v>1</v>
      </c>
      <c r="H906" s="1">
        <v>2014</v>
      </c>
      <c r="I906" s="1"/>
      <c r="J906" s="36"/>
      <c r="K906" s="1"/>
      <c r="L906" s="1">
        <v>2</v>
      </c>
      <c r="M906" s="2">
        <v>61893</v>
      </c>
    </row>
    <row r="907" spans="2:13" outlineLevel="2">
      <c r="B907" s="40">
        <f t="shared" si="31"/>
        <v>444</v>
      </c>
      <c r="C907" s="41" t="s">
        <v>9</v>
      </c>
      <c r="D907" s="41"/>
      <c r="E907" s="41" t="s">
        <v>167</v>
      </c>
      <c r="F907" s="68">
        <v>679835</v>
      </c>
      <c r="G907" s="1">
        <v>98567</v>
      </c>
      <c r="H907" s="1">
        <v>2000</v>
      </c>
      <c r="I907" s="1"/>
      <c r="J907" s="36"/>
      <c r="K907" s="1"/>
      <c r="L907" s="1">
        <v>7</v>
      </c>
      <c r="M907" s="2">
        <v>61894</v>
      </c>
    </row>
    <row r="908" spans="2:13" outlineLevel="2">
      <c r="B908" s="40">
        <f t="shared" si="31"/>
        <v>445</v>
      </c>
      <c r="C908" s="41" t="s">
        <v>9</v>
      </c>
      <c r="D908" s="41"/>
      <c r="E908" s="41" t="s">
        <v>173</v>
      </c>
      <c r="F908" s="68">
        <v>651374</v>
      </c>
      <c r="G908" s="1">
        <v>96143</v>
      </c>
      <c r="H908" s="1">
        <v>2008</v>
      </c>
      <c r="I908" s="1"/>
      <c r="J908" s="36"/>
      <c r="K908" s="1"/>
      <c r="L908" s="1">
        <v>18</v>
      </c>
      <c r="M908" s="2">
        <v>61896</v>
      </c>
    </row>
    <row r="909" spans="2:13" outlineLevel="2">
      <c r="B909" s="40">
        <f t="shared" si="31"/>
        <v>446</v>
      </c>
      <c r="C909" s="41" t="s">
        <v>9</v>
      </c>
      <c r="D909" s="41"/>
      <c r="E909" s="41" t="s">
        <v>173</v>
      </c>
      <c r="F909" s="68">
        <v>733429</v>
      </c>
      <c r="G909" s="1">
        <v>1</v>
      </c>
      <c r="H909" s="1">
        <v>2004</v>
      </c>
      <c r="I909" s="1"/>
      <c r="J909" s="36"/>
      <c r="K909" s="1"/>
      <c r="L909" s="1">
        <v>19</v>
      </c>
      <c r="M909" s="2">
        <v>61897</v>
      </c>
    </row>
    <row r="910" spans="2:13" outlineLevel="2">
      <c r="B910" s="40">
        <f t="shared" si="31"/>
        <v>447</v>
      </c>
      <c r="C910" s="41" t="s">
        <v>9</v>
      </c>
      <c r="D910" s="41"/>
      <c r="E910" s="41" t="s">
        <v>173</v>
      </c>
      <c r="F910" s="68">
        <v>598695</v>
      </c>
      <c r="G910" s="1">
        <v>1</v>
      </c>
      <c r="H910" s="1">
        <v>2010</v>
      </c>
      <c r="I910" s="1"/>
      <c r="J910" s="36"/>
      <c r="K910" s="1"/>
      <c r="L910" s="1">
        <v>20</v>
      </c>
      <c r="M910" s="2">
        <v>61898</v>
      </c>
    </row>
    <row r="911" spans="2:13" outlineLevel="2">
      <c r="B911" s="40">
        <f t="shared" si="31"/>
        <v>448</v>
      </c>
      <c r="C911" s="41" t="s">
        <v>9</v>
      </c>
      <c r="D911" s="41"/>
      <c r="E911" s="41" t="s">
        <v>173</v>
      </c>
      <c r="F911" s="68">
        <v>299691</v>
      </c>
      <c r="G911" s="1">
        <v>1</v>
      </c>
      <c r="H911" s="1">
        <v>2010</v>
      </c>
      <c r="I911" s="1"/>
      <c r="J911" s="36"/>
      <c r="K911" s="1"/>
      <c r="L911" s="1">
        <v>25</v>
      </c>
      <c r="M911" s="2">
        <v>61899</v>
      </c>
    </row>
    <row r="912" spans="2:13" outlineLevel="2">
      <c r="B912" s="40">
        <f t="shared" si="31"/>
        <v>449</v>
      </c>
      <c r="C912" s="41" t="s">
        <v>9</v>
      </c>
      <c r="D912" s="41"/>
      <c r="E912" s="41" t="s">
        <v>173</v>
      </c>
      <c r="F912" s="68">
        <v>598662</v>
      </c>
      <c r="G912" s="1">
        <v>1</v>
      </c>
      <c r="H912" s="1">
        <v>2018</v>
      </c>
      <c r="I912" s="1"/>
      <c r="J912" s="36"/>
      <c r="K912" s="1"/>
      <c r="L912" s="1">
        <v>18</v>
      </c>
      <c r="M912" s="2">
        <v>61900</v>
      </c>
    </row>
    <row r="913" spans="2:13" outlineLevel="2">
      <c r="B913" s="40">
        <f t="shared" si="31"/>
        <v>450</v>
      </c>
      <c r="C913" s="41" t="s">
        <v>9</v>
      </c>
      <c r="D913" s="41"/>
      <c r="E913" s="41" t="s">
        <v>129</v>
      </c>
      <c r="F913" s="68">
        <v>415903</v>
      </c>
      <c r="G913" s="1">
        <v>1</v>
      </c>
      <c r="H913" s="1">
        <v>2011</v>
      </c>
      <c r="I913" s="1"/>
      <c r="J913" s="36"/>
      <c r="K913" s="1"/>
      <c r="L913" s="1">
        <v>18</v>
      </c>
      <c r="M913" s="2">
        <v>61901</v>
      </c>
    </row>
    <row r="914" spans="2:13" outlineLevel="2">
      <c r="B914" s="40">
        <f t="shared" si="31"/>
        <v>451</v>
      </c>
      <c r="C914" s="41" t="s">
        <v>9</v>
      </c>
      <c r="D914" s="41"/>
      <c r="E914" s="41" t="s">
        <v>129</v>
      </c>
      <c r="F914" s="68">
        <v>516044</v>
      </c>
      <c r="G914" s="1">
        <v>89483</v>
      </c>
      <c r="H914" s="1">
        <v>2009</v>
      </c>
      <c r="I914" s="1"/>
      <c r="J914" s="36"/>
      <c r="K914" s="1"/>
      <c r="L914" s="1">
        <v>19</v>
      </c>
      <c r="M914" s="2">
        <v>61902</v>
      </c>
    </row>
    <row r="915" spans="2:13" outlineLevel="2">
      <c r="B915" s="40">
        <f t="shared" si="31"/>
        <v>452</v>
      </c>
      <c r="C915" s="41" t="s">
        <v>9</v>
      </c>
      <c r="D915" s="41"/>
      <c r="E915" s="41" t="s">
        <v>129</v>
      </c>
      <c r="F915" s="68">
        <v>295104</v>
      </c>
      <c r="G915" s="1">
        <v>1</v>
      </c>
      <c r="H915" s="1">
        <v>2000</v>
      </c>
      <c r="I915" s="1"/>
      <c r="J915" s="36"/>
      <c r="K915" s="1"/>
      <c r="L915" s="1">
        <v>25</v>
      </c>
      <c r="M915" s="2">
        <v>61903</v>
      </c>
    </row>
    <row r="916" spans="2:13" outlineLevel="2">
      <c r="B916" s="40">
        <f t="shared" si="31"/>
        <v>453</v>
      </c>
      <c r="C916" s="41" t="s">
        <v>9</v>
      </c>
      <c r="D916" s="41"/>
      <c r="E916" s="41" t="s">
        <v>129</v>
      </c>
      <c r="F916" s="68">
        <v>656602</v>
      </c>
      <c r="G916" s="1">
        <v>97683</v>
      </c>
      <c r="H916" s="1">
        <v>2009</v>
      </c>
      <c r="I916" s="1"/>
      <c r="J916" s="36"/>
      <c r="K916" s="1"/>
      <c r="L916" s="1">
        <v>39</v>
      </c>
      <c r="M916" s="2">
        <v>61904</v>
      </c>
    </row>
    <row r="917" spans="2:13" outlineLevel="2">
      <c r="B917" s="40">
        <f t="shared" si="31"/>
        <v>454</v>
      </c>
      <c r="C917" s="41" t="s">
        <v>9</v>
      </c>
      <c r="D917" s="41"/>
      <c r="E917" s="41" t="s">
        <v>129</v>
      </c>
      <c r="F917" s="68">
        <v>403197</v>
      </c>
      <c r="G917" s="1">
        <v>80952</v>
      </c>
      <c r="H917" s="1">
        <v>2006</v>
      </c>
      <c r="I917" s="1"/>
      <c r="J917" s="36"/>
      <c r="K917" s="1"/>
      <c r="L917" s="1">
        <v>15</v>
      </c>
      <c r="M917" s="2">
        <v>61905</v>
      </c>
    </row>
    <row r="918" spans="2:13" outlineLevel="2">
      <c r="B918" s="40">
        <f t="shared" si="31"/>
        <v>455</v>
      </c>
      <c r="C918" s="41" t="s">
        <v>9</v>
      </c>
      <c r="D918" s="41"/>
      <c r="E918" s="41" t="s">
        <v>129</v>
      </c>
      <c r="F918" s="68">
        <v>1028863</v>
      </c>
      <c r="G918" s="1">
        <v>60428</v>
      </c>
      <c r="H918" s="1">
        <v>2008</v>
      </c>
      <c r="I918" s="1"/>
      <c r="J918" s="36"/>
      <c r="K918" s="1"/>
      <c r="L918" s="1">
        <v>26</v>
      </c>
      <c r="M918" s="2">
        <v>61906</v>
      </c>
    </row>
    <row r="919" spans="2:13" outlineLevel="2">
      <c r="B919" s="40">
        <f t="shared" si="31"/>
        <v>456</v>
      </c>
      <c r="C919" s="41" t="s">
        <v>9</v>
      </c>
      <c r="D919" s="41"/>
      <c r="E919" s="41" t="s">
        <v>129</v>
      </c>
      <c r="F919" s="68">
        <v>417094</v>
      </c>
      <c r="G919" s="41">
        <v>76988</v>
      </c>
      <c r="H919" s="41">
        <v>2008</v>
      </c>
      <c r="I919" s="41"/>
      <c r="J919" s="42"/>
      <c r="K919" s="41"/>
      <c r="L919" s="41">
        <v>20</v>
      </c>
      <c r="M919" s="43">
        <v>61907</v>
      </c>
    </row>
    <row r="920" spans="2:13" outlineLevel="1">
      <c r="B920" s="59" t="s">
        <v>174</v>
      </c>
      <c r="C920" s="41">
        <f>SUBTOTAL(3,C692:C919)</f>
        <v>228</v>
      </c>
      <c r="D920" s="41"/>
      <c r="E920" s="41">
        <f>COUNTA(E692:E919)</f>
        <v>228</v>
      </c>
      <c r="F920" s="47">
        <f>(E920/C920)</f>
        <v>1</v>
      </c>
      <c r="G920" s="69"/>
      <c r="H920" s="61"/>
      <c r="I920" s="61"/>
      <c r="J920" s="62"/>
      <c r="K920" s="61"/>
      <c r="L920" s="61"/>
      <c r="M920" s="63"/>
    </row>
    <row r="921" spans="2:13" outlineLevel="2">
      <c r="B921" s="40">
        <f t="shared" ref="B921:B952" si="32">ROW(A457)</f>
        <v>457</v>
      </c>
      <c r="C921" s="41" t="s">
        <v>175</v>
      </c>
      <c r="D921" s="41"/>
      <c r="E921" s="41" t="s">
        <v>130</v>
      </c>
      <c r="F921" s="41">
        <v>31837898</v>
      </c>
      <c r="G921" s="1">
        <v>60615</v>
      </c>
      <c r="H921" s="1">
        <v>2016</v>
      </c>
      <c r="I921" s="1"/>
      <c r="J921" s="36">
        <v>44637</v>
      </c>
      <c r="K921" s="1" t="s">
        <v>176</v>
      </c>
      <c r="L921" s="1">
        <v>4</v>
      </c>
      <c r="M921" s="73">
        <v>34522</v>
      </c>
    </row>
    <row r="922" spans="2:13" outlineLevel="2">
      <c r="B922" s="40">
        <f t="shared" si="32"/>
        <v>458</v>
      </c>
      <c r="C922" s="41" t="s">
        <v>175</v>
      </c>
      <c r="D922" s="41"/>
      <c r="E922" s="41" t="s">
        <v>130</v>
      </c>
      <c r="F922" s="41">
        <v>822419</v>
      </c>
      <c r="G922" s="1">
        <v>45355</v>
      </c>
      <c r="H922" s="1">
        <v>2013</v>
      </c>
      <c r="I922" s="1"/>
      <c r="J922" s="36">
        <v>44637</v>
      </c>
      <c r="K922" s="1" t="s">
        <v>176</v>
      </c>
      <c r="L922" s="1">
        <v>32</v>
      </c>
      <c r="M922" s="73">
        <v>34582</v>
      </c>
    </row>
    <row r="923" spans="2:13" outlineLevel="2">
      <c r="B923" s="40">
        <f t="shared" si="32"/>
        <v>459</v>
      </c>
      <c r="C923" s="41" t="s">
        <v>175</v>
      </c>
      <c r="D923" s="41"/>
      <c r="E923" s="41" t="s">
        <v>131</v>
      </c>
      <c r="F923" s="41">
        <v>955947</v>
      </c>
      <c r="G923" s="1">
        <v>53193</v>
      </c>
      <c r="H923" s="1">
        <v>2014</v>
      </c>
      <c r="I923" s="1"/>
      <c r="J923" s="36">
        <v>44630</v>
      </c>
      <c r="K923" s="1" t="s">
        <v>176</v>
      </c>
      <c r="L923" s="1">
        <v>2</v>
      </c>
      <c r="M923" s="73">
        <v>34212</v>
      </c>
    </row>
    <row r="924" spans="2:13" outlineLevel="2">
      <c r="B924" s="40">
        <f t="shared" si="32"/>
        <v>460</v>
      </c>
      <c r="C924" s="41" t="s">
        <v>175</v>
      </c>
      <c r="D924" s="41"/>
      <c r="E924" s="41" t="s">
        <v>130</v>
      </c>
      <c r="F924" s="41">
        <v>777140</v>
      </c>
      <c r="G924" s="1">
        <v>39788</v>
      </c>
      <c r="H924" s="1">
        <v>2012</v>
      </c>
      <c r="I924" s="1"/>
      <c r="J924" s="36">
        <v>44638</v>
      </c>
      <c r="K924" s="1" t="s">
        <v>176</v>
      </c>
      <c r="L924" s="1">
        <v>19</v>
      </c>
      <c r="M924" s="73">
        <v>35395</v>
      </c>
    </row>
    <row r="925" spans="2:13" outlineLevel="2">
      <c r="B925" s="40">
        <f t="shared" si="32"/>
        <v>461</v>
      </c>
      <c r="C925" s="41" t="s">
        <v>175</v>
      </c>
      <c r="D925" s="41"/>
      <c r="E925" s="41" t="s">
        <v>128</v>
      </c>
      <c r="F925" s="41">
        <v>266714</v>
      </c>
      <c r="G925" s="1">
        <v>941102</v>
      </c>
      <c r="H925" s="1">
        <v>2003</v>
      </c>
      <c r="I925" s="1"/>
      <c r="J925" s="36">
        <v>44644</v>
      </c>
      <c r="K925" s="1" t="s">
        <v>176</v>
      </c>
      <c r="L925" s="1">
        <v>5</v>
      </c>
      <c r="M925" s="73">
        <v>35374</v>
      </c>
    </row>
    <row r="926" spans="2:13" outlineLevel="2">
      <c r="B926" s="40">
        <f t="shared" si="32"/>
        <v>462</v>
      </c>
      <c r="C926" s="41" t="s">
        <v>175</v>
      </c>
      <c r="D926" s="41"/>
      <c r="E926" s="41" t="s">
        <v>131</v>
      </c>
      <c r="F926" s="41">
        <v>1080296</v>
      </c>
      <c r="G926" s="1">
        <v>64380</v>
      </c>
      <c r="H926" s="1">
        <v>2017</v>
      </c>
      <c r="I926" s="1"/>
      <c r="J926" s="36">
        <v>44656</v>
      </c>
      <c r="K926" s="1" t="s">
        <v>176</v>
      </c>
      <c r="L926" s="1">
        <v>38</v>
      </c>
      <c r="M926" s="73">
        <v>36329</v>
      </c>
    </row>
    <row r="927" spans="2:13" outlineLevel="2">
      <c r="B927" s="40">
        <f t="shared" si="32"/>
        <v>463</v>
      </c>
      <c r="C927" s="41" t="s">
        <v>175</v>
      </c>
      <c r="D927" s="41"/>
      <c r="E927" s="41" t="s">
        <v>128</v>
      </c>
      <c r="F927" s="41">
        <v>1019646</v>
      </c>
      <c r="G927" s="1">
        <v>59410</v>
      </c>
      <c r="H927" s="1">
        <v>2016</v>
      </c>
      <c r="I927" s="1"/>
      <c r="J927" s="36">
        <v>44656</v>
      </c>
      <c r="K927" s="1" t="s">
        <v>176</v>
      </c>
      <c r="L927" s="1">
        <v>18</v>
      </c>
      <c r="M927" s="73">
        <v>36350</v>
      </c>
    </row>
    <row r="928" spans="2:13" outlineLevel="2">
      <c r="B928" s="40">
        <f t="shared" si="32"/>
        <v>464</v>
      </c>
      <c r="C928" s="41" t="s">
        <v>175</v>
      </c>
      <c r="D928" s="41"/>
      <c r="E928" s="41" t="s">
        <v>131</v>
      </c>
      <c r="F928" s="41">
        <v>1268927</v>
      </c>
      <c r="G928" s="1">
        <v>547673</v>
      </c>
      <c r="H928" s="1">
        <v>2020</v>
      </c>
      <c r="I928" s="1"/>
      <c r="J928" s="36">
        <v>44656</v>
      </c>
      <c r="K928" s="1" t="s">
        <v>176</v>
      </c>
      <c r="L928" s="1">
        <v>39</v>
      </c>
      <c r="M928" s="73">
        <v>36328</v>
      </c>
    </row>
    <row r="929" spans="2:13" outlineLevel="2">
      <c r="B929" s="40">
        <f t="shared" si="32"/>
        <v>465</v>
      </c>
      <c r="C929" s="41" t="s">
        <v>175</v>
      </c>
      <c r="D929" s="41"/>
      <c r="E929" s="41" t="s">
        <v>177</v>
      </c>
      <c r="F929" s="41">
        <v>29390</v>
      </c>
      <c r="G929" s="74" t="s">
        <v>178</v>
      </c>
      <c r="H929" s="1">
        <v>1979</v>
      </c>
      <c r="I929" s="1"/>
      <c r="J929" s="75">
        <v>44704</v>
      </c>
      <c r="K929" s="1" t="s">
        <v>176</v>
      </c>
      <c r="L929" s="1">
        <v>55</v>
      </c>
      <c r="M929" s="73">
        <v>3503</v>
      </c>
    </row>
    <row r="930" spans="2:13" outlineLevel="2">
      <c r="B930" s="40">
        <f t="shared" si="32"/>
        <v>466</v>
      </c>
      <c r="C930" s="41" t="s">
        <v>175</v>
      </c>
      <c r="D930" s="41"/>
      <c r="E930" s="41" t="s">
        <v>128</v>
      </c>
      <c r="F930" s="41">
        <v>1174268</v>
      </c>
      <c r="G930" s="1">
        <v>542839</v>
      </c>
      <c r="H930" s="1">
        <v>2018</v>
      </c>
      <c r="I930" s="1"/>
      <c r="J930" s="36">
        <v>44656</v>
      </c>
      <c r="K930" s="1" t="s">
        <v>176</v>
      </c>
      <c r="L930" s="1">
        <v>6</v>
      </c>
      <c r="M930" s="73">
        <v>36332</v>
      </c>
    </row>
    <row r="931" spans="2:13" outlineLevel="2">
      <c r="B931" s="40">
        <f t="shared" si="32"/>
        <v>467</v>
      </c>
      <c r="C931" s="41" t="s">
        <v>175</v>
      </c>
      <c r="D931" s="41"/>
      <c r="E931" s="41" t="s">
        <v>128</v>
      </c>
      <c r="F931" s="41">
        <v>1146011</v>
      </c>
      <c r="G931" s="1">
        <v>111283</v>
      </c>
      <c r="H931" s="1">
        <v>2018</v>
      </c>
      <c r="I931" s="1"/>
      <c r="J931" s="36">
        <v>44657</v>
      </c>
      <c r="K931" s="1" t="s">
        <v>176</v>
      </c>
      <c r="L931" s="1">
        <v>6</v>
      </c>
      <c r="M931" s="73">
        <v>36353</v>
      </c>
    </row>
    <row r="932" spans="2:13" outlineLevel="2">
      <c r="B932" s="40">
        <f t="shared" si="32"/>
        <v>468</v>
      </c>
      <c r="C932" s="41" t="s">
        <v>175</v>
      </c>
      <c r="D932" s="41"/>
      <c r="E932" s="41" t="s">
        <v>128</v>
      </c>
      <c r="F932" s="41">
        <v>927419</v>
      </c>
      <c r="G932" s="1">
        <v>54265</v>
      </c>
      <c r="H932" s="1">
        <v>2014</v>
      </c>
      <c r="I932" s="1"/>
      <c r="J932" s="36">
        <v>44657</v>
      </c>
      <c r="K932" s="1" t="s">
        <v>176</v>
      </c>
      <c r="L932" s="1">
        <v>46</v>
      </c>
      <c r="M932" s="73">
        <v>36356</v>
      </c>
    </row>
    <row r="933" spans="2:13" outlineLevel="2">
      <c r="B933" s="40">
        <f t="shared" si="32"/>
        <v>469</v>
      </c>
      <c r="C933" s="41" t="s">
        <v>175</v>
      </c>
      <c r="D933" s="41"/>
      <c r="E933" s="41" t="s">
        <v>130</v>
      </c>
      <c r="F933" s="41">
        <v>1200508</v>
      </c>
      <c r="G933" s="1">
        <v>546205</v>
      </c>
      <c r="H933" s="1">
        <v>2019</v>
      </c>
      <c r="I933" s="1"/>
      <c r="J933" s="36">
        <v>44656</v>
      </c>
      <c r="K933" s="1" t="s">
        <v>176</v>
      </c>
      <c r="L933" s="1">
        <v>3</v>
      </c>
      <c r="M933" s="73">
        <v>36312</v>
      </c>
    </row>
    <row r="934" spans="2:13" outlineLevel="2">
      <c r="B934" s="40">
        <f t="shared" si="32"/>
        <v>470</v>
      </c>
      <c r="C934" s="41" t="s">
        <v>175</v>
      </c>
      <c r="D934" s="41"/>
      <c r="E934" s="41" t="s">
        <v>128</v>
      </c>
      <c r="F934" s="41">
        <v>1279539</v>
      </c>
      <c r="G934" s="1">
        <v>565957</v>
      </c>
      <c r="H934" s="1">
        <v>2021</v>
      </c>
      <c r="I934" s="1"/>
      <c r="J934" s="36">
        <v>44656</v>
      </c>
      <c r="K934" s="1" t="s">
        <v>176</v>
      </c>
      <c r="L934" s="1">
        <v>2</v>
      </c>
      <c r="M934" s="73">
        <v>36339</v>
      </c>
    </row>
    <row r="935" spans="2:13" outlineLevel="2">
      <c r="B935" s="40">
        <f t="shared" si="32"/>
        <v>471</v>
      </c>
      <c r="C935" s="41" t="s">
        <v>175</v>
      </c>
      <c r="D935" s="41"/>
      <c r="E935" s="41" t="s">
        <v>128</v>
      </c>
      <c r="F935" s="41">
        <v>1203079</v>
      </c>
      <c r="G935" s="1">
        <v>544288</v>
      </c>
      <c r="H935" s="1">
        <v>2019</v>
      </c>
      <c r="I935" s="1"/>
      <c r="J935" s="36">
        <v>44657</v>
      </c>
      <c r="K935" s="1" t="s">
        <v>176</v>
      </c>
      <c r="L935" s="1">
        <v>4</v>
      </c>
      <c r="M935" s="73">
        <v>36351</v>
      </c>
    </row>
    <row r="936" spans="2:13" outlineLevel="2">
      <c r="B936" s="40">
        <f t="shared" si="32"/>
        <v>472</v>
      </c>
      <c r="C936" s="41" t="s">
        <v>175</v>
      </c>
      <c r="D936" s="41"/>
      <c r="E936" s="41" t="s">
        <v>128</v>
      </c>
      <c r="F936" s="41">
        <v>1117276</v>
      </c>
      <c r="G936" s="1">
        <v>69854</v>
      </c>
      <c r="H936" s="1">
        <v>2017</v>
      </c>
      <c r="I936" s="1"/>
      <c r="J936" s="36">
        <v>44656</v>
      </c>
      <c r="K936" s="1" t="s">
        <v>176</v>
      </c>
      <c r="L936" s="1">
        <v>6</v>
      </c>
      <c r="M936" s="73">
        <v>36343</v>
      </c>
    </row>
    <row r="937" spans="2:13" outlineLevel="2">
      <c r="B937" s="40">
        <f t="shared" si="32"/>
        <v>473</v>
      </c>
      <c r="C937" s="41" t="s">
        <v>175</v>
      </c>
      <c r="D937" s="41"/>
      <c r="E937" s="41" t="s">
        <v>128</v>
      </c>
      <c r="F937" s="41">
        <v>1131639</v>
      </c>
      <c r="G937" s="1">
        <v>106051</v>
      </c>
      <c r="H937" s="1">
        <v>2016</v>
      </c>
      <c r="I937" s="1"/>
      <c r="J937" s="36">
        <v>44656</v>
      </c>
      <c r="K937" s="1" t="s">
        <v>176</v>
      </c>
      <c r="L937" s="1">
        <v>6</v>
      </c>
      <c r="M937" s="73">
        <v>36347</v>
      </c>
    </row>
    <row r="938" spans="2:13" outlineLevel="2">
      <c r="B938" s="40">
        <f t="shared" si="32"/>
        <v>474</v>
      </c>
      <c r="C938" s="41" t="s">
        <v>175</v>
      </c>
      <c r="D938" s="41"/>
      <c r="E938" s="41" t="s">
        <v>131</v>
      </c>
      <c r="F938" s="41">
        <v>1280958</v>
      </c>
      <c r="G938" s="1">
        <v>566636</v>
      </c>
      <c r="H938" s="1">
        <v>2021</v>
      </c>
      <c r="I938" s="1"/>
      <c r="J938" s="36">
        <v>44670</v>
      </c>
      <c r="K938" s="1" t="s">
        <v>176</v>
      </c>
      <c r="L938" s="1">
        <v>16</v>
      </c>
      <c r="M938" s="73">
        <v>37035</v>
      </c>
    </row>
    <row r="939" spans="2:13" outlineLevel="2">
      <c r="B939" s="40">
        <f t="shared" si="32"/>
        <v>475</v>
      </c>
      <c r="C939" s="41" t="s">
        <v>175</v>
      </c>
      <c r="D939" s="41"/>
      <c r="E939" s="41" t="s">
        <v>128</v>
      </c>
      <c r="F939" s="41">
        <v>98737</v>
      </c>
      <c r="G939" s="1">
        <v>88509</v>
      </c>
      <c r="H939" s="1">
        <v>2007</v>
      </c>
      <c r="I939" s="1"/>
      <c r="J939" s="36">
        <v>44700</v>
      </c>
      <c r="K939" s="1" t="s">
        <v>176</v>
      </c>
      <c r="L939" s="1">
        <v>2</v>
      </c>
      <c r="M939" s="73">
        <v>39452</v>
      </c>
    </row>
    <row r="940" spans="2:13" outlineLevel="2">
      <c r="B940" s="40">
        <f t="shared" si="32"/>
        <v>476</v>
      </c>
      <c r="C940" s="41" t="s">
        <v>175</v>
      </c>
      <c r="D940" s="41"/>
      <c r="E940" s="41" t="s">
        <v>130</v>
      </c>
      <c r="F940" s="41">
        <v>1019547</v>
      </c>
      <c r="G940" s="1">
        <v>59484</v>
      </c>
      <c r="H940" s="1">
        <v>2016</v>
      </c>
      <c r="I940" s="1"/>
      <c r="J940" s="36">
        <v>44684</v>
      </c>
      <c r="K940" s="1" t="s">
        <v>176</v>
      </c>
      <c r="L940" s="1">
        <v>10</v>
      </c>
      <c r="M940" s="73">
        <v>38337</v>
      </c>
    </row>
    <row r="941" spans="2:13" outlineLevel="2">
      <c r="B941" s="40">
        <f t="shared" si="32"/>
        <v>477</v>
      </c>
      <c r="C941" s="41" t="s">
        <v>175</v>
      </c>
      <c r="D941" s="41"/>
      <c r="E941" s="41" t="s">
        <v>130</v>
      </c>
      <c r="F941" s="41">
        <v>858599</v>
      </c>
      <c r="G941" s="1">
        <v>44266</v>
      </c>
      <c r="H941" s="1">
        <v>2019</v>
      </c>
      <c r="I941" s="1"/>
      <c r="J941" s="36">
        <v>44684</v>
      </c>
      <c r="K941" s="1" t="s">
        <v>176</v>
      </c>
      <c r="L941" s="1">
        <v>22</v>
      </c>
      <c r="M941" s="73">
        <v>38319</v>
      </c>
    </row>
    <row r="942" spans="2:13" outlineLevel="2">
      <c r="B942" s="40">
        <f t="shared" si="32"/>
        <v>478</v>
      </c>
      <c r="C942" s="41" t="s">
        <v>175</v>
      </c>
      <c r="D942" s="41"/>
      <c r="E942" s="41" t="s">
        <v>130</v>
      </c>
      <c r="F942" s="41">
        <v>905300</v>
      </c>
      <c r="G942" s="1">
        <v>52661</v>
      </c>
      <c r="H942" s="1">
        <v>2014</v>
      </c>
      <c r="I942" s="1"/>
      <c r="J942" s="36">
        <v>44684</v>
      </c>
      <c r="K942" s="1" t="s">
        <v>176</v>
      </c>
      <c r="L942" s="1">
        <v>9</v>
      </c>
      <c r="M942" s="73">
        <v>38333</v>
      </c>
    </row>
    <row r="943" spans="2:13" outlineLevel="2">
      <c r="B943" s="40">
        <f t="shared" si="32"/>
        <v>479</v>
      </c>
      <c r="C943" s="41" t="s">
        <v>175</v>
      </c>
      <c r="D943" s="41"/>
      <c r="E943" s="41" t="s">
        <v>130</v>
      </c>
      <c r="F943" s="41">
        <v>816033</v>
      </c>
      <c r="G943" s="1">
        <v>38450</v>
      </c>
      <c r="H943" s="1">
        <v>2012</v>
      </c>
      <c r="I943" s="1"/>
      <c r="J943" s="36">
        <v>44684</v>
      </c>
      <c r="K943" s="1" t="s">
        <v>176</v>
      </c>
      <c r="L943" s="1">
        <v>20</v>
      </c>
      <c r="M943" s="73">
        <v>38332</v>
      </c>
    </row>
    <row r="944" spans="2:13" outlineLevel="2">
      <c r="B944" s="40">
        <f t="shared" si="32"/>
        <v>480</v>
      </c>
      <c r="C944" s="41" t="s">
        <v>175</v>
      </c>
      <c r="D944" s="41"/>
      <c r="E944" s="41" t="s">
        <v>127</v>
      </c>
      <c r="F944" s="41">
        <v>1044099218</v>
      </c>
      <c r="G944" s="1">
        <v>111836</v>
      </c>
      <c r="H944" s="1">
        <v>2018</v>
      </c>
      <c r="I944" s="1"/>
      <c r="J944" s="36">
        <v>44684</v>
      </c>
      <c r="K944" s="1" t="s">
        <v>176</v>
      </c>
      <c r="L944" s="1">
        <v>8</v>
      </c>
      <c r="M944" s="73">
        <v>38955</v>
      </c>
    </row>
    <row r="945" spans="2:13" outlineLevel="2">
      <c r="B945" s="40">
        <f t="shared" si="32"/>
        <v>481</v>
      </c>
      <c r="C945" s="41" t="s">
        <v>175</v>
      </c>
      <c r="D945" s="41"/>
      <c r="E945" s="41" t="s">
        <v>179</v>
      </c>
      <c r="F945" s="41">
        <v>2507</v>
      </c>
      <c r="G945" s="74" t="s">
        <v>178</v>
      </c>
      <c r="H945" s="1">
        <v>1991</v>
      </c>
      <c r="I945" s="1"/>
      <c r="J945" s="36">
        <v>44870</v>
      </c>
      <c r="K945" s="1" t="s">
        <v>176</v>
      </c>
      <c r="L945" s="1">
        <v>177</v>
      </c>
      <c r="M945" s="73">
        <v>10526</v>
      </c>
    </row>
    <row r="946" spans="2:13" outlineLevel="2">
      <c r="B946" s="40">
        <f t="shared" si="32"/>
        <v>482</v>
      </c>
      <c r="C946" s="41" t="s">
        <v>175</v>
      </c>
      <c r="D946" s="41"/>
      <c r="E946" s="41" t="s">
        <v>130</v>
      </c>
      <c r="F946" s="41">
        <v>1079781</v>
      </c>
      <c r="G946" s="1">
        <v>64005</v>
      </c>
      <c r="H946" s="1">
        <v>2017</v>
      </c>
      <c r="I946" s="1"/>
      <c r="J946" s="36">
        <v>44696</v>
      </c>
      <c r="K946" s="1" t="s">
        <v>176</v>
      </c>
      <c r="L946" s="1">
        <v>2</v>
      </c>
      <c r="M946" s="73">
        <v>39246</v>
      </c>
    </row>
    <row r="947" spans="2:13" outlineLevel="2">
      <c r="B947" s="40">
        <f t="shared" si="32"/>
        <v>483</v>
      </c>
      <c r="C947" s="41" t="s">
        <v>175</v>
      </c>
      <c r="D947" s="41"/>
      <c r="E947" s="41" t="s">
        <v>130</v>
      </c>
      <c r="F947" s="41">
        <v>1339644</v>
      </c>
      <c r="G947" s="1">
        <v>566058</v>
      </c>
      <c r="H947" s="1">
        <v>2021</v>
      </c>
      <c r="I947" s="1"/>
      <c r="J947" s="36">
        <v>44696</v>
      </c>
      <c r="K947" s="1" t="s">
        <v>176</v>
      </c>
      <c r="L947" s="1">
        <v>2</v>
      </c>
      <c r="M947" s="73">
        <v>39217</v>
      </c>
    </row>
    <row r="948" spans="2:13" outlineLevel="2">
      <c r="B948" s="40">
        <f t="shared" si="32"/>
        <v>484</v>
      </c>
      <c r="C948" s="41" t="s">
        <v>175</v>
      </c>
      <c r="D948" s="41"/>
      <c r="E948" s="41" t="s">
        <v>130</v>
      </c>
      <c r="F948" s="41">
        <v>1228146</v>
      </c>
      <c r="G948" s="1">
        <v>548920</v>
      </c>
      <c r="H948" s="1">
        <v>2020</v>
      </c>
      <c r="I948" s="1"/>
      <c r="J948" s="36">
        <v>44696</v>
      </c>
      <c r="K948" s="1" t="s">
        <v>176</v>
      </c>
      <c r="L948" s="1">
        <v>2</v>
      </c>
      <c r="M948" s="73">
        <v>39216</v>
      </c>
    </row>
    <row r="949" spans="2:13" outlineLevel="2">
      <c r="B949" s="40">
        <f t="shared" si="32"/>
        <v>485</v>
      </c>
      <c r="C949" s="41" t="s">
        <v>175</v>
      </c>
      <c r="D949" s="41"/>
      <c r="E949" s="41" t="s">
        <v>130</v>
      </c>
      <c r="F949" s="41">
        <v>1281424</v>
      </c>
      <c r="G949" s="1">
        <v>907183</v>
      </c>
      <c r="H949" s="1">
        <v>2021</v>
      </c>
      <c r="I949" s="1"/>
      <c r="J949" s="36">
        <v>44696</v>
      </c>
      <c r="K949" s="1" t="s">
        <v>176</v>
      </c>
      <c r="L949" s="1">
        <v>2</v>
      </c>
      <c r="M949" s="73">
        <v>39241</v>
      </c>
    </row>
    <row r="950" spans="2:13" outlineLevel="2">
      <c r="B950" s="40">
        <f t="shared" si="32"/>
        <v>486</v>
      </c>
      <c r="C950" s="41" t="s">
        <v>175</v>
      </c>
      <c r="D950" s="41"/>
      <c r="E950" s="41" t="s">
        <v>127</v>
      </c>
      <c r="F950" s="41">
        <v>213592</v>
      </c>
      <c r="G950" s="1">
        <v>35219</v>
      </c>
      <c r="H950" s="1">
        <v>2011</v>
      </c>
      <c r="I950" s="1"/>
      <c r="J950" s="36">
        <v>44705</v>
      </c>
      <c r="K950" s="1" t="s">
        <v>176</v>
      </c>
      <c r="L950" s="1">
        <v>30</v>
      </c>
      <c r="M950" s="73">
        <v>40026</v>
      </c>
    </row>
    <row r="951" spans="2:13" outlineLevel="2">
      <c r="B951" s="40">
        <f t="shared" si="32"/>
        <v>487</v>
      </c>
      <c r="C951" s="41" t="s">
        <v>175</v>
      </c>
      <c r="D951" s="41"/>
      <c r="E951" s="41" t="s">
        <v>130</v>
      </c>
      <c r="F951" s="41">
        <v>1086137</v>
      </c>
      <c r="G951" s="1">
        <v>66994</v>
      </c>
      <c r="H951" s="1">
        <v>2017</v>
      </c>
      <c r="I951" s="1"/>
      <c r="J951" s="36">
        <v>44706</v>
      </c>
      <c r="K951" s="1" t="s">
        <v>176</v>
      </c>
      <c r="L951" s="1">
        <v>4</v>
      </c>
      <c r="M951" s="73">
        <v>40032</v>
      </c>
    </row>
    <row r="952" spans="2:13" outlineLevel="2">
      <c r="B952" s="40">
        <f t="shared" si="32"/>
        <v>488</v>
      </c>
      <c r="C952" s="41" t="s">
        <v>175</v>
      </c>
      <c r="D952" s="41"/>
      <c r="E952" s="41" t="s">
        <v>130</v>
      </c>
      <c r="F952" s="41">
        <v>294268</v>
      </c>
      <c r="G952" s="1">
        <v>62700</v>
      </c>
      <c r="H952" s="1">
        <v>2016</v>
      </c>
      <c r="I952" s="1"/>
      <c r="J952" s="36">
        <v>44706</v>
      </c>
      <c r="K952" s="1" t="s">
        <v>176</v>
      </c>
      <c r="L952" s="1">
        <v>15</v>
      </c>
      <c r="M952" s="73">
        <v>40024</v>
      </c>
    </row>
    <row r="953" spans="2:13" outlineLevel="2">
      <c r="B953" s="40">
        <f t="shared" ref="B953:B984" si="33">ROW(A489)</f>
        <v>489</v>
      </c>
      <c r="C953" s="41" t="s">
        <v>175</v>
      </c>
      <c r="D953" s="41"/>
      <c r="E953" s="41" t="s">
        <v>130</v>
      </c>
      <c r="F953" s="41">
        <v>1131397</v>
      </c>
      <c r="G953" s="1">
        <v>106156</v>
      </c>
      <c r="H953" s="1">
        <v>2018</v>
      </c>
      <c r="I953" s="1"/>
      <c r="J953" s="36">
        <v>44705</v>
      </c>
      <c r="K953" s="1" t="s">
        <v>176</v>
      </c>
      <c r="L953" s="1">
        <v>5</v>
      </c>
      <c r="M953" s="73">
        <v>40015</v>
      </c>
    </row>
    <row r="954" spans="2:13" outlineLevel="2">
      <c r="B954" s="40">
        <f t="shared" si="33"/>
        <v>490</v>
      </c>
      <c r="C954" s="41" t="s">
        <v>175</v>
      </c>
      <c r="D954" s="41"/>
      <c r="E954" s="41" t="s">
        <v>128</v>
      </c>
      <c r="F954" s="41">
        <v>98737</v>
      </c>
      <c r="G954" s="1">
        <v>88509</v>
      </c>
      <c r="H954" s="1">
        <v>2007</v>
      </c>
      <c r="I954" s="1"/>
      <c r="J954" s="36">
        <v>44670</v>
      </c>
      <c r="K954" s="1" t="s">
        <v>176</v>
      </c>
      <c r="L954" s="1">
        <v>12</v>
      </c>
      <c r="M954" s="73">
        <v>37061</v>
      </c>
    </row>
    <row r="955" spans="2:13" outlineLevel="2">
      <c r="B955" s="40">
        <f t="shared" si="33"/>
        <v>491</v>
      </c>
      <c r="C955" s="41" t="s">
        <v>175</v>
      </c>
      <c r="D955" s="41"/>
      <c r="E955" s="41" t="s">
        <v>130</v>
      </c>
      <c r="F955" s="41">
        <v>395763</v>
      </c>
      <c r="G955" s="1">
        <v>563705</v>
      </c>
      <c r="H955" s="1">
        <v>2020</v>
      </c>
      <c r="I955" s="1"/>
      <c r="J955" s="36">
        <v>44707</v>
      </c>
      <c r="K955" s="1" t="s">
        <v>176</v>
      </c>
      <c r="L955" s="1">
        <v>2</v>
      </c>
      <c r="M955" s="73">
        <v>40127</v>
      </c>
    </row>
    <row r="956" spans="2:13" outlineLevel="2">
      <c r="B956" s="40">
        <f t="shared" si="33"/>
        <v>492</v>
      </c>
      <c r="C956" s="41" t="s">
        <v>175</v>
      </c>
      <c r="D956" s="41"/>
      <c r="E956" s="41" t="s">
        <v>130</v>
      </c>
      <c r="F956" s="41">
        <v>1200505</v>
      </c>
      <c r="G956" s="1">
        <v>546202</v>
      </c>
      <c r="H956" s="1">
        <v>2019</v>
      </c>
      <c r="I956" s="1"/>
      <c r="J956" s="36">
        <v>44707</v>
      </c>
      <c r="K956" s="1" t="s">
        <v>176</v>
      </c>
      <c r="L956" s="1">
        <v>3</v>
      </c>
      <c r="M956" s="73">
        <v>40126</v>
      </c>
    </row>
    <row r="957" spans="2:13" outlineLevel="2">
      <c r="B957" s="40">
        <f t="shared" si="33"/>
        <v>493</v>
      </c>
      <c r="C957" s="41" t="s">
        <v>175</v>
      </c>
      <c r="D957" s="41"/>
      <c r="E957" s="41" t="s">
        <v>130</v>
      </c>
      <c r="F957" s="41">
        <v>1093587</v>
      </c>
      <c r="G957" s="1">
        <v>65606</v>
      </c>
      <c r="H957" s="1">
        <v>2017</v>
      </c>
      <c r="I957" s="1"/>
      <c r="J957" s="36">
        <v>44707</v>
      </c>
      <c r="K957" s="1" t="s">
        <v>176</v>
      </c>
      <c r="L957" s="1">
        <v>16</v>
      </c>
      <c r="M957" s="73">
        <v>40153</v>
      </c>
    </row>
    <row r="958" spans="2:13" outlineLevel="2">
      <c r="B958" s="40">
        <f t="shared" si="33"/>
        <v>494</v>
      </c>
      <c r="C958" s="41" t="s">
        <v>175</v>
      </c>
      <c r="D958" s="41"/>
      <c r="E958" s="41" t="s">
        <v>128</v>
      </c>
      <c r="F958" s="41">
        <v>1278042</v>
      </c>
      <c r="G958" s="1">
        <v>566670</v>
      </c>
      <c r="H958" s="1">
        <v>2021</v>
      </c>
      <c r="I958" s="1"/>
      <c r="J958" s="36">
        <v>44707</v>
      </c>
      <c r="K958" s="1" t="s">
        <v>176</v>
      </c>
      <c r="L958" s="1">
        <v>2</v>
      </c>
      <c r="M958" s="73">
        <v>40151</v>
      </c>
    </row>
    <row r="959" spans="2:13" outlineLevel="2">
      <c r="B959" s="40">
        <f t="shared" si="33"/>
        <v>495</v>
      </c>
      <c r="C959" s="41" t="s">
        <v>175</v>
      </c>
      <c r="D959" s="41"/>
      <c r="E959" s="41" t="s">
        <v>130</v>
      </c>
      <c r="F959" s="41">
        <v>1284816</v>
      </c>
      <c r="G959" s="1">
        <v>567881</v>
      </c>
      <c r="H959" s="1">
        <v>2021</v>
      </c>
      <c r="I959" s="1"/>
      <c r="J959" s="36">
        <v>44712</v>
      </c>
      <c r="K959" s="1" t="s">
        <v>176</v>
      </c>
      <c r="L959" s="1">
        <v>39</v>
      </c>
      <c r="M959" s="73">
        <v>40541</v>
      </c>
    </row>
    <row r="960" spans="2:13" outlineLevel="2">
      <c r="B960" s="40">
        <f t="shared" si="33"/>
        <v>496</v>
      </c>
      <c r="C960" s="41" t="s">
        <v>175</v>
      </c>
      <c r="D960" s="41"/>
      <c r="E960" s="41" t="s">
        <v>167</v>
      </c>
      <c r="F960" s="41">
        <v>921977</v>
      </c>
      <c r="G960" s="1">
        <v>53711</v>
      </c>
      <c r="H960" s="1">
        <v>2014</v>
      </c>
      <c r="I960" s="1"/>
      <c r="J960" s="36">
        <v>44719</v>
      </c>
      <c r="K960" s="1" t="s">
        <v>176</v>
      </c>
      <c r="L960" s="1">
        <v>28</v>
      </c>
      <c r="M960" s="73">
        <v>40967</v>
      </c>
    </row>
    <row r="961" spans="2:13" outlineLevel="2">
      <c r="B961" s="40">
        <f t="shared" si="33"/>
        <v>497</v>
      </c>
      <c r="C961" s="41" t="s">
        <v>175</v>
      </c>
      <c r="D961" s="41"/>
      <c r="E961" s="41" t="s">
        <v>167</v>
      </c>
      <c r="F961" s="41">
        <v>1171197</v>
      </c>
      <c r="G961" s="1">
        <v>542474</v>
      </c>
      <c r="H961" s="1">
        <v>2018</v>
      </c>
      <c r="I961" s="1"/>
      <c r="J961" s="36">
        <v>44719</v>
      </c>
      <c r="K961" s="1" t="s">
        <v>176</v>
      </c>
      <c r="L961" s="1">
        <v>4</v>
      </c>
      <c r="M961" s="73">
        <v>40966</v>
      </c>
    </row>
    <row r="962" spans="2:13" outlineLevel="2">
      <c r="B962" s="40">
        <f t="shared" si="33"/>
        <v>498</v>
      </c>
      <c r="C962" s="41" t="s">
        <v>175</v>
      </c>
      <c r="D962" s="41"/>
      <c r="E962" s="41" t="s">
        <v>167</v>
      </c>
      <c r="F962" s="41">
        <v>399327</v>
      </c>
      <c r="G962" s="1">
        <v>81480</v>
      </c>
      <c r="H962" s="1">
        <v>2006</v>
      </c>
      <c r="I962" s="1"/>
      <c r="J962" s="36">
        <v>44719</v>
      </c>
      <c r="K962" s="1" t="s">
        <v>176</v>
      </c>
      <c r="L962" s="1">
        <v>2</v>
      </c>
      <c r="M962" s="73">
        <v>40969</v>
      </c>
    </row>
    <row r="963" spans="2:13" outlineLevel="2">
      <c r="B963" s="40">
        <f t="shared" si="33"/>
        <v>499</v>
      </c>
      <c r="C963" s="41" t="s">
        <v>175</v>
      </c>
      <c r="D963" s="41"/>
      <c r="E963" s="41" t="s">
        <v>129</v>
      </c>
      <c r="F963" s="41">
        <v>422802</v>
      </c>
      <c r="G963" s="1">
        <v>85927</v>
      </c>
      <c r="H963" s="1">
        <v>2006</v>
      </c>
      <c r="I963" s="1"/>
      <c r="J963" s="36">
        <v>44719</v>
      </c>
      <c r="K963" s="1" t="s">
        <v>176</v>
      </c>
      <c r="L963" s="1">
        <v>12</v>
      </c>
      <c r="M963" s="73">
        <v>40941</v>
      </c>
    </row>
    <row r="964" spans="2:13" outlineLevel="2">
      <c r="B964" s="40">
        <f t="shared" si="33"/>
        <v>500</v>
      </c>
      <c r="C964" s="41" t="s">
        <v>175</v>
      </c>
      <c r="D964" s="41"/>
      <c r="E964" s="41" t="s">
        <v>180</v>
      </c>
      <c r="F964" s="41">
        <v>274959</v>
      </c>
      <c r="G964" s="1"/>
      <c r="H964" s="1">
        <v>1999</v>
      </c>
      <c r="I964" s="1"/>
      <c r="J964" s="36">
        <v>44826</v>
      </c>
      <c r="K964" s="1" t="s">
        <v>176</v>
      </c>
      <c r="L964" s="1">
        <v>124</v>
      </c>
      <c r="M964" s="73">
        <v>10853</v>
      </c>
    </row>
    <row r="965" spans="2:13" outlineLevel="2">
      <c r="B965" s="40">
        <f t="shared" si="33"/>
        <v>501</v>
      </c>
      <c r="C965" s="41" t="s">
        <v>175</v>
      </c>
      <c r="D965" s="41"/>
      <c r="E965" s="41" t="s">
        <v>167</v>
      </c>
      <c r="F965" s="41">
        <v>515833</v>
      </c>
      <c r="G965" s="1">
        <v>90213</v>
      </c>
      <c r="H965" s="1">
        <v>2008</v>
      </c>
      <c r="I965" s="1"/>
      <c r="J965" s="36">
        <v>44719</v>
      </c>
      <c r="K965" s="1" t="s">
        <v>176</v>
      </c>
      <c r="L965" s="1">
        <v>16</v>
      </c>
      <c r="M965" s="73">
        <v>40949</v>
      </c>
    </row>
    <row r="966" spans="2:13" outlineLevel="2">
      <c r="B966" s="40">
        <f t="shared" si="33"/>
        <v>502</v>
      </c>
      <c r="C966" s="41" t="s">
        <v>175</v>
      </c>
      <c r="D966" s="41"/>
      <c r="E966" s="41" t="s">
        <v>131</v>
      </c>
      <c r="F966" s="41">
        <v>1036534986</v>
      </c>
      <c r="G966" s="1">
        <v>67345</v>
      </c>
      <c r="H966" s="1">
        <v>2017</v>
      </c>
      <c r="I966" s="1"/>
      <c r="J966" s="36">
        <v>44719</v>
      </c>
      <c r="K966" s="1" t="s">
        <v>176</v>
      </c>
      <c r="L966" s="1">
        <v>12</v>
      </c>
      <c r="M966" s="73">
        <v>40918</v>
      </c>
    </row>
    <row r="967" spans="2:13" outlineLevel="2">
      <c r="B967" s="40">
        <f t="shared" si="33"/>
        <v>503</v>
      </c>
      <c r="C967" s="41" t="s">
        <v>175</v>
      </c>
      <c r="D967" s="41"/>
      <c r="E967" s="41" t="s">
        <v>128</v>
      </c>
      <c r="F967" s="41">
        <v>1066001</v>
      </c>
      <c r="G967" s="1">
        <v>63097</v>
      </c>
      <c r="H967" s="1">
        <v>2016</v>
      </c>
      <c r="I967" s="1"/>
      <c r="J967" s="36">
        <v>44719</v>
      </c>
      <c r="K967" s="1" t="s">
        <v>176</v>
      </c>
      <c r="L967" s="1">
        <v>17</v>
      </c>
      <c r="M967" s="73">
        <v>40914</v>
      </c>
    </row>
    <row r="968" spans="2:13" outlineLevel="2">
      <c r="B968" s="40">
        <f t="shared" si="33"/>
        <v>504</v>
      </c>
      <c r="C968" s="41" t="s">
        <v>175</v>
      </c>
      <c r="D968" s="41"/>
      <c r="E968" s="41" t="s">
        <v>130</v>
      </c>
      <c r="F968" s="41">
        <v>199131</v>
      </c>
      <c r="G968" s="1">
        <v>75893</v>
      </c>
      <c r="H968" s="1">
        <v>2009</v>
      </c>
      <c r="I968" s="1"/>
      <c r="J968" s="36">
        <v>44722</v>
      </c>
      <c r="K968" s="1" t="s">
        <v>176</v>
      </c>
      <c r="L968" s="1">
        <v>11</v>
      </c>
      <c r="M968" s="73">
        <v>41264</v>
      </c>
    </row>
    <row r="969" spans="2:13" outlineLevel="2">
      <c r="B969" s="40">
        <f t="shared" si="33"/>
        <v>505</v>
      </c>
      <c r="C969" s="41" t="s">
        <v>175</v>
      </c>
      <c r="D969" s="41"/>
      <c r="E969" s="41" t="s">
        <v>181</v>
      </c>
      <c r="F969" s="41">
        <v>463738</v>
      </c>
      <c r="G969" s="1">
        <v>87661</v>
      </c>
      <c r="H969" s="1">
        <v>2007</v>
      </c>
      <c r="I969" s="1"/>
      <c r="J969" s="36">
        <v>44722</v>
      </c>
      <c r="K969" s="1" t="s">
        <v>176</v>
      </c>
      <c r="L969" s="1">
        <v>27</v>
      </c>
      <c r="M969" s="73">
        <v>41244</v>
      </c>
    </row>
    <row r="970" spans="2:13" outlineLevel="2">
      <c r="B970" s="40">
        <f t="shared" si="33"/>
        <v>506</v>
      </c>
      <c r="C970" s="41" t="s">
        <v>175</v>
      </c>
      <c r="D970" s="41"/>
      <c r="E970" s="41" t="s">
        <v>128</v>
      </c>
      <c r="F970" s="41">
        <v>1043376660</v>
      </c>
      <c r="G970" s="1">
        <v>111558</v>
      </c>
      <c r="H970" s="1">
        <v>2018</v>
      </c>
      <c r="I970" s="1"/>
      <c r="J970" s="36">
        <v>44722</v>
      </c>
      <c r="K970" s="1" t="s">
        <v>176</v>
      </c>
      <c r="L970" s="1">
        <v>28</v>
      </c>
      <c r="M970" s="73">
        <v>41256</v>
      </c>
    </row>
    <row r="971" spans="2:13" outlineLevel="2">
      <c r="B971" s="40">
        <f t="shared" si="33"/>
        <v>507</v>
      </c>
      <c r="C971" s="41" t="s">
        <v>175</v>
      </c>
      <c r="D971" s="41"/>
      <c r="E971" s="41" t="s">
        <v>166</v>
      </c>
      <c r="F971" s="41">
        <v>1036255015</v>
      </c>
      <c r="G971" s="1">
        <v>66375</v>
      </c>
      <c r="H971" s="1">
        <v>2017</v>
      </c>
      <c r="I971" s="1"/>
      <c r="J971" s="36">
        <v>44670</v>
      </c>
      <c r="K971" s="1" t="s">
        <v>176</v>
      </c>
      <c r="L971" s="1">
        <v>5</v>
      </c>
      <c r="M971" s="73">
        <v>37073</v>
      </c>
    </row>
    <row r="972" spans="2:13" outlineLevel="2">
      <c r="B972" s="40">
        <f t="shared" si="33"/>
        <v>508</v>
      </c>
      <c r="C972" s="41" t="s">
        <v>175</v>
      </c>
      <c r="D972" s="41"/>
      <c r="E972" s="41" t="s">
        <v>182</v>
      </c>
      <c r="F972" s="41">
        <v>99013805</v>
      </c>
      <c r="G972" s="1">
        <v>9601</v>
      </c>
      <c r="H972" s="1">
        <v>1999</v>
      </c>
      <c r="I972" s="1"/>
      <c r="J972" s="36">
        <v>44775</v>
      </c>
      <c r="K972" s="1" t="s">
        <v>176</v>
      </c>
      <c r="L972" s="1">
        <v>111</v>
      </c>
      <c r="M972" s="73">
        <v>11709</v>
      </c>
    </row>
    <row r="973" spans="2:13" outlineLevel="2">
      <c r="B973" s="40">
        <f t="shared" si="33"/>
        <v>509</v>
      </c>
      <c r="C973" s="41" t="s">
        <v>175</v>
      </c>
      <c r="D973" s="41"/>
      <c r="E973" s="41" t="s">
        <v>167</v>
      </c>
      <c r="F973" s="41">
        <v>426225</v>
      </c>
      <c r="G973" s="1">
        <v>85345</v>
      </c>
      <c r="H973" s="1">
        <v>2006</v>
      </c>
      <c r="I973" s="1"/>
      <c r="J973" s="36">
        <v>44776</v>
      </c>
      <c r="K973" s="1" t="s">
        <v>176</v>
      </c>
      <c r="L973" s="1">
        <v>27</v>
      </c>
      <c r="M973" s="73">
        <v>42784</v>
      </c>
    </row>
    <row r="974" spans="2:13" outlineLevel="2">
      <c r="B974" s="40">
        <f t="shared" si="33"/>
        <v>510</v>
      </c>
      <c r="C974" s="41" t="s">
        <v>175</v>
      </c>
      <c r="D974" s="41"/>
      <c r="E974" s="41" t="s">
        <v>128</v>
      </c>
      <c r="F974" s="41">
        <v>152554</v>
      </c>
      <c r="G974" s="1">
        <v>92970</v>
      </c>
      <c r="H974" s="1">
        <v>2009</v>
      </c>
      <c r="I974" s="1"/>
      <c r="J974" s="36">
        <v>44804</v>
      </c>
      <c r="K974" s="1" t="s">
        <v>176</v>
      </c>
      <c r="L974" s="1">
        <v>16</v>
      </c>
      <c r="M974" s="73">
        <v>45337</v>
      </c>
    </row>
    <row r="975" spans="2:13" outlineLevel="2">
      <c r="B975" s="40">
        <f t="shared" si="33"/>
        <v>511</v>
      </c>
      <c r="C975" s="41" t="s">
        <v>175</v>
      </c>
      <c r="D975" s="41"/>
      <c r="E975" s="41" t="s">
        <v>130</v>
      </c>
      <c r="F975" s="41">
        <v>1285150</v>
      </c>
      <c r="G975" s="1">
        <v>109905</v>
      </c>
      <c r="H975" s="1">
        <v>2021</v>
      </c>
      <c r="I975" s="1"/>
      <c r="J975" s="36">
        <v>44786</v>
      </c>
      <c r="K975" s="1" t="s">
        <v>176</v>
      </c>
      <c r="L975" s="1">
        <v>7</v>
      </c>
      <c r="M975" s="73">
        <v>45322</v>
      </c>
    </row>
    <row r="976" spans="2:13" outlineLevel="2">
      <c r="B976" s="40">
        <f t="shared" si="33"/>
        <v>512</v>
      </c>
      <c r="C976" s="41" t="s">
        <v>175</v>
      </c>
      <c r="D976" s="41"/>
      <c r="E976" s="41" t="s">
        <v>130</v>
      </c>
      <c r="F976" s="41">
        <v>1348051</v>
      </c>
      <c r="G976" s="1">
        <v>567308</v>
      </c>
      <c r="H976" s="1">
        <v>2021</v>
      </c>
      <c r="I976" s="1"/>
      <c r="J976" s="36">
        <v>44785</v>
      </c>
      <c r="K976" s="1" t="s">
        <v>176</v>
      </c>
      <c r="L976" s="1">
        <v>4</v>
      </c>
      <c r="M976" s="73">
        <v>45301</v>
      </c>
    </row>
    <row r="977" spans="2:13" outlineLevel="2">
      <c r="B977" s="40">
        <f t="shared" si="33"/>
        <v>513</v>
      </c>
      <c r="C977" s="41" t="s">
        <v>175</v>
      </c>
      <c r="D977" s="41"/>
      <c r="E977" s="41" t="s">
        <v>130</v>
      </c>
      <c r="F977" s="41">
        <v>468277</v>
      </c>
      <c r="G977" s="1">
        <v>34416</v>
      </c>
      <c r="H977" s="1">
        <v>2006</v>
      </c>
      <c r="I977" s="1"/>
      <c r="J977" s="36">
        <v>44804</v>
      </c>
      <c r="K977" s="1" t="s">
        <v>176</v>
      </c>
      <c r="L977" s="1">
        <v>24</v>
      </c>
      <c r="M977" s="73">
        <v>45311</v>
      </c>
    </row>
    <row r="978" spans="2:13" outlineLevel="2">
      <c r="B978" s="40">
        <f t="shared" si="33"/>
        <v>514</v>
      </c>
      <c r="C978" s="41" t="s">
        <v>175</v>
      </c>
      <c r="D978" s="41"/>
      <c r="E978" s="41" t="s">
        <v>183</v>
      </c>
      <c r="F978" s="41">
        <v>230922</v>
      </c>
      <c r="G978" s="1">
        <v>222022</v>
      </c>
      <c r="H978" s="1">
        <v>2015</v>
      </c>
      <c r="I978" s="1"/>
      <c r="J978" s="36">
        <v>44639</v>
      </c>
      <c r="K978" s="1" t="s">
        <v>176</v>
      </c>
      <c r="L978" s="1">
        <v>21</v>
      </c>
      <c r="M978" s="73">
        <v>34750</v>
      </c>
    </row>
    <row r="979" spans="2:13" outlineLevel="2">
      <c r="B979" s="40">
        <f t="shared" si="33"/>
        <v>515</v>
      </c>
      <c r="C979" s="41" t="s">
        <v>175</v>
      </c>
      <c r="D979" s="41"/>
      <c r="E979" s="41" t="s">
        <v>184</v>
      </c>
      <c r="F979" s="41">
        <v>1268928</v>
      </c>
      <c r="G979" s="1">
        <v>547674</v>
      </c>
      <c r="H979" s="1">
        <v>2020</v>
      </c>
      <c r="I979" s="1"/>
      <c r="J979" s="36">
        <v>44952</v>
      </c>
      <c r="K979" s="1" t="s">
        <v>176</v>
      </c>
      <c r="L979" s="1">
        <v>15</v>
      </c>
      <c r="M979" s="73">
        <v>57004</v>
      </c>
    </row>
    <row r="980" spans="2:13" outlineLevel="2">
      <c r="B980" s="40">
        <f t="shared" si="33"/>
        <v>516</v>
      </c>
      <c r="C980" s="41" t="s">
        <v>175</v>
      </c>
      <c r="D980" s="41"/>
      <c r="E980" s="41" t="s">
        <v>185</v>
      </c>
      <c r="F980" s="41">
        <v>1144742</v>
      </c>
      <c r="G980" s="1">
        <v>110750</v>
      </c>
      <c r="H980" s="1">
        <v>2018</v>
      </c>
      <c r="I980" s="1"/>
      <c r="J980" s="36">
        <v>44964</v>
      </c>
      <c r="K980" s="1" t="s">
        <v>176</v>
      </c>
      <c r="L980" s="1">
        <v>8</v>
      </c>
      <c r="M980" s="73">
        <v>57999</v>
      </c>
    </row>
    <row r="981" spans="2:13" outlineLevel="2">
      <c r="B981" s="40">
        <f t="shared" si="33"/>
        <v>517</v>
      </c>
      <c r="C981" s="41" t="s">
        <v>175</v>
      </c>
      <c r="D981" s="41"/>
      <c r="E981" s="41" t="s">
        <v>185</v>
      </c>
      <c r="F981" s="41">
        <v>329292</v>
      </c>
      <c r="G981" s="1">
        <v>79973</v>
      </c>
      <c r="H981" s="1">
        <v>2023</v>
      </c>
      <c r="I981" s="1"/>
      <c r="J981" s="36">
        <v>44964</v>
      </c>
      <c r="K981" s="1" t="s">
        <v>176</v>
      </c>
      <c r="L981" s="1">
        <v>12</v>
      </c>
      <c r="M981" s="73">
        <v>57979</v>
      </c>
    </row>
    <row r="982" spans="2:13" outlineLevel="2">
      <c r="B982" s="40">
        <f t="shared" si="33"/>
        <v>518</v>
      </c>
      <c r="C982" s="41" t="s">
        <v>175</v>
      </c>
      <c r="D982" s="41"/>
      <c r="E982" s="41" t="s">
        <v>186</v>
      </c>
      <c r="F982" s="41">
        <v>763914</v>
      </c>
      <c r="G982" s="1">
        <v>38231</v>
      </c>
      <c r="H982" s="1">
        <v>2011</v>
      </c>
      <c r="I982" s="1"/>
      <c r="J982" s="36">
        <v>45119</v>
      </c>
      <c r="K982" s="1" t="s">
        <v>176</v>
      </c>
      <c r="L982" s="1">
        <v>5</v>
      </c>
      <c r="M982" s="73">
        <v>69605</v>
      </c>
    </row>
    <row r="983" spans="2:13" outlineLevel="2">
      <c r="B983" s="40">
        <f t="shared" si="33"/>
        <v>519</v>
      </c>
      <c r="C983" s="41" t="s">
        <v>175</v>
      </c>
      <c r="D983" s="41"/>
      <c r="E983" s="41" t="s">
        <v>187</v>
      </c>
      <c r="F983" s="41">
        <v>146447</v>
      </c>
      <c r="G983" s="1">
        <v>30543</v>
      </c>
      <c r="H983" s="1">
        <v>1999</v>
      </c>
      <c r="I983" s="1"/>
      <c r="J983" s="36">
        <v>45132</v>
      </c>
      <c r="K983" s="1" t="s">
        <v>176</v>
      </c>
      <c r="L983" s="1">
        <v>42</v>
      </c>
      <c r="M983" s="73">
        <v>70403</v>
      </c>
    </row>
    <row r="984" spans="2:13" outlineLevel="2">
      <c r="B984" s="40">
        <f t="shared" si="33"/>
        <v>520</v>
      </c>
      <c r="C984" s="41" t="s">
        <v>175</v>
      </c>
      <c r="D984" s="41"/>
      <c r="E984" s="41" t="s">
        <v>187</v>
      </c>
      <c r="F984" s="41">
        <v>1227273</v>
      </c>
      <c r="G984" s="1">
        <v>547901</v>
      </c>
      <c r="H984" s="1">
        <v>2020</v>
      </c>
      <c r="I984" s="1"/>
      <c r="J984" s="36">
        <v>45209</v>
      </c>
      <c r="K984" s="1" t="s">
        <v>176</v>
      </c>
      <c r="L984" s="1">
        <v>8</v>
      </c>
      <c r="M984" s="73">
        <v>74462</v>
      </c>
    </row>
    <row r="985" spans="2:13" outlineLevel="2">
      <c r="B985" s="40">
        <f t="shared" ref="B985" si="34">ROW(A521)</f>
        <v>521</v>
      </c>
      <c r="C985" s="41" t="s">
        <v>175</v>
      </c>
      <c r="D985" s="41"/>
      <c r="E985" s="41" t="s">
        <v>130</v>
      </c>
      <c r="F985" s="41">
        <v>900605</v>
      </c>
      <c r="G985" s="1">
        <v>52083</v>
      </c>
      <c r="H985" s="1">
        <v>2014</v>
      </c>
      <c r="I985" s="1"/>
      <c r="J985" s="36">
        <v>44650</v>
      </c>
      <c r="K985" s="1" t="s">
        <v>176</v>
      </c>
      <c r="L985" s="1">
        <v>32</v>
      </c>
      <c r="M985" s="73">
        <v>36001</v>
      </c>
    </row>
    <row r="986" spans="2:13" outlineLevel="2">
      <c r="B986" s="35">
        <f t="shared" ref="B986:B1017" si="35">(B985+1)</f>
        <v>522</v>
      </c>
      <c r="C986" s="41" t="s">
        <v>175</v>
      </c>
      <c r="D986" s="41"/>
      <c r="E986" s="41" t="s">
        <v>130</v>
      </c>
      <c r="F986" s="41">
        <v>1219946</v>
      </c>
      <c r="G986" s="1">
        <v>547739</v>
      </c>
      <c r="H986" s="1">
        <v>2020</v>
      </c>
      <c r="I986" s="1"/>
      <c r="J986" s="36">
        <v>44638</v>
      </c>
      <c r="K986" s="1" t="s">
        <v>176</v>
      </c>
      <c r="L986" s="1">
        <v>2</v>
      </c>
      <c r="M986" s="73">
        <v>34587</v>
      </c>
    </row>
    <row r="987" spans="2:13" outlineLevel="2">
      <c r="B987" s="35">
        <f t="shared" si="35"/>
        <v>523</v>
      </c>
      <c r="C987" s="41" t="s">
        <v>175</v>
      </c>
      <c r="D987" s="41"/>
      <c r="E987" s="41" t="s">
        <v>130</v>
      </c>
      <c r="F987" s="41">
        <v>1047030868</v>
      </c>
      <c r="G987" s="1">
        <v>543721</v>
      </c>
      <c r="H987" s="1">
        <v>2019</v>
      </c>
      <c r="I987" s="1"/>
      <c r="J987" s="36">
        <v>44637</v>
      </c>
      <c r="K987" s="1" t="s">
        <v>176</v>
      </c>
      <c r="L987" s="1">
        <v>2</v>
      </c>
      <c r="M987" s="73">
        <v>34524</v>
      </c>
    </row>
    <row r="988" spans="2:13" outlineLevel="2">
      <c r="B988" s="35">
        <f t="shared" si="35"/>
        <v>524</v>
      </c>
      <c r="C988" s="41" t="s">
        <v>175</v>
      </c>
      <c r="D988" s="41"/>
      <c r="E988" s="41" t="s">
        <v>130</v>
      </c>
      <c r="F988" s="41">
        <v>451233</v>
      </c>
      <c r="G988" s="1">
        <v>32417</v>
      </c>
      <c r="H988" s="1">
        <v>2005</v>
      </c>
      <c r="I988" s="1"/>
      <c r="J988" s="36">
        <v>44637</v>
      </c>
      <c r="K988" s="1" t="s">
        <v>176</v>
      </c>
      <c r="L988" s="1">
        <v>15</v>
      </c>
      <c r="M988" s="73">
        <v>34523</v>
      </c>
    </row>
    <row r="989" spans="2:13" outlineLevel="2">
      <c r="B989" s="35">
        <f t="shared" si="35"/>
        <v>525</v>
      </c>
      <c r="C989" s="41" t="s">
        <v>175</v>
      </c>
      <c r="D989" s="41"/>
      <c r="E989" s="41" t="s">
        <v>130</v>
      </c>
      <c r="F989" s="41">
        <v>919867</v>
      </c>
      <c r="G989" s="1">
        <v>53621</v>
      </c>
      <c r="H989" s="1">
        <v>2014</v>
      </c>
      <c r="I989" s="1"/>
      <c r="J989" s="36">
        <v>44637</v>
      </c>
      <c r="K989" s="1" t="s">
        <v>176</v>
      </c>
      <c r="L989" s="1">
        <v>3</v>
      </c>
      <c r="M989" s="73">
        <v>34521</v>
      </c>
    </row>
    <row r="990" spans="2:13" outlineLevel="2">
      <c r="B990" s="35">
        <f t="shared" si="35"/>
        <v>526</v>
      </c>
      <c r="C990" s="41" t="s">
        <v>175</v>
      </c>
      <c r="D990" s="41"/>
      <c r="E990" s="41" t="s">
        <v>130</v>
      </c>
      <c r="F990" s="41">
        <v>518649</v>
      </c>
      <c r="G990" s="1">
        <v>82046</v>
      </c>
      <c r="H990" s="1">
        <v>2006</v>
      </c>
      <c r="I990" s="1"/>
      <c r="J990" s="36">
        <v>44638</v>
      </c>
      <c r="K990" s="1" t="s">
        <v>176</v>
      </c>
      <c r="L990" s="1">
        <v>18</v>
      </c>
      <c r="M990" s="73">
        <v>34583</v>
      </c>
    </row>
    <row r="991" spans="2:13" outlineLevel="2">
      <c r="B991" s="35">
        <f t="shared" si="35"/>
        <v>527</v>
      </c>
      <c r="C991" s="41" t="s">
        <v>175</v>
      </c>
      <c r="D991" s="41"/>
      <c r="E991" s="41" t="s">
        <v>130</v>
      </c>
      <c r="F991" s="41">
        <v>306514</v>
      </c>
      <c r="G991" s="1">
        <v>30190</v>
      </c>
      <c r="H991" s="1">
        <v>2005</v>
      </c>
      <c r="I991" s="1"/>
      <c r="J991" s="36">
        <v>44630</v>
      </c>
      <c r="K991" s="1" t="s">
        <v>176</v>
      </c>
      <c r="L991" s="1">
        <v>37</v>
      </c>
      <c r="M991" s="73">
        <v>34216</v>
      </c>
    </row>
    <row r="992" spans="2:13" outlineLevel="2">
      <c r="B992" s="35">
        <f t="shared" si="35"/>
        <v>528</v>
      </c>
      <c r="C992" s="41" t="s">
        <v>175</v>
      </c>
      <c r="D992" s="41"/>
      <c r="E992" s="41" t="s">
        <v>130</v>
      </c>
      <c r="F992" s="41">
        <v>1042015980</v>
      </c>
      <c r="G992" s="1">
        <v>100919</v>
      </c>
      <c r="H992" s="1">
        <v>2018</v>
      </c>
      <c r="I992" s="1"/>
      <c r="J992" s="36">
        <v>45733</v>
      </c>
      <c r="K992" s="1" t="s">
        <v>176</v>
      </c>
      <c r="L992" s="1">
        <v>5</v>
      </c>
      <c r="M992" s="73">
        <v>34520</v>
      </c>
    </row>
    <row r="993" spans="2:13" outlineLevel="2">
      <c r="B993" s="35">
        <f t="shared" si="35"/>
        <v>529</v>
      </c>
      <c r="C993" s="41" t="s">
        <v>175</v>
      </c>
      <c r="D993" s="41"/>
      <c r="E993" s="41" t="s">
        <v>130</v>
      </c>
      <c r="F993" s="41">
        <v>602866</v>
      </c>
      <c r="G993" s="1">
        <v>87787</v>
      </c>
      <c r="H993" s="1">
        <v>2007</v>
      </c>
      <c r="I993" s="1"/>
      <c r="J993" s="36">
        <v>45734</v>
      </c>
      <c r="K993" s="1" t="s">
        <v>176</v>
      </c>
      <c r="L993" s="1">
        <v>2</v>
      </c>
      <c r="M993" s="73">
        <v>34585</v>
      </c>
    </row>
    <row r="994" spans="2:13" outlineLevel="2">
      <c r="B994" s="35">
        <f t="shared" si="35"/>
        <v>530</v>
      </c>
      <c r="C994" s="41" t="s">
        <v>175</v>
      </c>
      <c r="D994" s="41"/>
      <c r="E994" s="41" t="s">
        <v>130</v>
      </c>
      <c r="F994" s="41">
        <v>619243</v>
      </c>
      <c r="G994" s="1">
        <v>88172</v>
      </c>
      <c r="H994" s="1">
        <v>2007</v>
      </c>
      <c r="I994" s="1"/>
      <c r="J994" s="36">
        <v>45734</v>
      </c>
      <c r="K994" s="1" t="s">
        <v>176</v>
      </c>
      <c r="L994" s="1">
        <v>2</v>
      </c>
      <c r="M994" s="73">
        <v>34581</v>
      </c>
    </row>
    <row r="995" spans="2:13" outlineLevel="2">
      <c r="B995" s="35">
        <f t="shared" si="35"/>
        <v>531</v>
      </c>
      <c r="C995" s="41" t="s">
        <v>175</v>
      </c>
      <c r="D995" s="41"/>
      <c r="E995" s="41" t="s">
        <v>130</v>
      </c>
      <c r="F995" s="41">
        <v>150345</v>
      </c>
      <c r="G995" s="1">
        <v>92728</v>
      </c>
      <c r="H995" s="1">
        <v>2009</v>
      </c>
      <c r="I995" s="1"/>
      <c r="J995" s="36">
        <v>44630</v>
      </c>
      <c r="K995" s="1" t="s">
        <v>176</v>
      </c>
      <c r="L995" s="1">
        <v>13</v>
      </c>
      <c r="M995" s="73">
        <v>34215</v>
      </c>
    </row>
    <row r="996" spans="2:13" outlineLevel="2">
      <c r="B996" s="35">
        <f t="shared" si="35"/>
        <v>532</v>
      </c>
      <c r="C996" s="41" t="s">
        <v>175</v>
      </c>
      <c r="D996" s="41"/>
      <c r="E996" s="41" t="s">
        <v>130</v>
      </c>
      <c r="F996" s="41">
        <v>1041814516</v>
      </c>
      <c r="G996" s="1">
        <v>103053</v>
      </c>
      <c r="H996" s="1">
        <v>2018</v>
      </c>
      <c r="I996" s="1"/>
      <c r="J996" s="36">
        <v>44630</v>
      </c>
      <c r="K996" s="1" t="s">
        <v>176</v>
      </c>
      <c r="L996" s="1">
        <v>5</v>
      </c>
      <c r="M996" s="73">
        <v>34227</v>
      </c>
    </row>
    <row r="997" spans="2:13" outlineLevel="2">
      <c r="B997" s="35">
        <f t="shared" si="35"/>
        <v>533</v>
      </c>
      <c r="C997" s="41" t="s">
        <v>175</v>
      </c>
      <c r="D997" s="41"/>
      <c r="E997" s="41" t="s">
        <v>130</v>
      </c>
      <c r="F997" s="41">
        <v>375397</v>
      </c>
      <c r="G997" s="1">
        <v>546539</v>
      </c>
      <c r="H997" s="1">
        <v>2019</v>
      </c>
      <c r="I997" s="1"/>
      <c r="J997" s="36">
        <v>44630</v>
      </c>
      <c r="K997" s="1" t="s">
        <v>176</v>
      </c>
      <c r="L997" s="1">
        <v>2</v>
      </c>
      <c r="M997" s="73">
        <v>34217</v>
      </c>
    </row>
    <row r="998" spans="2:13" outlineLevel="2">
      <c r="B998" s="35">
        <f t="shared" si="35"/>
        <v>534</v>
      </c>
      <c r="C998" s="41" t="s">
        <v>175</v>
      </c>
      <c r="D998" s="41"/>
      <c r="E998" s="41" t="s">
        <v>131</v>
      </c>
      <c r="F998" s="41">
        <v>390909</v>
      </c>
      <c r="G998" s="1">
        <v>548123</v>
      </c>
      <c r="H998" s="1">
        <v>2020</v>
      </c>
      <c r="I998" s="1"/>
      <c r="J998" s="36">
        <v>44630</v>
      </c>
      <c r="K998" s="1" t="s">
        <v>176</v>
      </c>
      <c r="L998" s="1">
        <v>4</v>
      </c>
      <c r="M998" s="73">
        <v>34209</v>
      </c>
    </row>
    <row r="999" spans="2:13" outlineLevel="2">
      <c r="B999" s="35">
        <f t="shared" si="35"/>
        <v>535</v>
      </c>
      <c r="C999" s="41" t="s">
        <v>175</v>
      </c>
      <c r="D999" s="41"/>
      <c r="E999" s="41" t="s">
        <v>131</v>
      </c>
      <c r="F999" s="41">
        <v>857993</v>
      </c>
      <c r="G999" s="1">
        <v>44439</v>
      </c>
      <c r="H999" s="1">
        <v>2013</v>
      </c>
      <c r="I999" s="1"/>
      <c r="J999" s="36">
        <v>44630</v>
      </c>
      <c r="K999" s="1" t="s">
        <v>176</v>
      </c>
      <c r="L999" s="1">
        <v>9</v>
      </c>
      <c r="M999" s="73">
        <v>34219</v>
      </c>
    </row>
    <row r="1000" spans="2:13" outlineLevel="2">
      <c r="B1000" s="35">
        <f t="shared" si="35"/>
        <v>536</v>
      </c>
      <c r="C1000" s="41" t="s">
        <v>175</v>
      </c>
      <c r="D1000" s="41"/>
      <c r="E1000" s="41" t="s">
        <v>131</v>
      </c>
      <c r="F1000" s="41">
        <v>1028671</v>
      </c>
      <c r="G1000" s="1">
        <v>60191</v>
      </c>
      <c r="H1000" s="1">
        <v>2016</v>
      </c>
      <c r="I1000" s="1"/>
      <c r="J1000" s="36">
        <v>44630</v>
      </c>
      <c r="K1000" s="1" t="s">
        <v>176</v>
      </c>
      <c r="L1000" s="1">
        <v>22</v>
      </c>
      <c r="M1000" s="73">
        <v>34234</v>
      </c>
    </row>
    <row r="1001" spans="2:13" outlineLevel="2">
      <c r="B1001" s="35">
        <f t="shared" si="35"/>
        <v>537</v>
      </c>
      <c r="C1001" s="41" t="s">
        <v>175</v>
      </c>
      <c r="D1001" s="41"/>
      <c r="E1001" s="41" t="s">
        <v>131</v>
      </c>
      <c r="F1001" s="41">
        <v>919841</v>
      </c>
      <c r="G1001" s="1">
        <v>53595</v>
      </c>
      <c r="H1001" s="1">
        <v>2014</v>
      </c>
      <c r="I1001" s="1"/>
      <c r="J1001" s="36">
        <v>44630</v>
      </c>
      <c r="K1001" s="1" t="s">
        <v>176</v>
      </c>
      <c r="L1001" s="1">
        <v>3</v>
      </c>
      <c r="M1001" s="73">
        <v>34231</v>
      </c>
    </row>
    <row r="1002" spans="2:13" outlineLevel="2">
      <c r="B1002" s="35">
        <f t="shared" si="35"/>
        <v>538</v>
      </c>
      <c r="C1002" s="41" t="s">
        <v>175</v>
      </c>
      <c r="D1002" s="41"/>
      <c r="E1002" s="41" t="s">
        <v>131</v>
      </c>
      <c r="F1002" s="41">
        <v>825926</v>
      </c>
      <c r="G1002" s="1">
        <v>40507</v>
      </c>
      <c r="H1002" s="1">
        <v>2012</v>
      </c>
      <c r="I1002" s="1"/>
      <c r="J1002" s="36">
        <v>44630</v>
      </c>
      <c r="K1002" s="1" t="s">
        <v>176</v>
      </c>
      <c r="L1002" s="1">
        <v>34</v>
      </c>
      <c r="M1002" s="73">
        <v>34208</v>
      </c>
    </row>
    <row r="1003" spans="2:13" outlineLevel="2">
      <c r="B1003" s="35">
        <f t="shared" si="35"/>
        <v>539</v>
      </c>
      <c r="C1003" s="41" t="s">
        <v>175</v>
      </c>
      <c r="D1003" s="41"/>
      <c r="E1003" s="41" t="s">
        <v>131</v>
      </c>
      <c r="F1003" s="41">
        <v>955958</v>
      </c>
      <c r="G1003" s="1">
        <v>53204</v>
      </c>
      <c r="H1003" s="1">
        <v>2014</v>
      </c>
      <c r="I1003" s="1"/>
      <c r="J1003" s="36">
        <v>44630</v>
      </c>
      <c r="K1003" s="1" t="s">
        <v>176</v>
      </c>
      <c r="L1003" s="1">
        <v>2</v>
      </c>
      <c r="M1003" s="73">
        <v>34238</v>
      </c>
    </row>
    <row r="1004" spans="2:13" outlineLevel="2">
      <c r="B1004" s="35">
        <f t="shared" si="35"/>
        <v>540</v>
      </c>
      <c r="C1004" s="41" t="s">
        <v>175</v>
      </c>
      <c r="D1004" s="41"/>
      <c r="E1004" s="41" t="s">
        <v>131</v>
      </c>
      <c r="F1004" s="41">
        <v>28621957</v>
      </c>
      <c r="G1004" s="1">
        <v>56489</v>
      </c>
      <c r="H1004" s="1">
        <v>2015</v>
      </c>
      <c r="I1004" s="1"/>
      <c r="J1004" s="36">
        <v>44630</v>
      </c>
      <c r="K1004" s="1" t="s">
        <v>176</v>
      </c>
      <c r="L1004" s="1">
        <v>7</v>
      </c>
      <c r="M1004" s="73">
        <v>34237</v>
      </c>
    </row>
    <row r="1005" spans="2:13" outlineLevel="2">
      <c r="B1005" s="35">
        <f t="shared" si="35"/>
        <v>541</v>
      </c>
      <c r="C1005" s="41" t="s">
        <v>175</v>
      </c>
      <c r="D1005" s="41"/>
      <c r="E1005" s="41" t="s">
        <v>131</v>
      </c>
      <c r="F1005" s="41">
        <v>812928</v>
      </c>
      <c r="G1005" s="1">
        <v>37926</v>
      </c>
      <c r="H1005" s="1">
        <v>2011</v>
      </c>
      <c r="I1005" s="1"/>
      <c r="J1005" s="36">
        <v>44630</v>
      </c>
      <c r="K1005" s="1" t="s">
        <v>176</v>
      </c>
      <c r="L1005" s="1">
        <v>7</v>
      </c>
      <c r="M1005" s="73">
        <v>34236</v>
      </c>
    </row>
    <row r="1006" spans="2:13" outlineLevel="2">
      <c r="B1006" s="35">
        <f t="shared" si="35"/>
        <v>542</v>
      </c>
      <c r="C1006" s="41" t="s">
        <v>175</v>
      </c>
      <c r="D1006" s="41"/>
      <c r="E1006" s="41" t="s">
        <v>131</v>
      </c>
      <c r="F1006" s="41">
        <v>1043831749</v>
      </c>
      <c r="G1006" s="1">
        <v>111620</v>
      </c>
      <c r="H1006" s="1">
        <v>2018</v>
      </c>
      <c r="I1006" s="1"/>
      <c r="J1006" s="36">
        <v>44630</v>
      </c>
      <c r="K1006" s="1" t="s">
        <v>176</v>
      </c>
      <c r="L1006" s="1">
        <v>6</v>
      </c>
      <c r="M1006" s="73">
        <v>34222</v>
      </c>
    </row>
    <row r="1007" spans="2:13" outlineLevel="2">
      <c r="B1007" s="35">
        <f t="shared" si="35"/>
        <v>543</v>
      </c>
      <c r="C1007" s="41" t="s">
        <v>175</v>
      </c>
      <c r="D1007" s="41"/>
      <c r="E1007" s="41" t="s">
        <v>131</v>
      </c>
      <c r="F1007" s="41">
        <v>895135</v>
      </c>
      <c r="G1007" s="1">
        <v>47708</v>
      </c>
      <c r="H1007" s="1">
        <v>2013</v>
      </c>
      <c r="I1007" s="1"/>
      <c r="J1007" s="36">
        <v>44630</v>
      </c>
      <c r="K1007" s="1" t="s">
        <v>176</v>
      </c>
      <c r="L1007" s="1">
        <v>33</v>
      </c>
      <c r="M1007" s="73">
        <v>34235</v>
      </c>
    </row>
    <row r="1008" spans="2:13" outlineLevel="2">
      <c r="B1008" s="35">
        <f t="shared" si="35"/>
        <v>544</v>
      </c>
      <c r="C1008" s="41" t="s">
        <v>175</v>
      </c>
      <c r="D1008" s="41"/>
      <c r="E1008" s="41" t="s">
        <v>131</v>
      </c>
      <c r="F1008" s="41">
        <v>894976</v>
      </c>
      <c r="G1008" s="1">
        <v>47509</v>
      </c>
      <c r="H1008" s="1">
        <v>2013</v>
      </c>
      <c r="I1008" s="1"/>
      <c r="J1008" s="36">
        <v>44630</v>
      </c>
      <c r="K1008" s="1" t="s">
        <v>176</v>
      </c>
      <c r="L1008" s="1">
        <v>2</v>
      </c>
      <c r="M1008" s="73">
        <v>34230</v>
      </c>
    </row>
    <row r="1009" spans="2:13" outlineLevel="2">
      <c r="B1009" s="35">
        <f t="shared" si="35"/>
        <v>545</v>
      </c>
      <c r="C1009" s="41" t="s">
        <v>175</v>
      </c>
      <c r="D1009" s="41"/>
      <c r="E1009" s="41" t="s">
        <v>131</v>
      </c>
      <c r="F1009" s="41">
        <v>1036671970</v>
      </c>
      <c r="G1009" s="1">
        <v>67150</v>
      </c>
      <c r="H1009" s="1">
        <v>2017</v>
      </c>
      <c r="I1009" s="1"/>
      <c r="J1009" s="36">
        <v>44630</v>
      </c>
      <c r="K1009" s="1" t="s">
        <v>176</v>
      </c>
      <c r="L1009" s="1">
        <v>7</v>
      </c>
      <c r="M1009" s="73">
        <v>34229</v>
      </c>
    </row>
    <row r="1010" spans="2:13" outlineLevel="2">
      <c r="B1010" s="35">
        <f t="shared" si="35"/>
        <v>546</v>
      </c>
      <c r="C1010" s="41" t="s">
        <v>175</v>
      </c>
      <c r="D1010" s="41"/>
      <c r="E1010" s="41" t="s">
        <v>131</v>
      </c>
      <c r="F1010" s="41">
        <v>27744832</v>
      </c>
      <c r="G1010" s="1">
        <v>56196</v>
      </c>
      <c r="H1010" s="1">
        <v>2015</v>
      </c>
      <c r="I1010" s="1"/>
      <c r="J1010" s="36">
        <v>44630</v>
      </c>
      <c r="K1010" s="1" t="s">
        <v>176</v>
      </c>
      <c r="L1010" s="1">
        <v>7</v>
      </c>
      <c r="M1010" s="73">
        <v>34211</v>
      </c>
    </row>
    <row r="1011" spans="2:13" outlineLevel="2">
      <c r="B1011" s="35">
        <f t="shared" si="35"/>
        <v>547</v>
      </c>
      <c r="C1011" s="41" t="s">
        <v>175</v>
      </c>
      <c r="D1011" s="41"/>
      <c r="E1011" s="41" t="s">
        <v>131</v>
      </c>
      <c r="F1011" s="41">
        <v>894974</v>
      </c>
      <c r="G1011" s="1">
        <v>47507</v>
      </c>
      <c r="H1011" s="1">
        <v>2013</v>
      </c>
      <c r="I1011" s="1"/>
      <c r="J1011" s="36">
        <v>44677</v>
      </c>
      <c r="K1011" s="1" t="s">
        <v>176</v>
      </c>
      <c r="L1011" s="1">
        <v>23</v>
      </c>
      <c r="M1011" s="73">
        <v>34210</v>
      </c>
    </row>
    <row r="1012" spans="2:13" outlineLevel="2">
      <c r="B1012" s="35">
        <f t="shared" si="35"/>
        <v>548</v>
      </c>
      <c r="C1012" s="41" t="s">
        <v>175</v>
      </c>
      <c r="D1012" s="41"/>
      <c r="E1012" s="41" t="s">
        <v>131</v>
      </c>
      <c r="F1012" s="41">
        <v>999130</v>
      </c>
      <c r="G1012" s="1">
        <v>56405</v>
      </c>
      <c r="H1012" s="1">
        <v>2015</v>
      </c>
      <c r="I1012" s="1"/>
      <c r="J1012" s="36">
        <v>44630</v>
      </c>
      <c r="K1012" s="1" t="s">
        <v>176</v>
      </c>
      <c r="L1012" s="1">
        <v>2</v>
      </c>
      <c r="M1012" s="73">
        <v>34214</v>
      </c>
    </row>
    <row r="1013" spans="2:13" outlineLevel="2">
      <c r="B1013" s="35">
        <f t="shared" si="35"/>
        <v>549</v>
      </c>
      <c r="C1013" s="41" t="s">
        <v>175</v>
      </c>
      <c r="D1013" s="41"/>
      <c r="E1013" s="41" t="s">
        <v>131</v>
      </c>
      <c r="F1013" s="41">
        <v>30800647</v>
      </c>
      <c r="G1013" s="1">
        <v>58741</v>
      </c>
      <c r="H1013" s="1">
        <v>2016</v>
      </c>
      <c r="I1013" s="1"/>
      <c r="J1013" s="36">
        <v>44630</v>
      </c>
      <c r="K1013" s="1" t="s">
        <v>176</v>
      </c>
      <c r="L1013" s="1">
        <v>4</v>
      </c>
      <c r="M1013" s="73">
        <v>34218</v>
      </c>
    </row>
    <row r="1014" spans="2:13" outlineLevel="2">
      <c r="B1014" s="35">
        <f t="shared" si="35"/>
        <v>550</v>
      </c>
      <c r="C1014" s="41" t="s">
        <v>175</v>
      </c>
      <c r="D1014" s="41"/>
      <c r="E1014" s="41" t="s">
        <v>131</v>
      </c>
      <c r="F1014" s="41">
        <v>1200076</v>
      </c>
      <c r="G1014" s="1">
        <v>546188</v>
      </c>
      <c r="H1014" s="1">
        <v>2019</v>
      </c>
      <c r="I1014" s="1"/>
      <c r="J1014" s="36">
        <v>44630</v>
      </c>
      <c r="K1014" s="1" t="s">
        <v>176</v>
      </c>
      <c r="L1014" s="1">
        <v>2</v>
      </c>
      <c r="M1014" s="73">
        <v>34213</v>
      </c>
    </row>
    <row r="1015" spans="2:13" outlineLevel="2">
      <c r="B1015" s="35">
        <f t="shared" si="35"/>
        <v>551</v>
      </c>
      <c r="C1015" s="41" t="s">
        <v>175</v>
      </c>
      <c r="D1015" s="41"/>
      <c r="E1015" s="41" t="s">
        <v>188</v>
      </c>
      <c r="F1015" s="41">
        <v>257271</v>
      </c>
      <c r="G1015" s="74" t="s">
        <v>178</v>
      </c>
      <c r="H1015" s="1">
        <v>1999</v>
      </c>
      <c r="I1015" s="1"/>
      <c r="J1015" s="36">
        <v>44838</v>
      </c>
      <c r="K1015" s="1" t="s">
        <v>176</v>
      </c>
      <c r="L1015" s="1">
        <v>119</v>
      </c>
      <c r="M1015" s="73">
        <v>13505</v>
      </c>
    </row>
    <row r="1016" spans="2:13" outlineLevel="2">
      <c r="B1016" s="35">
        <f t="shared" si="35"/>
        <v>552</v>
      </c>
      <c r="C1016" s="41" t="s">
        <v>175</v>
      </c>
      <c r="D1016" s="41"/>
      <c r="E1016" s="41" t="s">
        <v>131</v>
      </c>
      <c r="F1016" s="41">
        <v>1019435</v>
      </c>
      <c r="G1016" s="1">
        <v>59275</v>
      </c>
      <c r="H1016" s="1">
        <v>2016</v>
      </c>
      <c r="I1016" s="1"/>
      <c r="J1016" s="36">
        <v>44642</v>
      </c>
      <c r="K1016" s="1" t="s">
        <v>176</v>
      </c>
      <c r="L1016" s="1">
        <v>12</v>
      </c>
      <c r="M1016" s="73">
        <v>35134</v>
      </c>
    </row>
    <row r="1017" spans="2:13" outlineLevel="2">
      <c r="B1017" s="35">
        <f t="shared" si="35"/>
        <v>553</v>
      </c>
      <c r="C1017" s="41" t="s">
        <v>175</v>
      </c>
      <c r="D1017" s="41"/>
      <c r="E1017" s="41" t="s">
        <v>131</v>
      </c>
      <c r="F1017" s="41">
        <v>943973</v>
      </c>
      <c r="G1017" s="1">
        <v>52477</v>
      </c>
      <c r="H1017" s="1">
        <v>2014</v>
      </c>
      <c r="I1017" s="1"/>
      <c r="J1017" s="36">
        <v>44630</v>
      </c>
      <c r="K1017" s="1" t="s">
        <v>176</v>
      </c>
      <c r="L1017" s="1">
        <v>41</v>
      </c>
      <c r="M1017" s="73">
        <v>34226</v>
      </c>
    </row>
    <row r="1018" spans="2:13" outlineLevel="2">
      <c r="B1018" s="35">
        <f t="shared" ref="B1018:B1049" si="36">(B1017+1)</f>
        <v>554</v>
      </c>
      <c r="C1018" s="41" t="s">
        <v>175</v>
      </c>
      <c r="D1018" s="41"/>
      <c r="E1018" s="41" t="s">
        <v>131</v>
      </c>
      <c r="F1018" s="41">
        <v>1215434</v>
      </c>
      <c r="G1018" s="1">
        <v>547068</v>
      </c>
      <c r="H1018" s="1">
        <v>2019</v>
      </c>
      <c r="I1018" s="1"/>
      <c r="J1018" s="36">
        <v>44630</v>
      </c>
      <c r="K1018" s="1" t="s">
        <v>176</v>
      </c>
      <c r="L1018" s="1">
        <v>2</v>
      </c>
      <c r="M1018" s="73">
        <v>34223</v>
      </c>
    </row>
    <row r="1019" spans="2:13" outlineLevel="2">
      <c r="B1019" s="35">
        <f t="shared" si="36"/>
        <v>555</v>
      </c>
      <c r="C1019" s="41" t="s">
        <v>175</v>
      </c>
      <c r="D1019" s="41"/>
      <c r="E1019" s="41" t="s">
        <v>131</v>
      </c>
      <c r="F1019" s="41">
        <v>1036849888</v>
      </c>
      <c r="G1019" s="1">
        <v>67556</v>
      </c>
      <c r="H1019" s="1">
        <v>2017</v>
      </c>
      <c r="I1019" s="1"/>
      <c r="J1019" s="36">
        <v>44630</v>
      </c>
      <c r="K1019" s="1" t="s">
        <v>176</v>
      </c>
      <c r="L1019" s="1">
        <v>10</v>
      </c>
      <c r="M1019" s="73">
        <v>34220</v>
      </c>
    </row>
    <row r="1020" spans="2:13" outlineLevel="2">
      <c r="B1020" s="35">
        <f t="shared" si="36"/>
        <v>556</v>
      </c>
      <c r="C1020" s="41" t="s">
        <v>175</v>
      </c>
      <c r="D1020" s="41"/>
      <c r="E1020" s="41" t="s">
        <v>131</v>
      </c>
      <c r="F1020" s="41">
        <v>1043831783</v>
      </c>
      <c r="G1020" s="1">
        <v>111652</v>
      </c>
      <c r="H1020" s="1">
        <v>2018</v>
      </c>
      <c r="I1020" s="1"/>
      <c r="J1020" s="36">
        <v>44630</v>
      </c>
      <c r="K1020" s="1" t="s">
        <v>176</v>
      </c>
      <c r="L1020" s="1">
        <v>6</v>
      </c>
      <c r="M1020" s="73">
        <v>34233</v>
      </c>
    </row>
    <row r="1021" spans="2:13" outlineLevel="2">
      <c r="B1021" s="35">
        <f t="shared" si="36"/>
        <v>557</v>
      </c>
      <c r="C1021" s="41" t="s">
        <v>175</v>
      </c>
      <c r="D1021" s="41"/>
      <c r="E1021" s="41" t="s">
        <v>181</v>
      </c>
      <c r="F1021" s="41">
        <v>1018070</v>
      </c>
      <c r="G1021" s="1">
        <v>111843</v>
      </c>
      <c r="H1021" s="1">
        <v>2017</v>
      </c>
      <c r="I1021" s="1"/>
      <c r="J1021" s="36">
        <v>44630</v>
      </c>
      <c r="K1021" s="1" t="s">
        <v>176</v>
      </c>
      <c r="L1021" s="1">
        <v>31</v>
      </c>
      <c r="M1021" s="73">
        <v>34224</v>
      </c>
    </row>
    <row r="1022" spans="2:13" outlineLevel="2">
      <c r="B1022" s="35">
        <f t="shared" si="36"/>
        <v>558</v>
      </c>
      <c r="C1022" s="41" t="s">
        <v>175</v>
      </c>
      <c r="D1022" s="41"/>
      <c r="E1022" s="41" t="s">
        <v>181</v>
      </c>
      <c r="F1022" s="41">
        <v>1019659</v>
      </c>
      <c r="G1022" s="1">
        <v>59519</v>
      </c>
      <c r="H1022" s="1">
        <v>2016</v>
      </c>
      <c r="I1022" s="1"/>
      <c r="J1022" s="36">
        <v>44630</v>
      </c>
      <c r="K1022" s="1" t="s">
        <v>176</v>
      </c>
      <c r="L1022" s="1">
        <v>2</v>
      </c>
      <c r="M1022" s="73">
        <v>34221</v>
      </c>
    </row>
    <row r="1023" spans="2:13" outlineLevel="2">
      <c r="B1023" s="35">
        <f t="shared" si="36"/>
        <v>559</v>
      </c>
      <c r="C1023" s="41" t="s">
        <v>175</v>
      </c>
      <c r="D1023" s="41"/>
      <c r="E1023" s="41" t="s">
        <v>189</v>
      </c>
      <c r="F1023" s="41">
        <v>821630</v>
      </c>
      <c r="G1023" s="1">
        <v>81462</v>
      </c>
      <c r="H1023" s="1">
        <v>1982</v>
      </c>
      <c r="I1023" s="1"/>
      <c r="J1023" s="36">
        <v>44838</v>
      </c>
      <c r="K1023" s="1" t="s">
        <v>176</v>
      </c>
      <c r="L1023" s="1">
        <v>120</v>
      </c>
      <c r="M1023" s="73">
        <v>13513</v>
      </c>
    </row>
    <row r="1024" spans="2:13" outlineLevel="2">
      <c r="B1024" s="35">
        <f t="shared" si="36"/>
        <v>560</v>
      </c>
      <c r="C1024" s="41" t="s">
        <v>175</v>
      </c>
      <c r="D1024" s="41"/>
      <c r="E1024" s="41" t="s">
        <v>128</v>
      </c>
      <c r="F1024" s="41">
        <v>518516</v>
      </c>
      <c r="G1024" s="1">
        <v>81913</v>
      </c>
      <c r="H1024" s="1">
        <v>2018</v>
      </c>
      <c r="I1024" s="1"/>
      <c r="J1024" s="36">
        <v>44644</v>
      </c>
      <c r="K1024" s="1" t="s">
        <v>176</v>
      </c>
      <c r="L1024" s="1">
        <v>24</v>
      </c>
      <c r="M1024" s="73">
        <v>35372</v>
      </c>
    </row>
    <row r="1025" spans="2:13" outlineLevel="2">
      <c r="B1025" s="35">
        <f t="shared" si="36"/>
        <v>561</v>
      </c>
      <c r="C1025" s="41" t="s">
        <v>175</v>
      </c>
      <c r="D1025" s="41"/>
      <c r="E1025" s="41" t="s">
        <v>130</v>
      </c>
      <c r="F1025" s="41">
        <v>518534</v>
      </c>
      <c r="G1025" s="1">
        <v>81966</v>
      </c>
      <c r="H1025" s="1">
        <v>2006</v>
      </c>
      <c r="I1025" s="1"/>
      <c r="J1025" s="36">
        <v>44644</v>
      </c>
      <c r="K1025" s="1" t="s">
        <v>176</v>
      </c>
      <c r="L1025" s="1">
        <v>16</v>
      </c>
      <c r="M1025" s="73">
        <v>35392</v>
      </c>
    </row>
    <row r="1026" spans="2:13" outlineLevel="2">
      <c r="B1026" s="35">
        <f t="shared" si="36"/>
        <v>562</v>
      </c>
      <c r="C1026" s="41" t="s">
        <v>175</v>
      </c>
      <c r="D1026" s="41"/>
      <c r="E1026" s="41" t="s">
        <v>130</v>
      </c>
      <c r="F1026" s="41">
        <v>102469</v>
      </c>
      <c r="G1026" s="1">
        <v>90302</v>
      </c>
      <c r="H1026" s="1">
        <v>2008</v>
      </c>
      <c r="I1026" s="1"/>
      <c r="J1026" s="36">
        <v>44644</v>
      </c>
      <c r="K1026" s="1" t="s">
        <v>176</v>
      </c>
      <c r="L1026" s="1">
        <v>17</v>
      </c>
      <c r="M1026" s="73">
        <v>35393</v>
      </c>
    </row>
    <row r="1027" spans="2:13" outlineLevel="2">
      <c r="B1027" s="35">
        <f t="shared" si="36"/>
        <v>563</v>
      </c>
      <c r="C1027" s="41" t="s">
        <v>175</v>
      </c>
      <c r="D1027" s="41"/>
      <c r="E1027" s="41" t="s">
        <v>130</v>
      </c>
      <c r="F1027" s="41">
        <v>102217</v>
      </c>
      <c r="G1027" s="1">
        <v>90278</v>
      </c>
      <c r="H1027" s="1">
        <v>2008</v>
      </c>
      <c r="I1027" s="1"/>
      <c r="J1027" s="36">
        <v>44644</v>
      </c>
      <c r="K1027" s="1" t="s">
        <v>176</v>
      </c>
      <c r="L1027" s="1">
        <v>4</v>
      </c>
      <c r="M1027" s="73">
        <v>35391</v>
      </c>
    </row>
    <row r="1028" spans="2:13" outlineLevel="2">
      <c r="B1028" s="35">
        <f t="shared" si="36"/>
        <v>564</v>
      </c>
      <c r="C1028" s="41" t="s">
        <v>175</v>
      </c>
      <c r="D1028" s="41"/>
      <c r="E1028" s="41" t="s">
        <v>130</v>
      </c>
      <c r="F1028" s="41">
        <v>861250</v>
      </c>
      <c r="G1028" s="1">
        <v>49570</v>
      </c>
      <c r="H1028" s="1">
        <v>2013</v>
      </c>
      <c r="I1028" s="1"/>
      <c r="J1028" s="36">
        <v>44644</v>
      </c>
      <c r="K1028" s="1" t="s">
        <v>176</v>
      </c>
      <c r="L1028" s="1">
        <v>16</v>
      </c>
      <c r="M1028" s="73">
        <v>35394</v>
      </c>
    </row>
    <row r="1029" spans="2:13" outlineLevel="2">
      <c r="B1029" s="35">
        <f t="shared" si="36"/>
        <v>565</v>
      </c>
      <c r="C1029" s="41" t="s">
        <v>175</v>
      </c>
      <c r="D1029" s="41"/>
      <c r="E1029" s="41" t="s">
        <v>127</v>
      </c>
      <c r="F1029" s="41">
        <v>1179604</v>
      </c>
      <c r="G1029" s="1">
        <v>543099</v>
      </c>
      <c r="H1029" s="1">
        <v>2018</v>
      </c>
      <c r="I1029" s="1"/>
      <c r="J1029" s="36">
        <v>44644</v>
      </c>
      <c r="K1029" s="1" t="s">
        <v>176</v>
      </c>
      <c r="L1029" s="1">
        <v>6</v>
      </c>
      <c r="M1029" s="73">
        <v>35387</v>
      </c>
    </row>
    <row r="1030" spans="2:13" outlineLevel="2">
      <c r="B1030" s="35">
        <f t="shared" si="36"/>
        <v>566</v>
      </c>
      <c r="C1030" s="41" t="s">
        <v>175</v>
      </c>
      <c r="D1030" s="41"/>
      <c r="E1030" s="41" t="s">
        <v>128</v>
      </c>
      <c r="F1030" s="41">
        <v>1042015990</v>
      </c>
      <c r="G1030" s="1">
        <v>100870</v>
      </c>
      <c r="H1030" s="1">
        <v>2018</v>
      </c>
      <c r="I1030" s="1"/>
      <c r="J1030" s="36">
        <v>44644</v>
      </c>
      <c r="K1030" s="1" t="s">
        <v>176</v>
      </c>
      <c r="L1030" s="1">
        <v>16</v>
      </c>
      <c r="M1030" s="73">
        <v>35388</v>
      </c>
    </row>
    <row r="1031" spans="2:13" outlineLevel="2">
      <c r="B1031" s="35">
        <f t="shared" si="36"/>
        <v>567</v>
      </c>
      <c r="C1031" s="41" t="s">
        <v>175</v>
      </c>
      <c r="D1031" s="41"/>
      <c r="E1031" s="41" t="s">
        <v>128</v>
      </c>
      <c r="F1031" s="41">
        <v>527050</v>
      </c>
      <c r="G1031" s="1">
        <v>82348</v>
      </c>
      <c r="H1031" s="1">
        <v>2006</v>
      </c>
      <c r="I1031" s="1"/>
      <c r="J1031" s="36">
        <v>44644</v>
      </c>
      <c r="K1031" s="1" t="s">
        <v>176</v>
      </c>
      <c r="L1031" s="1">
        <v>2</v>
      </c>
      <c r="M1031" s="73">
        <v>35376</v>
      </c>
    </row>
    <row r="1032" spans="2:13" outlineLevel="2">
      <c r="B1032" s="35">
        <f t="shared" si="36"/>
        <v>568</v>
      </c>
      <c r="C1032" s="41" t="s">
        <v>175</v>
      </c>
      <c r="D1032" s="41"/>
      <c r="E1032" s="41" t="s">
        <v>127</v>
      </c>
      <c r="F1032" s="41">
        <v>1237407</v>
      </c>
      <c r="G1032" s="1">
        <v>563971</v>
      </c>
      <c r="H1032" s="1">
        <v>2020</v>
      </c>
      <c r="I1032" s="1"/>
      <c r="J1032" s="36">
        <v>44644</v>
      </c>
      <c r="K1032" s="1" t="s">
        <v>176</v>
      </c>
      <c r="L1032" s="1">
        <v>23</v>
      </c>
      <c r="M1032" s="73">
        <v>35398</v>
      </c>
    </row>
    <row r="1033" spans="2:13" outlineLevel="2">
      <c r="B1033" s="35">
        <f t="shared" si="36"/>
        <v>569</v>
      </c>
      <c r="C1033" s="41" t="s">
        <v>175</v>
      </c>
      <c r="D1033" s="41"/>
      <c r="E1033" s="41" t="s">
        <v>128</v>
      </c>
      <c r="F1033" s="41">
        <v>1041490839</v>
      </c>
      <c r="G1033" s="1">
        <v>69965</v>
      </c>
      <c r="H1033" s="1">
        <v>2018</v>
      </c>
      <c r="I1033" s="1"/>
      <c r="J1033" s="36">
        <v>44644</v>
      </c>
      <c r="K1033" s="1" t="s">
        <v>176</v>
      </c>
      <c r="L1033" s="1">
        <v>28</v>
      </c>
      <c r="M1033" s="73">
        <v>35396</v>
      </c>
    </row>
    <row r="1034" spans="2:13" outlineLevel="2">
      <c r="B1034" s="35">
        <f t="shared" si="36"/>
        <v>570</v>
      </c>
      <c r="C1034" s="41" t="s">
        <v>175</v>
      </c>
      <c r="D1034" s="41"/>
      <c r="E1034" s="41" t="s">
        <v>128</v>
      </c>
      <c r="F1034" s="41">
        <v>1200158</v>
      </c>
      <c r="G1034" s="1">
        <v>546292</v>
      </c>
      <c r="H1034" s="1">
        <v>2019</v>
      </c>
      <c r="I1034" s="1"/>
      <c r="J1034" s="36">
        <v>44684</v>
      </c>
      <c r="K1034" s="1" t="s">
        <v>176</v>
      </c>
      <c r="L1034" s="1">
        <v>14</v>
      </c>
      <c r="M1034" s="73">
        <v>38310</v>
      </c>
    </row>
    <row r="1035" spans="2:13" outlineLevel="2">
      <c r="B1035" s="35">
        <f t="shared" si="36"/>
        <v>571</v>
      </c>
      <c r="C1035" s="41" t="s">
        <v>175</v>
      </c>
      <c r="D1035" s="41"/>
      <c r="E1035" s="41" t="s">
        <v>127</v>
      </c>
      <c r="F1035" s="41">
        <v>1042992893</v>
      </c>
      <c r="G1035" s="1">
        <v>110284</v>
      </c>
      <c r="H1035" s="1">
        <v>2018</v>
      </c>
      <c r="I1035" s="1"/>
      <c r="J1035" s="36">
        <v>44644</v>
      </c>
      <c r="K1035" s="1" t="s">
        <v>176</v>
      </c>
      <c r="L1035" s="1">
        <v>17</v>
      </c>
      <c r="M1035" s="73">
        <v>35367</v>
      </c>
    </row>
    <row r="1036" spans="2:13" outlineLevel="2">
      <c r="B1036" s="35">
        <f t="shared" si="36"/>
        <v>572</v>
      </c>
      <c r="C1036" s="41" t="s">
        <v>175</v>
      </c>
      <c r="D1036" s="41"/>
      <c r="E1036" s="41" t="s">
        <v>166</v>
      </c>
      <c r="F1036" s="41">
        <v>29257782</v>
      </c>
      <c r="G1036" s="1">
        <v>56812</v>
      </c>
      <c r="H1036" s="1">
        <v>2015</v>
      </c>
      <c r="I1036" s="1"/>
      <c r="J1036" s="36">
        <v>44644</v>
      </c>
      <c r="K1036" s="1" t="s">
        <v>176</v>
      </c>
      <c r="L1036" s="1">
        <v>28</v>
      </c>
      <c r="M1036" s="73">
        <v>35390</v>
      </c>
    </row>
    <row r="1037" spans="2:13" outlineLevel="2">
      <c r="B1037" s="35">
        <f t="shared" si="36"/>
        <v>573</v>
      </c>
      <c r="C1037" s="41" t="s">
        <v>175</v>
      </c>
      <c r="D1037" s="41"/>
      <c r="E1037" s="41" t="s">
        <v>128</v>
      </c>
      <c r="F1037" s="41">
        <v>1041490804</v>
      </c>
      <c r="G1037" s="1">
        <v>69930</v>
      </c>
      <c r="H1037" s="1">
        <v>2017</v>
      </c>
      <c r="I1037" s="1"/>
      <c r="J1037" s="36"/>
      <c r="K1037" s="1" t="s">
        <v>176</v>
      </c>
      <c r="L1037" s="1">
        <v>12</v>
      </c>
      <c r="M1037" s="2">
        <v>35366</v>
      </c>
    </row>
    <row r="1038" spans="2:13" outlineLevel="2">
      <c r="B1038" s="35">
        <f t="shared" si="36"/>
        <v>574</v>
      </c>
      <c r="C1038" s="41" t="s">
        <v>175</v>
      </c>
      <c r="D1038" s="41"/>
      <c r="E1038" s="41" t="s">
        <v>131</v>
      </c>
      <c r="F1038" s="41">
        <v>919184</v>
      </c>
      <c r="G1038" s="1">
        <v>54462</v>
      </c>
      <c r="H1038" s="1">
        <v>2014</v>
      </c>
      <c r="I1038" s="1"/>
      <c r="J1038" s="36"/>
      <c r="K1038" s="1" t="s">
        <v>176</v>
      </c>
      <c r="L1038" s="1">
        <v>2</v>
      </c>
      <c r="M1038" s="2">
        <v>35389</v>
      </c>
    </row>
    <row r="1039" spans="2:13" outlineLevel="2">
      <c r="B1039" s="35">
        <f t="shared" si="36"/>
        <v>575</v>
      </c>
      <c r="C1039" s="41" t="s">
        <v>175</v>
      </c>
      <c r="D1039" s="41"/>
      <c r="E1039" s="41" t="s">
        <v>131</v>
      </c>
      <c r="F1039" s="41">
        <v>804716</v>
      </c>
      <c r="G1039" s="1">
        <v>37252</v>
      </c>
      <c r="H1039" s="1">
        <v>2011</v>
      </c>
      <c r="I1039" s="1"/>
      <c r="J1039" s="36"/>
      <c r="K1039" s="1" t="s">
        <v>176</v>
      </c>
      <c r="L1039" s="1">
        <v>27</v>
      </c>
      <c r="M1039" s="2">
        <v>35380</v>
      </c>
    </row>
    <row r="1040" spans="2:13" outlineLevel="2">
      <c r="B1040" s="35">
        <f t="shared" si="36"/>
        <v>576</v>
      </c>
      <c r="C1040" s="41" t="s">
        <v>175</v>
      </c>
      <c r="D1040" s="41"/>
      <c r="E1040" s="41" t="s">
        <v>131</v>
      </c>
      <c r="F1040" s="41">
        <v>1043831741</v>
      </c>
      <c r="G1040" s="1">
        <v>111612</v>
      </c>
      <c r="H1040" s="1">
        <v>2018</v>
      </c>
      <c r="I1040" s="1"/>
      <c r="J1040" s="36"/>
      <c r="K1040" s="1" t="s">
        <v>176</v>
      </c>
      <c r="L1040" s="1">
        <v>4</v>
      </c>
      <c r="M1040" s="2">
        <v>35386</v>
      </c>
    </row>
    <row r="1041" spans="2:13" outlineLevel="2">
      <c r="B1041" s="35">
        <f t="shared" si="36"/>
        <v>577</v>
      </c>
      <c r="C1041" s="41" t="s">
        <v>175</v>
      </c>
      <c r="D1041" s="41"/>
      <c r="E1041" s="41" t="s">
        <v>128</v>
      </c>
      <c r="F1041" s="41">
        <v>763944</v>
      </c>
      <c r="G1041" s="1">
        <v>37664</v>
      </c>
      <c r="H1041" s="1">
        <v>2011</v>
      </c>
      <c r="I1041" s="1"/>
      <c r="J1041" s="36"/>
      <c r="K1041" s="1" t="s">
        <v>176</v>
      </c>
      <c r="L1041" s="1">
        <v>11</v>
      </c>
      <c r="M1041" s="2">
        <v>35399</v>
      </c>
    </row>
    <row r="1042" spans="2:13" outlineLevel="2">
      <c r="B1042" s="35">
        <f t="shared" si="36"/>
        <v>578</v>
      </c>
      <c r="C1042" s="41" t="s">
        <v>175</v>
      </c>
      <c r="D1042" s="41"/>
      <c r="E1042" s="41" t="s">
        <v>128</v>
      </c>
      <c r="F1042" s="41">
        <v>600760</v>
      </c>
      <c r="G1042" s="1">
        <v>87749</v>
      </c>
      <c r="H1042" s="1">
        <v>2007</v>
      </c>
      <c r="I1042" s="1"/>
      <c r="J1042" s="36"/>
      <c r="K1042" s="1" t="s">
        <v>176</v>
      </c>
      <c r="L1042" s="1">
        <v>6</v>
      </c>
      <c r="M1042" s="2">
        <v>35370</v>
      </c>
    </row>
    <row r="1043" spans="2:13" outlineLevel="2">
      <c r="B1043" s="35">
        <f t="shared" si="36"/>
        <v>579</v>
      </c>
      <c r="C1043" s="41" t="s">
        <v>175</v>
      </c>
      <c r="D1043" s="41"/>
      <c r="E1043" s="41" t="s">
        <v>128</v>
      </c>
      <c r="F1043" s="41">
        <v>1201638</v>
      </c>
      <c r="G1043" s="1">
        <v>546345</v>
      </c>
      <c r="H1043" s="1">
        <v>2019</v>
      </c>
      <c r="I1043" s="1"/>
      <c r="J1043" s="36"/>
      <c r="K1043" s="1" t="s">
        <v>176</v>
      </c>
      <c r="L1043" s="1">
        <v>9</v>
      </c>
      <c r="M1043" s="2">
        <v>34677</v>
      </c>
    </row>
    <row r="1044" spans="2:13" outlineLevel="2">
      <c r="B1044" s="35">
        <f t="shared" si="36"/>
        <v>580</v>
      </c>
      <c r="C1044" s="41" t="s">
        <v>175</v>
      </c>
      <c r="D1044" s="41"/>
      <c r="E1044" s="41" t="s">
        <v>128</v>
      </c>
      <c r="F1044" s="41">
        <v>29257727</v>
      </c>
      <c r="G1044" s="1">
        <v>56757</v>
      </c>
      <c r="H1044" s="1">
        <v>2015</v>
      </c>
      <c r="I1044" s="1"/>
      <c r="J1044" s="36"/>
      <c r="K1044" s="1" t="s">
        <v>176</v>
      </c>
      <c r="L1044" s="1">
        <v>2</v>
      </c>
      <c r="M1044" s="2">
        <v>35400</v>
      </c>
    </row>
    <row r="1045" spans="2:13" outlineLevel="2">
      <c r="B1045" s="35">
        <f t="shared" si="36"/>
        <v>581</v>
      </c>
      <c r="C1045" s="41" t="s">
        <v>175</v>
      </c>
      <c r="D1045" s="41"/>
      <c r="E1045" s="41" t="s">
        <v>128</v>
      </c>
      <c r="F1045" s="41">
        <v>446475</v>
      </c>
      <c r="G1045" s="1">
        <v>32245</v>
      </c>
      <c r="H1045" s="1">
        <v>2005</v>
      </c>
      <c r="I1045" s="1"/>
      <c r="J1045" s="36"/>
      <c r="K1045" s="1" t="s">
        <v>176</v>
      </c>
      <c r="L1045" s="1">
        <v>23</v>
      </c>
      <c r="M1045" s="2">
        <v>35368</v>
      </c>
    </row>
    <row r="1046" spans="2:13" outlineLevel="2">
      <c r="B1046" s="35">
        <f t="shared" si="36"/>
        <v>582</v>
      </c>
      <c r="C1046" s="41" t="s">
        <v>175</v>
      </c>
      <c r="D1046" s="41"/>
      <c r="E1046" s="41" t="s">
        <v>166</v>
      </c>
      <c r="F1046" s="41">
        <v>244386</v>
      </c>
      <c r="G1046" s="1">
        <v>82149</v>
      </c>
      <c r="H1046" s="1">
        <v>2006</v>
      </c>
      <c r="I1046" s="1"/>
      <c r="J1046" s="36"/>
      <c r="K1046" s="1" t="s">
        <v>176</v>
      </c>
      <c r="L1046" s="1">
        <v>5</v>
      </c>
      <c r="M1046" s="2">
        <v>35377</v>
      </c>
    </row>
    <row r="1047" spans="2:13" outlineLevel="2">
      <c r="B1047" s="35">
        <f t="shared" si="36"/>
        <v>583</v>
      </c>
      <c r="C1047" s="41" t="s">
        <v>175</v>
      </c>
      <c r="D1047" s="41"/>
      <c r="E1047" s="41" t="s">
        <v>127</v>
      </c>
      <c r="F1047" s="41">
        <v>1214777</v>
      </c>
      <c r="G1047" s="1">
        <v>545067</v>
      </c>
      <c r="H1047" s="1">
        <v>2019</v>
      </c>
      <c r="I1047" s="1"/>
      <c r="J1047" s="36"/>
      <c r="K1047" s="1" t="s">
        <v>176</v>
      </c>
      <c r="L1047" s="1">
        <v>27</v>
      </c>
      <c r="M1047" s="2">
        <v>35378</v>
      </c>
    </row>
    <row r="1048" spans="2:13" outlineLevel="2">
      <c r="B1048" s="35">
        <f t="shared" si="36"/>
        <v>584</v>
      </c>
      <c r="C1048" s="41" t="s">
        <v>175</v>
      </c>
      <c r="D1048" s="41"/>
      <c r="E1048" s="41" t="s">
        <v>127</v>
      </c>
      <c r="F1048" s="41">
        <v>671907</v>
      </c>
      <c r="G1048" s="1">
        <v>98175</v>
      </c>
      <c r="H1048" s="1">
        <v>2010</v>
      </c>
      <c r="I1048" s="1"/>
      <c r="J1048" s="36"/>
      <c r="K1048" s="1" t="s">
        <v>176</v>
      </c>
      <c r="L1048" s="1">
        <v>16</v>
      </c>
      <c r="M1048" s="2">
        <v>35371</v>
      </c>
    </row>
    <row r="1049" spans="2:13" outlineLevel="2">
      <c r="B1049" s="35">
        <f t="shared" si="36"/>
        <v>585</v>
      </c>
      <c r="C1049" s="41" t="s">
        <v>175</v>
      </c>
      <c r="D1049" s="41"/>
      <c r="E1049" s="41" t="s">
        <v>127</v>
      </c>
      <c r="F1049" s="41">
        <v>868180</v>
      </c>
      <c r="G1049" s="1">
        <v>44930</v>
      </c>
      <c r="H1049" s="1">
        <v>2013</v>
      </c>
      <c r="I1049" s="1"/>
      <c r="J1049" s="36"/>
      <c r="K1049" s="1" t="s">
        <v>176</v>
      </c>
      <c r="L1049" s="1">
        <v>6</v>
      </c>
      <c r="M1049" s="2">
        <v>35369</v>
      </c>
    </row>
    <row r="1050" spans="2:13" outlineLevel="2">
      <c r="B1050" s="35">
        <f t="shared" ref="B1050:B1081" si="37">(B1049+1)</f>
        <v>586</v>
      </c>
      <c r="C1050" s="41" t="s">
        <v>175</v>
      </c>
      <c r="D1050" s="41"/>
      <c r="E1050" s="41" t="s">
        <v>131</v>
      </c>
      <c r="F1050" s="41">
        <v>1036671991</v>
      </c>
      <c r="G1050" s="1">
        <v>67171</v>
      </c>
      <c r="H1050" s="1">
        <v>2017</v>
      </c>
      <c r="I1050" s="1"/>
      <c r="J1050" s="36"/>
      <c r="K1050" s="1" t="s">
        <v>176</v>
      </c>
      <c r="L1050" s="1">
        <v>14</v>
      </c>
      <c r="M1050" s="2">
        <v>35384</v>
      </c>
    </row>
    <row r="1051" spans="2:13" outlineLevel="2">
      <c r="B1051" s="35">
        <f t="shared" si="37"/>
        <v>587</v>
      </c>
      <c r="C1051" s="41" t="s">
        <v>175</v>
      </c>
      <c r="D1051" s="41"/>
      <c r="E1051" s="41" t="s">
        <v>131</v>
      </c>
      <c r="F1051" s="41">
        <v>816069</v>
      </c>
      <c r="G1051" s="1">
        <v>38545</v>
      </c>
      <c r="H1051" s="1">
        <v>2012</v>
      </c>
      <c r="I1051" s="1"/>
      <c r="J1051" s="36"/>
      <c r="K1051" s="1" t="s">
        <v>176</v>
      </c>
      <c r="L1051" s="1">
        <v>20</v>
      </c>
      <c r="M1051" s="2">
        <v>35379</v>
      </c>
    </row>
    <row r="1052" spans="2:13" outlineLevel="2">
      <c r="B1052" s="35">
        <f t="shared" si="37"/>
        <v>588</v>
      </c>
      <c r="C1052" s="41" t="s">
        <v>175</v>
      </c>
      <c r="D1052" s="41"/>
      <c r="E1052" s="41" t="s">
        <v>130</v>
      </c>
      <c r="F1052" s="41">
        <v>857513</v>
      </c>
      <c r="G1052" s="1">
        <v>49147</v>
      </c>
      <c r="H1052" s="1">
        <v>2013</v>
      </c>
      <c r="I1052" s="1"/>
      <c r="J1052" s="36"/>
      <c r="K1052" s="1" t="s">
        <v>176</v>
      </c>
      <c r="L1052" s="1">
        <v>5</v>
      </c>
      <c r="M1052" s="2">
        <v>35375</v>
      </c>
    </row>
    <row r="1053" spans="2:13" outlineLevel="2">
      <c r="B1053" s="35">
        <f t="shared" si="37"/>
        <v>589</v>
      </c>
      <c r="C1053" s="41" t="s">
        <v>175</v>
      </c>
      <c r="D1053" s="41"/>
      <c r="E1053" s="41" t="s">
        <v>128</v>
      </c>
      <c r="F1053" s="41">
        <v>1233888</v>
      </c>
      <c r="G1053" s="1">
        <v>564445</v>
      </c>
      <c r="H1053" s="1">
        <v>2020</v>
      </c>
      <c r="I1053" s="1"/>
      <c r="J1053" s="36"/>
      <c r="K1053" s="1" t="s">
        <v>176</v>
      </c>
      <c r="L1053" s="1">
        <v>4</v>
      </c>
      <c r="M1053" s="2">
        <v>35397</v>
      </c>
    </row>
    <row r="1054" spans="2:13" outlineLevel="2">
      <c r="B1054" s="35">
        <f t="shared" si="37"/>
        <v>590</v>
      </c>
      <c r="C1054" s="41" t="s">
        <v>175</v>
      </c>
      <c r="D1054" s="41"/>
      <c r="E1054" s="41" t="s">
        <v>128</v>
      </c>
      <c r="F1054" s="41">
        <v>1044305654</v>
      </c>
      <c r="G1054" s="1">
        <v>112318</v>
      </c>
      <c r="H1054" s="1">
        <v>2018</v>
      </c>
      <c r="I1054" s="1"/>
      <c r="J1054" s="36"/>
      <c r="K1054" s="1" t="s">
        <v>176</v>
      </c>
      <c r="L1054" s="1">
        <v>17</v>
      </c>
      <c r="M1054" s="2">
        <v>35401</v>
      </c>
    </row>
    <row r="1055" spans="2:13" outlineLevel="2">
      <c r="B1055" s="35">
        <f t="shared" si="37"/>
        <v>591</v>
      </c>
      <c r="C1055" s="41" t="s">
        <v>175</v>
      </c>
      <c r="D1055" s="41"/>
      <c r="E1055" s="41" t="s">
        <v>130</v>
      </c>
      <c r="F1055" s="41">
        <v>310590</v>
      </c>
      <c r="G1055" s="1">
        <v>30571</v>
      </c>
      <c r="H1055" s="1">
        <v>2005</v>
      </c>
      <c r="I1055" s="1"/>
      <c r="J1055" s="36"/>
      <c r="K1055" s="1" t="s">
        <v>176</v>
      </c>
      <c r="L1055" s="1">
        <v>8</v>
      </c>
      <c r="M1055" s="2">
        <v>35385</v>
      </c>
    </row>
    <row r="1056" spans="2:13" outlineLevel="2">
      <c r="B1056" s="35">
        <f t="shared" si="37"/>
        <v>592</v>
      </c>
      <c r="C1056" s="41" t="s">
        <v>175</v>
      </c>
      <c r="D1056" s="41"/>
      <c r="E1056" s="41" t="s">
        <v>128</v>
      </c>
      <c r="F1056" s="41">
        <v>1221746</v>
      </c>
      <c r="G1056" s="1">
        <v>547731</v>
      </c>
      <c r="H1056" s="1">
        <v>2020</v>
      </c>
      <c r="I1056" s="1"/>
      <c r="J1056" s="36"/>
      <c r="K1056" s="1" t="s">
        <v>176</v>
      </c>
      <c r="L1056" s="1">
        <v>18</v>
      </c>
      <c r="M1056" s="2">
        <v>35382</v>
      </c>
    </row>
    <row r="1057" spans="2:13" outlineLevel="2">
      <c r="B1057" s="35">
        <f t="shared" si="37"/>
        <v>593</v>
      </c>
      <c r="C1057" s="41" t="s">
        <v>175</v>
      </c>
      <c r="D1057" s="41"/>
      <c r="E1057" s="41" t="s">
        <v>128</v>
      </c>
      <c r="F1057" s="41">
        <v>183752</v>
      </c>
      <c r="G1057" s="1">
        <v>97315</v>
      </c>
      <c r="H1057" s="1">
        <v>2010</v>
      </c>
      <c r="I1057" s="1"/>
      <c r="J1057" s="36"/>
      <c r="K1057" s="1" t="s">
        <v>176</v>
      </c>
      <c r="L1057" s="1">
        <v>46</v>
      </c>
      <c r="M1057" s="2">
        <v>36311</v>
      </c>
    </row>
    <row r="1058" spans="2:13" outlineLevel="2">
      <c r="B1058" s="35">
        <f t="shared" si="37"/>
        <v>594</v>
      </c>
      <c r="C1058" s="41" t="s">
        <v>175</v>
      </c>
      <c r="D1058" s="41"/>
      <c r="E1058" s="41" t="s">
        <v>128</v>
      </c>
      <c r="F1058" s="41">
        <v>1155771</v>
      </c>
      <c r="G1058" s="1">
        <v>236537</v>
      </c>
      <c r="H1058" s="1">
        <v>2018</v>
      </c>
      <c r="I1058" s="1"/>
      <c r="J1058" s="36"/>
      <c r="K1058" s="1" t="s">
        <v>176</v>
      </c>
      <c r="L1058" s="1">
        <v>2</v>
      </c>
      <c r="M1058" s="2">
        <v>36309</v>
      </c>
    </row>
    <row r="1059" spans="2:13" outlineLevel="2">
      <c r="B1059" s="35">
        <f t="shared" si="37"/>
        <v>595</v>
      </c>
      <c r="C1059" s="41" t="s">
        <v>175</v>
      </c>
      <c r="D1059" s="41"/>
      <c r="E1059" s="41" t="s">
        <v>128</v>
      </c>
      <c r="F1059" s="41">
        <v>1131660</v>
      </c>
      <c r="G1059" s="1">
        <v>106072</v>
      </c>
      <c r="H1059" s="1">
        <v>2018</v>
      </c>
      <c r="I1059" s="1"/>
      <c r="J1059" s="36"/>
      <c r="K1059" s="1" t="s">
        <v>176</v>
      </c>
      <c r="L1059" s="1">
        <v>2</v>
      </c>
      <c r="M1059" s="2">
        <v>36310</v>
      </c>
    </row>
    <row r="1060" spans="2:13" outlineLevel="2">
      <c r="B1060" s="35">
        <f t="shared" si="37"/>
        <v>596</v>
      </c>
      <c r="C1060" s="41" t="s">
        <v>175</v>
      </c>
      <c r="D1060" s="41"/>
      <c r="E1060" s="41" t="s">
        <v>128</v>
      </c>
      <c r="F1060" s="41">
        <v>1016988</v>
      </c>
      <c r="G1060" s="1">
        <v>58903</v>
      </c>
      <c r="H1060" s="1">
        <v>2015</v>
      </c>
      <c r="I1060" s="1"/>
      <c r="J1060" s="36"/>
      <c r="K1060" s="1" t="s">
        <v>176</v>
      </c>
      <c r="L1060" s="1">
        <v>2</v>
      </c>
      <c r="M1060" s="2">
        <v>36330</v>
      </c>
    </row>
    <row r="1061" spans="2:13" outlineLevel="2">
      <c r="B1061" s="35">
        <f t="shared" si="37"/>
        <v>597</v>
      </c>
      <c r="C1061" s="41" t="s">
        <v>175</v>
      </c>
      <c r="D1061" s="41"/>
      <c r="E1061" s="41" t="s">
        <v>128</v>
      </c>
      <c r="F1061" s="41">
        <v>1154346</v>
      </c>
      <c r="G1061" s="1">
        <v>111747</v>
      </c>
      <c r="H1061" s="1">
        <v>2018</v>
      </c>
      <c r="I1061" s="1"/>
      <c r="J1061" s="36"/>
      <c r="K1061" s="1" t="s">
        <v>176</v>
      </c>
      <c r="L1061" s="1">
        <v>17</v>
      </c>
      <c r="M1061" s="2">
        <v>36327</v>
      </c>
    </row>
    <row r="1062" spans="2:13" outlineLevel="2">
      <c r="B1062" s="35">
        <f t="shared" si="37"/>
        <v>598</v>
      </c>
      <c r="C1062" s="41" t="s">
        <v>175</v>
      </c>
      <c r="D1062" s="41"/>
      <c r="E1062" s="41" t="s">
        <v>128</v>
      </c>
      <c r="F1062" s="41">
        <v>811459</v>
      </c>
      <c r="G1062" s="1">
        <v>43560</v>
      </c>
      <c r="H1062" s="1">
        <v>2012</v>
      </c>
      <c r="I1062" s="1"/>
      <c r="J1062" s="36"/>
      <c r="K1062" s="1" t="s">
        <v>176</v>
      </c>
      <c r="L1062" s="1">
        <v>6</v>
      </c>
      <c r="M1062" s="2">
        <v>36334</v>
      </c>
    </row>
    <row r="1063" spans="2:13" outlineLevel="2">
      <c r="B1063" s="35">
        <f t="shared" si="37"/>
        <v>599</v>
      </c>
      <c r="C1063" s="41" t="s">
        <v>175</v>
      </c>
      <c r="D1063" s="41"/>
      <c r="E1063" s="41" t="s">
        <v>130</v>
      </c>
      <c r="F1063" s="41">
        <v>1073511</v>
      </c>
      <c r="G1063" s="1">
        <v>63525</v>
      </c>
      <c r="H1063" s="1">
        <v>2017</v>
      </c>
      <c r="I1063" s="1"/>
      <c r="J1063" s="36"/>
      <c r="K1063" s="1" t="s">
        <v>176</v>
      </c>
      <c r="L1063" s="1">
        <v>2</v>
      </c>
      <c r="M1063" s="2">
        <v>36304</v>
      </c>
    </row>
    <row r="1064" spans="2:13" outlineLevel="2">
      <c r="B1064" s="35">
        <f t="shared" si="37"/>
        <v>600</v>
      </c>
      <c r="C1064" s="41" t="s">
        <v>175</v>
      </c>
      <c r="D1064" s="41"/>
      <c r="E1064" s="41" t="s">
        <v>128</v>
      </c>
      <c r="F1064" s="41">
        <v>1251185</v>
      </c>
      <c r="G1064" s="1">
        <v>546583</v>
      </c>
      <c r="H1064" s="1">
        <v>2019</v>
      </c>
      <c r="I1064" s="1"/>
      <c r="J1064" s="36"/>
      <c r="K1064" s="1" t="s">
        <v>176</v>
      </c>
      <c r="L1064" s="1">
        <v>5</v>
      </c>
      <c r="M1064" s="2">
        <v>36303</v>
      </c>
    </row>
    <row r="1065" spans="2:13" outlineLevel="2">
      <c r="B1065" s="35">
        <f t="shared" si="37"/>
        <v>601</v>
      </c>
      <c r="C1065" s="41" t="s">
        <v>175</v>
      </c>
      <c r="D1065" s="41"/>
      <c r="E1065" s="41" t="s">
        <v>131</v>
      </c>
      <c r="F1065" s="41">
        <v>929377</v>
      </c>
      <c r="G1065" s="1">
        <v>54927</v>
      </c>
      <c r="H1065" s="1">
        <v>2014</v>
      </c>
      <c r="I1065" s="1"/>
      <c r="J1065" s="36"/>
      <c r="K1065" s="1" t="s">
        <v>176</v>
      </c>
      <c r="L1065" s="1">
        <v>5</v>
      </c>
      <c r="M1065" s="2">
        <v>36326</v>
      </c>
    </row>
    <row r="1066" spans="2:13" outlineLevel="2">
      <c r="B1066" s="35">
        <f t="shared" si="37"/>
        <v>602</v>
      </c>
      <c r="C1066" s="41" t="s">
        <v>175</v>
      </c>
      <c r="D1066" s="41"/>
      <c r="E1066" s="41" t="s">
        <v>130</v>
      </c>
      <c r="F1066" s="41">
        <v>1147692</v>
      </c>
      <c r="G1066" s="1">
        <v>111409</v>
      </c>
      <c r="H1066" s="1">
        <v>2018</v>
      </c>
      <c r="I1066" s="1"/>
      <c r="J1066" s="36"/>
      <c r="K1066" s="1" t="s">
        <v>176</v>
      </c>
      <c r="L1066" s="1">
        <v>35</v>
      </c>
      <c r="M1066" s="2">
        <v>36313</v>
      </c>
    </row>
    <row r="1067" spans="2:13" outlineLevel="2">
      <c r="B1067" s="35">
        <f t="shared" si="37"/>
        <v>603</v>
      </c>
      <c r="C1067" s="41" t="s">
        <v>175</v>
      </c>
      <c r="D1067" s="41"/>
      <c r="E1067" s="41" t="s">
        <v>128</v>
      </c>
      <c r="F1067" s="41">
        <v>1236574</v>
      </c>
      <c r="G1067" s="1">
        <v>563953</v>
      </c>
      <c r="H1067" s="1">
        <v>1999</v>
      </c>
      <c r="I1067" s="1"/>
      <c r="J1067" s="36"/>
      <c r="K1067" s="1" t="s">
        <v>176</v>
      </c>
      <c r="L1067" s="1">
        <v>3</v>
      </c>
      <c r="M1067" s="2">
        <v>36324</v>
      </c>
    </row>
    <row r="1068" spans="2:13" outlineLevel="2">
      <c r="B1068" s="35">
        <f t="shared" si="37"/>
        <v>604</v>
      </c>
      <c r="C1068" s="41" t="s">
        <v>175</v>
      </c>
      <c r="D1068" s="41"/>
      <c r="E1068" s="41" t="s">
        <v>128</v>
      </c>
      <c r="F1068" s="41">
        <v>1251183</v>
      </c>
      <c r="G1068" s="1">
        <v>546581</v>
      </c>
      <c r="H1068" s="1">
        <v>2019</v>
      </c>
      <c r="I1068" s="1"/>
      <c r="J1068" s="36"/>
      <c r="K1068" s="1" t="s">
        <v>176</v>
      </c>
      <c r="L1068" s="1">
        <v>5</v>
      </c>
      <c r="M1068" s="2">
        <v>36331</v>
      </c>
    </row>
    <row r="1069" spans="2:13" outlineLevel="2">
      <c r="B1069" s="35">
        <f t="shared" si="37"/>
        <v>605</v>
      </c>
      <c r="C1069" s="41" t="s">
        <v>175</v>
      </c>
      <c r="D1069" s="41"/>
      <c r="E1069" s="41" t="s">
        <v>128</v>
      </c>
      <c r="F1069" s="41">
        <v>1251180</v>
      </c>
      <c r="G1069" s="1">
        <v>546578</v>
      </c>
      <c r="H1069" s="1">
        <v>2019</v>
      </c>
      <c r="I1069" s="1"/>
      <c r="J1069" s="36"/>
      <c r="K1069" s="1" t="s">
        <v>176</v>
      </c>
      <c r="L1069" s="1">
        <v>4</v>
      </c>
      <c r="M1069" s="2">
        <v>36346</v>
      </c>
    </row>
    <row r="1070" spans="2:13" outlineLevel="2">
      <c r="B1070" s="35">
        <f t="shared" si="37"/>
        <v>606</v>
      </c>
      <c r="C1070" s="41" t="s">
        <v>175</v>
      </c>
      <c r="D1070" s="41"/>
      <c r="E1070" s="41" t="s">
        <v>128</v>
      </c>
      <c r="F1070" s="41">
        <v>1155998</v>
      </c>
      <c r="G1070" s="1">
        <v>111894</v>
      </c>
      <c r="H1070" s="1">
        <v>2018</v>
      </c>
      <c r="I1070" s="1"/>
      <c r="J1070" s="36"/>
      <c r="K1070" s="1" t="s">
        <v>176</v>
      </c>
      <c r="L1070" s="1">
        <v>2</v>
      </c>
      <c r="M1070" s="2">
        <v>36306</v>
      </c>
    </row>
    <row r="1071" spans="2:13" outlineLevel="2">
      <c r="B1071" s="35">
        <f t="shared" si="37"/>
        <v>607</v>
      </c>
      <c r="C1071" s="41" t="s">
        <v>175</v>
      </c>
      <c r="D1071" s="41"/>
      <c r="E1071" s="41" t="s">
        <v>128</v>
      </c>
      <c r="F1071" s="41">
        <v>1165743</v>
      </c>
      <c r="G1071" s="1">
        <v>543670</v>
      </c>
      <c r="H1071" s="1">
        <v>2018</v>
      </c>
      <c r="I1071" s="1"/>
      <c r="J1071" s="36"/>
      <c r="K1071" s="1" t="s">
        <v>176</v>
      </c>
      <c r="L1071" s="1">
        <v>6</v>
      </c>
      <c r="M1071" s="2">
        <v>36323</v>
      </c>
    </row>
    <row r="1072" spans="2:13" outlineLevel="2">
      <c r="B1072" s="35">
        <f t="shared" si="37"/>
        <v>608</v>
      </c>
      <c r="C1072" s="41" t="s">
        <v>175</v>
      </c>
      <c r="D1072" s="41"/>
      <c r="E1072" s="41" t="s">
        <v>128</v>
      </c>
      <c r="F1072" s="41">
        <v>1165748</v>
      </c>
      <c r="G1072" s="1">
        <v>543675</v>
      </c>
      <c r="H1072" s="1">
        <v>2018</v>
      </c>
      <c r="I1072" s="1"/>
      <c r="J1072" s="36"/>
      <c r="K1072" s="1" t="s">
        <v>176</v>
      </c>
      <c r="L1072" s="1">
        <v>2</v>
      </c>
      <c r="M1072" s="2">
        <v>36348</v>
      </c>
    </row>
    <row r="1073" spans="2:13" outlineLevel="2">
      <c r="B1073" s="35">
        <f t="shared" si="37"/>
        <v>609</v>
      </c>
      <c r="C1073" s="41" t="s">
        <v>175</v>
      </c>
      <c r="D1073" s="41"/>
      <c r="E1073" s="41" t="s">
        <v>128</v>
      </c>
      <c r="F1073" s="41">
        <v>1169154</v>
      </c>
      <c r="G1073" s="1">
        <v>112697</v>
      </c>
      <c r="H1073" s="1">
        <v>2018</v>
      </c>
      <c r="I1073" s="1"/>
      <c r="J1073" s="36"/>
      <c r="K1073" s="1" t="s">
        <v>176</v>
      </c>
      <c r="L1073" s="1">
        <v>7</v>
      </c>
      <c r="M1073" s="2">
        <v>36345</v>
      </c>
    </row>
    <row r="1074" spans="2:13" outlineLevel="2">
      <c r="B1074" s="35">
        <f t="shared" si="37"/>
        <v>610</v>
      </c>
      <c r="C1074" s="41" t="s">
        <v>175</v>
      </c>
      <c r="D1074" s="41"/>
      <c r="E1074" s="41" t="s">
        <v>128</v>
      </c>
      <c r="F1074" s="41">
        <v>1090317</v>
      </c>
      <c r="G1074" s="1">
        <v>65185</v>
      </c>
      <c r="H1074" s="1">
        <v>2017</v>
      </c>
      <c r="I1074" s="1"/>
      <c r="J1074" s="36"/>
      <c r="K1074" s="1" t="s">
        <v>176</v>
      </c>
      <c r="L1074" s="1">
        <v>34</v>
      </c>
      <c r="M1074" s="2">
        <v>36349</v>
      </c>
    </row>
    <row r="1075" spans="2:13" outlineLevel="2">
      <c r="B1075" s="35">
        <f t="shared" si="37"/>
        <v>611</v>
      </c>
      <c r="C1075" s="41" t="s">
        <v>175</v>
      </c>
      <c r="D1075" s="41"/>
      <c r="E1075" s="41" t="s">
        <v>128</v>
      </c>
      <c r="F1075" s="41">
        <v>1146020</v>
      </c>
      <c r="G1075" s="1">
        <v>111292</v>
      </c>
      <c r="H1075" s="1">
        <v>2018</v>
      </c>
      <c r="I1075" s="1"/>
      <c r="J1075" s="36"/>
      <c r="K1075" s="1" t="s">
        <v>176</v>
      </c>
      <c r="L1075" s="1">
        <v>7</v>
      </c>
      <c r="M1075" s="2">
        <v>36352</v>
      </c>
    </row>
    <row r="1076" spans="2:13" outlineLevel="2">
      <c r="B1076" s="35">
        <f t="shared" si="37"/>
        <v>612</v>
      </c>
      <c r="C1076" s="41" t="s">
        <v>175</v>
      </c>
      <c r="D1076" s="41"/>
      <c r="E1076" s="41" t="s">
        <v>128</v>
      </c>
      <c r="F1076" s="41">
        <v>1248300</v>
      </c>
      <c r="G1076" s="1">
        <v>546396</v>
      </c>
      <c r="H1076" s="1">
        <v>2019</v>
      </c>
      <c r="I1076" s="1"/>
      <c r="J1076" s="36"/>
      <c r="K1076" s="1" t="s">
        <v>176</v>
      </c>
      <c r="L1076" s="1">
        <v>6</v>
      </c>
      <c r="M1076" s="2">
        <v>36344</v>
      </c>
    </row>
    <row r="1077" spans="2:13" outlineLevel="2">
      <c r="B1077" s="35">
        <f t="shared" si="37"/>
        <v>613</v>
      </c>
      <c r="C1077" s="41" t="s">
        <v>175</v>
      </c>
      <c r="D1077" s="41"/>
      <c r="E1077" s="41" t="s">
        <v>128</v>
      </c>
      <c r="F1077" s="41">
        <v>365478</v>
      </c>
      <c r="G1077" s="1">
        <v>58648</v>
      </c>
      <c r="H1077" s="1">
        <v>2015</v>
      </c>
      <c r="I1077" s="1"/>
      <c r="J1077" s="36"/>
      <c r="K1077" s="1" t="s">
        <v>176</v>
      </c>
      <c r="L1077" s="1">
        <v>9</v>
      </c>
      <c r="M1077" s="2">
        <v>36340</v>
      </c>
    </row>
    <row r="1078" spans="2:13" outlineLevel="2">
      <c r="B1078" s="35">
        <f t="shared" si="37"/>
        <v>614</v>
      </c>
      <c r="C1078" s="41" t="s">
        <v>175</v>
      </c>
      <c r="D1078" s="41"/>
      <c r="E1078" s="41" t="s">
        <v>130</v>
      </c>
      <c r="F1078" s="41">
        <v>96475</v>
      </c>
      <c r="G1078" s="1">
        <v>254492</v>
      </c>
      <c r="H1078" s="1">
        <v>2006</v>
      </c>
      <c r="I1078" s="1"/>
      <c r="J1078" s="36"/>
      <c r="K1078" s="1" t="s">
        <v>176</v>
      </c>
      <c r="L1078" s="1">
        <v>5</v>
      </c>
      <c r="M1078" s="2">
        <v>36308</v>
      </c>
    </row>
    <row r="1079" spans="2:13" outlineLevel="2">
      <c r="B1079" s="35">
        <f t="shared" si="37"/>
        <v>615</v>
      </c>
      <c r="C1079" s="41" t="s">
        <v>175</v>
      </c>
      <c r="D1079" s="41"/>
      <c r="E1079" s="41" t="s">
        <v>130</v>
      </c>
      <c r="F1079" s="41">
        <v>1147675</v>
      </c>
      <c r="G1079" s="1">
        <v>111392</v>
      </c>
      <c r="H1079" s="1">
        <v>2018</v>
      </c>
      <c r="I1079" s="1"/>
      <c r="J1079" s="36"/>
      <c r="K1079" s="1" t="s">
        <v>176</v>
      </c>
      <c r="L1079" s="1">
        <v>2</v>
      </c>
      <c r="M1079" s="2">
        <v>36307</v>
      </c>
    </row>
    <row r="1080" spans="2:13" outlineLevel="2">
      <c r="B1080" s="35">
        <f t="shared" si="37"/>
        <v>616</v>
      </c>
      <c r="C1080" s="41" t="s">
        <v>175</v>
      </c>
      <c r="D1080" s="41"/>
      <c r="E1080" s="41" t="s">
        <v>128</v>
      </c>
      <c r="F1080" s="41">
        <v>1233837</v>
      </c>
      <c r="G1080" s="1">
        <v>564498</v>
      </c>
      <c r="H1080" s="1">
        <v>2020</v>
      </c>
      <c r="I1080" s="1"/>
      <c r="J1080" s="36"/>
      <c r="K1080" s="1" t="s">
        <v>176</v>
      </c>
      <c r="L1080" s="1">
        <v>3</v>
      </c>
      <c r="M1080" s="2">
        <v>36338</v>
      </c>
    </row>
    <row r="1081" spans="2:13" outlineLevel="2">
      <c r="B1081" s="35">
        <f t="shared" si="37"/>
        <v>617</v>
      </c>
      <c r="C1081" s="41" t="s">
        <v>175</v>
      </c>
      <c r="D1081" s="41"/>
      <c r="E1081" s="41" t="s">
        <v>128</v>
      </c>
      <c r="F1081" s="41">
        <v>1154342</v>
      </c>
      <c r="G1081" s="1">
        <v>111743</v>
      </c>
      <c r="H1081" s="1">
        <v>2018</v>
      </c>
      <c r="I1081" s="1"/>
      <c r="J1081" s="36"/>
      <c r="K1081" s="1" t="s">
        <v>176</v>
      </c>
      <c r="L1081" s="1">
        <v>2</v>
      </c>
      <c r="M1081" s="2">
        <v>36354</v>
      </c>
    </row>
    <row r="1082" spans="2:13" outlineLevel="2">
      <c r="B1082" s="35">
        <f t="shared" ref="B1082:B1113" si="38">(B1081+1)</f>
        <v>618</v>
      </c>
      <c r="C1082" s="41" t="s">
        <v>175</v>
      </c>
      <c r="D1082" s="41"/>
      <c r="E1082" s="41" t="s">
        <v>128</v>
      </c>
      <c r="F1082" s="41">
        <v>152556</v>
      </c>
      <c r="G1082" s="1">
        <v>92972</v>
      </c>
      <c r="H1082" s="1">
        <v>2009</v>
      </c>
      <c r="I1082" s="1"/>
      <c r="J1082" s="36"/>
      <c r="K1082" s="1" t="s">
        <v>176</v>
      </c>
      <c r="L1082" s="1">
        <v>2</v>
      </c>
      <c r="M1082" s="2">
        <v>36342</v>
      </c>
    </row>
    <row r="1083" spans="2:13" outlineLevel="2">
      <c r="B1083" s="35">
        <f t="shared" si="38"/>
        <v>619</v>
      </c>
      <c r="C1083" s="41" t="s">
        <v>175</v>
      </c>
      <c r="D1083" s="41"/>
      <c r="E1083" s="41" t="s">
        <v>128</v>
      </c>
      <c r="F1083" s="41">
        <v>826787</v>
      </c>
      <c r="G1083" s="1">
        <v>45963</v>
      </c>
      <c r="H1083" s="1">
        <v>2013</v>
      </c>
      <c r="I1083" s="1"/>
      <c r="J1083" s="36"/>
      <c r="K1083" s="1" t="s">
        <v>176</v>
      </c>
      <c r="L1083" s="1">
        <v>26</v>
      </c>
      <c r="M1083" s="2">
        <v>36336</v>
      </c>
    </row>
    <row r="1084" spans="2:13" outlineLevel="2">
      <c r="B1084" s="35">
        <f t="shared" si="38"/>
        <v>620</v>
      </c>
      <c r="C1084" s="41" t="s">
        <v>175</v>
      </c>
      <c r="D1084" s="41"/>
      <c r="E1084" s="41" t="s">
        <v>128</v>
      </c>
      <c r="F1084" s="41">
        <v>908354</v>
      </c>
      <c r="G1084" s="1">
        <v>52767</v>
      </c>
      <c r="H1084" s="1">
        <v>2014</v>
      </c>
      <c r="I1084" s="1"/>
      <c r="J1084" s="36"/>
      <c r="K1084" s="1" t="s">
        <v>176</v>
      </c>
      <c r="L1084" s="1">
        <v>37</v>
      </c>
      <c r="M1084" s="2">
        <v>36355</v>
      </c>
    </row>
    <row r="1085" spans="2:13" outlineLevel="2">
      <c r="B1085" s="35">
        <f t="shared" si="38"/>
        <v>621</v>
      </c>
      <c r="C1085" s="41" t="s">
        <v>175</v>
      </c>
      <c r="D1085" s="41"/>
      <c r="E1085" s="41" t="s">
        <v>128</v>
      </c>
      <c r="F1085" s="41">
        <v>1116798</v>
      </c>
      <c r="G1085" s="1">
        <v>100471</v>
      </c>
      <c r="H1085" s="1">
        <v>2017</v>
      </c>
      <c r="I1085" s="1"/>
      <c r="J1085" s="36"/>
      <c r="K1085" s="1" t="s">
        <v>176</v>
      </c>
      <c r="L1085" s="1">
        <v>2</v>
      </c>
      <c r="M1085" s="2">
        <v>36341</v>
      </c>
    </row>
    <row r="1086" spans="2:13" outlineLevel="2">
      <c r="B1086" s="35">
        <f t="shared" si="38"/>
        <v>622</v>
      </c>
      <c r="C1086" s="41" t="s">
        <v>175</v>
      </c>
      <c r="D1086" s="41"/>
      <c r="E1086" s="41" t="s">
        <v>128</v>
      </c>
      <c r="F1086" s="41">
        <v>421931</v>
      </c>
      <c r="G1086" s="1">
        <v>566746</v>
      </c>
      <c r="H1086" s="1">
        <v>2021</v>
      </c>
      <c r="I1086" s="1"/>
      <c r="J1086" s="36"/>
      <c r="K1086" s="1" t="s">
        <v>176</v>
      </c>
      <c r="L1086" s="1">
        <v>2</v>
      </c>
      <c r="M1086" s="2">
        <v>36314</v>
      </c>
    </row>
    <row r="1087" spans="2:13" outlineLevel="2">
      <c r="B1087" s="35">
        <f t="shared" si="38"/>
        <v>623</v>
      </c>
      <c r="C1087" s="41" t="s">
        <v>175</v>
      </c>
      <c r="D1087" s="41"/>
      <c r="E1087" s="41" t="s">
        <v>128</v>
      </c>
      <c r="F1087" s="41">
        <v>841842</v>
      </c>
      <c r="G1087" s="1">
        <v>46809</v>
      </c>
      <c r="H1087" s="1">
        <v>2013</v>
      </c>
      <c r="I1087" s="1"/>
      <c r="J1087" s="36"/>
      <c r="K1087" s="1" t="s">
        <v>176</v>
      </c>
      <c r="L1087" s="1">
        <v>17</v>
      </c>
      <c r="M1087" s="2">
        <v>37090</v>
      </c>
    </row>
    <row r="1088" spans="2:13" outlineLevel="2">
      <c r="B1088" s="35">
        <f t="shared" si="38"/>
        <v>624</v>
      </c>
      <c r="C1088" s="41" t="s">
        <v>175</v>
      </c>
      <c r="D1088" s="41"/>
      <c r="E1088" s="41" t="s">
        <v>130</v>
      </c>
      <c r="F1088" s="41">
        <v>602918</v>
      </c>
      <c r="G1088" s="1">
        <v>87811</v>
      </c>
      <c r="H1088" s="1">
        <v>2007</v>
      </c>
      <c r="I1088" s="1"/>
      <c r="J1088" s="36"/>
      <c r="K1088" s="1" t="s">
        <v>176</v>
      </c>
      <c r="L1088" s="1">
        <v>5</v>
      </c>
      <c r="M1088" s="2">
        <v>37071</v>
      </c>
    </row>
    <row r="1089" spans="2:13" outlineLevel="2">
      <c r="B1089" s="35">
        <f t="shared" si="38"/>
        <v>625</v>
      </c>
      <c r="C1089" s="41" t="s">
        <v>175</v>
      </c>
      <c r="D1089" s="41"/>
      <c r="E1089" s="41" t="s">
        <v>131</v>
      </c>
      <c r="F1089" s="41">
        <v>31837980</v>
      </c>
      <c r="G1089" s="1">
        <v>60648</v>
      </c>
      <c r="H1089" s="1">
        <v>2000</v>
      </c>
      <c r="I1089" s="1"/>
      <c r="J1089" s="36"/>
      <c r="K1089" s="1" t="s">
        <v>176</v>
      </c>
      <c r="L1089" s="1">
        <v>27</v>
      </c>
      <c r="M1089" s="2">
        <v>37039</v>
      </c>
    </row>
    <row r="1090" spans="2:13" outlineLevel="2">
      <c r="B1090" s="35">
        <f t="shared" si="38"/>
        <v>626</v>
      </c>
      <c r="C1090" s="41" t="s">
        <v>175</v>
      </c>
      <c r="D1090" s="41"/>
      <c r="E1090" s="41" t="s">
        <v>130</v>
      </c>
      <c r="F1090" s="41">
        <v>390869</v>
      </c>
      <c r="G1090" s="1">
        <v>548083</v>
      </c>
      <c r="H1090" s="1">
        <v>2020</v>
      </c>
      <c r="I1090" s="1"/>
      <c r="J1090" s="36"/>
      <c r="K1090" s="1" t="s">
        <v>176</v>
      </c>
      <c r="L1090" s="1">
        <v>2</v>
      </c>
      <c r="M1090" s="2">
        <v>37105</v>
      </c>
    </row>
    <row r="1091" spans="2:13" outlineLevel="2">
      <c r="B1091" s="35">
        <f t="shared" si="38"/>
        <v>627</v>
      </c>
      <c r="C1091" s="41" t="s">
        <v>175</v>
      </c>
      <c r="D1091" s="41"/>
      <c r="E1091" s="41" t="s">
        <v>128</v>
      </c>
      <c r="F1091" s="41">
        <v>145483</v>
      </c>
      <c r="G1091" s="1">
        <v>92492</v>
      </c>
      <c r="H1091" s="1">
        <v>2008</v>
      </c>
      <c r="I1091" s="1"/>
      <c r="J1091" s="36"/>
      <c r="K1091" s="1" t="s">
        <v>176</v>
      </c>
      <c r="L1091" s="1">
        <v>10</v>
      </c>
      <c r="M1091" s="2">
        <v>37055</v>
      </c>
    </row>
    <row r="1092" spans="2:13" outlineLevel="2">
      <c r="B1092" s="35">
        <f t="shared" si="38"/>
        <v>628</v>
      </c>
      <c r="C1092" s="41" t="s">
        <v>175</v>
      </c>
      <c r="D1092" s="41"/>
      <c r="E1092" s="41" t="s">
        <v>166</v>
      </c>
      <c r="F1092" s="41">
        <v>781480</v>
      </c>
      <c r="G1092" s="1">
        <v>100076</v>
      </c>
      <c r="H1092" s="1">
        <v>2011</v>
      </c>
      <c r="I1092" s="1"/>
      <c r="J1092" s="36"/>
      <c r="K1092" s="1" t="s">
        <v>176</v>
      </c>
      <c r="L1092" s="1">
        <v>9</v>
      </c>
      <c r="M1092" s="2">
        <v>37077</v>
      </c>
    </row>
    <row r="1093" spans="2:13" outlineLevel="2">
      <c r="B1093" s="35">
        <f t="shared" si="38"/>
        <v>629</v>
      </c>
      <c r="C1093" s="41" t="s">
        <v>175</v>
      </c>
      <c r="D1093" s="41"/>
      <c r="E1093" s="41" t="s">
        <v>128</v>
      </c>
      <c r="F1093" s="41">
        <v>1044715630</v>
      </c>
      <c r="G1093" s="1">
        <v>112185</v>
      </c>
      <c r="H1093" s="1">
        <v>2018</v>
      </c>
      <c r="I1093" s="1"/>
      <c r="J1093" s="36"/>
      <c r="K1093" s="1" t="s">
        <v>176</v>
      </c>
      <c r="L1093" s="1">
        <v>16</v>
      </c>
      <c r="M1093" s="2">
        <v>37091</v>
      </c>
    </row>
    <row r="1094" spans="2:13" outlineLevel="2">
      <c r="B1094" s="35">
        <f t="shared" si="38"/>
        <v>630</v>
      </c>
      <c r="C1094" s="41" t="s">
        <v>175</v>
      </c>
      <c r="D1094" s="41"/>
      <c r="E1094" s="41" t="s">
        <v>131</v>
      </c>
      <c r="F1094" s="41">
        <v>956210</v>
      </c>
      <c r="G1094" s="1">
        <v>53224</v>
      </c>
      <c r="H1094" s="1">
        <v>2014</v>
      </c>
      <c r="I1094" s="1"/>
      <c r="J1094" s="36"/>
      <c r="K1094" s="1" t="s">
        <v>176</v>
      </c>
      <c r="L1094" s="1">
        <v>10</v>
      </c>
      <c r="M1094" s="2">
        <v>37107</v>
      </c>
    </row>
    <row r="1095" spans="2:13" outlineLevel="2">
      <c r="B1095" s="35">
        <f t="shared" si="38"/>
        <v>631</v>
      </c>
      <c r="C1095" s="41" t="s">
        <v>175</v>
      </c>
      <c r="D1095" s="41"/>
      <c r="E1095" s="41" t="s">
        <v>130</v>
      </c>
      <c r="F1095" s="41">
        <v>1036255948</v>
      </c>
      <c r="G1095" s="1">
        <v>66277</v>
      </c>
      <c r="H1095" s="1">
        <v>2017</v>
      </c>
      <c r="I1095" s="1"/>
      <c r="J1095" s="36"/>
      <c r="K1095" s="1" t="s">
        <v>176</v>
      </c>
      <c r="L1095" s="1">
        <v>6</v>
      </c>
      <c r="M1095" s="2">
        <v>37084</v>
      </c>
    </row>
    <row r="1096" spans="2:13" outlineLevel="2">
      <c r="B1096" s="35">
        <f t="shared" si="38"/>
        <v>632</v>
      </c>
      <c r="C1096" s="41" t="s">
        <v>175</v>
      </c>
      <c r="D1096" s="41"/>
      <c r="E1096" s="41" t="s">
        <v>128</v>
      </c>
      <c r="F1096" s="41">
        <v>1200150</v>
      </c>
      <c r="G1096" s="1">
        <v>546284</v>
      </c>
      <c r="H1096" s="1">
        <v>2019</v>
      </c>
      <c r="I1096" s="1"/>
      <c r="J1096" s="36"/>
      <c r="K1096" s="1" t="s">
        <v>176</v>
      </c>
      <c r="L1096" s="1">
        <v>10</v>
      </c>
      <c r="M1096" s="2">
        <v>37060</v>
      </c>
    </row>
    <row r="1097" spans="2:13" outlineLevel="2">
      <c r="B1097" s="35">
        <f t="shared" si="38"/>
        <v>633</v>
      </c>
      <c r="C1097" s="41" t="s">
        <v>175</v>
      </c>
      <c r="D1097" s="41"/>
      <c r="E1097" s="41" t="s">
        <v>131</v>
      </c>
      <c r="F1097" s="41">
        <v>918298</v>
      </c>
      <c r="G1097" s="1">
        <v>50127</v>
      </c>
      <c r="H1097" s="1">
        <v>2013</v>
      </c>
      <c r="I1097" s="1"/>
      <c r="J1097" s="36"/>
      <c r="K1097" s="1" t="s">
        <v>176</v>
      </c>
      <c r="L1097" s="1">
        <v>4</v>
      </c>
      <c r="M1097" s="2">
        <v>37094</v>
      </c>
    </row>
    <row r="1098" spans="2:13" outlineLevel="2">
      <c r="B1098" s="35">
        <f t="shared" si="38"/>
        <v>634</v>
      </c>
      <c r="C1098" s="41" t="s">
        <v>175</v>
      </c>
      <c r="D1098" s="41"/>
      <c r="E1098" s="41" t="s">
        <v>128</v>
      </c>
      <c r="F1098" s="41">
        <v>266740</v>
      </c>
      <c r="G1098" s="1">
        <v>28795</v>
      </c>
      <c r="H1098" s="1">
        <v>2003</v>
      </c>
      <c r="I1098" s="1"/>
      <c r="J1098" s="36"/>
      <c r="K1098" s="1" t="s">
        <v>176</v>
      </c>
      <c r="L1098" s="1">
        <v>20</v>
      </c>
      <c r="M1098" s="2">
        <v>37075</v>
      </c>
    </row>
    <row r="1099" spans="2:13" outlineLevel="2">
      <c r="B1099" s="35">
        <f t="shared" si="38"/>
        <v>635</v>
      </c>
      <c r="C1099" s="41" t="s">
        <v>175</v>
      </c>
      <c r="D1099" s="41"/>
      <c r="E1099" s="41" t="s">
        <v>128</v>
      </c>
      <c r="F1099" s="41">
        <v>1043831714</v>
      </c>
      <c r="G1099" s="1">
        <v>111610</v>
      </c>
      <c r="H1099" s="1">
        <v>2018</v>
      </c>
      <c r="I1099" s="1"/>
      <c r="J1099" s="36"/>
      <c r="K1099" s="1" t="s">
        <v>176</v>
      </c>
      <c r="L1099" s="1">
        <v>17</v>
      </c>
      <c r="M1099" s="2">
        <v>37110</v>
      </c>
    </row>
    <row r="1100" spans="2:13" outlineLevel="2">
      <c r="B1100" s="35">
        <f t="shared" si="38"/>
        <v>636</v>
      </c>
      <c r="C1100" s="41" t="s">
        <v>175</v>
      </c>
      <c r="D1100" s="41"/>
      <c r="E1100" s="41" t="s">
        <v>131</v>
      </c>
      <c r="F1100" s="41">
        <v>1036849892</v>
      </c>
      <c r="G1100" s="1">
        <v>67560</v>
      </c>
      <c r="H1100" s="1">
        <v>2017</v>
      </c>
      <c r="I1100" s="1"/>
      <c r="J1100" s="36"/>
      <c r="K1100" s="1" t="s">
        <v>176</v>
      </c>
      <c r="L1100" s="1">
        <v>28</v>
      </c>
      <c r="M1100" s="2">
        <v>37093</v>
      </c>
    </row>
    <row r="1101" spans="2:13" outlineLevel="2">
      <c r="B1101" s="35">
        <f t="shared" si="38"/>
        <v>637</v>
      </c>
      <c r="C1101" s="41" t="s">
        <v>175</v>
      </c>
      <c r="D1101" s="41"/>
      <c r="E1101" s="41" t="s">
        <v>128</v>
      </c>
      <c r="F1101" s="41">
        <v>324429</v>
      </c>
      <c r="G1101" s="1">
        <v>104161</v>
      </c>
      <c r="H1101" s="1">
        <v>2017</v>
      </c>
      <c r="I1101" s="1"/>
      <c r="J1101" s="36"/>
      <c r="K1101" s="1" t="s">
        <v>176</v>
      </c>
      <c r="L1101" s="1">
        <v>17</v>
      </c>
      <c r="M1101" s="2">
        <v>37056</v>
      </c>
    </row>
    <row r="1102" spans="2:13" outlineLevel="2">
      <c r="B1102" s="35">
        <f t="shared" si="38"/>
        <v>638</v>
      </c>
      <c r="C1102" s="41" t="s">
        <v>175</v>
      </c>
      <c r="D1102" s="41"/>
      <c r="E1102" s="41" t="s">
        <v>130</v>
      </c>
      <c r="F1102" s="41">
        <v>731937</v>
      </c>
      <c r="G1102" s="1">
        <v>35943</v>
      </c>
      <c r="H1102" s="1">
        <v>2011</v>
      </c>
      <c r="I1102" s="1"/>
      <c r="J1102" s="36"/>
      <c r="K1102" s="1" t="s">
        <v>176</v>
      </c>
      <c r="L1102" s="1">
        <v>16</v>
      </c>
      <c r="M1102" s="2">
        <v>37085</v>
      </c>
    </row>
    <row r="1103" spans="2:13" outlineLevel="2">
      <c r="B1103" s="35">
        <f t="shared" si="38"/>
        <v>639</v>
      </c>
      <c r="C1103" s="41" t="s">
        <v>175</v>
      </c>
      <c r="D1103" s="41"/>
      <c r="E1103" s="41" t="s">
        <v>130</v>
      </c>
      <c r="F1103" s="41">
        <v>1272181</v>
      </c>
      <c r="G1103" s="1">
        <v>565485</v>
      </c>
      <c r="H1103" s="1">
        <v>2000</v>
      </c>
      <c r="I1103" s="1"/>
      <c r="J1103" s="36"/>
      <c r="K1103" s="1" t="s">
        <v>176</v>
      </c>
      <c r="L1103" s="1">
        <v>28</v>
      </c>
      <c r="M1103" s="2">
        <v>37087</v>
      </c>
    </row>
    <row r="1104" spans="2:13" outlineLevel="2">
      <c r="B1104" s="35">
        <f t="shared" si="38"/>
        <v>640</v>
      </c>
      <c r="C1104" s="41" t="s">
        <v>175</v>
      </c>
      <c r="D1104" s="41"/>
      <c r="E1104" s="41" t="s">
        <v>131</v>
      </c>
      <c r="F1104" s="41">
        <v>30800671</v>
      </c>
      <c r="G1104" s="1">
        <v>58765</v>
      </c>
      <c r="H1104" s="1">
        <v>2016</v>
      </c>
      <c r="I1104" s="1"/>
      <c r="J1104" s="36"/>
      <c r="K1104" s="1" t="s">
        <v>176</v>
      </c>
      <c r="L1104" s="1">
        <v>23</v>
      </c>
      <c r="M1104" s="2">
        <v>37095</v>
      </c>
    </row>
    <row r="1105" spans="2:13" outlineLevel="2">
      <c r="B1105" s="35">
        <f t="shared" si="38"/>
        <v>641</v>
      </c>
      <c r="C1105" s="41" t="s">
        <v>175</v>
      </c>
      <c r="D1105" s="41"/>
      <c r="E1105" s="41" t="s">
        <v>128</v>
      </c>
      <c r="F1105" s="41">
        <v>262679</v>
      </c>
      <c r="G1105" s="1">
        <v>28885</v>
      </c>
      <c r="H1105" s="1">
        <v>2004</v>
      </c>
      <c r="I1105" s="1"/>
      <c r="J1105" s="36"/>
      <c r="K1105" s="1" t="s">
        <v>176</v>
      </c>
      <c r="L1105" s="1">
        <v>27</v>
      </c>
      <c r="M1105" s="2">
        <v>37076</v>
      </c>
    </row>
    <row r="1106" spans="2:13" outlineLevel="2">
      <c r="B1106" s="35">
        <f t="shared" si="38"/>
        <v>642</v>
      </c>
      <c r="C1106" s="41" t="s">
        <v>175</v>
      </c>
      <c r="D1106" s="41"/>
      <c r="E1106" s="41" t="s">
        <v>130</v>
      </c>
      <c r="F1106" s="41">
        <v>28621947</v>
      </c>
      <c r="G1106" s="1">
        <v>56479</v>
      </c>
      <c r="H1106" s="1">
        <v>2015</v>
      </c>
      <c r="I1106" s="1"/>
      <c r="J1106" s="36"/>
      <c r="K1106" s="1" t="s">
        <v>176</v>
      </c>
      <c r="L1106" s="1">
        <v>2</v>
      </c>
      <c r="M1106" s="2">
        <v>37072</v>
      </c>
    </row>
    <row r="1107" spans="2:13" outlineLevel="2">
      <c r="B1107" s="35">
        <f t="shared" si="38"/>
        <v>643</v>
      </c>
      <c r="C1107" s="41" t="s">
        <v>175</v>
      </c>
      <c r="D1107" s="41"/>
      <c r="E1107" s="41" t="s">
        <v>128</v>
      </c>
      <c r="F1107" s="41">
        <v>1036504036</v>
      </c>
      <c r="G1107" s="1">
        <v>67469</v>
      </c>
      <c r="H1107" s="1">
        <v>2018</v>
      </c>
      <c r="I1107" s="1"/>
      <c r="J1107" s="36"/>
      <c r="K1107" s="1" t="s">
        <v>176</v>
      </c>
      <c r="L1107" s="1">
        <v>2</v>
      </c>
      <c r="M1107" s="2">
        <v>37111</v>
      </c>
    </row>
    <row r="1108" spans="2:13" outlineLevel="2">
      <c r="B1108" s="35">
        <f t="shared" si="38"/>
        <v>644</v>
      </c>
      <c r="C1108" s="41" t="s">
        <v>175</v>
      </c>
      <c r="D1108" s="41"/>
      <c r="E1108" s="41" t="s">
        <v>130</v>
      </c>
      <c r="F1108" s="41">
        <v>1041814254</v>
      </c>
      <c r="G1108" s="1">
        <v>103039</v>
      </c>
      <c r="H1108" s="1">
        <v>2018</v>
      </c>
      <c r="I1108" s="1"/>
      <c r="J1108" s="36"/>
      <c r="K1108" s="1" t="s">
        <v>176</v>
      </c>
      <c r="L1108" s="1">
        <v>5</v>
      </c>
      <c r="M1108" s="2">
        <v>37106</v>
      </c>
    </row>
    <row r="1109" spans="2:13" outlineLevel="2">
      <c r="B1109" s="35">
        <f t="shared" si="38"/>
        <v>645</v>
      </c>
      <c r="C1109" s="41" t="s">
        <v>175</v>
      </c>
      <c r="D1109" s="41"/>
      <c r="E1109" s="41" t="s">
        <v>131</v>
      </c>
      <c r="F1109" s="41">
        <v>375408</v>
      </c>
      <c r="G1109" s="1">
        <v>546550</v>
      </c>
      <c r="H1109" s="1">
        <v>2019</v>
      </c>
      <c r="I1109" s="1"/>
      <c r="J1109" s="36"/>
      <c r="K1109" s="1" t="s">
        <v>176</v>
      </c>
      <c r="L1109" s="1">
        <v>23</v>
      </c>
      <c r="M1109" s="2">
        <v>37038</v>
      </c>
    </row>
    <row r="1110" spans="2:13" outlineLevel="2">
      <c r="B1110" s="35">
        <f t="shared" si="38"/>
        <v>646</v>
      </c>
      <c r="C1110" s="41" t="s">
        <v>175</v>
      </c>
      <c r="D1110" s="41"/>
      <c r="E1110" s="41" t="s">
        <v>130</v>
      </c>
      <c r="F1110" s="41">
        <v>1278102</v>
      </c>
      <c r="G1110" s="1">
        <v>566600</v>
      </c>
      <c r="H1110" s="1">
        <v>2021</v>
      </c>
      <c r="I1110" s="1"/>
      <c r="J1110" s="36"/>
      <c r="K1110" s="1" t="s">
        <v>176</v>
      </c>
      <c r="L1110" s="1">
        <v>2</v>
      </c>
      <c r="M1110" s="2">
        <v>37086</v>
      </c>
    </row>
    <row r="1111" spans="2:13" outlineLevel="2">
      <c r="B1111" s="35">
        <f t="shared" si="38"/>
        <v>647</v>
      </c>
      <c r="C1111" s="41" t="s">
        <v>175</v>
      </c>
      <c r="D1111" s="41"/>
      <c r="E1111" s="41" t="s">
        <v>131</v>
      </c>
      <c r="F1111" s="41">
        <v>1312822</v>
      </c>
      <c r="G1111" s="1">
        <v>907208</v>
      </c>
      <c r="H1111" s="1">
        <v>2021</v>
      </c>
      <c r="I1111" s="1"/>
      <c r="J1111" s="36"/>
      <c r="K1111" s="1" t="s">
        <v>176</v>
      </c>
      <c r="L1111" s="1">
        <v>2</v>
      </c>
      <c r="M1111" s="2">
        <v>37097</v>
      </c>
    </row>
    <row r="1112" spans="2:13" outlineLevel="2">
      <c r="B1112" s="35">
        <f t="shared" si="38"/>
        <v>648</v>
      </c>
      <c r="C1112" s="41" t="s">
        <v>175</v>
      </c>
      <c r="D1112" s="41"/>
      <c r="E1112" s="41" t="s">
        <v>166</v>
      </c>
      <c r="F1112" s="41">
        <v>283698</v>
      </c>
      <c r="G1112" s="1">
        <v>29958</v>
      </c>
      <c r="H1112" s="1">
        <v>2004</v>
      </c>
      <c r="I1112" s="1"/>
      <c r="J1112" s="36"/>
      <c r="K1112" s="1" t="s">
        <v>176</v>
      </c>
      <c r="L1112" s="1">
        <v>19</v>
      </c>
      <c r="M1112" s="2">
        <v>37050</v>
      </c>
    </row>
    <row r="1113" spans="2:13" outlineLevel="2">
      <c r="B1113" s="35">
        <f t="shared" si="38"/>
        <v>649</v>
      </c>
      <c r="C1113" s="41" t="s">
        <v>175</v>
      </c>
      <c r="D1113" s="41"/>
      <c r="E1113" s="41" t="s">
        <v>130</v>
      </c>
      <c r="F1113" s="41">
        <v>714966</v>
      </c>
      <c r="G1113" s="1">
        <v>34721</v>
      </c>
      <c r="H1113" s="1">
        <v>2011</v>
      </c>
      <c r="I1113" s="1"/>
      <c r="J1113" s="36"/>
      <c r="K1113" s="1" t="s">
        <v>176</v>
      </c>
      <c r="L1113" s="1">
        <v>24</v>
      </c>
      <c r="M1113" s="2">
        <v>37040</v>
      </c>
    </row>
    <row r="1114" spans="2:13" outlineLevel="2">
      <c r="B1114" s="35">
        <f t="shared" ref="B1114:B1148" si="39">(B1113+1)</f>
        <v>650</v>
      </c>
      <c r="C1114" s="41" t="s">
        <v>175</v>
      </c>
      <c r="D1114" s="41"/>
      <c r="E1114" s="41" t="s">
        <v>128</v>
      </c>
      <c r="F1114" s="41">
        <v>421948</v>
      </c>
      <c r="G1114" s="1">
        <v>566763</v>
      </c>
      <c r="H1114" s="1">
        <v>2021</v>
      </c>
      <c r="I1114" s="1"/>
      <c r="J1114" s="36"/>
      <c r="K1114" s="1" t="s">
        <v>176</v>
      </c>
      <c r="L1114" s="1">
        <v>39</v>
      </c>
      <c r="M1114" s="2">
        <v>37799</v>
      </c>
    </row>
    <row r="1115" spans="2:13" outlineLevel="2">
      <c r="B1115" s="35">
        <f t="shared" si="39"/>
        <v>651</v>
      </c>
      <c r="C1115" s="41" t="s">
        <v>175</v>
      </c>
      <c r="D1115" s="41"/>
      <c r="E1115" s="41" t="s">
        <v>131</v>
      </c>
      <c r="F1115" s="41">
        <v>1340666</v>
      </c>
      <c r="G1115" s="1">
        <v>908754</v>
      </c>
      <c r="H1115" s="1">
        <v>2021</v>
      </c>
      <c r="I1115" s="1"/>
      <c r="J1115" s="36"/>
      <c r="K1115" s="1" t="s">
        <v>176</v>
      </c>
      <c r="L1115" s="1">
        <v>22</v>
      </c>
      <c r="M1115" s="2">
        <v>37036</v>
      </c>
    </row>
    <row r="1116" spans="2:13" outlineLevel="2">
      <c r="B1116" s="35">
        <f t="shared" si="39"/>
        <v>652</v>
      </c>
      <c r="C1116" s="41" t="s">
        <v>175</v>
      </c>
      <c r="D1116" s="41"/>
      <c r="E1116" s="41" t="s">
        <v>130</v>
      </c>
      <c r="F1116" s="41">
        <v>28621939</v>
      </c>
      <c r="G1116" s="1">
        <v>56471</v>
      </c>
      <c r="H1116" s="1">
        <v>2015</v>
      </c>
      <c r="I1116" s="1"/>
      <c r="J1116" s="36"/>
      <c r="K1116" s="1" t="s">
        <v>176</v>
      </c>
      <c r="L1116" s="1">
        <v>7</v>
      </c>
      <c r="M1116" s="2">
        <v>37042</v>
      </c>
    </row>
    <row r="1117" spans="2:13" outlineLevel="2">
      <c r="B1117" s="35">
        <f t="shared" si="39"/>
        <v>653</v>
      </c>
      <c r="C1117" s="41" t="s">
        <v>175</v>
      </c>
      <c r="D1117" s="41"/>
      <c r="E1117" s="41" t="s">
        <v>128</v>
      </c>
      <c r="F1117" s="41">
        <v>967124</v>
      </c>
      <c r="G1117" s="1">
        <v>54671</v>
      </c>
      <c r="H1117" s="1">
        <v>2014</v>
      </c>
      <c r="I1117" s="1"/>
      <c r="J1117" s="36"/>
      <c r="K1117" s="1" t="s">
        <v>176</v>
      </c>
      <c r="L1117" s="1">
        <v>27</v>
      </c>
      <c r="M1117" s="2">
        <v>37074</v>
      </c>
    </row>
    <row r="1118" spans="2:13" outlineLevel="2">
      <c r="B1118" s="35">
        <f t="shared" si="39"/>
        <v>654</v>
      </c>
      <c r="C1118" s="41" t="s">
        <v>175</v>
      </c>
      <c r="D1118" s="41"/>
      <c r="E1118" s="41" t="s">
        <v>128</v>
      </c>
      <c r="F1118" s="41">
        <v>1041490817</v>
      </c>
      <c r="G1118" s="1">
        <v>69943</v>
      </c>
      <c r="H1118" s="1">
        <v>2017</v>
      </c>
      <c r="I1118" s="1"/>
      <c r="J1118" s="36"/>
      <c r="K1118" s="1" t="s">
        <v>176</v>
      </c>
      <c r="L1118" s="1">
        <v>33</v>
      </c>
      <c r="M1118" s="2">
        <v>37059</v>
      </c>
    </row>
    <row r="1119" spans="2:13" outlineLevel="2">
      <c r="B1119" s="35">
        <f t="shared" si="39"/>
        <v>655</v>
      </c>
      <c r="C1119" s="41" t="s">
        <v>175</v>
      </c>
      <c r="D1119" s="41"/>
      <c r="E1119" s="41" t="s">
        <v>130</v>
      </c>
      <c r="F1119" s="41">
        <v>421892</v>
      </c>
      <c r="G1119" s="1">
        <v>566825</v>
      </c>
      <c r="H1119" s="1">
        <v>2021</v>
      </c>
      <c r="I1119" s="1"/>
      <c r="J1119" s="36"/>
      <c r="K1119" s="1" t="s">
        <v>176</v>
      </c>
      <c r="L1119" s="1">
        <v>19</v>
      </c>
      <c r="M1119" s="2">
        <v>37092</v>
      </c>
    </row>
    <row r="1120" spans="2:13" outlineLevel="2">
      <c r="B1120" s="35">
        <f t="shared" si="39"/>
        <v>656</v>
      </c>
      <c r="C1120" s="41" t="s">
        <v>175</v>
      </c>
      <c r="D1120" s="41"/>
      <c r="E1120" s="41" t="s">
        <v>131</v>
      </c>
      <c r="F1120" s="41">
        <v>1276893</v>
      </c>
      <c r="G1120" s="1">
        <v>566004</v>
      </c>
      <c r="H1120" s="1">
        <v>2021</v>
      </c>
      <c r="I1120" s="1"/>
      <c r="J1120" s="36"/>
      <c r="K1120" s="1" t="s">
        <v>176</v>
      </c>
      <c r="L1120" s="1">
        <v>17</v>
      </c>
      <c r="M1120" s="2">
        <v>37101</v>
      </c>
    </row>
    <row r="1121" spans="2:13" outlineLevel="2">
      <c r="B1121" s="35">
        <f t="shared" si="39"/>
        <v>657</v>
      </c>
      <c r="C1121" s="41" t="s">
        <v>175</v>
      </c>
      <c r="D1121" s="41"/>
      <c r="E1121" s="41" t="s">
        <v>131</v>
      </c>
      <c r="F1121" s="41">
        <v>872712</v>
      </c>
      <c r="G1121" s="1">
        <v>45602</v>
      </c>
      <c r="H1121" s="1">
        <v>2016</v>
      </c>
      <c r="I1121" s="1"/>
      <c r="J1121" s="36"/>
      <c r="K1121" s="1" t="s">
        <v>176</v>
      </c>
      <c r="L1121" s="1">
        <v>9</v>
      </c>
      <c r="M1121" s="2">
        <v>37054</v>
      </c>
    </row>
    <row r="1122" spans="2:13" outlineLevel="2">
      <c r="B1122" s="35">
        <f t="shared" si="39"/>
        <v>658</v>
      </c>
      <c r="C1122" s="41" t="s">
        <v>175</v>
      </c>
      <c r="D1122" s="41"/>
      <c r="E1122" s="41" t="s">
        <v>131</v>
      </c>
      <c r="F1122" s="41">
        <v>776333</v>
      </c>
      <c r="G1122" s="1">
        <v>99205</v>
      </c>
      <c r="H1122" s="1">
        <v>2010</v>
      </c>
      <c r="I1122" s="1"/>
      <c r="J1122" s="36"/>
      <c r="K1122" s="1" t="s">
        <v>176</v>
      </c>
      <c r="L1122" s="1">
        <v>10</v>
      </c>
      <c r="M1122" s="2">
        <v>37034</v>
      </c>
    </row>
    <row r="1123" spans="2:13" outlineLevel="2">
      <c r="B1123" s="35">
        <f t="shared" si="39"/>
        <v>659</v>
      </c>
      <c r="C1123" s="41" t="s">
        <v>175</v>
      </c>
      <c r="D1123" s="41"/>
      <c r="E1123" s="41" t="s">
        <v>130</v>
      </c>
      <c r="F1123" s="41">
        <v>124336</v>
      </c>
      <c r="G1123" s="1">
        <v>601032</v>
      </c>
      <c r="H1123" s="1">
        <v>2008</v>
      </c>
      <c r="I1123" s="1"/>
      <c r="J1123" s="36"/>
      <c r="K1123" s="1" t="s">
        <v>176</v>
      </c>
      <c r="L1123" s="1">
        <v>19</v>
      </c>
      <c r="M1123" s="2">
        <v>38320</v>
      </c>
    </row>
    <row r="1124" spans="2:13" outlineLevel="2">
      <c r="B1124" s="35">
        <f t="shared" si="39"/>
        <v>660</v>
      </c>
      <c r="C1124" s="41" t="s">
        <v>175</v>
      </c>
      <c r="D1124" s="41"/>
      <c r="E1124" s="41" t="s">
        <v>127</v>
      </c>
      <c r="F1124" s="41">
        <v>926967</v>
      </c>
      <c r="G1124" s="1">
        <v>54427</v>
      </c>
      <c r="H1124" s="1">
        <v>2019</v>
      </c>
      <c r="I1124" s="1"/>
      <c r="J1124" s="36"/>
      <c r="K1124" s="1" t="s">
        <v>176</v>
      </c>
      <c r="L1124" s="1">
        <v>29</v>
      </c>
      <c r="M1124" s="2">
        <v>38343</v>
      </c>
    </row>
    <row r="1125" spans="2:13" outlineLevel="2">
      <c r="B1125" s="35">
        <f t="shared" si="39"/>
        <v>661</v>
      </c>
      <c r="C1125" s="41" t="s">
        <v>175</v>
      </c>
      <c r="D1125" s="41"/>
      <c r="E1125" s="41" t="s">
        <v>130</v>
      </c>
      <c r="F1125" s="41">
        <v>1090175</v>
      </c>
      <c r="G1125" s="1">
        <v>65072</v>
      </c>
      <c r="H1125" s="1">
        <v>2017</v>
      </c>
      <c r="I1125" s="1"/>
      <c r="J1125" s="36"/>
      <c r="K1125" s="1" t="s">
        <v>176</v>
      </c>
      <c r="L1125" s="1">
        <v>11</v>
      </c>
      <c r="M1125" s="2">
        <v>38338</v>
      </c>
    </row>
    <row r="1126" spans="2:13" outlineLevel="2">
      <c r="B1126" s="35">
        <f t="shared" si="39"/>
        <v>662</v>
      </c>
      <c r="C1126" s="41" t="s">
        <v>175</v>
      </c>
      <c r="D1126" s="41"/>
      <c r="E1126" s="41" t="s">
        <v>127</v>
      </c>
      <c r="F1126" s="41">
        <v>967262</v>
      </c>
      <c r="G1126" s="1">
        <v>54705</v>
      </c>
      <c r="H1126" s="1">
        <v>2014</v>
      </c>
      <c r="I1126" s="1"/>
      <c r="J1126" s="36"/>
      <c r="K1126" s="1" t="s">
        <v>176</v>
      </c>
      <c r="L1126" s="1">
        <v>8</v>
      </c>
      <c r="M1126" s="2">
        <v>38345</v>
      </c>
    </row>
    <row r="1127" spans="2:13" outlineLevel="2">
      <c r="B1127" s="35">
        <f t="shared" si="39"/>
        <v>663</v>
      </c>
      <c r="C1127" s="41" t="s">
        <v>175</v>
      </c>
      <c r="D1127" s="41"/>
      <c r="E1127" s="41" t="s">
        <v>127</v>
      </c>
      <c r="F1127" s="41">
        <v>1184894</v>
      </c>
      <c r="G1127" s="1">
        <v>543228</v>
      </c>
      <c r="H1127" s="1">
        <v>2018</v>
      </c>
      <c r="I1127" s="1"/>
      <c r="J1127" s="36"/>
      <c r="K1127" s="1" t="s">
        <v>176</v>
      </c>
      <c r="L1127" s="1">
        <v>14</v>
      </c>
      <c r="M1127" s="2">
        <v>38347</v>
      </c>
    </row>
    <row r="1128" spans="2:13" outlineLevel="2">
      <c r="B1128" s="35">
        <f t="shared" si="39"/>
        <v>664</v>
      </c>
      <c r="C1128" s="41" t="s">
        <v>175</v>
      </c>
      <c r="D1128" s="41"/>
      <c r="E1128" s="41" t="s">
        <v>127</v>
      </c>
      <c r="F1128" s="41">
        <v>1119621</v>
      </c>
      <c r="G1128" s="1">
        <v>100293</v>
      </c>
      <c r="H1128" s="1">
        <v>2017</v>
      </c>
      <c r="I1128" s="1"/>
      <c r="J1128" s="36"/>
      <c r="K1128" s="1" t="s">
        <v>176</v>
      </c>
      <c r="L1128" s="1">
        <v>12</v>
      </c>
      <c r="M1128" s="2">
        <v>38346</v>
      </c>
    </row>
    <row r="1129" spans="2:13" outlineLevel="2">
      <c r="B1129" s="35">
        <f t="shared" si="39"/>
        <v>665</v>
      </c>
      <c r="C1129" s="41" t="s">
        <v>175</v>
      </c>
      <c r="D1129" s="41"/>
      <c r="E1129" s="41" t="s">
        <v>127</v>
      </c>
      <c r="F1129" s="41">
        <v>967263</v>
      </c>
      <c r="G1129" s="1">
        <v>54706</v>
      </c>
      <c r="H1129" s="1">
        <v>2015</v>
      </c>
      <c r="I1129" s="1"/>
      <c r="J1129" s="36"/>
      <c r="K1129" s="1" t="s">
        <v>176</v>
      </c>
      <c r="L1129" s="1">
        <v>13</v>
      </c>
      <c r="M1129" s="2">
        <v>38351</v>
      </c>
    </row>
    <row r="1130" spans="2:13" outlineLevel="2">
      <c r="B1130" s="35">
        <f t="shared" si="39"/>
        <v>666</v>
      </c>
      <c r="C1130" s="41" t="s">
        <v>175</v>
      </c>
      <c r="D1130" s="41"/>
      <c r="E1130" s="41" t="s">
        <v>127</v>
      </c>
      <c r="F1130" s="41">
        <v>1232163</v>
      </c>
      <c r="G1130" s="1">
        <v>563926</v>
      </c>
      <c r="H1130" s="1">
        <v>2020</v>
      </c>
      <c r="I1130" s="1"/>
      <c r="J1130" s="36"/>
      <c r="K1130" s="1" t="s">
        <v>176</v>
      </c>
      <c r="L1130" s="1">
        <v>11</v>
      </c>
      <c r="M1130" s="2">
        <v>38349</v>
      </c>
    </row>
    <row r="1131" spans="2:13" outlineLevel="2">
      <c r="B1131" s="35">
        <f t="shared" si="39"/>
        <v>667</v>
      </c>
      <c r="C1131" s="41" t="s">
        <v>175</v>
      </c>
      <c r="D1131" s="41"/>
      <c r="E1131" s="41" t="s">
        <v>130</v>
      </c>
      <c r="F1131" s="41">
        <v>1303964</v>
      </c>
      <c r="G1131" s="1">
        <v>565118</v>
      </c>
      <c r="H1131" s="1">
        <v>2020</v>
      </c>
      <c r="I1131" s="1"/>
      <c r="J1131" s="36"/>
      <c r="K1131" s="1" t="s">
        <v>176</v>
      </c>
      <c r="L1131" s="1">
        <v>7</v>
      </c>
      <c r="M1131" s="2">
        <v>38336</v>
      </c>
    </row>
    <row r="1132" spans="2:13" outlineLevel="2">
      <c r="B1132" s="35">
        <f t="shared" si="39"/>
        <v>668</v>
      </c>
      <c r="C1132" s="41" t="s">
        <v>175</v>
      </c>
      <c r="D1132" s="41"/>
      <c r="E1132" s="41" t="s">
        <v>130</v>
      </c>
      <c r="F1132" s="41">
        <v>927081</v>
      </c>
      <c r="G1132" s="1">
        <v>54217</v>
      </c>
      <c r="H1132" s="1">
        <v>2014</v>
      </c>
      <c r="I1132" s="1"/>
      <c r="J1132" s="36"/>
      <c r="K1132" s="1" t="s">
        <v>176</v>
      </c>
      <c r="L1132" s="1">
        <v>8</v>
      </c>
      <c r="M1132" s="2">
        <v>38335</v>
      </c>
    </row>
    <row r="1133" spans="2:13" outlineLevel="2">
      <c r="B1133" s="35">
        <f t="shared" si="39"/>
        <v>669</v>
      </c>
      <c r="C1133" s="41" t="s">
        <v>175</v>
      </c>
      <c r="D1133" s="41"/>
      <c r="E1133" s="41" t="s">
        <v>130</v>
      </c>
      <c r="F1133" s="41">
        <v>918250</v>
      </c>
      <c r="G1133" s="1">
        <v>49849</v>
      </c>
      <c r="H1133" s="1">
        <v>2013</v>
      </c>
      <c r="I1133" s="1"/>
      <c r="J1133" s="36"/>
      <c r="K1133" s="1" t="s">
        <v>176</v>
      </c>
      <c r="L1133" s="1">
        <v>8</v>
      </c>
      <c r="M1133" s="2">
        <v>38322</v>
      </c>
    </row>
    <row r="1134" spans="2:13" outlineLevel="2">
      <c r="B1134" s="35">
        <f t="shared" si="39"/>
        <v>670</v>
      </c>
      <c r="C1134" s="41" t="s">
        <v>175</v>
      </c>
      <c r="D1134" s="41"/>
      <c r="E1134" s="41" t="s">
        <v>130</v>
      </c>
      <c r="F1134" s="41">
        <v>463646</v>
      </c>
      <c r="G1134" s="1">
        <v>941983</v>
      </c>
      <c r="H1134" s="1">
        <v>2018</v>
      </c>
      <c r="I1134" s="1"/>
      <c r="J1134" s="36"/>
      <c r="K1134" s="1" t="s">
        <v>176</v>
      </c>
      <c r="L1134" s="1">
        <v>15</v>
      </c>
      <c r="M1134" s="2">
        <v>38340</v>
      </c>
    </row>
    <row r="1135" spans="2:13" outlineLevel="2">
      <c r="B1135" s="35">
        <f t="shared" si="39"/>
        <v>671</v>
      </c>
      <c r="C1135" s="41" t="s">
        <v>175</v>
      </c>
      <c r="D1135" s="41"/>
      <c r="E1135" s="41" t="s">
        <v>130</v>
      </c>
      <c r="F1135" s="41">
        <v>967213</v>
      </c>
      <c r="G1135" s="1">
        <v>54596</v>
      </c>
      <c r="H1135" s="1">
        <v>2014</v>
      </c>
      <c r="I1135" s="1"/>
      <c r="J1135" s="36"/>
      <c r="K1135" s="1" t="s">
        <v>176</v>
      </c>
      <c r="L1135" s="1">
        <v>7</v>
      </c>
      <c r="M1135" s="2">
        <v>38330</v>
      </c>
    </row>
    <row r="1136" spans="2:13" outlineLevel="2">
      <c r="B1136" s="35">
        <f t="shared" si="39"/>
        <v>672</v>
      </c>
      <c r="C1136" s="41" t="s">
        <v>175</v>
      </c>
      <c r="D1136" s="41"/>
      <c r="E1136" s="41" t="s">
        <v>130</v>
      </c>
      <c r="F1136" s="41">
        <v>872761</v>
      </c>
      <c r="G1136" s="1">
        <v>45647</v>
      </c>
      <c r="H1136" s="1">
        <v>2013</v>
      </c>
      <c r="I1136" s="1"/>
      <c r="J1136" s="36"/>
      <c r="K1136" s="1" t="s">
        <v>176</v>
      </c>
      <c r="L1136" s="1">
        <v>8</v>
      </c>
      <c r="M1136" s="2">
        <v>38324</v>
      </c>
    </row>
    <row r="1137" spans="2:13" outlineLevel="2">
      <c r="B1137" s="35">
        <f t="shared" si="39"/>
        <v>673</v>
      </c>
      <c r="C1137" s="41" t="s">
        <v>175</v>
      </c>
      <c r="D1137" s="41"/>
      <c r="E1137" s="41" t="s">
        <v>130</v>
      </c>
      <c r="F1137" s="41">
        <v>932960</v>
      </c>
      <c r="G1137" s="1">
        <v>55082</v>
      </c>
      <c r="H1137" s="1">
        <v>2015</v>
      </c>
      <c r="I1137" s="1"/>
      <c r="J1137" s="36"/>
      <c r="K1137" s="1" t="s">
        <v>176</v>
      </c>
      <c r="L1137" s="1">
        <v>9</v>
      </c>
      <c r="M1137" s="2">
        <v>38323</v>
      </c>
    </row>
    <row r="1138" spans="2:13" outlineLevel="2">
      <c r="B1138" s="35">
        <f t="shared" si="39"/>
        <v>674</v>
      </c>
      <c r="C1138" s="41" t="s">
        <v>175</v>
      </c>
      <c r="D1138" s="41"/>
      <c r="E1138" s="41" t="s">
        <v>130</v>
      </c>
      <c r="F1138" s="41">
        <v>868086</v>
      </c>
      <c r="G1138" s="1">
        <v>44856</v>
      </c>
      <c r="H1138" s="1">
        <v>2012</v>
      </c>
      <c r="I1138" s="1"/>
      <c r="J1138" s="36"/>
      <c r="K1138" s="1" t="s">
        <v>176</v>
      </c>
      <c r="L1138" s="1">
        <v>20</v>
      </c>
      <c r="M1138" s="2">
        <v>38321</v>
      </c>
    </row>
    <row r="1139" spans="2:13" outlineLevel="2">
      <c r="B1139" s="35">
        <f t="shared" si="39"/>
        <v>675</v>
      </c>
      <c r="C1139" s="41" t="s">
        <v>175</v>
      </c>
      <c r="D1139" s="41"/>
      <c r="E1139" s="41" t="s">
        <v>130</v>
      </c>
      <c r="F1139" s="41">
        <v>918249</v>
      </c>
      <c r="G1139" s="1">
        <v>49848</v>
      </c>
      <c r="H1139" s="1">
        <v>2013</v>
      </c>
      <c r="I1139" s="1"/>
      <c r="J1139" s="36"/>
      <c r="K1139" s="1" t="s">
        <v>176</v>
      </c>
      <c r="L1139" s="1">
        <v>26</v>
      </c>
      <c r="M1139" s="2">
        <v>38316</v>
      </c>
    </row>
    <row r="1140" spans="2:13" outlineLevel="2">
      <c r="B1140" s="35">
        <f t="shared" si="39"/>
        <v>676</v>
      </c>
      <c r="C1140" s="41" t="s">
        <v>175</v>
      </c>
      <c r="D1140" s="41"/>
      <c r="E1140" s="41" t="s">
        <v>130</v>
      </c>
      <c r="F1140" s="41">
        <v>138965</v>
      </c>
      <c r="G1140" s="1">
        <v>6000010</v>
      </c>
      <c r="H1140" s="1">
        <v>2021</v>
      </c>
      <c r="I1140" s="1"/>
      <c r="J1140" s="36"/>
      <c r="K1140" s="1" t="s">
        <v>176</v>
      </c>
      <c r="L1140" s="1">
        <v>22</v>
      </c>
      <c r="M1140" s="2">
        <v>38318</v>
      </c>
    </row>
    <row r="1141" spans="2:13" outlineLevel="2">
      <c r="B1141" s="35">
        <f t="shared" si="39"/>
        <v>677</v>
      </c>
      <c r="C1141" s="41" t="s">
        <v>175</v>
      </c>
      <c r="D1141" s="41"/>
      <c r="E1141" s="41" t="s">
        <v>127</v>
      </c>
      <c r="F1141" s="41">
        <v>1090429</v>
      </c>
      <c r="G1141" s="1">
        <v>65587</v>
      </c>
      <c r="H1141" s="1">
        <v>2017</v>
      </c>
      <c r="I1141" s="1"/>
      <c r="J1141" s="36"/>
      <c r="K1141" s="1" t="s">
        <v>176</v>
      </c>
      <c r="L1141" s="1">
        <v>7</v>
      </c>
      <c r="M1141" s="2">
        <v>38352</v>
      </c>
    </row>
    <row r="1142" spans="2:13" outlineLevel="2">
      <c r="B1142" s="35">
        <f t="shared" si="39"/>
        <v>678</v>
      </c>
      <c r="C1142" s="41" t="s">
        <v>175</v>
      </c>
      <c r="D1142" s="41"/>
      <c r="E1142" s="41" t="s">
        <v>127</v>
      </c>
      <c r="F1142" s="41">
        <v>186533</v>
      </c>
      <c r="G1142" s="1">
        <v>119611</v>
      </c>
      <c r="H1142" s="1">
        <v>2010</v>
      </c>
      <c r="I1142" s="1"/>
      <c r="J1142" s="36"/>
      <c r="K1142" s="1" t="s">
        <v>176</v>
      </c>
      <c r="L1142" s="1">
        <v>9</v>
      </c>
      <c r="M1142" s="2">
        <v>38344</v>
      </c>
    </row>
    <row r="1143" spans="2:13" outlineLevel="2">
      <c r="B1143" s="35">
        <f t="shared" si="39"/>
        <v>679</v>
      </c>
      <c r="C1143" s="41" t="s">
        <v>175</v>
      </c>
      <c r="D1143" s="41"/>
      <c r="E1143" s="41" t="s">
        <v>127</v>
      </c>
      <c r="F1143" s="41">
        <v>1119611</v>
      </c>
      <c r="G1143" s="1">
        <v>100301</v>
      </c>
      <c r="H1143" s="1">
        <v>2017</v>
      </c>
      <c r="I1143" s="1"/>
      <c r="J1143" s="36"/>
      <c r="K1143" s="1" t="s">
        <v>176</v>
      </c>
      <c r="L1143" s="1">
        <v>9</v>
      </c>
      <c r="M1143" s="2">
        <v>38350</v>
      </c>
    </row>
    <row r="1144" spans="2:13" outlineLevel="2">
      <c r="B1144" s="35">
        <f t="shared" si="39"/>
        <v>680</v>
      </c>
      <c r="C1144" s="41" t="s">
        <v>175</v>
      </c>
      <c r="D1144" s="41"/>
      <c r="E1144" s="41" t="s">
        <v>130</v>
      </c>
      <c r="F1144" s="41">
        <v>1119641</v>
      </c>
      <c r="G1144" s="1">
        <v>100326</v>
      </c>
      <c r="H1144" s="1">
        <v>2017</v>
      </c>
      <c r="I1144" s="1"/>
      <c r="J1144" s="36"/>
      <c r="K1144" s="1" t="s">
        <v>176</v>
      </c>
      <c r="L1144" s="1">
        <v>12</v>
      </c>
      <c r="M1144" s="2">
        <v>38334</v>
      </c>
    </row>
    <row r="1145" spans="2:13" outlineLevel="2">
      <c r="B1145" s="35">
        <f t="shared" si="39"/>
        <v>681</v>
      </c>
      <c r="C1145" s="41" t="s">
        <v>175</v>
      </c>
      <c r="D1145" s="41"/>
      <c r="E1145" s="41" t="s">
        <v>128</v>
      </c>
      <c r="F1145" s="41">
        <v>1303730</v>
      </c>
      <c r="G1145" s="1">
        <v>565084</v>
      </c>
      <c r="H1145" s="1">
        <v>2020</v>
      </c>
      <c r="I1145" s="1"/>
      <c r="J1145" s="36"/>
      <c r="K1145" s="1" t="s">
        <v>176</v>
      </c>
      <c r="L1145" s="1">
        <v>15</v>
      </c>
      <c r="M1145" s="2">
        <v>38326</v>
      </c>
    </row>
    <row r="1146" spans="2:13" outlineLevel="2">
      <c r="B1146" s="35">
        <f t="shared" si="39"/>
        <v>682</v>
      </c>
      <c r="C1146" s="41" t="s">
        <v>175</v>
      </c>
      <c r="D1146" s="41"/>
      <c r="E1146" s="41" t="s">
        <v>130</v>
      </c>
      <c r="F1146" s="41">
        <v>191749</v>
      </c>
      <c r="G1146" s="1">
        <v>98204</v>
      </c>
      <c r="H1146" s="1">
        <v>2010</v>
      </c>
      <c r="I1146" s="1"/>
      <c r="J1146" s="36"/>
      <c r="K1146" s="1" t="s">
        <v>176</v>
      </c>
      <c r="L1146" s="1">
        <v>19</v>
      </c>
      <c r="M1146" s="2">
        <v>38317</v>
      </c>
    </row>
    <row r="1147" spans="2:13" outlineLevel="2">
      <c r="B1147" s="35">
        <f t="shared" si="39"/>
        <v>683</v>
      </c>
      <c r="C1147" s="41" t="s">
        <v>175</v>
      </c>
      <c r="D1147" s="41"/>
      <c r="E1147" s="41" t="s">
        <v>130</v>
      </c>
      <c r="F1147" s="41">
        <v>1086136</v>
      </c>
      <c r="G1147" s="1">
        <v>66993</v>
      </c>
      <c r="H1147" s="1">
        <v>2017</v>
      </c>
      <c r="I1147" s="1"/>
      <c r="J1147" s="36"/>
      <c r="K1147" s="1" t="s">
        <v>176</v>
      </c>
      <c r="L1147" s="1">
        <v>8</v>
      </c>
      <c r="M1147" s="2">
        <v>38339</v>
      </c>
    </row>
    <row r="1148" spans="2:13" outlineLevel="2">
      <c r="B1148" s="35">
        <f t="shared" si="39"/>
        <v>684</v>
      </c>
      <c r="C1148" s="41" t="s">
        <v>175</v>
      </c>
      <c r="D1148" s="41"/>
      <c r="E1148" s="41" t="s">
        <v>130</v>
      </c>
      <c r="F1148" s="41">
        <v>1144907</v>
      </c>
      <c r="G1148" s="1">
        <v>110903</v>
      </c>
      <c r="H1148" s="1">
        <v>1988</v>
      </c>
      <c r="I1148" s="1"/>
      <c r="J1148" s="1"/>
      <c r="K1148" s="1" t="s">
        <v>176</v>
      </c>
      <c r="L1148" s="1">
        <v>17</v>
      </c>
      <c r="M1148" s="2">
        <v>38342</v>
      </c>
    </row>
    <row r="1149" spans="2:13" outlineLevel="1">
      <c r="B1149" s="60" t="s">
        <v>190</v>
      </c>
      <c r="C1149" s="41">
        <f>SUBTOTAL(3,C921:C1148)</f>
        <v>228</v>
      </c>
      <c r="D1149" s="41"/>
      <c r="E1149" s="41">
        <f>COUNTA(E921:E1148)</f>
        <v>228</v>
      </c>
      <c r="F1149" s="47">
        <f>(E1149/C1149)</f>
        <v>1</v>
      </c>
      <c r="G1149" s="1"/>
      <c r="H1149" s="1"/>
      <c r="I1149" s="1"/>
      <c r="J1149" s="1"/>
      <c r="K1149" s="1"/>
      <c r="L1149" s="1"/>
      <c r="M1149" s="1"/>
    </row>
    <row r="1150" spans="2:13" outlineLevel="2">
      <c r="B1150" s="35">
        <f>(B1148+1)</f>
        <v>685</v>
      </c>
      <c r="C1150" s="41" t="s">
        <v>69</v>
      </c>
      <c r="D1150" s="41"/>
      <c r="E1150" s="92" t="s">
        <v>191</v>
      </c>
      <c r="F1150" s="84">
        <v>185781</v>
      </c>
      <c r="G1150" s="1"/>
      <c r="H1150" s="1"/>
      <c r="I1150" s="1"/>
      <c r="J1150" s="36"/>
      <c r="K1150" s="1"/>
      <c r="L1150" s="1"/>
      <c r="M1150" s="92">
        <v>59795</v>
      </c>
    </row>
    <row r="1151" spans="2:13" outlineLevel="2">
      <c r="B1151" s="35">
        <f t="shared" ref="B1151:B1214" si="40">(B1150+1)</f>
        <v>686</v>
      </c>
      <c r="C1151" s="41" t="s">
        <v>69</v>
      </c>
      <c r="D1151" s="41"/>
      <c r="E1151" s="135" t="s">
        <v>128</v>
      </c>
      <c r="F1151" s="94">
        <v>1836262701</v>
      </c>
      <c r="G1151" s="41"/>
      <c r="H1151" s="41"/>
      <c r="I1151" s="41"/>
      <c r="J1151" s="42"/>
      <c r="K1151" s="41"/>
      <c r="L1151" s="41"/>
      <c r="M1151" s="135">
        <v>57330</v>
      </c>
    </row>
    <row r="1152" spans="2:13" outlineLevel="2">
      <c r="B1152" s="35">
        <f t="shared" si="40"/>
        <v>687</v>
      </c>
      <c r="C1152" s="41" t="s">
        <v>69</v>
      </c>
      <c r="D1152" s="41"/>
      <c r="E1152" s="135" t="s">
        <v>131</v>
      </c>
      <c r="F1152" s="94">
        <v>1201643</v>
      </c>
      <c r="G1152" s="41"/>
      <c r="H1152" s="41"/>
      <c r="I1152" s="41"/>
      <c r="J1152" s="42"/>
      <c r="K1152" s="41"/>
      <c r="L1152" s="41"/>
      <c r="M1152" s="135">
        <v>57331</v>
      </c>
    </row>
    <row r="1153" spans="2:13" outlineLevel="2">
      <c r="B1153" s="35">
        <f t="shared" si="40"/>
        <v>688</v>
      </c>
      <c r="C1153" s="41" t="s">
        <v>69</v>
      </c>
      <c r="D1153" s="41"/>
      <c r="E1153" s="135" t="s">
        <v>167</v>
      </c>
      <c r="F1153" s="94">
        <v>334268</v>
      </c>
      <c r="G1153" s="41"/>
      <c r="H1153" s="41"/>
      <c r="I1153" s="41"/>
      <c r="J1153" s="42"/>
      <c r="K1153" s="41"/>
      <c r="L1153" s="41"/>
      <c r="M1153" s="135">
        <v>57333</v>
      </c>
    </row>
    <row r="1154" spans="2:13" outlineLevel="2">
      <c r="B1154" s="35">
        <f t="shared" si="40"/>
        <v>689</v>
      </c>
      <c r="C1154" s="41" t="s">
        <v>69</v>
      </c>
      <c r="D1154" s="41"/>
      <c r="E1154" s="135" t="s">
        <v>130</v>
      </c>
      <c r="F1154" s="94">
        <v>1044305581</v>
      </c>
      <c r="G1154" s="41"/>
      <c r="H1154" s="41"/>
      <c r="I1154" s="41"/>
      <c r="J1154" s="42"/>
      <c r="K1154" s="41"/>
      <c r="L1154" s="41"/>
      <c r="M1154" s="135">
        <v>57334</v>
      </c>
    </row>
    <row r="1155" spans="2:13" outlineLevel="2">
      <c r="B1155" s="35">
        <f t="shared" si="40"/>
        <v>690</v>
      </c>
      <c r="C1155" s="41" t="s">
        <v>69</v>
      </c>
      <c r="D1155" s="41"/>
      <c r="E1155" s="135" t="s">
        <v>130</v>
      </c>
      <c r="F1155" s="94">
        <v>825838</v>
      </c>
      <c r="G1155" s="41"/>
      <c r="H1155" s="41"/>
      <c r="I1155" s="41"/>
      <c r="J1155" s="42"/>
      <c r="K1155" s="41"/>
      <c r="L1155" s="41"/>
      <c r="M1155" s="135">
        <v>57335</v>
      </c>
    </row>
    <row r="1156" spans="2:13" outlineLevel="2">
      <c r="B1156" s="35">
        <f t="shared" si="40"/>
        <v>691</v>
      </c>
      <c r="C1156" s="41" t="s">
        <v>69</v>
      </c>
      <c r="D1156" s="41"/>
      <c r="E1156" s="135" t="s">
        <v>131</v>
      </c>
      <c r="F1156" s="94">
        <v>895227</v>
      </c>
      <c r="G1156" s="41"/>
      <c r="H1156" s="41"/>
      <c r="I1156" s="41"/>
      <c r="J1156" s="42"/>
      <c r="K1156" s="41"/>
      <c r="L1156" s="41"/>
      <c r="M1156" s="135">
        <v>57336</v>
      </c>
    </row>
    <row r="1157" spans="2:13" outlineLevel="2">
      <c r="B1157" s="35">
        <f t="shared" si="40"/>
        <v>692</v>
      </c>
      <c r="C1157" s="41" t="s">
        <v>69</v>
      </c>
      <c r="D1157" s="41"/>
      <c r="E1157" s="135" t="s">
        <v>130</v>
      </c>
      <c r="F1157" s="94">
        <v>1304221</v>
      </c>
      <c r="G1157" s="41"/>
      <c r="H1157" s="41"/>
      <c r="I1157" s="41"/>
      <c r="J1157" s="42"/>
      <c r="K1157" s="41"/>
      <c r="L1157" s="41"/>
      <c r="M1157" s="135">
        <v>57337</v>
      </c>
    </row>
    <row r="1158" spans="2:13" outlineLevel="2">
      <c r="B1158" s="35">
        <f t="shared" si="40"/>
        <v>693</v>
      </c>
      <c r="C1158" s="41" t="s">
        <v>69</v>
      </c>
      <c r="D1158" s="41"/>
      <c r="E1158" s="135" t="s">
        <v>130</v>
      </c>
      <c r="F1158" s="94">
        <v>1426233</v>
      </c>
      <c r="G1158" s="41"/>
      <c r="H1158" s="41"/>
      <c r="I1158" s="41"/>
      <c r="J1158" s="42"/>
      <c r="K1158" s="41"/>
      <c r="L1158" s="41"/>
      <c r="M1158" s="135">
        <v>57338</v>
      </c>
    </row>
    <row r="1159" spans="2:13" outlineLevel="2">
      <c r="B1159" s="35">
        <f t="shared" si="40"/>
        <v>694</v>
      </c>
      <c r="C1159" s="41" t="s">
        <v>69</v>
      </c>
      <c r="D1159" s="41"/>
      <c r="E1159" s="135" t="s">
        <v>167</v>
      </c>
      <c r="F1159" s="167">
        <v>305745</v>
      </c>
      <c r="G1159" s="41"/>
      <c r="H1159" s="41"/>
      <c r="I1159" s="41"/>
      <c r="J1159" s="42"/>
      <c r="K1159" s="41"/>
      <c r="L1159" s="41"/>
      <c r="M1159" s="135">
        <v>57339</v>
      </c>
    </row>
    <row r="1160" spans="2:13" outlineLevel="2">
      <c r="B1160" s="35">
        <f t="shared" si="40"/>
        <v>695</v>
      </c>
      <c r="C1160" s="41" t="s">
        <v>69</v>
      </c>
      <c r="D1160" s="41"/>
      <c r="E1160" s="135" t="s">
        <v>167</v>
      </c>
      <c r="F1160" s="94">
        <v>362499</v>
      </c>
      <c r="G1160" s="41"/>
      <c r="H1160" s="41"/>
      <c r="I1160" s="41"/>
      <c r="J1160" s="42"/>
      <c r="K1160" s="41"/>
      <c r="L1160" s="41"/>
      <c r="M1160" s="135">
        <v>57341</v>
      </c>
    </row>
    <row r="1161" spans="2:13" outlineLevel="2">
      <c r="B1161" s="35">
        <f t="shared" si="40"/>
        <v>696</v>
      </c>
      <c r="C1161" s="41" t="s">
        <v>69</v>
      </c>
      <c r="D1161" s="41"/>
      <c r="E1161" s="135" t="s">
        <v>130</v>
      </c>
      <c r="F1161" s="94">
        <v>451192</v>
      </c>
      <c r="G1161" s="41"/>
      <c r="H1161" s="41"/>
      <c r="I1161" s="41"/>
      <c r="J1161" s="42"/>
      <c r="K1161" s="41"/>
      <c r="L1161" s="41"/>
      <c r="M1161" s="135">
        <v>57342</v>
      </c>
    </row>
    <row r="1162" spans="2:13" outlineLevel="2">
      <c r="B1162" s="35">
        <f t="shared" si="40"/>
        <v>697</v>
      </c>
      <c r="C1162" s="41" t="s">
        <v>69</v>
      </c>
      <c r="D1162" s="41"/>
      <c r="E1162" s="135" t="s">
        <v>130</v>
      </c>
      <c r="F1162" s="94">
        <v>918262</v>
      </c>
      <c r="G1162" s="41"/>
      <c r="H1162" s="41"/>
      <c r="I1162" s="41"/>
      <c r="J1162" s="42"/>
      <c r="K1162" s="41"/>
      <c r="L1162" s="41"/>
      <c r="M1162" s="135">
        <v>57343</v>
      </c>
    </row>
    <row r="1163" spans="2:13" outlineLevel="2">
      <c r="B1163" s="35">
        <f t="shared" si="40"/>
        <v>698</v>
      </c>
      <c r="C1163" s="41" t="s">
        <v>69</v>
      </c>
      <c r="D1163" s="41"/>
      <c r="E1163" s="135" t="s">
        <v>130</v>
      </c>
      <c r="F1163" s="94">
        <v>380233</v>
      </c>
      <c r="G1163" s="41"/>
      <c r="H1163" s="41"/>
      <c r="I1163" s="41"/>
      <c r="J1163" s="42"/>
      <c r="K1163" s="41"/>
      <c r="L1163" s="41"/>
      <c r="M1163" s="135">
        <v>57344</v>
      </c>
    </row>
    <row r="1164" spans="2:13" outlineLevel="2">
      <c r="B1164" s="35">
        <f t="shared" si="40"/>
        <v>699</v>
      </c>
      <c r="C1164" s="41" t="s">
        <v>69</v>
      </c>
      <c r="D1164" s="41"/>
      <c r="E1164" s="135" t="s">
        <v>128</v>
      </c>
      <c r="F1164" s="94">
        <v>773633</v>
      </c>
      <c r="G1164" s="41"/>
      <c r="H1164" s="41"/>
      <c r="I1164" s="41"/>
      <c r="J1164" s="42"/>
      <c r="K1164" s="41"/>
      <c r="L1164" s="41"/>
      <c r="M1164" s="135">
        <v>57345</v>
      </c>
    </row>
    <row r="1165" spans="2:13" outlineLevel="2">
      <c r="B1165" s="35">
        <f t="shared" si="40"/>
        <v>700</v>
      </c>
      <c r="C1165" s="41" t="s">
        <v>69</v>
      </c>
      <c r="D1165" s="41"/>
      <c r="E1165" s="135" t="s">
        <v>128</v>
      </c>
      <c r="F1165" s="94">
        <v>943115</v>
      </c>
      <c r="G1165" s="41"/>
      <c r="H1165" s="41"/>
      <c r="I1165" s="41"/>
      <c r="J1165" s="42"/>
      <c r="K1165" s="41"/>
      <c r="L1165" s="41"/>
      <c r="M1165" s="135">
        <v>57346</v>
      </c>
    </row>
    <row r="1166" spans="2:13" outlineLevel="2">
      <c r="B1166" s="35">
        <f t="shared" si="40"/>
        <v>701</v>
      </c>
      <c r="C1166" s="41" t="s">
        <v>69</v>
      </c>
      <c r="D1166" s="41"/>
      <c r="E1166" s="135" t="s">
        <v>127</v>
      </c>
      <c r="F1166" s="94">
        <v>1248604</v>
      </c>
      <c r="G1166" s="41"/>
      <c r="H1166" s="41"/>
      <c r="I1166" s="41"/>
      <c r="J1166" s="42"/>
      <c r="K1166" s="41"/>
      <c r="L1166" s="41"/>
      <c r="M1166" s="135">
        <v>57347</v>
      </c>
    </row>
    <row r="1167" spans="2:13" outlineLevel="2">
      <c r="B1167" s="35">
        <f t="shared" si="40"/>
        <v>702</v>
      </c>
      <c r="C1167" s="41" t="s">
        <v>69</v>
      </c>
      <c r="D1167" s="41"/>
      <c r="E1167" s="135" t="s">
        <v>128</v>
      </c>
      <c r="F1167" s="94">
        <v>1042091205</v>
      </c>
      <c r="G1167" s="41"/>
      <c r="H1167" s="41"/>
      <c r="I1167" s="41"/>
      <c r="J1167" s="42"/>
      <c r="K1167" s="41"/>
      <c r="L1167" s="135">
        <v>2</v>
      </c>
      <c r="M1167" s="135">
        <v>57398</v>
      </c>
    </row>
    <row r="1168" spans="2:13" outlineLevel="2">
      <c r="B1168" s="35">
        <f t="shared" si="40"/>
        <v>703</v>
      </c>
      <c r="C1168" s="41" t="s">
        <v>69</v>
      </c>
      <c r="D1168" s="41"/>
      <c r="E1168" s="135" t="s">
        <v>131</v>
      </c>
      <c r="F1168" s="94">
        <v>1291061</v>
      </c>
      <c r="G1168" s="41"/>
      <c r="H1168" s="41"/>
      <c r="I1168" s="41"/>
      <c r="J1168" s="42"/>
      <c r="K1168" s="41"/>
      <c r="L1168" s="135">
        <v>3</v>
      </c>
      <c r="M1168" s="135">
        <v>57400</v>
      </c>
    </row>
    <row r="1169" spans="2:13" outlineLevel="2">
      <c r="B1169" s="35">
        <f t="shared" si="40"/>
        <v>704</v>
      </c>
      <c r="C1169" s="41" t="s">
        <v>69</v>
      </c>
      <c r="D1169" s="41"/>
      <c r="E1169" s="135" t="s">
        <v>130</v>
      </c>
      <c r="F1169" s="94">
        <v>1275420</v>
      </c>
      <c r="G1169" s="41"/>
      <c r="H1169" s="41"/>
      <c r="I1169" s="41"/>
      <c r="J1169" s="42"/>
      <c r="K1169" s="41"/>
      <c r="L1169" s="135">
        <v>16</v>
      </c>
      <c r="M1169" s="135">
        <v>57401</v>
      </c>
    </row>
    <row r="1170" spans="2:13" outlineLevel="2">
      <c r="B1170" s="35">
        <f t="shared" si="40"/>
        <v>705</v>
      </c>
      <c r="C1170" s="41" t="s">
        <v>69</v>
      </c>
      <c r="D1170" s="41"/>
      <c r="E1170" s="135" t="s">
        <v>128</v>
      </c>
      <c r="F1170" s="94">
        <v>781369</v>
      </c>
      <c r="G1170" s="41"/>
      <c r="H1170" s="41"/>
      <c r="I1170" s="41"/>
      <c r="J1170" s="42"/>
      <c r="K1170" s="41"/>
      <c r="L1170" s="135">
        <v>27</v>
      </c>
      <c r="M1170" s="135">
        <v>57402</v>
      </c>
    </row>
    <row r="1171" spans="2:13" outlineLevel="2">
      <c r="B1171" s="35">
        <f t="shared" si="40"/>
        <v>706</v>
      </c>
      <c r="C1171" s="41" t="s">
        <v>69</v>
      </c>
      <c r="D1171" s="41"/>
      <c r="E1171" s="135" t="s">
        <v>128</v>
      </c>
      <c r="F1171" s="94">
        <v>115312</v>
      </c>
      <c r="G1171" s="41"/>
      <c r="H1171" s="41"/>
      <c r="I1171" s="41"/>
      <c r="J1171" s="42"/>
      <c r="K1171" s="41"/>
      <c r="L1171" s="135">
        <v>19</v>
      </c>
      <c r="M1171" s="135">
        <v>57403</v>
      </c>
    </row>
    <row r="1172" spans="2:13" outlineLevel="2">
      <c r="B1172" s="35">
        <f t="shared" si="40"/>
        <v>707</v>
      </c>
      <c r="C1172" s="41" t="s">
        <v>69</v>
      </c>
      <c r="D1172" s="41"/>
      <c r="E1172" s="135" t="s">
        <v>128</v>
      </c>
      <c r="F1172" s="94">
        <v>1788</v>
      </c>
      <c r="G1172" s="41"/>
      <c r="H1172" s="41"/>
      <c r="I1172" s="41"/>
      <c r="J1172" s="42"/>
      <c r="K1172" s="41"/>
      <c r="L1172" s="135">
        <v>40</v>
      </c>
      <c r="M1172" s="135">
        <v>57820</v>
      </c>
    </row>
    <row r="1173" spans="2:13" outlineLevel="2">
      <c r="B1173" s="35">
        <f t="shared" si="40"/>
        <v>708</v>
      </c>
      <c r="C1173" s="41" t="s">
        <v>69</v>
      </c>
      <c r="D1173" s="41"/>
      <c r="E1173" s="135" t="s">
        <v>129</v>
      </c>
      <c r="F1173" s="94">
        <v>99013811</v>
      </c>
      <c r="G1173" s="41"/>
      <c r="H1173" s="41"/>
      <c r="I1173" s="41"/>
      <c r="J1173" s="42"/>
      <c r="K1173" s="41"/>
      <c r="L1173" s="135">
        <v>42</v>
      </c>
      <c r="M1173" s="135">
        <v>57821</v>
      </c>
    </row>
    <row r="1174" spans="2:13" outlineLevel="2">
      <c r="B1174" s="35">
        <f t="shared" si="40"/>
        <v>709</v>
      </c>
      <c r="C1174" s="41" t="s">
        <v>69</v>
      </c>
      <c r="D1174" s="41"/>
      <c r="E1174" s="135" t="s">
        <v>128</v>
      </c>
      <c r="F1174" s="94">
        <v>44708</v>
      </c>
      <c r="G1174" s="41"/>
      <c r="H1174" s="41"/>
      <c r="I1174" s="41"/>
      <c r="J1174" s="42"/>
      <c r="K1174" s="41"/>
      <c r="L1174" s="135">
        <v>10</v>
      </c>
      <c r="M1174" s="135">
        <v>57822</v>
      </c>
    </row>
    <row r="1175" spans="2:13" outlineLevel="2">
      <c r="B1175" s="35">
        <f t="shared" si="40"/>
        <v>710</v>
      </c>
      <c r="C1175" s="41" t="s">
        <v>69</v>
      </c>
      <c r="D1175" s="41"/>
      <c r="E1175" s="135" t="s">
        <v>127</v>
      </c>
      <c r="F1175" s="94">
        <v>20418</v>
      </c>
      <c r="G1175" s="41"/>
      <c r="H1175" s="41"/>
      <c r="I1175" s="41"/>
      <c r="J1175" s="42"/>
      <c r="K1175" s="41"/>
      <c r="L1175" s="135">
        <v>46</v>
      </c>
      <c r="M1175" s="135">
        <v>57823</v>
      </c>
    </row>
    <row r="1176" spans="2:13" outlineLevel="2">
      <c r="B1176" s="35">
        <f t="shared" si="40"/>
        <v>711</v>
      </c>
      <c r="C1176" s="41" t="s">
        <v>69</v>
      </c>
      <c r="D1176" s="41"/>
      <c r="E1176" s="135" t="s">
        <v>127</v>
      </c>
      <c r="F1176" s="94">
        <v>8178</v>
      </c>
      <c r="G1176" s="41"/>
      <c r="H1176" s="41"/>
      <c r="I1176" s="41"/>
      <c r="J1176" s="42"/>
      <c r="K1176" s="41"/>
      <c r="L1176" s="135">
        <v>45</v>
      </c>
      <c r="M1176" s="135">
        <v>57824</v>
      </c>
    </row>
    <row r="1177" spans="2:13" outlineLevel="2">
      <c r="B1177" s="35">
        <f t="shared" si="40"/>
        <v>712</v>
      </c>
      <c r="C1177" s="41" t="s">
        <v>69</v>
      </c>
      <c r="D1177" s="41"/>
      <c r="E1177" s="135" t="s">
        <v>191</v>
      </c>
      <c r="F1177" s="94">
        <v>204442</v>
      </c>
      <c r="G1177" s="41"/>
      <c r="H1177" s="41"/>
      <c r="I1177" s="41"/>
      <c r="J1177" s="42"/>
      <c r="K1177" s="41"/>
      <c r="L1177" s="135">
        <v>3</v>
      </c>
      <c r="M1177" s="135">
        <v>57826</v>
      </c>
    </row>
    <row r="1178" spans="2:13" outlineLevel="2">
      <c r="B1178" s="35">
        <f t="shared" si="40"/>
        <v>713</v>
      </c>
      <c r="C1178" s="41" t="s">
        <v>69</v>
      </c>
      <c r="D1178" s="41"/>
      <c r="E1178" s="135" t="s">
        <v>191</v>
      </c>
      <c r="F1178" s="94">
        <v>212508</v>
      </c>
      <c r="G1178" s="41"/>
      <c r="H1178" s="41"/>
      <c r="I1178" s="41"/>
      <c r="J1178" s="42"/>
      <c r="K1178" s="41"/>
      <c r="L1178" s="135">
        <v>8</v>
      </c>
      <c r="M1178" s="135">
        <v>57827</v>
      </c>
    </row>
    <row r="1179" spans="2:13" outlineLevel="2">
      <c r="B1179" s="35">
        <f t="shared" si="40"/>
        <v>714</v>
      </c>
      <c r="C1179" s="41" t="s">
        <v>69</v>
      </c>
      <c r="D1179" s="41"/>
      <c r="E1179" s="135" t="s">
        <v>191</v>
      </c>
      <c r="F1179" s="94">
        <v>870904</v>
      </c>
      <c r="G1179" s="41"/>
      <c r="H1179" s="41"/>
      <c r="I1179" s="41"/>
      <c r="J1179" s="42"/>
      <c r="K1179" s="41"/>
      <c r="L1179" s="135">
        <v>47</v>
      </c>
      <c r="M1179" s="135">
        <v>57828</v>
      </c>
    </row>
    <row r="1180" spans="2:13" outlineLevel="2">
      <c r="B1180" s="35">
        <f t="shared" si="40"/>
        <v>715</v>
      </c>
      <c r="C1180" s="41" t="s">
        <v>69</v>
      </c>
      <c r="D1180" s="41"/>
      <c r="E1180" s="135" t="s">
        <v>127</v>
      </c>
      <c r="F1180" s="94">
        <v>9962795</v>
      </c>
      <c r="G1180" s="41"/>
      <c r="H1180" s="41"/>
      <c r="I1180" s="41"/>
      <c r="J1180" s="42"/>
      <c r="K1180" s="41"/>
      <c r="L1180" s="135">
        <v>48</v>
      </c>
      <c r="M1180" s="135">
        <v>57829</v>
      </c>
    </row>
    <row r="1181" spans="2:13" outlineLevel="2">
      <c r="B1181" s="35">
        <f t="shared" si="40"/>
        <v>716</v>
      </c>
      <c r="C1181" s="41" t="s">
        <v>69</v>
      </c>
      <c r="D1181" s="41"/>
      <c r="E1181" s="135" t="s">
        <v>128</v>
      </c>
      <c r="F1181" s="94">
        <v>274890</v>
      </c>
      <c r="G1181" s="41"/>
      <c r="H1181" s="41"/>
      <c r="I1181" s="41"/>
      <c r="J1181" s="42"/>
      <c r="K1181" s="41"/>
      <c r="L1181" s="135">
        <v>10</v>
      </c>
      <c r="M1181" s="135">
        <v>57830</v>
      </c>
    </row>
    <row r="1182" spans="2:13" outlineLevel="2">
      <c r="B1182" s="35">
        <f t="shared" si="40"/>
        <v>717</v>
      </c>
      <c r="C1182" s="41" t="s">
        <v>69</v>
      </c>
      <c r="D1182" s="41"/>
      <c r="E1182" s="135" t="s">
        <v>130</v>
      </c>
      <c r="F1182" s="94">
        <v>3520</v>
      </c>
      <c r="G1182" s="41"/>
      <c r="H1182" s="41"/>
      <c r="I1182" s="41"/>
      <c r="J1182" s="42"/>
      <c r="K1182" s="41"/>
      <c r="L1182" s="135">
        <v>46</v>
      </c>
      <c r="M1182" s="135">
        <v>57831</v>
      </c>
    </row>
    <row r="1183" spans="2:13" outlineLevel="2">
      <c r="B1183" s="35">
        <f t="shared" si="40"/>
        <v>718</v>
      </c>
      <c r="C1183" s="41" t="s">
        <v>69</v>
      </c>
      <c r="D1183" s="41"/>
      <c r="E1183" s="135" t="s">
        <v>131</v>
      </c>
      <c r="F1183" s="94">
        <v>51511</v>
      </c>
      <c r="G1183" s="41"/>
      <c r="H1183" s="41"/>
      <c r="I1183" s="41"/>
      <c r="J1183" s="42"/>
      <c r="K1183" s="41"/>
      <c r="L1183" s="135">
        <v>30</v>
      </c>
      <c r="M1183" s="135">
        <v>57832</v>
      </c>
    </row>
    <row r="1184" spans="2:13" outlineLevel="2">
      <c r="B1184" s="35">
        <f t="shared" si="40"/>
        <v>719</v>
      </c>
      <c r="C1184" s="41" t="s">
        <v>69</v>
      </c>
      <c r="D1184" s="41"/>
      <c r="E1184" s="135" t="s">
        <v>181</v>
      </c>
      <c r="F1184" s="94">
        <v>82093</v>
      </c>
      <c r="G1184" s="41"/>
      <c r="H1184" s="41"/>
      <c r="I1184" s="41"/>
      <c r="J1184" s="42"/>
      <c r="K1184" s="41"/>
      <c r="L1184" s="135">
        <v>40</v>
      </c>
      <c r="M1184" s="135">
        <v>57833</v>
      </c>
    </row>
    <row r="1185" spans="2:13" outlineLevel="2">
      <c r="B1185" s="35">
        <f t="shared" si="40"/>
        <v>720</v>
      </c>
      <c r="C1185" s="41" t="s">
        <v>69</v>
      </c>
      <c r="D1185" s="41"/>
      <c r="E1185" s="135" t="s">
        <v>173</v>
      </c>
      <c r="F1185" s="94">
        <v>3409</v>
      </c>
      <c r="G1185" s="41"/>
      <c r="H1185" s="41"/>
      <c r="I1185" s="41"/>
      <c r="J1185" s="42"/>
      <c r="K1185" s="41"/>
      <c r="L1185" s="135">
        <v>46</v>
      </c>
      <c r="M1185" s="135">
        <v>57834</v>
      </c>
    </row>
    <row r="1186" spans="2:13" outlineLevel="2">
      <c r="B1186" s="35">
        <f t="shared" si="40"/>
        <v>721</v>
      </c>
      <c r="C1186" s="41" t="s">
        <v>69</v>
      </c>
      <c r="D1186" s="41"/>
      <c r="E1186" s="135" t="s">
        <v>129</v>
      </c>
      <c r="F1186" s="94">
        <v>2003104</v>
      </c>
      <c r="G1186" s="41"/>
      <c r="H1186" s="41"/>
      <c r="I1186" s="41"/>
      <c r="J1186" s="42"/>
      <c r="K1186" s="41"/>
      <c r="L1186" s="135">
        <v>42</v>
      </c>
      <c r="M1186" s="135">
        <v>57836</v>
      </c>
    </row>
    <row r="1187" spans="2:13" outlineLevel="2">
      <c r="B1187" s="35">
        <f t="shared" si="40"/>
        <v>722</v>
      </c>
      <c r="C1187" s="41" t="s">
        <v>69</v>
      </c>
      <c r="D1187" s="41"/>
      <c r="E1187" s="135" t="s">
        <v>167</v>
      </c>
      <c r="F1187" s="94">
        <v>1064</v>
      </c>
      <c r="G1187" s="41"/>
      <c r="H1187" s="41"/>
      <c r="I1187" s="41"/>
      <c r="J1187" s="42"/>
      <c r="K1187" s="41"/>
      <c r="L1187" s="135">
        <v>41</v>
      </c>
      <c r="M1187" s="135">
        <v>57837</v>
      </c>
    </row>
    <row r="1188" spans="2:13" outlineLevel="2">
      <c r="B1188" s="35">
        <f t="shared" si="40"/>
        <v>723</v>
      </c>
      <c r="C1188" s="41" t="s">
        <v>69</v>
      </c>
      <c r="D1188" s="41"/>
      <c r="E1188" s="135" t="s">
        <v>129</v>
      </c>
      <c r="F1188" s="94">
        <v>298152</v>
      </c>
      <c r="G1188" s="41"/>
      <c r="H1188" s="41"/>
      <c r="I1188" s="41"/>
      <c r="J1188" s="42"/>
      <c r="K1188" s="41"/>
      <c r="L1188" s="135">
        <v>7</v>
      </c>
      <c r="M1188" s="135">
        <v>57838</v>
      </c>
    </row>
    <row r="1189" spans="2:13" outlineLevel="2">
      <c r="B1189" s="35">
        <f t="shared" si="40"/>
        <v>724</v>
      </c>
      <c r="C1189" s="41" t="s">
        <v>69</v>
      </c>
      <c r="D1189" s="41"/>
      <c r="E1189" s="135" t="s">
        <v>181</v>
      </c>
      <c r="F1189" s="94">
        <v>2006479</v>
      </c>
      <c r="G1189" s="41"/>
      <c r="H1189" s="41"/>
      <c r="I1189" s="41"/>
      <c r="J1189" s="42"/>
      <c r="K1189" s="41"/>
      <c r="L1189" s="135">
        <v>40</v>
      </c>
      <c r="M1189" s="135">
        <v>57839</v>
      </c>
    </row>
    <row r="1190" spans="2:13" outlineLevel="2">
      <c r="B1190" s="35">
        <f t="shared" si="40"/>
        <v>725</v>
      </c>
      <c r="C1190" s="41" t="s">
        <v>69</v>
      </c>
      <c r="D1190" s="41"/>
      <c r="E1190" s="135" t="s">
        <v>128</v>
      </c>
      <c r="F1190" s="94">
        <v>8912478</v>
      </c>
      <c r="G1190" s="41"/>
      <c r="H1190" s="41"/>
      <c r="I1190" s="41"/>
      <c r="J1190" s="42"/>
      <c r="K1190" s="41"/>
      <c r="L1190" s="135">
        <v>44</v>
      </c>
      <c r="M1190" s="135">
        <v>57841</v>
      </c>
    </row>
    <row r="1191" spans="2:13" outlineLevel="2">
      <c r="B1191" s="35">
        <f t="shared" si="40"/>
        <v>726</v>
      </c>
      <c r="C1191" s="41" t="s">
        <v>69</v>
      </c>
      <c r="D1191" s="41"/>
      <c r="E1191" s="135" t="s">
        <v>167</v>
      </c>
      <c r="F1191" s="94">
        <v>330639</v>
      </c>
      <c r="G1191" s="41"/>
      <c r="H1191" s="41"/>
      <c r="I1191" s="41"/>
      <c r="J1191" s="42"/>
      <c r="K1191" s="41"/>
      <c r="L1191" s="135">
        <v>16</v>
      </c>
      <c r="M1191" s="135">
        <v>57843</v>
      </c>
    </row>
    <row r="1192" spans="2:13" outlineLevel="2">
      <c r="B1192" s="35">
        <f t="shared" si="40"/>
        <v>727</v>
      </c>
      <c r="C1192" s="41" t="s">
        <v>69</v>
      </c>
      <c r="D1192" s="41"/>
      <c r="E1192" s="135" t="s">
        <v>128</v>
      </c>
      <c r="F1192" s="94">
        <v>129207</v>
      </c>
      <c r="G1192" s="41"/>
      <c r="H1192" s="41"/>
      <c r="I1192" s="41"/>
      <c r="J1192" s="42"/>
      <c r="K1192" s="41"/>
      <c r="L1192" s="135">
        <v>37</v>
      </c>
      <c r="M1192" s="135">
        <v>57844</v>
      </c>
    </row>
    <row r="1193" spans="2:13" outlineLevel="2">
      <c r="B1193" s="35">
        <f t="shared" si="40"/>
        <v>728</v>
      </c>
      <c r="C1193" s="41" t="s">
        <v>69</v>
      </c>
      <c r="D1193" s="41"/>
      <c r="E1193" s="135" t="s">
        <v>167</v>
      </c>
      <c r="F1193" s="94">
        <v>193666</v>
      </c>
      <c r="G1193" s="41"/>
      <c r="H1193" s="41"/>
      <c r="I1193" s="41"/>
      <c r="J1193" s="42"/>
      <c r="K1193" s="41"/>
      <c r="L1193" s="135">
        <v>42</v>
      </c>
      <c r="M1193" s="135">
        <v>57845</v>
      </c>
    </row>
    <row r="1194" spans="2:13" outlineLevel="2">
      <c r="B1194" s="35">
        <f t="shared" si="40"/>
        <v>729</v>
      </c>
      <c r="C1194" s="41" t="s">
        <v>69</v>
      </c>
      <c r="D1194" s="41"/>
      <c r="E1194" s="135" t="s">
        <v>167</v>
      </c>
      <c r="F1194" s="94">
        <v>300642</v>
      </c>
      <c r="G1194" s="41"/>
      <c r="H1194" s="41"/>
      <c r="I1194" s="41"/>
      <c r="J1194" s="42"/>
      <c r="K1194" s="41"/>
      <c r="L1194" s="135">
        <v>16</v>
      </c>
      <c r="M1194" s="135">
        <v>57847</v>
      </c>
    </row>
    <row r="1195" spans="2:13" outlineLevel="2">
      <c r="B1195" s="35">
        <f t="shared" si="40"/>
        <v>730</v>
      </c>
      <c r="C1195" s="41" t="s">
        <v>69</v>
      </c>
      <c r="D1195" s="41"/>
      <c r="E1195" s="135" t="s">
        <v>127</v>
      </c>
      <c r="F1195" s="94">
        <v>5611</v>
      </c>
      <c r="G1195" s="41"/>
      <c r="H1195" s="41"/>
      <c r="I1195" s="41"/>
      <c r="J1195" s="42"/>
      <c r="K1195" s="41"/>
      <c r="L1195" s="135">
        <v>11</v>
      </c>
      <c r="M1195" s="135">
        <v>57848</v>
      </c>
    </row>
    <row r="1196" spans="2:13" outlineLevel="2">
      <c r="B1196" s="35">
        <f t="shared" si="40"/>
        <v>731</v>
      </c>
      <c r="C1196" s="41" t="s">
        <v>69</v>
      </c>
      <c r="D1196" s="41"/>
      <c r="E1196" s="135" t="s">
        <v>128</v>
      </c>
      <c r="F1196" s="94">
        <v>74932</v>
      </c>
      <c r="G1196" s="41"/>
      <c r="H1196" s="41"/>
      <c r="I1196" s="41"/>
      <c r="J1196" s="42"/>
      <c r="K1196" s="41"/>
      <c r="L1196" s="135">
        <v>47</v>
      </c>
      <c r="M1196" s="135">
        <v>57849</v>
      </c>
    </row>
    <row r="1197" spans="2:13" outlineLevel="2">
      <c r="B1197" s="35">
        <f t="shared" si="40"/>
        <v>732</v>
      </c>
      <c r="C1197" s="41" t="s">
        <v>69</v>
      </c>
      <c r="D1197" s="41"/>
      <c r="E1197" s="135" t="s">
        <v>127</v>
      </c>
      <c r="F1197" s="94">
        <v>9371730</v>
      </c>
      <c r="G1197" s="41"/>
      <c r="H1197" s="41"/>
      <c r="I1197" s="41"/>
      <c r="J1197" s="42"/>
      <c r="K1197" s="41"/>
      <c r="L1197" s="135">
        <v>6</v>
      </c>
      <c r="M1197" s="135">
        <v>57850</v>
      </c>
    </row>
    <row r="1198" spans="2:13" outlineLevel="2">
      <c r="B1198" s="35">
        <f t="shared" si="40"/>
        <v>733</v>
      </c>
      <c r="C1198" s="41" t="s">
        <v>69</v>
      </c>
      <c r="D1198" s="41"/>
      <c r="E1198" s="135" t="s">
        <v>130</v>
      </c>
      <c r="F1198" s="94">
        <v>141823</v>
      </c>
      <c r="G1198" s="41"/>
      <c r="H1198" s="41"/>
      <c r="I1198" s="41"/>
      <c r="J1198" s="42"/>
      <c r="K1198" s="41"/>
      <c r="L1198" s="135">
        <v>6</v>
      </c>
      <c r="M1198" s="135">
        <v>57851</v>
      </c>
    </row>
    <row r="1199" spans="2:13" outlineLevel="2">
      <c r="B1199" s="35">
        <f t="shared" si="40"/>
        <v>734</v>
      </c>
      <c r="C1199" s="41" t="s">
        <v>69</v>
      </c>
      <c r="D1199" s="41"/>
      <c r="E1199" s="135" t="s">
        <v>127</v>
      </c>
      <c r="F1199" s="94">
        <v>9683604</v>
      </c>
      <c r="G1199" s="41"/>
      <c r="H1199" s="41"/>
      <c r="I1199" s="41"/>
      <c r="J1199" s="42"/>
      <c r="K1199" s="41"/>
      <c r="L1199" s="135">
        <v>6</v>
      </c>
      <c r="M1199" s="135">
        <v>57852</v>
      </c>
    </row>
    <row r="1200" spans="2:13" outlineLevel="2">
      <c r="B1200" s="35">
        <f t="shared" si="40"/>
        <v>735</v>
      </c>
      <c r="C1200" s="41" t="s">
        <v>69</v>
      </c>
      <c r="D1200" s="41"/>
      <c r="E1200" s="163" t="s">
        <v>191</v>
      </c>
      <c r="F1200" s="94">
        <v>280424</v>
      </c>
      <c r="G1200" s="41"/>
      <c r="H1200" s="41"/>
      <c r="I1200" s="41"/>
      <c r="J1200" s="42"/>
      <c r="K1200" s="41"/>
      <c r="L1200" s="135">
        <v>14</v>
      </c>
      <c r="M1200" s="135">
        <v>57896</v>
      </c>
    </row>
    <row r="1201" spans="2:13" outlineLevel="2">
      <c r="B1201" s="35">
        <f t="shared" si="40"/>
        <v>736</v>
      </c>
      <c r="C1201" s="41" t="s">
        <v>69</v>
      </c>
      <c r="D1201" s="41"/>
      <c r="E1201" s="163" t="s">
        <v>191</v>
      </c>
      <c r="F1201" s="94">
        <v>51524</v>
      </c>
      <c r="G1201" s="41"/>
      <c r="H1201" s="41"/>
      <c r="I1201" s="41"/>
      <c r="J1201" s="42"/>
      <c r="K1201" s="41"/>
      <c r="L1201" s="135">
        <v>2</v>
      </c>
      <c r="M1201" s="135">
        <v>57897</v>
      </c>
    </row>
    <row r="1202" spans="2:13" outlineLevel="2">
      <c r="B1202" s="35">
        <f t="shared" si="40"/>
        <v>737</v>
      </c>
      <c r="C1202" s="41" t="s">
        <v>69</v>
      </c>
      <c r="D1202" s="41"/>
      <c r="E1202" s="163" t="s">
        <v>191</v>
      </c>
      <c r="F1202" s="94">
        <v>28776</v>
      </c>
      <c r="G1202" s="41"/>
      <c r="H1202" s="41"/>
      <c r="I1202" s="41"/>
      <c r="J1202" s="42"/>
      <c r="K1202" s="41"/>
      <c r="L1202" s="135">
        <v>7</v>
      </c>
      <c r="M1202" s="135">
        <v>57898</v>
      </c>
    </row>
    <row r="1203" spans="2:13" outlineLevel="2">
      <c r="B1203" s="35">
        <f t="shared" si="40"/>
        <v>738</v>
      </c>
      <c r="C1203" s="41" t="s">
        <v>69</v>
      </c>
      <c r="D1203" s="41"/>
      <c r="E1203" s="163" t="s">
        <v>191</v>
      </c>
      <c r="F1203" s="94">
        <v>355224</v>
      </c>
      <c r="G1203" s="41"/>
      <c r="H1203" s="41"/>
      <c r="I1203" s="41"/>
      <c r="J1203" s="42"/>
      <c r="K1203" s="41"/>
      <c r="L1203" s="135">
        <v>36</v>
      </c>
      <c r="M1203" s="135">
        <v>57899</v>
      </c>
    </row>
    <row r="1204" spans="2:13" outlineLevel="2">
      <c r="B1204" s="35">
        <f t="shared" si="40"/>
        <v>739</v>
      </c>
      <c r="C1204" s="41" t="s">
        <v>69</v>
      </c>
      <c r="D1204" s="41"/>
      <c r="E1204" s="163" t="s">
        <v>191</v>
      </c>
      <c r="F1204" s="94">
        <v>352348</v>
      </c>
      <c r="G1204" s="41"/>
      <c r="H1204" s="41"/>
      <c r="I1204" s="41"/>
      <c r="J1204" s="42"/>
      <c r="K1204" s="41"/>
      <c r="L1204" s="135">
        <v>2</v>
      </c>
      <c r="M1204" s="135">
        <v>57900</v>
      </c>
    </row>
    <row r="1205" spans="2:13" outlineLevel="2">
      <c r="B1205" s="35">
        <f t="shared" si="40"/>
        <v>740</v>
      </c>
      <c r="C1205" s="41" t="s">
        <v>69</v>
      </c>
      <c r="D1205" s="41"/>
      <c r="E1205" s="163" t="s">
        <v>191</v>
      </c>
      <c r="F1205" s="94">
        <v>182137</v>
      </c>
      <c r="G1205" s="41"/>
      <c r="H1205" s="41"/>
      <c r="I1205" s="41"/>
      <c r="J1205" s="42"/>
      <c r="K1205" s="41"/>
      <c r="L1205" s="135">
        <v>10</v>
      </c>
      <c r="M1205" s="135">
        <v>57901</v>
      </c>
    </row>
    <row r="1206" spans="2:13" outlineLevel="2">
      <c r="B1206" s="35">
        <f t="shared" si="40"/>
        <v>741</v>
      </c>
      <c r="C1206" s="41" t="s">
        <v>69</v>
      </c>
      <c r="D1206" s="41"/>
      <c r="E1206" s="163" t="s">
        <v>191</v>
      </c>
      <c r="F1206" s="94">
        <v>358656</v>
      </c>
      <c r="G1206" s="41"/>
      <c r="H1206" s="41"/>
      <c r="I1206" s="41"/>
      <c r="J1206" s="42"/>
      <c r="K1206" s="41"/>
      <c r="L1206" s="135">
        <v>10</v>
      </c>
      <c r="M1206" s="135">
        <v>57902</v>
      </c>
    </row>
    <row r="1207" spans="2:13" outlineLevel="2">
      <c r="B1207" s="35">
        <f t="shared" si="40"/>
        <v>742</v>
      </c>
      <c r="C1207" s="41" t="s">
        <v>69</v>
      </c>
      <c r="D1207" s="41"/>
      <c r="E1207" s="163" t="s">
        <v>191</v>
      </c>
      <c r="F1207" s="94">
        <v>338607</v>
      </c>
      <c r="G1207" s="41"/>
      <c r="H1207" s="41"/>
      <c r="I1207" s="41"/>
      <c r="J1207" s="42"/>
      <c r="K1207" s="41"/>
      <c r="L1207" s="135">
        <v>2</v>
      </c>
      <c r="M1207" s="135">
        <v>57903</v>
      </c>
    </row>
    <row r="1208" spans="2:13" outlineLevel="2">
      <c r="B1208" s="35">
        <f t="shared" si="40"/>
        <v>743</v>
      </c>
      <c r="C1208" s="41" t="s">
        <v>69</v>
      </c>
      <c r="D1208" s="41"/>
      <c r="E1208" s="163" t="s">
        <v>191</v>
      </c>
      <c r="F1208" s="94">
        <v>356132</v>
      </c>
      <c r="G1208" s="41"/>
      <c r="H1208" s="41"/>
      <c r="I1208" s="41"/>
      <c r="J1208" s="42"/>
      <c r="K1208" s="41"/>
      <c r="L1208" s="135">
        <v>2</v>
      </c>
      <c r="M1208" s="135">
        <v>57904</v>
      </c>
    </row>
    <row r="1209" spans="2:13" outlineLevel="2">
      <c r="B1209" s="35">
        <f t="shared" si="40"/>
        <v>744</v>
      </c>
      <c r="C1209" s="41" t="s">
        <v>69</v>
      </c>
      <c r="D1209" s="41"/>
      <c r="E1209" s="163" t="s">
        <v>191</v>
      </c>
      <c r="F1209" s="94">
        <v>177430</v>
      </c>
      <c r="G1209" s="41"/>
      <c r="H1209" s="41"/>
      <c r="I1209" s="41"/>
      <c r="J1209" s="42"/>
      <c r="K1209" s="41"/>
      <c r="L1209" s="135">
        <v>2</v>
      </c>
      <c r="M1209" s="135">
        <v>57905</v>
      </c>
    </row>
    <row r="1210" spans="2:13" outlineLevel="2">
      <c r="B1210" s="35">
        <f t="shared" si="40"/>
        <v>745</v>
      </c>
      <c r="C1210" s="41" t="s">
        <v>69</v>
      </c>
      <c r="D1210" s="41"/>
      <c r="E1210" s="163" t="s">
        <v>191</v>
      </c>
      <c r="F1210" s="94">
        <v>61338</v>
      </c>
      <c r="G1210" s="41"/>
      <c r="H1210" s="41"/>
      <c r="I1210" s="41"/>
      <c r="J1210" s="42"/>
      <c r="K1210" s="41"/>
      <c r="L1210" s="135">
        <v>2</v>
      </c>
      <c r="M1210" s="135">
        <v>57906</v>
      </c>
    </row>
    <row r="1211" spans="2:13" outlineLevel="2">
      <c r="B1211" s="35">
        <f t="shared" si="40"/>
        <v>746</v>
      </c>
      <c r="C1211" s="41" t="s">
        <v>69</v>
      </c>
      <c r="D1211" s="41"/>
      <c r="E1211" s="163" t="s">
        <v>191</v>
      </c>
      <c r="F1211" s="94">
        <v>338496</v>
      </c>
      <c r="G1211" s="41"/>
      <c r="H1211" s="41"/>
      <c r="I1211" s="41"/>
      <c r="J1211" s="42"/>
      <c r="K1211" s="41"/>
      <c r="L1211" s="135">
        <v>3</v>
      </c>
      <c r="M1211" s="135">
        <v>57907</v>
      </c>
    </row>
    <row r="1212" spans="2:13" outlineLevel="2">
      <c r="B1212" s="35">
        <f t="shared" si="40"/>
        <v>747</v>
      </c>
      <c r="C1212" s="41" t="s">
        <v>69</v>
      </c>
      <c r="D1212" s="41"/>
      <c r="E1212" s="163" t="s">
        <v>191</v>
      </c>
      <c r="F1212" s="94">
        <v>21600</v>
      </c>
      <c r="G1212" s="41"/>
      <c r="H1212" s="41"/>
      <c r="I1212" s="41"/>
      <c r="J1212" s="42"/>
      <c r="K1212" s="41"/>
      <c r="L1212" s="135">
        <v>33</v>
      </c>
      <c r="M1212" s="135">
        <v>57908</v>
      </c>
    </row>
    <row r="1213" spans="2:13" outlineLevel="2">
      <c r="B1213" s="35">
        <f t="shared" si="40"/>
        <v>748</v>
      </c>
      <c r="C1213" s="41" t="s">
        <v>69</v>
      </c>
      <c r="D1213" s="41"/>
      <c r="E1213" s="163" t="s">
        <v>191</v>
      </c>
      <c r="F1213" s="94">
        <v>263620</v>
      </c>
      <c r="G1213" s="41"/>
      <c r="H1213" s="41"/>
      <c r="I1213" s="41"/>
      <c r="J1213" s="42"/>
      <c r="K1213" s="41"/>
      <c r="L1213" s="135">
        <v>15</v>
      </c>
      <c r="M1213" s="135">
        <v>57909</v>
      </c>
    </row>
    <row r="1214" spans="2:13" outlineLevel="2">
      <c r="B1214" s="35">
        <f t="shared" si="40"/>
        <v>749</v>
      </c>
      <c r="C1214" s="41" t="s">
        <v>69</v>
      </c>
      <c r="D1214" s="41"/>
      <c r="E1214" s="163" t="s">
        <v>191</v>
      </c>
      <c r="F1214" s="94">
        <v>341696</v>
      </c>
      <c r="G1214" s="41"/>
      <c r="H1214" s="41"/>
      <c r="I1214" s="41"/>
      <c r="J1214" s="42"/>
      <c r="K1214" s="41"/>
      <c r="L1214" s="135">
        <v>15</v>
      </c>
      <c r="M1214" s="135">
        <v>57910</v>
      </c>
    </row>
    <row r="1215" spans="2:13" outlineLevel="2">
      <c r="B1215" s="35">
        <f t="shared" ref="B1215:B1278" si="41">(B1214+1)</f>
        <v>750</v>
      </c>
      <c r="C1215" s="41" t="s">
        <v>69</v>
      </c>
      <c r="D1215" s="41"/>
      <c r="E1215" s="163" t="s">
        <v>191</v>
      </c>
      <c r="F1215" s="94">
        <v>46608</v>
      </c>
      <c r="G1215" s="41"/>
      <c r="H1215" s="41"/>
      <c r="I1215" s="41"/>
      <c r="J1215" s="42"/>
      <c r="K1215" s="41"/>
      <c r="L1215" s="135">
        <v>6</v>
      </c>
      <c r="M1215" s="135">
        <v>57911</v>
      </c>
    </row>
    <row r="1216" spans="2:13" outlineLevel="2">
      <c r="B1216" s="35">
        <f t="shared" si="41"/>
        <v>751</v>
      </c>
      <c r="C1216" s="41" t="s">
        <v>69</v>
      </c>
      <c r="D1216" s="41"/>
      <c r="E1216" s="163" t="s">
        <v>191</v>
      </c>
      <c r="F1216" s="94">
        <v>358781</v>
      </c>
      <c r="G1216" s="41"/>
      <c r="H1216" s="41"/>
      <c r="I1216" s="41"/>
      <c r="J1216" s="42"/>
      <c r="K1216" s="41"/>
      <c r="L1216" s="135">
        <v>9</v>
      </c>
      <c r="M1216" s="135">
        <v>57912</v>
      </c>
    </row>
    <row r="1217" spans="2:13" outlineLevel="2">
      <c r="B1217" s="35">
        <f t="shared" si="41"/>
        <v>752</v>
      </c>
      <c r="C1217" s="41" t="s">
        <v>69</v>
      </c>
      <c r="D1217" s="41"/>
      <c r="E1217" s="163" t="s">
        <v>191</v>
      </c>
      <c r="F1217" s="94">
        <v>355088</v>
      </c>
      <c r="G1217" s="41"/>
      <c r="H1217" s="41"/>
      <c r="I1217" s="41"/>
      <c r="J1217" s="42"/>
      <c r="K1217" s="41"/>
      <c r="L1217" s="135">
        <v>25</v>
      </c>
      <c r="M1217" s="135">
        <v>57913</v>
      </c>
    </row>
    <row r="1218" spans="2:13" outlineLevel="2">
      <c r="B1218" s="35">
        <f t="shared" si="41"/>
        <v>753</v>
      </c>
      <c r="C1218" s="41" t="s">
        <v>69</v>
      </c>
      <c r="D1218" s="41"/>
      <c r="E1218" s="163" t="s">
        <v>191</v>
      </c>
      <c r="F1218" s="94">
        <v>64971</v>
      </c>
      <c r="G1218" s="41"/>
      <c r="H1218" s="41"/>
      <c r="I1218" s="41"/>
      <c r="J1218" s="42"/>
      <c r="K1218" s="41"/>
      <c r="L1218" s="135">
        <v>2</v>
      </c>
      <c r="M1218" s="135">
        <v>57914</v>
      </c>
    </row>
    <row r="1219" spans="2:13" outlineLevel="2">
      <c r="B1219" s="35">
        <f t="shared" si="41"/>
        <v>754</v>
      </c>
      <c r="C1219" s="41" t="s">
        <v>69</v>
      </c>
      <c r="D1219" s="41"/>
      <c r="E1219" s="163" t="s">
        <v>191</v>
      </c>
      <c r="F1219" s="94">
        <v>51513</v>
      </c>
      <c r="G1219" s="41"/>
      <c r="H1219" s="41"/>
      <c r="I1219" s="41"/>
      <c r="J1219" s="42"/>
      <c r="K1219" s="41"/>
      <c r="L1219" s="135">
        <v>2</v>
      </c>
      <c r="M1219" s="135">
        <v>57916</v>
      </c>
    </row>
    <row r="1220" spans="2:13" outlineLevel="2">
      <c r="B1220" s="35">
        <f t="shared" si="41"/>
        <v>755</v>
      </c>
      <c r="C1220" s="41" t="s">
        <v>69</v>
      </c>
      <c r="D1220" s="41"/>
      <c r="E1220" s="163" t="s">
        <v>191</v>
      </c>
      <c r="F1220" s="94">
        <v>338943</v>
      </c>
      <c r="G1220" s="41"/>
      <c r="H1220" s="41"/>
      <c r="I1220" s="41"/>
      <c r="J1220" s="42"/>
      <c r="K1220" s="41"/>
      <c r="L1220" s="135">
        <v>2</v>
      </c>
      <c r="M1220" s="135">
        <v>57917</v>
      </c>
    </row>
    <row r="1221" spans="2:13" outlineLevel="2">
      <c r="B1221" s="35">
        <f t="shared" si="41"/>
        <v>756</v>
      </c>
      <c r="C1221" s="41" t="s">
        <v>69</v>
      </c>
      <c r="D1221" s="41"/>
      <c r="E1221" s="163" t="s">
        <v>191</v>
      </c>
      <c r="F1221" s="94">
        <v>219182</v>
      </c>
      <c r="G1221" s="41"/>
      <c r="H1221" s="41"/>
      <c r="I1221" s="41"/>
      <c r="J1221" s="42"/>
      <c r="K1221" s="41"/>
      <c r="L1221" s="135">
        <v>6</v>
      </c>
      <c r="M1221" s="135">
        <v>57918</v>
      </c>
    </row>
    <row r="1222" spans="2:13" outlineLevel="2">
      <c r="B1222" s="35">
        <f t="shared" si="41"/>
        <v>757</v>
      </c>
      <c r="C1222" s="41" t="s">
        <v>69</v>
      </c>
      <c r="D1222" s="41"/>
      <c r="E1222" s="163" t="s">
        <v>191</v>
      </c>
      <c r="F1222" s="94">
        <v>219740</v>
      </c>
      <c r="G1222" s="41"/>
      <c r="H1222" s="41"/>
      <c r="I1222" s="41"/>
      <c r="J1222" s="42"/>
      <c r="K1222" s="41"/>
      <c r="L1222" s="135">
        <v>6</v>
      </c>
      <c r="M1222" s="135">
        <v>57919</v>
      </c>
    </row>
    <row r="1223" spans="2:13" outlineLevel="2">
      <c r="B1223" s="35">
        <f t="shared" si="41"/>
        <v>758</v>
      </c>
      <c r="C1223" s="41" t="s">
        <v>69</v>
      </c>
      <c r="D1223" s="41"/>
      <c r="E1223" s="163" t="s">
        <v>191</v>
      </c>
      <c r="F1223" s="94">
        <v>288196</v>
      </c>
      <c r="G1223" s="41"/>
      <c r="H1223" s="41"/>
      <c r="I1223" s="41"/>
      <c r="J1223" s="42"/>
      <c r="K1223" s="41"/>
      <c r="L1223" s="135">
        <v>3</v>
      </c>
      <c r="M1223" s="135">
        <v>57920</v>
      </c>
    </row>
    <row r="1224" spans="2:13" outlineLevel="2">
      <c r="B1224" s="35">
        <f t="shared" si="41"/>
        <v>759</v>
      </c>
      <c r="C1224" s="41" t="s">
        <v>69</v>
      </c>
      <c r="D1224" s="41"/>
      <c r="E1224" s="163" t="s">
        <v>191</v>
      </c>
      <c r="F1224" s="94">
        <v>182023</v>
      </c>
      <c r="G1224" s="41"/>
      <c r="H1224" s="41"/>
      <c r="I1224" s="41"/>
      <c r="J1224" s="42"/>
      <c r="K1224" s="41"/>
      <c r="L1224" s="135">
        <v>11</v>
      </c>
      <c r="M1224" s="135">
        <v>57921</v>
      </c>
    </row>
    <row r="1225" spans="2:13" outlineLevel="2">
      <c r="B1225" s="35">
        <f t="shared" si="41"/>
        <v>760</v>
      </c>
      <c r="C1225" s="41" t="s">
        <v>69</v>
      </c>
      <c r="D1225" s="41"/>
      <c r="E1225" s="163" t="s">
        <v>191</v>
      </c>
      <c r="F1225" s="94">
        <v>9471</v>
      </c>
      <c r="G1225" s="41"/>
      <c r="H1225" s="41"/>
      <c r="I1225" s="41"/>
      <c r="J1225" s="42"/>
      <c r="K1225" s="41"/>
      <c r="L1225" s="135">
        <v>43</v>
      </c>
      <c r="M1225" s="135">
        <v>57922</v>
      </c>
    </row>
    <row r="1226" spans="2:13" outlineLevel="2">
      <c r="B1226" s="35">
        <f t="shared" si="41"/>
        <v>761</v>
      </c>
      <c r="C1226" s="41" t="s">
        <v>69</v>
      </c>
      <c r="D1226" s="41"/>
      <c r="E1226" s="163" t="s">
        <v>191</v>
      </c>
      <c r="F1226" s="94">
        <v>349751</v>
      </c>
      <c r="G1226" s="41"/>
      <c r="H1226" s="41"/>
      <c r="I1226" s="41"/>
      <c r="J1226" s="42"/>
      <c r="K1226" s="41"/>
      <c r="L1226" s="135">
        <v>4</v>
      </c>
      <c r="M1226" s="135">
        <v>57923</v>
      </c>
    </row>
    <row r="1227" spans="2:13" outlineLevel="2">
      <c r="B1227" s="35">
        <f t="shared" si="41"/>
        <v>762</v>
      </c>
      <c r="C1227" s="41" t="s">
        <v>69</v>
      </c>
      <c r="D1227" s="41"/>
      <c r="E1227" s="163" t="s">
        <v>191</v>
      </c>
      <c r="F1227" s="94">
        <v>93081070</v>
      </c>
      <c r="G1227" s="41"/>
      <c r="H1227" s="41"/>
      <c r="I1227" s="41"/>
      <c r="J1227" s="42"/>
      <c r="K1227" s="41"/>
      <c r="L1227" s="135">
        <v>45</v>
      </c>
      <c r="M1227" s="135">
        <v>57924</v>
      </c>
    </row>
    <row r="1228" spans="2:13" outlineLevel="2">
      <c r="B1228" s="35">
        <f t="shared" si="41"/>
        <v>763</v>
      </c>
      <c r="C1228" s="41" t="s">
        <v>69</v>
      </c>
      <c r="D1228" s="41"/>
      <c r="E1228" s="163" t="s">
        <v>191</v>
      </c>
      <c r="F1228" s="94">
        <v>226453</v>
      </c>
      <c r="G1228" s="41"/>
      <c r="H1228" s="41"/>
      <c r="I1228" s="41"/>
      <c r="J1228" s="42"/>
      <c r="K1228" s="41"/>
      <c r="L1228" s="135">
        <v>2</v>
      </c>
      <c r="M1228" s="135">
        <v>57926</v>
      </c>
    </row>
    <row r="1229" spans="2:13" outlineLevel="2">
      <c r="B1229" s="35">
        <f t="shared" si="41"/>
        <v>764</v>
      </c>
      <c r="C1229" s="41" t="s">
        <v>69</v>
      </c>
      <c r="D1229" s="41"/>
      <c r="E1229" s="163" t="s">
        <v>191</v>
      </c>
      <c r="F1229" s="94">
        <v>218383</v>
      </c>
      <c r="G1229" s="41"/>
      <c r="H1229" s="41"/>
      <c r="I1229" s="41"/>
      <c r="J1229" s="42"/>
      <c r="K1229" s="41"/>
      <c r="L1229" s="135">
        <v>9</v>
      </c>
      <c r="M1229" s="135">
        <v>57927</v>
      </c>
    </row>
    <row r="1230" spans="2:13" outlineLevel="2">
      <c r="B1230" s="35">
        <f t="shared" si="41"/>
        <v>765</v>
      </c>
      <c r="C1230" s="41" t="s">
        <v>69</v>
      </c>
      <c r="D1230" s="41"/>
      <c r="E1230" s="163" t="s">
        <v>191</v>
      </c>
      <c r="F1230" s="94">
        <v>219257</v>
      </c>
      <c r="G1230" s="41"/>
      <c r="H1230" s="41"/>
      <c r="I1230" s="41"/>
      <c r="J1230" s="42"/>
      <c r="K1230" s="41"/>
      <c r="L1230" s="135">
        <v>7</v>
      </c>
      <c r="M1230" s="135">
        <v>57928</v>
      </c>
    </row>
    <row r="1231" spans="2:13" outlineLevel="2">
      <c r="B1231" s="35">
        <f t="shared" si="41"/>
        <v>766</v>
      </c>
      <c r="C1231" s="41" t="s">
        <v>69</v>
      </c>
      <c r="D1231" s="41"/>
      <c r="E1231" s="163" t="s">
        <v>191</v>
      </c>
      <c r="F1231" s="94">
        <v>221037</v>
      </c>
      <c r="G1231" s="41"/>
      <c r="H1231" s="41"/>
      <c r="I1231" s="41"/>
      <c r="J1231" s="42"/>
      <c r="K1231" s="41"/>
      <c r="L1231" s="135">
        <v>2</v>
      </c>
      <c r="M1231" s="135">
        <v>57929</v>
      </c>
    </row>
    <row r="1232" spans="2:13" outlineLevel="2">
      <c r="B1232" s="35">
        <f t="shared" si="41"/>
        <v>767</v>
      </c>
      <c r="C1232" s="41" t="s">
        <v>69</v>
      </c>
      <c r="D1232" s="41"/>
      <c r="E1232" s="163" t="s">
        <v>191</v>
      </c>
      <c r="F1232" s="94">
        <v>29100</v>
      </c>
      <c r="G1232" s="41"/>
      <c r="H1232" s="41"/>
      <c r="I1232" s="41"/>
      <c r="J1232" s="42"/>
      <c r="K1232" s="41"/>
      <c r="L1232" s="135">
        <v>20</v>
      </c>
      <c r="M1232" s="135">
        <v>57930</v>
      </c>
    </row>
    <row r="1233" spans="2:13" outlineLevel="2">
      <c r="B1233" s="35">
        <f t="shared" si="41"/>
        <v>768</v>
      </c>
      <c r="C1233" s="41" t="s">
        <v>69</v>
      </c>
      <c r="D1233" s="41"/>
      <c r="E1233" s="163" t="s">
        <v>191</v>
      </c>
      <c r="F1233" s="94">
        <v>226275</v>
      </c>
      <c r="G1233" s="41"/>
      <c r="H1233" s="41"/>
      <c r="I1233" s="41"/>
      <c r="J1233" s="42"/>
      <c r="K1233" s="41"/>
      <c r="L1233" s="135">
        <v>2</v>
      </c>
      <c r="M1233" s="135">
        <v>57931</v>
      </c>
    </row>
    <row r="1234" spans="2:13" outlineLevel="2">
      <c r="B1234" s="35">
        <f t="shared" si="41"/>
        <v>769</v>
      </c>
      <c r="C1234" s="41" t="s">
        <v>69</v>
      </c>
      <c r="D1234" s="41"/>
      <c r="E1234" s="163" t="s">
        <v>131</v>
      </c>
      <c r="F1234" s="94">
        <v>260031</v>
      </c>
      <c r="G1234" s="41"/>
      <c r="H1234" s="41"/>
      <c r="I1234" s="41"/>
      <c r="J1234" s="42"/>
      <c r="K1234" s="41"/>
      <c r="L1234" s="135">
        <v>2</v>
      </c>
      <c r="M1234" s="135">
        <v>57939</v>
      </c>
    </row>
    <row r="1235" spans="2:13" outlineLevel="2">
      <c r="B1235" s="35">
        <f t="shared" si="41"/>
        <v>770</v>
      </c>
      <c r="C1235" s="41" t="s">
        <v>69</v>
      </c>
      <c r="D1235" s="41"/>
      <c r="E1235" s="163" t="s">
        <v>127</v>
      </c>
      <c r="F1235" s="94">
        <v>6447</v>
      </c>
      <c r="G1235" s="41"/>
      <c r="H1235" s="41"/>
      <c r="I1235" s="41"/>
      <c r="J1235" s="42"/>
      <c r="K1235" s="41"/>
      <c r="L1235" s="135">
        <v>40</v>
      </c>
      <c r="M1235" s="135">
        <v>57941</v>
      </c>
    </row>
    <row r="1236" spans="2:13" outlineLevel="2">
      <c r="B1236" s="35">
        <f t="shared" si="41"/>
        <v>771</v>
      </c>
      <c r="C1236" s="41" t="s">
        <v>69</v>
      </c>
      <c r="D1236" s="41"/>
      <c r="E1236" s="163" t="s">
        <v>130</v>
      </c>
      <c r="F1236" s="94">
        <v>213502</v>
      </c>
      <c r="G1236" s="41"/>
      <c r="H1236" s="41"/>
      <c r="I1236" s="41"/>
      <c r="J1236" s="42"/>
      <c r="K1236" s="41"/>
      <c r="L1236" s="135">
        <v>43</v>
      </c>
      <c r="M1236" s="135">
        <v>57942</v>
      </c>
    </row>
    <row r="1237" spans="2:13" outlineLevel="2">
      <c r="B1237" s="35">
        <f t="shared" si="41"/>
        <v>772</v>
      </c>
      <c r="C1237" s="41" t="s">
        <v>69</v>
      </c>
      <c r="D1237" s="41"/>
      <c r="E1237" s="163" t="s">
        <v>131</v>
      </c>
      <c r="F1237" s="167">
        <v>180178</v>
      </c>
      <c r="G1237" s="41"/>
      <c r="H1237" s="41"/>
      <c r="I1237" s="41"/>
      <c r="J1237" s="42"/>
      <c r="K1237" s="41"/>
      <c r="L1237" s="135">
        <v>22</v>
      </c>
      <c r="M1237" s="135">
        <v>57943</v>
      </c>
    </row>
    <row r="1238" spans="2:13" outlineLevel="2">
      <c r="B1238" s="35">
        <f t="shared" si="41"/>
        <v>773</v>
      </c>
      <c r="C1238" s="41" t="s">
        <v>69</v>
      </c>
      <c r="D1238" s="41"/>
      <c r="E1238" s="163" t="s">
        <v>192</v>
      </c>
      <c r="F1238" s="167">
        <v>180594</v>
      </c>
      <c r="G1238" s="41"/>
      <c r="H1238" s="41"/>
      <c r="I1238" s="41"/>
      <c r="J1238" s="42"/>
      <c r="K1238" s="41"/>
      <c r="L1238" s="135">
        <v>16</v>
      </c>
      <c r="M1238" s="135">
        <v>57945</v>
      </c>
    </row>
    <row r="1239" spans="2:13" outlineLevel="2">
      <c r="B1239" s="35">
        <f t="shared" si="41"/>
        <v>774</v>
      </c>
      <c r="C1239" s="41" t="s">
        <v>69</v>
      </c>
      <c r="D1239" s="41"/>
      <c r="E1239" s="163" t="s">
        <v>173</v>
      </c>
      <c r="F1239" s="94">
        <v>630825</v>
      </c>
      <c r="G1239" s="41"/>
      <c r="H1239" s="41"/>
      <c r="I1239" s="41"/>
      <c r="J1239" s="42"/>
      <c r="K1239" s="41"/>
      <c r="L1239" s="135">
        <v>15</v>
      </c>
      <c r="M1239" s="135">
        <v>57946</v>
      </c>
    </row>
    <row r="1240" spans="2:13" outlineLevel="2">
      <c r="B1240" s="35">
        <f t="shared" si="41"/>
        <v>775</v>
      </c>
      <c r="C1240" s="41" t="s">
        <v>69</v>
      </c>
      <c r="D1240" s="41"/>
      <c r="E1240" s="163" t="s">
        <v>191</v>
      </c>
      <c r="F1240" s="94">
        <v>122224</v>
      </c>
      <c r="G1240" s="41"/>
      <c r="H1240" s="41"/>
      <c r="I1240" s="41"/>
      <c r="J1240" s="42"/>
      <c r="K1240" s="41"/>
      <c r="L1240" s="135">
        <v>15</v>
      </c>
      <c r="M1240" s="135">
        <v>57947</v>
      </c>
    </row>
    <row r="1241" spans="2:13" outlineLevel="2">
      <c r="B1241" s="35">
        <f t="shared" si="41"/>
        <v>776</v>
      </c>
      <c r="C1241" s="41" t="s">
        <v>69</v>
      </c>
      <c r="D1241" s="41"/>
      <c r="E1241" s="163" t="s">
        <v>191</v>
      </c>
      <c r="F1241" s="94">
        <v>328361</v>
      </c>
      <c r="G1241" s="41"/>
      <c r="H1241" s="41"/>
      <c r="I1241" s="41"/>
      <c r="J1241" s="42"/>
      <c r="K1241" s="41"/>
      <c r="L1241" s="135">
        <v>25</v>
      </c>
      <c r="M1241" s="135">
        <v>57948</v>
      </c>
    </row>
    <row r="1242" spans="2:13" outlineLevel="2">
      <c r="B1242" s="35">
        <f t="shared" si="41"/>
        <v>777</v>
      </c>
      <c r="C1242" s="41" t="s">
        <v>69</v>
      </c>
      <c r="D1242" s="41"/>
      <c r="E1242" s="163" t="s">
        <v>191</v>
      </c>
      <c r="F1242" s="167">
        <v>129010</v>
      </c>
      <c r="G1242" s="41"/>
      <c r="H1242" s="41"/>
      <c r="I1242" s="41"/>
      <c r="J1242" s="42"/>
      <c r="K1242" s="41"/>
      <c r="L1242" s="135">
        <v>4</v>
      </c>
      <c r="M1242" s="135">
        <v>57949</v>
      </c>
    </row>
    <row r="1243" spans="2:13" outlineLevel="2">
      <c r="B1243" s="35">
        <f t="shared" si="41"/>
        <v>778</v>
      </c>
      <c r="C1243" s="41" t="s">
        <v>69</v>
      </c>
      <c r="D1243" s="41"/>
      <c r="E1243" s="163" t="s">
        <v>191</v>
      </c>
      <c r="F1243" s="94">
        <v>198228</v>
      </c>
      <c r="G1243" s="41"/>
      <c r="H1243" s="41"/>
      <c r="I1243" s="41"/>
      <c r="J1243" s="42"/>
      <c r="K1243" s="41"/>
      <c r="L1243" s="135">
        <v>36</v>
      </c>
      <c r="M1243" s="135">
        <v>57950</v>
      </c>
    </row>
    <row r="1244" spans="2:13" outlineLevel="2">
      <c r="B1244" s="35">
        <f t="shared" si="41"/>
        <v>779</v>
      </c>
      <c r="C1244" s="41" t="s">
        <v>69</v>
      </c>
      <c r="D1244" s="41"/>
      <c r="E1244" s="163" t="s">
        <v>127</v>
      </c>
      <c r="F1244" s="94">
        <v>1136372</v>
      </c>
      <c r="G1244" s="41"/>
      <c r="H1244" s="41"/>
      <c r="I1244" s="41"/>
      <c r="J1244" s="42"/>
      <c r="K1244" s="41"/>
      <c r="L1244" s="135">
        <v>29</v>
      </c>
      <c r="M1244" s="135">
        <v>57951</v>
      </c>
    </row>
    <row r="1245" spans="2:13" outlineLevel="2">
      <c r="B1245" s="35">
        <f t="shared" si="41"/>
        <v>780</v>
      </c>
      <c r="C1245" s="41" t="s">
        <v>69</v>
      </c>
      <c r="D1245" s="41"/>
      <c r="E1245" s="163" t="s">
        <v>129</v>
      </c>
      <c r="F1245" s="94">
        <v>502818</v>
      </c>
      <c r="G1245" s="41"/>
      <c r="H1245" s="41"/>
      <c r="I1245" s="41"/>
      <c r="J1245" s="42"/>
      <c r="K1245" s="41"/>
      <c r="L1245" s="135">
        <v>15</v>
      </c>
      <c r="M1245" s="135">
        <v>57952</v>
      </c>
    </row>
    <row r="1246" spans="2:13" outlineLevel="2">
      <c r="B1246" s="35">
        <f t="shared" si="41"/>
        <v>781</v>
      </c>
      <c r="C1246" s="41" t="s">
        <v>69</v>
      </c>
      <c r="D1246" s="41"/>
      <c r="E1246" s="163" t="s">
        <v>129</v>
      </c>
      <c r="F1246" s="94">
        <v>515959</v>
      </c>
      <c r="G1246" s="41"/>
      <c r="H1246" s="41"/>
      <c r="I1246" s="41"/>
      <c r="J1246" s="42"/>
      <c r="K1246" s="41"/>
      <c r="L1246" s="135">
        <v>34</v>
      </c>
      <c r="M1246" s="135">
        <v>57953</v>
      </c>
    </row>
    <row r="1247" spans="2:13" outlineLevel="2">
      <c r="B1247" s="35">
        <f t="shared" si="41"/>
        <v>782</v>
      </c>
      <c r="C1247" s="41" t="s">
        <v>69</v>
      </c>
      <c r="D1247" s="41"/>
      <c r="E1247" s="163" t="e">
        <v>#N/A</v>
      </c>
      <c r="F1247" s="94">
        <v>1205633</v>
      </c>
      <c r="G1247" s="41"/>
      <c r="H1247" s="41"/>
      <c r="I1247" s="41"/>
      <c r="J1247" s="42"/>
      <c r="K1247" s="41"/>
      <c r="L1247" s="135">
        <v>25</v>
      </c>
      <c r="M1247" s="135">
        <v>57954</v>
      </c>
    </row>
    <row r="1248" spans="2:13" outlineLevel="2">
      <c r="B1248" s="35">
        <f t="shared" si="41"/>
        <v>783</v>
      </c>
      <c r="C1248" s="41" t="s">
        <v>69</v>
      </c>
      <c r="D1248" s="41"/>
      <c r="E1248" s="163" t="e">
        <v>#N/A</v>
      </c>
      <c r="F1248" s="94">
        <v>842829</v>
      </c>
      <c r="G1248" s="41"/>
      <c r="H1248" s="41"/>
      <c r="I1248" s="41"/>
      <c r="J1248" s="42"/>
      <c r="K1248" s="41"/>
      <c r="L1248" s="135">
        <v>14</v>
      </c>
      <c r="M1248" s="135">
        <v>57955</v>
      </c>
    </row>
    <row r="1249" spans="2:13" outlineLevel="2">
      <c r="B1249" s="35">
        <f t="shared" si="41"/>
        <v>784</v>
      </c>
      <c r="C1249" s="41" t="s">
        <v>69</v>
      </c>
      <c r="D1249" s="41"/>
      <c r="E1249" s="163" t="s">
        <v>129</v>
      </c>
      <c r="F1249" s="94">
        <v>343094</v>
      </c>
      <c r="G1249" s="41"/>
      <c r="H1249" s="41"/>
      <c r="I1249" s="41"/>
      <c r="J1249" s="42"/>
      <c r="K1249" s="41"/>
      <c r="L1249" s="135">
        <v>7</v>
      </c>
      <c r="M1249" s="135">
        <v>57956</v>
      </c>
    </row>
    <row r="1250" spans="2:13" outlineLevel="2">
      <c r="B1250" s="35">
        <f t="shared" si="41"/>
        <v>785</v>
      </c>
      <c r="C1250" s="41" t="s">
        <v>69</v>
      </c>
      <c r="D1250" s="41"/>
      <c r="E1250" s="163" t="s">
        <v>167</v>
      </c>
      <c r="F1250" s="94">
        <v>329144</v>
      </c>
      <c r="G1250" s="41"/>
      <c r="H1250" s="41"/>
      <c r="I1250" s="41"/>
      <c r="J1250" s="42"/>
      <c r="K1250" s="41"/>
      <c r="L1250" s="135">
        <v>2</v>
      </c>
      <c r="M1250" s="135">
        <v>57957</v>
      </c>
    </row>
    <row r="1251" spans="2:13" outlineLevel="2">
      <c r="B1251" s="35">
        <f t="shared" si="41"/>
        <v>786</v>
      </c>
      <c r="C1251" s="41" t="s">
        <v>69</v>
      </c>
      <c r="D1251" s="41"/>
      <c r="E1251" s="163" t="s">
        <v>191</v>
      </c>
      <c r="F1251" s="94">
        <v>561257</v>
      </c>
      <c r="G1251" s="41"/>
      <c r="H1251" s="41"/>
      <c r="I1251" s="41"/>
      <c r="J1251" s="42"/>
      <c r="K1251" s="41"/>
      <c r="L1251" s="135">
        <v>2</v>
      </c>
      <c r="M1251" s="135">
        <v>57958</v>
      </c>
    </row>
    <row r="1252" spans="2:13" outlineLevel="2">
      <c r="B1252" s="35">
        <f t="shared" si="41"/>
        <v>787</v>
      </c>
      <c r="C1252" s="41" t="s">
        <v>69</v>
      </c>
      <c r="D1252" s="41"/>
      <c r="E1252" s="163" t="s">
        <v>191</v>
      </c>
      <c r="F1252" s="94">
        <v>435938</v>
      </c>
      <c r="G1252" s="41"/>
      <c r="H1252" s="41"/>
      <c r="I1252" s="41"/>
      <c r="J1252" s="42"/>
      <c r="K1252" s="41"/>
      <c r="L1252" s="135">
        <v>3</v>
      </c>
      <c r="M1252" s="135">
        <v>57959</v>
      </c>
    </row>
    <row r="1253" spans="2:13" outlineLevel="2">
      <c r="B1253" s="35">
        <f t="shared" si="41"/>
        <v>788</v>
      </c>
      <c r="C1253" s="41" t="s">
        <v>69</v>
      </c>
      <c r="D1253" s="41"/>
      <c r="E1253" s="163" t="s">
        <v>191</v>
      </c>
      <c r="F1253" s="94">
        <v>157563</v>
      </c>
      <c r="G1253" s="41"/>
      <c r="H1253" s="41"/>
      <c r="I1253" s="41"/>
      <c r="J1253" s="42"/>
      <c r="K1253" s="41"/>
      <c r="L1253" s="135">
        <v>16</v>
      </c>
      <c r="M1253" s="135">
        <v>57960</v>
      </c>
    </row>
    <row r="1254" spans="2:13" outlineLevel="2">
      <c r="B1254" s="35">
        <f t="shared" si="41"/>
        <v>789</v>
      </c>
      <c r="C1254" s="41" t="s">
        <v>69</v>
      </c>
      <c r="D1254" s="41"/>
      <c r="E1254" s="163" t="s">
        <v>191</v>
      </c>
      <c r="F1254" s="94">
        <v>1022159</v>
      </c>
      <c r="G1254" s="41"/>
      <c r="H1254" s="41"/>
      <c r="I1254" s="41"/>
      <c r="J1254" s="42"/>
      <c r="K1254" s="41"/>
      <c r="L1254" s="135">
        <v>27</v>
      </c>
      <c r="M1254" s="135">
        <v>57961</v>
      </c>
    </row>
    <row r="1255" spans="2:13" outlineLevel="2">
      <c r="B1255" s="35">
        <f t="shared" si="41"/>
        <v>790</v>
      </c>
      <c r="C1255" s="41" t="s">
        <v>69</v>
      </c>
      <c r="D1255" s="41"/>
      <c r="E1255" s="163" t="s">
        <v>191</v>
      </c>
      <c r="F1255" s="94">
        <v>156761</v>
      </c>
      <c r="G1255" s="41"/>
      <c r="H1255" s="41"/>
      <c r="I1255" s="41"/>
      <c r="J1255" s="42"/>
      <c r="K1255" s="41"/>
      <c r="L1255" s="135">
        <v>39</v>
      </c>
      <c r="M1255" s="135">
        <v>57963</v>
      </c>
    </row>
    <row r="1256" spans="2:13" outlineLevel="2">
      <c r="B1256" s="35">
        <f t="shared" si="41"/>
        <v>791</v>
      </c>
      <c r="C1256" s="41" t="s">
        <v>69</v>
      </c>
      <c r="D1256" s="41"/>
      <c r="E1256" s="163" t="s">
        <v>191</v>
      </c>
      <c r="F1256" s="94">
        <v>477100</v>
      </c>
      <c r="G1256" s="41"/>
      <c r="H1256" s="41"/>
      <c r="I1256" s="41"/>
      <c r="J1256" s="42"/>
      <c r="K1256" s="41"/>
      <c r="L1256" s="135">
        <v>42</v>
      </c>
      <c r="M1256" s="135">
        <v>57964</v>
      </c>
    </row>
    <row r="1257" spans="2:13" outlineLevel="2">
      <c r="B1257" s="35">
        <f t="shared" si="41"/>
        <v>792</v>
      </c>
      <c r="C1257" s="41" t="s">
        <v>69</v>
      </c>
      <c r="D1257" s="41"/>
      <c r="E1257" s="163" t="s">
        <v>191</v>
      </c>
      <c r="F1257" s="94">
        <v>328360</v>
      </c>
      <c r="G1257" s="41"/>
      <c r="H1257" s="41"/>
      <c r="I1257" s="41"/>
      <c r="J1257" s="42"/>
      <c r="K1257" s="41"/>
      <c r="L1257" s="135">
        <v>5</v>
      </c>
      <c r="M1257" s="135">
        <v>57965</v>
      </c>
    </row>
    <row r="1258" spans="2:13" outlineLevel="2">
      <c r="B1258" s="35">
        <f t="shared" si="41"/>
        <v>793</v>
      </c>
      <c r="C1258" s="41" t="s">
        <v>69</v>
      </c>
      <c r="D1258" s="41"/>
      <c r="E1258" s="163" t="s">
        <v>191</v>
      </c>
      <c r="F1258" s="94">
        <v>409323</v>
      </c>
      <c r="G1258" s="41"/>
      <c r="H1258" s="41"/>
      <c r="I1258" s="41"/>
      <c r="J1258" s="42"/>
      <c r="K1258" s="41"/>
      <c r="L1258" s="135">
        <v>4</v>
      </c>
      <c r="M1258" s="135">
        <v>57967</v>
      </c>
    </row>
    <row r="1259" spans="2:13" outlineLevel="2">
      <c r="B1259" s="35">
        <f t="shared" si="41"/>
        <v>794</v>
      </c>
      <c r="C1259" s="41" t="s">
        <v>69</v>
      </c>
      <c r="D1259" s="41"/>
      <c r="E1259" s="163" t="s">
        <v>191</v>
      </c>
      <c r="F1259" s="94">
        <v>683403</v>
      </c>
      <c r="G1259" s="41"/>
      <c r="H1259" s="41"/>
      <c r="I1259" s="41"/>
      <c r="J1259" s="42"/>
      <c r="K1259" s="41"/>
      <c r="L1259" s="135">
        <v>2</v>
      </c>
      <c r="M1259" s="135">
        <v>57968</v>
      </c>
    </row>
    <row r="1260" spans="2:13" outlineLevel="2">
      <c r="B1260" s="35">
        <f t="shared" si="41"/>
        <v>795</v>
      </c>
      <c r="C1260" s="41" t="s">
        <v>69</v>
      </c>
      <c r="D1260" s="41"/>
      <c r="E1260" s="163" t="s">
        <v>191</v>
      </c>
      <c r="F1260" s="94">
        <v>648833</v>
      </c>
      <c r="G1260" s="41"/>
      <c r="H1260" s="41"/>
      <c r="I1260" s="41"/>
      <c r="J1260" s="42"/>
      <c r="K1260" s="41"/>
      <c r="L1260" s="135">
        <v>2</v>
      </c>
      <c r="M1260" s="135">
        <v>57969</v>
      </c>
    </row>
    <row r="1261" spans="2:13" outlineLevel="2">
      <c r="B1261" s="35">
        <f t="shared" si="41"/>
        <v>796</v>
      </c>
      <c r="C1261" s="41" t="s">
        <v>69</v>
      </c>
      <c r="D1261" s="41"/>
      <c r="E1261" s="163" t="s">
        <v>128</v>
      </c>
      <c r="F1261" s="94">
        <v>8202739</v>
      </c>
      <c r="G1261" s="41"/>
      <c r="H1261" s="41"/>
      <c r="I1261" s="41"/>
      <c r="J1261" s="42"/>
      <c r="K1261" s="41"/>
      <c r="L1261" s="135">
        <v>16</v>
      </c>
      <c r="M1261" s="135">
        <v>57970</v>
      </c>
    </row>
    <row r="1262" spans="2:13" outlineLevel="2">
      <c r="B1262" s="35">
        <f t="shared" si="41"/>
        <v>797</v>
      </c>
      <c r="C1262" s="41" t="s">
        <v>69</v>
      </c>
      <c r="D1262" s="41"/>
      <c r="E1262" s="163" t="s">
        <v>167</v>
      </c>
      <c r="F1262" s="94">
        <v>393287</v>
      </c>
      <c r="G1262" s="41"/>
      <c r="H1262" s="41"/>
      <c r="I1262" s="41"/>
      <c r="J1262" s="42"/>
      <c r="K1262" s="41"/>
      <c r="L1262" s="135">
        <v>2</v>
      </c>
      <c r="M1262" s="135">
        <v>57971</v>
      </c>
    </row>
    <row r="1263" spans="2:13" outlineLevel="2">
      <c r="B1263" s="35">
        <f t="shared" si="41"/>
        <v>798</v>
      </c>
      <c r="C1263" s="41" t="s">
        <v>69</v>
      </c>
      <c r="D1263" s="41"/>
      <c r="E1263" s="163" t="s">
        <v>129</v>
      </c>
      <c r="F1263" s="94">
        <v>651626</v>
      </c>
      <c r="G1263" s="41"/>
      <c r="H1263" s="41"/>
      <c r="I1263" s="41"/>
      <c r="J1263" s="42"/>
      <c r="K1263" s="41"/>
      <c r="L1263" s="135">
        <v>8</v>
      </c>
      <c r="M1263" s="135">
        <v>57972</v>
      </c>
    </row>
    <row r="1264" spans="2:13" outlineLevel="2">
      <c r="B1264" s="35">
        <f t="shared" si="41"/>
        <v>799</v>
      </c>
      <c r="C1264" s="41" t="s">
        <v>69</v>
      </c>
      <c r="D1264" s="41"/>
      <c r="E1264" s="163" t="s">
        <v>129</v>
      </c>
      <c r="F1264" s="94">
        <v>656539</v>
      </c>
      <c r="G1264" s="41"/>
      <c r="H1264" s="41"/>
      <c r="I1264" s="41"/>
      <c r="J1264" s="42"/>
      <c r="K1264" s="41"/>
      <c r="L1264" s="135">
        <v>18</v>
      </c>
      <c r="M1264" s="135">
        <v>57973</v>
      </c>
    </row>
    <row r="1265" spans="2:13" outlineLevel="2">
      <c r="B1265" s="35">
        <f t="shared" si="41"/>
        <v>800</v>
      </c>
      <c r="C1265" s="41" t="s">
        <v>69</v>
      </c>
      <c r="D1265" s="41"/>
      <c r="E1265" s="163" t="s">
        <v>129</v>
      </c>
      <c r="F1265" s="94">
        <v>956103</v>
      </c>
      <c r="G1265" s="41"/>
      <c r="H1265" s="41"/>
      <c r="I1265" s="41"/>
      <c r="J1265" s="42"/>
      <c r="K1265" s="41"/>
      <c r="L1265" s="135">
        <v>31</v>
      </c>
      <c r="M1265" s="135">
        <v>57974</v>
      </c>
    </row>
    <row r="1266" spans="2:13" outlineLevel="2">
      <c r="B1266" s="35">
        <f t="shared" si="41"/>
        <v>801</v>
      </c>
      <c r="C1266" s="41" t="s">
        <v>69</v>
      </c>
      <c r="D1266" s="41"/>
      <c r="E1266" s="163" t="s">
        <v>191</v>
      </c>
      <c r="F1266" s="94">
        <v>413183</v>
      </c>
      <c r="G1266" s="41"/>
      <c r="H1266" s="41"/>
      <c r="I1266" s="41"/>
      <c r="J1266" s="42"/>
      <c r="K1266" s="41"/>
      <c r="L1266" s="135">
        <v>26</v>
      </c>
      <c r="M1266" s="135">
        <v>57975</v>
      </c>
    </row>
    <row r="1267" spans="2:13" outlineLevel="2">
      <c r="B1267" s="35">
        <f t="shared" si="41"/>
        <v>802</v>
      </c>
      <c r="C1267" s="41" t="s">
        <v>69</v>
      </c>
      <c r="D1267" s="41"/>
      <c r="E1267" s="163" t="s">
        <v>191</v>
      </c>
      <c r="F1267" s="94">
        <v>1114563</v>
      </c>
      <c r="G1267" s="41"/>
      <c r="H1267" s="41"/>
      <c r="I1267" s="41"/>
      <c r="J1267" s="42"/>
      <c r="K1267" s="41"/>
      <c r="L1267" s="135">
        <v>28</v>
      </c>
      <c r="M1267" s="135">
        <v>57981</v>
      </c>
    </row>
    <row r="1268" spans="2:13" outlineLevel="2">
      <c r="B1268" s="35">
        <f t="shared" si="41"/>
        <v>803</v>
      </c>
      <c r="C1268" s="41" t="s">
        <v>69</v>
      </c>
      <c r="D1268" s="41"/>
      <c r="E1268" s="163" t="s">
        <v>191</v>
      </c>
      <c r="F1268" s="94">
        <v>1025114</v>
      </c>
      <c r="G1268" s="41"/>
      <c r="H1268" s="41"/>
      <c r="I1268" s="41"/>
      <c r="J1268" s="42"/>
      <c r="K1268" s="41"/>
      <c r="L1268" s="135">
        <v>16</v>
      </c>
      <c r="M1268" s="135">
        <v>57982</v>
      </c>
    </row>
    <row r="1269" spans="2:13" outlineLevel="2">
      <c r="B1269" s="35">
        <f t="shared" si="41"/>
        <v>804</v>
      </c>
      <c r="C1269" s="41" t="s">
        <v>69</v>
      </c>
      <c r="D1269" s="41"/>
      <c r="E1269" s="163" t="s">
        <v>191</v>
      </c>
      <c r="F1269" s="94">
        <v>620796</v>
      </c>
      <c r="G1269" s="41"/>
      <c r="H1269" s="41"/>
      <c r="I1269" s="41"/>
      <c r="J1269" s="42"/>
      <c r="K1269" s="41"/>
      <c r="L1269" s="135">
        <v>17</v>
      </c>
      <c r="M1269" s="135">
        <v>57984</v>
      </c>
    </row>
    <row r="1270" spans="2:13" outlineLevel="2">
      <c r="B1270" s="35">
        <f t="shared" si="41"/>
        <v>805</v>
      </c>
      <c r="C1270" s="41" t="s">
        <v>69</v>
      </c>
      <c r="D1270" s="41"/>
      <c r="E1270" s="163" t="s">
        <v>191</v>
      </c>
      <c r="F1270" s="94">
        <v>413137</v>
      </c>
      <c r="G1270" s="41"/>
      <c r="H1270" s="41"/>
      <c r="I1270" s="41"/>
      <c r="J1270" s="42"/>
      <c r="K1270" s="41"/>
      <c r="L1270" s="135">
        <v>3</v>
      </c>
      <c r="M1270" s="135">
        <v>57986</v>
      </c>
    </row>
    <row r="1271" spans="2:13" outlineLevel="2">
      <c r="B1271" s="35">
        <f t="shared" si="41"/>
        <v>806</v>
      </c>
      <c r="C1271" s="41" t="s">
        <v>69</v>
      </c>
      <c r="D1271" s="41"/>
      <c r="E1271" s="163" t="s">
        <v>191</v>
      </c>
      <c r="F1271" s="94">
        <v>664750</v>
      </c>
      <c r="G1271" s="41"/>
      <c r="H1271" s="41"/>
      <c r="I1271" s="41"/>
      <c r="J1271" s="42"/>
      <c r="K1271" s="41"/>
      <c r="L1271" s="135">
        <v>2</v>
      </c>
      <c r="M1271" s="135">
        <v>57987</v>
      </c>
    </row>
    <row r="1272" spans="2:13" outlineLevel="2">
      <c r="B1272" s="35">
        <f t="shared" si="41"/>
        <v>807</v>
      </c>
      <c r="C1272" s="41" t="s">
        <v>69</v>
      </c>
      <c r="D1272" s="41"/>
      <c r="E1272" s="163" t="s">
        <v>191</v>
      </c>
      <c r="F1272" s="94">
        <v>338475</v>
      </c>
      <c r="G1272" s="41"/>
      <c r="H1272" s="41"/>
      <c r="I1272" s="41"/>
      <c r="J1272" s="42"/>
      <c r="K1272" s="41"/>
      <c r="L1272" s="135">
        <v>2</v>
      </c>
      <c r="M1272" s="135">
        <v>57988</v>
      </c>
    </row>
    <row r="1273" spans="2:13" outlineLevel="2">
      <c r="B1273" s="35">
        <f t="shared" si="41"/>
        <v>808</v>
      </c>
      <c r="C1273" s="41" t="s">
        <v>69</v>
      </c>
      <c r="D1273" s="41"/>
      <c r="E1273" s="163" t="s">
        <v>191</v>
      </c>
      <c r="F1273" s="94">
        <v>115462</v>
      </c>
      <c r="G1273" s="41"/>
      <c r="H1273" s="41"/>
      <c r="I1273" s="41"/>
      <c r="J1273" s="42"/>
      <c r="K1273" s="41"/>
      <c r="L1273" s="135">
        <v>2</v>
      </c>
      <c r="M1273" s="135">
        <v>57989</v>
      </c>
    </row>
    <row r="1274" spans="2:13" outlineLevel="2">
      <c r="B1274" s="35">
        <f t="shared" si="41"/>
        <v>809</v>
      </c>
      <c r="C1274" s="41" t="s">
        <v>69</v>
      </c>
      <c r="D1274" s="41"/>
      <c r="E1274" s="163" t="s">
        <v>191</v>
      </c>
      <c r="F1274" s="94">
        <v>577034</v>
      </c>
      <c r="G1274" s="41"/>
      <c r="H1274" s="41"/>
      <c r="I1274" s="41"/>
      <c r="J1274" s="42"/>
      <c r="K1274" s="41"/>
      <c r="L1274" s="135">
        <v>26</v>
      </c>
      <c r="M1274" s="135">
        <v>57992</v>
      </c>
    </row>
    <row r="1275" spans="2:13" outlineLevel="2">
      <c r="B1275" s="35">
        <f t="shared" si="41"/>
        <v>810</v>
      </c>
      <c r="C1275" s="41" t="s">
        <v>69</v>
      </c>
      <c r="D1275" s="41"/>
      <c r="E1275" s="163" t="s">
        <v>191</v>
      </c>
      <c r="F1275" s="94">
        <v>226048</v>
      </c>
      <c r="G1275" s="41"/>
      <c r="H1275" s="41"/>
      <c r="I1275" s="41"/>
      <c r="J1275" s="42"/>
      <c r="K1275" s="41"/>
      <c r="L1275" s="135">
        <v>26</v>
      </c>
      <c r="M1275" s="135">
        <v>57994</v>
      </c>
    </row>
    <row r="1276" spans="2:13" outlineLevel="2">
      <c r="B1276" s="35">
        <f t="shared" si="41"/>
        <v>811</v>
      </c>
      <c r="C1276" s="41" t="s">
        <v>69</v>
      </c>
      <c r="D1276" s="41"/>
      <c r="E1276" s="163" t="s">
        <v>191</v>
      </c>
      <c r="F1276" s="94">
        <v>669894</v>
      </c>
      <c r="G1276" s="41"/>
      <c r="H1276" s="41"/>
      <c r="I1276" s="41"/>
      <c r="J1276" s="42"/>
      <c r="K1276" s="41"/>
      <c r="L1276" s="135">
        <v>4</v>
      </c>
      <c r="M1276" s="135">
        <v>57995</v>
      </c>
    </row>
    <row r="1277" spans="2:13" outlineLevel="2">
      <c r="B1277" s="35">
        <f t="shared" si="41"/>
        <v>812</v>
      </c>
      <c r="C1277" s="41" t="s">
        <v>69</v>
      </c>
      <c r="D1277" s="41"/>
      <c r="E1277" s="163" t="s">
        <v>191</v>
      </c>
      <c r="F1277" s="94">
        <v>226619</v>
      </c>
      <c r="G1277" s="41"/>
      <c r="H1277" s="41"/>
      <c r="I1277" s="41"/>
      <c r="J1277" s="42"/>
      <c r="K1277" s="41"/>
      <c r="L1277" s="135">
        <v>25</v>
      </c>
      <c r="M1277" s="135">
        <v>57996</v>
      </c>
    </row>
    <row r="1278" spans="2:13" outlineLevel="2">
      <c r="B1278" s="35">
        <f t="shared" si="41"/>
        <v>813</v>
      </c>
      <c r="C1278" s="41" t="s">
        <v>69</v>
      </c>
      <c r="D1278" s="41"/>
      <c r="E1278" s="163" t="s">
        <v>191</v>
      </c>
      <c r="F1278" s="94">
        <v>700427</v>
      </c>
      <c r="G1278" s="41"/>
      <c r="H1278" s="41"/>
      <c r="I1278" s="41"/>
      <c r="J1278" s="42"/>
      <c r="K1278" s="41"/>
      <c r="L1278" s="135">
        <v>6</v>
      </c>
      <c r="M1278" s="135">
        <v>57997</v>
      </c>
    </row>
    <row r="1279" spans="2:13" outlineLevel="2">
      <c r="B1279" s="35">
        <f t="shared" ref="B1279:B1342" si="42">(B1278+1)</f>
        <v>814</v>
      </c>
      <c r="C1279" s="41" t="s">
        <v>69</v>
      </c>
      <c r="D1279" s="41"/>
      <c r="E1279" s="163" t="s">
        <v>191</v>
      </c>
      <c r="F1279" s="94">
        <v>497602</v>
      </c>
      <c r="G1279" s="41"/>
      <c r="H1279" s="41"/>
      <c r="I1279" s="41"/>
      <c r="J1279" s="42"/>
      <c r="K1279" s="41"/>
      <c r="L1279" s="135">
        <v>16</v>
      </c>
      <c r="M1279" s="135">
        <v>57998</v>
      </c>
    </row>
    <row r="1280" spans="2:13" outlineLevel="2">
      <c r="B1280" s="35">
        <f t="shared" si="42"/>
        <v>815</v>
      </c>
      <c r="C1280" s="41" t="s">
        <v>69</v>
      </c>
      <c r="D1280" s="41"/>
      <c r="E1280" s="163" t="s">
        <v>191</v>
      </c>
      <c r="F1280" s="94">
        <v>526159</v>
      </c>
      <c r="G1280" s="41"/>
      <c r="H1280" s="41"/>
      <c r="I1280" s="41"/>
      <c r="J1280" s="42"/>
      <c r="K1280" s="41"/>
      <c r="L1280" s="135">
        <v>2</v>
      </c>
      <c r="M1280" s="135">
        <v>57999</v>
      </c>
    </row>
    <row r="1281" spans="2:13" outlineLevel="2">
      <c r="B1281" s="35">
        <f t="shared" si="42"/>
        <v>816</v>
      </c>
      <c r="C1281" s="41" t="s">
        <v>69</v>
      </c>
      <c r="D1281" s="41"/>
      <c r="E1281" s="163" t="s">
        <v>191</v>
      </c>
      <c r="F1281" s="94">
        <v>700470</v>
      </c>
      <c r="G1281" s="41"/>
      <c r="H1281" s="41"/>
      <c r="I1281" s="41"/>
      <c r="J1281" s="42"/>
      <c r="K1281" s="41"/>
      <c r="L1281" s="135">
        <v>2</v>
      </c>
      <c r="M1281" s="135">
        <v>58000</v>
      </c>
    </row>
    <row r="1282" spans="2:13" outlineLevel="2">
      <c r="B1282" s="35">
        <f t="shared" si="42"/>
        <v>817</v>
      </c>
      <c r="C1282" s="41" t="s">
        <v>69</v>
      </c>
      <c r="D1282" s="41"/>
      <c r="E1282" s="163" t="s">
        <v>191</v>
      </c>
      <c r="F1282" s="94">
        <v>700085</v>
      </c>
      <c r="G1282" s="41"/>
      <c r="H1282" s="41"/>
      <c r="I1282" s="41"/>
      <c r="J1282" s="42"/>
      <c r="K1282" s="41"/>
      <c r="L1282" s="135">
        <v>15</v>
      </c>
      <c r="M1282" s="135">
        <v>58001</v>
      </c>
    </row>
    <row r="1283" spans="2:13" outlineLevel="2">
      <c r="B1283" s="35">
        <f t="shared" si="42"/>
        <v>818</v>
      </c>
      <c r="C1283" s="41" t="s">
        <v>69</v>
      </c>
      <c r="D1283" s="41"/>
      <c r="E1283" s="163" t="s">
        <v>191</v>
      </c>
      <c r="F1283" s="94">
        <v>451629</v>
      </c>
      <c r="G1283" s="41"/>
      <c r="H1283" s="41"/>
      <c r="I1283" s="41"/>
      <c r="J1283" s="42"/>
      <c r="K1283" s="41"/>
      <c r="L1283" s="135">
        <v>25</v>
      </c>
      <c r="M1283" s="135">
        <v>58002</v>
      </c>
    </row>
    <row r="1284" spans="2:13" outlineLevel="2">
      <c r="B1284" s="35">
        <f t="shared" si="42"/>
        <v>819</v>
      </c>
      <c r="C1284" s="41" t="s">
        <v>69</v>
      </c>
      <c r="D1284" s="41"/>
      <c r="E1284" s="163" t="s">
        <v>191</v>
      </c>
      <c r="F1284" s="94">
        <v>226720</v>
      </c>
      <c r="G1284" s="41"/>
      <c r="H1284" s="41"/>
      <c r="I1284" s="41"/>
      <c r="J1284" s="42"/>
      <c r="K1284" s="41"/>
      <c r="L1284" s="135">
        <v>4</v>
      </c>
      <c r="M1284" s="135">
        <v>58003</v>
      </c>
    </row>
    <row r="1285" spans="2:13" outlineLevel="2">
      <c r="B1285" s="35">
        <f t="shared" si="42"/>
        <v>820</v>
      </c>
      <c r="C1285" s="41" t="s">
        <v>69</v>
      </c>
      <c r="D1285" s="41"/>
      <c r="E1285" s="163" t="s">
        <v>191</v>
      </c>
      <c r="F1285" s="167">
        <v>526480</v>
      </c>
      <c r="G1285" s="41"/>
      <c r="H1285" s="41"/>
      <c r="I1285" s="41"/>
      <c r="J1285" s="42"/>
      <c r="K1285" s="41"/>
      <c r="L1285" s="135">
        <v>36</v>
      </c>
      <c r="M1285" s="135">
        <v>58004</v>
      </c>
    </row>
    <row r="1286" spans="2:13" outlineLevel="2">
      <c r="B1286" s="35">
        <f t="shared" si="42"/>
        <v>821</v>
      </c>
      <c r="C1286" s="41" t="s">
        <v>69</v>
      </c>
      <c r="D1286" s="41"/>
      <c r="E1286" s="163" t="s">
        <v>191</v>
      </c>
      <c r="F1286" s="94">
        <v>409108</v>
      </c>
      <c r="G1286" s="41"/>
      <c r="H1286" s="41"/>
      <c r="I1286" s="41"/>
      <c r="J1286" s="42"/>
      <c r="K1286" s="41"/>
      <c r="L1286" s="135">
        <v>29</v>
      </c>
      <c r="M1286" s="135">
        <v>58005</v>
      </c>
    </row>
    <row r="1287" spans="2:13" outlineLevel="2">
      <c r="B1287" s="35">
        <f t="shared" si="42"/>
        <v>822</v>
      </c>
      <c r="C1287" s="41" t="s">
        <v>69</v>
      </c>
      <c r="D1287" s="41"/>
      <c r="E1287" s="163" t="s">
        <v>191</v>
      </c>
      <c r="F1287" s="94">
        <v>120777</v>
      </c>
      <c r="G1287" s="41"/>
      <c r="H1287" s="41"/>
      <c r="I1287" s="41"/>
      <c r="J1287" s="42"/>
      <c r="K1287" s="41"/>
      <c r="L1287" s="135">
        <v>15</v>
      </c>
      <c r="M1287" s="135">
        <v>58006</v>
      </c>
    </row>
    <row r="1288" spans="2:13" outlineLevel="2">
      <c r="B1288" s="35">
        <f t="shared" si="42"/>
        <v>823</v>
      </c>
      <c r="C1288" s="41" t="s">
        <v>69</v>
      </c>
      <c r="D1288" s="41"/>
      <c r="E1288" s="163" t="s">
        <v>191</v>
      </c>
      <c r="F1288" s="94">
        <v>155523</v>
      </c>
      <c r="G1288" s="41"/>
      <c r="H1288" s="41"/>
      <c r="I1288" s="41"/>
      <c r="J1288" s="42"/>
      <c r="K1288" s="41"/>
      <c r="L1288" s="135">
        <v>34</v>
      </c>
      <c r="M1288" s="135">
        <v>58007</v>
      </c>
    </row>
    <row r="1289" spans="2:13" outlineLevel="2">
      <c r="B1289" s="35">
        <f t="shared" si="42"/>
        <v>824</v>
      </c>
      <c r="C1289" s="41" t="s">
        <v>69</v>
      </c>
      <c r="D1289" s="41"/>
      <c r="E1289" s="163" t="s">
        <v>191</v>
      </c>
      <c r="F1289" s="94">
        <v>46604</v>
      </c>
      <c r="G1289" s="41"/>
      <c r="H1289" s="41"/>
      <c r="I1289" s="41"/>
      <c r="J1289" s="42"/>
      <c r="K1289" s="41"/>
      <c r="L1289" s="135">
        <v>25</v>
      </c>
      <c r="M1289" s="135">
        <v>58008</v>
      </c>
    </row>
    <row r="1290" spans="2:13" outlineLevel="2">
      <c r="B1290" s="35">
        <f t="shared" si="42"/>
        <v>825</v>
      </c>
      <c r="C1290" s="41" t="s">
        <v>69</v>
      </c>
      <c r="D1290" s="41"/>
      <c r="E1290" s="180" t="s">
        <v>191</v>
      </c>
      <c r="F1290" s="93">
        <v>196272</v>
      </c>
      <c r="G1290" s="41"/>
      <c r="H1290" s="41"/>
      <c r="I1290" s="41"/>
      <c r="J1290" s="42"/>
      <c r="K1290" s="41"/>
      <c r="L1290" s="150">
        <v>14</v>
      </c>
      <c r="M1290" s="150">
        <v>58009</v>
      </c>
    </row>
    <row r="1291" spans="2:13" outlineLevel="2">
      <c r="B1291" s="35">
        <f t="shared" si="42"/>
        <v>826</v>
      </c>
      <c r="C1291" s="41" t="s">
        <v>69</v>
      </c>
      <c r="D1291" s="41"/>
      <c r="E1291" s="137" t="s">
        <v>191</v>
      </c>
      <c r="F1291" s="82">
        <v>185878</v>
      </c>
      <c r="G1291" s="41"/>
      <c r="H1291" s="41"/>
      <c r="I1291" s="41"/>
      <c r="J1291" s="42"/>
      <c r="K1291" s="41"/>
      <c r="L1291" s="137">
        <v>7</v>
      </c>
      <c r="M1291" s="137">
        <v>58010</v>
      </c>
    </row>
    <row r="1292" spans="2:13" outlineLevel="2">
      <c r="B1292" s="35">
        <f t="shared" si="42"/>
        <v>827</v>
      </c>
      <c r="C1292" s="41" t="s">
        <v>69</v>
      </c>
      <c r="D1292" s="41"/>
      <c r="E1292" s="92" t="s">
        <v>191</v>
      </c>
      <c r="F1292" s="84">
        <v>137274</v>
      </c>
      <c r="G1292" s="41"/>
      <c r="H1292" s="41"/>
      <c r="I1292" s="41"/>
      <c r="J1292" s="42"/>
      <c r="K1292" s="41"/>
      <c r="L1292" s="92">
        <v>2</v>
      </c>
      <c r="M1292" s="92">
        <v>58012</v>
      </c>
    </row>
    <row r="1293" spans="2:13" outlineLevel="2">
      <c r="B1293" s="35">
        <f t="shared" si="42"/>
        <v>828</v>
      </c>
      <c r="C1293" s="41" t="s">
        <v>69</v>
      </c>
      <c r="D1293" s="41"/>
      <c r="E1293" s="92" t="s">
        <v>191</v>
      </c>
      <c r="F1293" s="84">
        <v>1007978</v>
      </c>
      <c r="G1293" s="41"/>
      <c r="H1293" s="41"/>
      <c r="I1293" s="41"/>
      <c r="J1293" s="42"/>
      <c r="K1293" s="41"/>
      <c r="L1293" s="92">
        <v>3</v>
      </c>
      <c r="M1293" s="92">
        <v>58013</v>
      </c>
    </row>
    <row r="1294" spans="2:13" outlineLevel="2">
      <c r="B1294" s="35">
        <f t="shared" si="42"/>
        <v>829</v>
      </c>
      <c r="C1294" s="41" t="s">
        <v>69</v>
      </c>
      <c r="D1294" s="41"/>
      <c r="E1294" s="92" t="s">
        <v>191</v>
      </c>
      <c r="F1294" s="84">
        <v>700469</v>
      </c>
      <c r="G1294" s="41"/>
      <c r="H1294" s="41"/>
      <c r="I1294" s="41"/>
      <c r="J1294" s="42"/>
      <c r="K1294" s="41"/>
      <c r="L1294" s="92">
        <v>27</v>
      </c>
      <c r="M1294" s="92">
        <v>58015</v>
      </c>
    </row>
    <row r="1295" spans="2:13" outlineLevel="2">
      <c r="B1295" s="35">
        <f t="shared" si="42"/>
        <v>830</v>
      </c>
      <c r="C1295" s="41" t="s">
        <v>69</v>
      </c>
      <c r="D1295" s="41"/>
      <c r="E1295" s="92" t="s">
        <v>191</v>
      </c>
      <c r="F1295" s="262">
        <v>157383</v>
      </c>
      <c r="G1295" s="41"/>
      <c r="H1295" s="41"/>
      <c r="I1295" s="41"/>
      <c r="J1295" s="42"/>
      <c r="K1295" s="41"/>
      <c r="L1295" s="92">
        <v>19</v>
      </c>
      <c r="M1295" s="92">
        <v>58016</v>
      </c>
    </row>
    <row r="1296" spans="2:13" outlineLevel="2">
      <c r="B1296" s="35">
        <f t="shared" si="42"/>
        <v>831</v>
      </c>
      <c r="C1296" s="41" t="s">
        <v>69</v>
      </c>
      <c r="D1296" s="41"/>
      <c r="E1296" s="92" t="s">
        <v>191</v>
      </c>
      <c r="F1296" s="84">
        <v>494726</v>
      </c>
      <c r="G1296" s="41"/>
      <c r="H1296" s="41"/>
      <c r="I1296" s="41"/>
      <c r="J1296" s="42"/>
      <c r="K1296" s="41"/>
      <c r="L1296" s="92">
        <v>42</v>
      </c>
      <c r="M1296" s="92">
        <v>58018</v>
      </c>
    </row>
    <row r="1297" spans="2:13" outlineLevel="2">
      <c r="B1297" s="35">
        <f t="shared" si="42"/>
        <v>832</v>
      </c>
      <c r="C1297" s="41" t="s">
        <v>69</v>
      </c>
      <c r="D1297" s="41"/>
      <c r="E1297" s="163" t="s">
        <v>191</v>
      </c>
      <c r="F1297" s="94">
        <v>412603</v>
      </c>
      <c r="G1297" s="41"/>
      <c r="H1297" s="41"/>
      <c r="I1297" s="41"/>
      <c r="J1297" s="42"/>
      <c r="K1297" s="41"/>
      <c r="L1297" s="135">
        <v>5</v>
      </c>
      <c r="M1297" s="135">
        <v>58019</v>
      </c>
    </row>
    <row r="1298" spans="2:13" outlineLevel="2">
      <c r="B1298" s="35">
        <f t="shared" si="42"/>
        <v>833</v>
      </c>
      <c r="C1298" s="41" t="s">
        <v>69</v>
      </c>
      <c r="D1298" s="41"/>
      <c r="E1298" s="163" t="s">
        <v>191</v>
      </c>
      <c r="F1298" s="94">
        <v>494016</v>
      </c>
      <c r="G1298" s="41"/>
      <c r="H1298" s="41"/>
      <c r="I1298" s="41"/>
      <c r="J1298" s="42"/>
      <c r="K1298" s="41"/>
      <c r="L1298" s="135">
        <v>43</v>
      </c>
      <c r="M1298" s="135">
        <v>58020</v>
      </c>
    </row>
    <row r="1299" spans="2:13" outlineLevel="2">
      <c r="B1299" s="35">
        <f t="shared" si="42"/>
        <v>834</v>
      </c>
      <c r="C1299" s="41" t="s">
        <v>69</v>
      </c>
      <c r="D1299" s="41"/>
      <c r="E1299" s="163" t="s">
        <v>191</v>
      </c>
      <c r="F1299" s="94">
        <v>492919</v>
      </c>
      <c r="G1299" s="41"/>
      <c r="H1299" s="41"/>
      <c r="I1299" s="41"/>
      <c r="J1299" s="42"/>
      <c r="K1299" s="41"/>
      <c r="L1299" s="135">
        <v>4</v>
      </c>
      <c r="M1299" s="135">
        <v>58021</v>
      </c>
    </row>
    <row r="1300" spans="2:13" outlineLevel="2">
      <c r="B1300" s="35">
        <f t="shared" si="42"/>
        <v>835</v>
      </c>
      <c r="C1300" s="41" t="s">
        <v>69</v>
      </c>
      <c r="D1300" s="41"/>
      <c r="E1300" s="163" t="s">
        <v>191</v>
      </c>
      <c r="F1300" s="94">
        <v>497107</v>
      </c>
      <c r="G1300" s="41"/>
      <c r="H1300" s="41"/>
      <c r="I1300" s="41"/>
      <c r="J1300" s="42"/>
      <c r="K1300" s="41"/>
      <c r="L1300" s="135">
        <v>2</v>
      </c>
      <c r="M1300" s="135">
        <v>58022</v>
      </c>
    </row>
    <row r="1301" spans="2:13" outlineLevel="2">
      <c r="B1301" s="35">
        <f t="shared" si="42"/>
        <v>836</v>
      </c>
      <c r="C1301" s="41" t="s">
        <v>69</v>
      </c>
      <c r="D1301" s="41"/>
      <c r="E1301" s="163" t="s">
        <v>191</v>
      </c>
      <c r="F1301" s="94">
        <v>178536</v>
      </c>
      <c r="G1301" s="163" t="s">
        <v>172</v>
      </c>
      <c r="H1301" s="41"/>
      <c r="I1301" s="41"/>
      <c r="J1301" s="42"/>
      <c r="K1301" s="41"/>
      <c r="L1301" s="135">
        <v>28</v>
      </c>
      <c r="M1301" s="135">
        <v>58037</v>
      </c>
    </row>
    <row r="1302" spans="2:13" outlineLevel="2">
      <c r="B1302" s="35">
        <f t="shared" si="42"/>
        <v>837</v>
      </c>
      <c r="C1302" s="41" t="s">
        <v>69</v>
      </c>
      <c r="D1302" s="41"/>
      <c r="E1302" s="163" t="s">
        <v>191</v>
      </c>
      <c r="F1302" s="94">
        <v>435950</v>
      </c>
      <c r="G1302" s="163" t="s">
        <v>172</v>
      </c>
      <c r="H1302" s="41"/>
      <c r="I1302" s="41"/>
      <c r="J1302" s="42"/>
      <c r="K1302" s="41"/>
      <c r="L1302" s="135">
        <v>17</v>
      </c>
      <c r="M1302" s="135">
        <v>58038</v>
      </c>
    </row>
    <row r="1303" spans="2:13" outlineLevel="2">
      <c r="B1303" s="35">
        <f t="shared" si="42"/>
        <v>838</v>
      </c>
      <c r="C1303" s="41" t="s">
        <v>69</v>
      </c>
      <c r="D1303" s="41"/>
      <c r="E1303" s="163" t="s">
        <v>191</v>
      </c>
      <c r="F1303" s="94">
        <v>84755</v>
      </c>
      <c r="G1303" s="163" t="s">
        <v>172</v>
      </c>
      <c r="H1303" s="41"/>
      <c r="I1303" s="41"/>
      <c r="J1303" s="42"/>
      <c r="K1303" s="41"/>
      <c r="L1303" s="135">
        <v>25</v>
      </c>
      <c r="M1303" s="135">
        <v>58039</v>
      </c>
    </row>
    <row r="1304" spans="2:13" outlineLevel="2">
      <c r="B1304" s="35">
        <f t="shared" si="42"/>
        <v>839</v>
      </c>
      <c r="C1304" s="41" t="s">
        <v>69</v>
      </c>
      <c r="D1304" s="41"/>
      <c r="E1304" s="163" t="s">
        <v>191</v>
      </c>
      <c r="F1304" s="94">
        <v>355425</v>
      </c>
      <c r="G1304" s="163" t="s">
        <v>172</v>
      </c>
      <c r="H1304" s="41"/>
      <c r="I1304" s="41"/>
      <c r="J1304" s="42"/>
      <c r="K1304" s="41"/>
      <c r="L1304" s="135">
        <v>3</v>
      </c>
      <c r="M1304" s="135">
        <v>58040</v>
      </c>
    </row>
    <row r="1305" spans="2:13" outlineLevel="2">
      <c r="B1305" s="35">
        <f t="shared" si="42"/>
        <v>840</v>
      </c>
      <c r="C1305" s="41" t="s">
        <v>69</v>
      </c>
      <c r="D1305" s="41"/>
      <c r="E1305" s="163" t="s">
        <v>191</v>
      </c>
      <c r="F1305" s="94">
        <v>108090</v>
      </c>
      <c r="G1305" s="163" t="s">
        <v>172</v>
      </c>
      <c r="H1305" s="41"/>
      <c r="I1305" s="41"/>
      <c r="J1305" s="42"/>
      <c r="K1305" s="41"/>
      <c r="L1305" s="135">
        <v>2</v>
      </c>
      <c r="M1305" s="135">
        <v>58042</v>
      </c>
    </row>
    <row r="1306" spans="2:13" outlineLevel="2">
      <c r="B1306" s="35">
        <f t="shared" si="42"/>
        <v>841</v>
      </c>
      <c r="C1306" s="41" t="s">
        <v>69</v>
      </c>
      <c r="D1306" s="41"/>
      <c r="E1306" s="163" t="s">
        <v>191</v>
      </c>
      <c r="F1306" s="94">
        <v>174427</v>
      </c>
      <c r="G1306" s="163" t="s">
        <v>172</v>
      </c>
      <c r="H1306" s="41"/>
      <c r="I1306" s="41"/>
      <c r="J1306" s="42"/>
      <c r="K1306" s="41"/>
      <c r="L1306" s="135">
        <v>2</v>
      </c>
      <c r="M1306" s="135">
        <v>58043</v>
      </c>
    </row>
    <row r="1307" spans="2:13" outlineLevel="2">
      <c r="B1307" s="35">
        <f t="shared" si="42"/>
        <v>842</v>
      </c>
      <c r="C1307" s="41" t="s">
        <v>69</v>
      </c>
      <c r="D1307" s="41"/>
      <c r="E1307" s="163" t="s">
        <v>191</v>
      </c>
      <c r="F1307" s="94">
        <v>641923</v>
      </c>
      <c r="G1307" s="163" t="s">
        <v>172</v>
      </c>
      <c r="H1307" s="41"/>
      <c r="I1307" s="41"/>
      <c r="J1307" s="42"/>
      <c r="K1307" s="41"/>
      <c r="L1307" s="135">
        <v>39</v>
      </c>
      <c r="M1307" s="135">
        <v>58044</v>
      </c>
    </row>
    <row r="1308" spans="2:13" outlineLevel="2">
      <c r="B1308" s="35">
        <f t="shared" si="42"/>
        <v>843</v>
      </c>
      <c r="C1308" s="41" t="s">
        <v>69</v>
      </c>
      <c r="D1308" s="41"/>
      <c r="E1308" s="163" t="s">
        <v>191</v>
      </c>
      <c r="F1308" s="167">
        <v>549176</v>
      </c>
      <c r="G1308" s="163" t="s">
        <v>172</v>
      </c>
      <c r="H1308" s="41"/>
      <c r="I1308" s="41"/>
      <c r="J1308" s="42"/>
      <c r="K1308" s="41"/>
      <c r="L1308" s="135">
        <v>45</v>
      </c>
      <c r="M1308" s="135">
        <v>58047</v>
      </c>
    </row>
    <row r="1309" spans="2:13" outlineLevel="2">
      <c r="B1309" s="35">
        <f t="shared" si="42"/>
        <v>844</v>
      </c>
      <c r="C1309" s="41" t="s">
        <v>69</v>
      </c>
      <c r="D1309" s="41"/>
      <c r="E1309" s="163" t="s">
        <v>191</v>
      </c>
      <c r="F1309" s="94">
        <v>441223</v>
      </c>
      <c r="G1309" s="163" t="s">
        <v>172</v>
      </c>
      <c r="H1309" s="41"/>
      <c r="I1309" s="41"/>
      <c r="J1309" s="42"/>
      <c r="K1309" s="41"/>
      <c r="L1309" s="135">
        <v>4</v>
      </c>
      <c r="M1309" s="135">
        <v>58049</v>
      </c>
    </row>
    <row r="1310" spans="2:13" outlineLevel="2">
      <c r="B1310" s="35">
        <f t="shared" si="42"/>
        <v>845</v>
      </c>
      <c r="C1310" s="41" t="s">
        <v>69</v>
      </c>
      <c r="D1310" s="41"/>
      <c r="E1310" s="163" t="s">
        <v>191</v>
      </c>
      <c r="F1310" s="94">
        <v>133041</v>
      </c>
      <c r="G1310" s="163" t="s">
        <v>172</v>
      </c>
      <c r="H1310" s="41"/>
      <c r="I1310" s="41"/>
      <c r="J1310" s="42"/>
      <c r="K1310" s="41"/>
      <c r="L1310" s="135">
        <v>25</v>
      </c>
      <c r="M1310" s="135">
        <v>58050</v>
      </c>
    </row>
    <row r="1311" spans="2:13" outlineLevel="2">
      <c r="B1311" s="35">
        <f t="shared" si="42"/>
        <v>846</v>
      </c>
      <c r="C1311" s="41" t="s">
        <v>69</v>
      </c>
      <c r="D1311" s="41"/>
      <c r="E1311" s="163" t="s">
        <v>191</v>
      </c>
      <c r="F1311" s="94">
        <v>372840</v>
      </c>
      <c r="G1311" s="163" t="s">
        <v>172</v>
      </c>
      <c r="H1311" s="41"/>
      <c r="I1311" s="41"/>
      <c r="J1311" s="42"/>
      <c r="K1311" s="41"/>
      <c r="L1311" s="135">
        <v>34</v>
      </c>
      <c r="M1311" s="135">
        <v>58051</v>
      </c>
    </row>
    <row r="1312" spans="2:13" outlineLevel="2">
      <c r="B1312" s="35">
        <f t="shared" si="42"/>
        <v>847</v>
      </c>
      <c r="C1312" s="41" t="s">
        <v>69</v>
      </c>
      <c r="D1312" s="41"/>
      <c r="E1312" s="163" t="s">
        <v>191</v>
      </c>
      <c r="F1312" s="94">
        <v>424876</v>
      </c>
      <c r="G1312" s="163" t="s">
        <v>172</v>
      </c>
      <c r="H1312" s="41"/>
      <c r="I1312" s="41"/>
      <c r="J1312" s="42"/>
      <c r="K1312" s="41"/>
      <c r="L1312" s="135">
        <v>29</v>
      </c>
      <c r="M1312" s="135">
        <v>58052</v>
      </c>
    </row>
    <row r="1313" spans="2:13" outlineLevel="2">
      <c r="B1313" s="35">
        <f t="shared" si="42"/>
        <v>848</v>
      </c>
      <c r="C1313" s="41" t="s">
        <v>69</v>
      </c>
      <c r="D1313" s="41"/>
      <c r="E1313" s="163" t="s">
        <v>191</v>
      </c>
      <c r="F1313" s="94">
        <v>557779</v>
      </c>
      <c r="G1313" s="163" t="s">
        <v>172</v>
      </c>
      <c r="H1313" s="41"/>
      <c r="I1313" s="41"/>
      <c r="J1313" s="42"/>
      <c r="K1313" s="41"/>
      <c r="L1313" s="135">
        <v>17</v>
      </c>
      <c r="M1313" s="135">
        <v>58053</v>
      </c>
    </row>
    <row r="1314" spans="2:13" outlineLevel="2">
      <c r="B1314" s="35">
        <f t="shared" si="42"/>
        <v>849</v>
      </c>
      <c r="C1314" s="41" t="s">
        <v>69</v>
      </c>
      <c r="D1314" s="41"/>
      <c r="E1314" s="163" t="s">
        <v>191</v>
      </c>
      <c r="F1314" s="94">
        <v>557855</v>
      </c>
      <c r="G1314" s="163" t="s">
        <v>172</v>
      </c>
      <c r="H1314" s="41"/>
      <c r="I1314" s="41"/>
      <c r="J1314" s="42"/>
      <c r="K1314" s="41"/>
      <c r="L1314" s="135">
        <v>19</v>
      </c>
      <c r="M1314" s="135">
        <v>58054</v>
      </c>
    </row>
    <row r="1315" spans="2:13" outlineLevel="2">
      <c r="B1315" s="35">
        <f t="shared" si="42"/>
        <v>850</v>
      </c>
      <c r="C1315" s="41" t="s">
        <v>69</v>
      </c>
      <c r="D1315" s="41"/>
      <c r="E1315" s="163" t="s">
        <v>191</v>
      </c>
      <c r="F1315" s="94">
        <v>492867</v>
      </c>
      <c r="G1315" s="163" t="s">
        <v>172</v>
      </c>
      <c r="H1315" s="41"/>
      <c r="I1315" s="41"/>
      <c r="J1315" s="42"/>
      <c r="K1315" s="41"/>
      <c r="L1315" s="135">
        <v>3</v>
      </c>
      <c r="M1315" s="135">
        <v>58055</v>
      </c>
    </row>
    <row r="1316" spans="2:13" outlineLevel="2">
      <c r="B1316" s="35">
        <f t="shared" si="42"/>
        <v>851</v>
      </c>
      <c r="C1316" s="41" t="s">
        <v>69</v>
      </c>
      <c r="D1316" s="41"/>
      <c r="E1316" s="163" t="s">
        <v>191</v>
      </c>
      <c r="F1316" s="94">
        <v>513535</v>
      </c>
      <c r="G1316" s="163" t="s">
        <v>172</v>
      </c>
      <c r="H1316" s="41"/>
      <c r="I1316" s="41"/>
      <c r="J1316" s="42"/>
      <c r="K1316" s="41"/>
      <c r="L1316" s="135">
        <v>5</v>
      </c>
      <c r="M1316" s="135">
        <v>58056</v>
      </c>
    </row>
    <row r="1317" spans="2:13" outlineLevel="2">
      <c r="B1317" s="35">
        <f t="shared" si="42"/>
        <v>852</v>
      </c>
      <c r="C1317" s="41" t="s">
        <v>69</v>
      </c>
      <c r="D1317" s="41"/>
      <c r="E1317" s="163" t="s">
        <v>191</v>
      </c>
      <c r="F1317" s="94">
        <v>513230</v>
      </c>
      <c r="G1317" s="163" t="s">
        <v>172</v>
      </c>
      <c r="H1317" s="41"/>
      <c r="I1317" s="41"/>
      <c r="J1317" s="42"/>
      <c r="K1317" s="41"/>
      <c r="L1317" s="135">
        <v>25</v>
      </c>
      <c r="M1317" s="135">
        <v>58057</v>
      </c>
    </row>
    <row r="1318" spans="2:13" outlineLevel="2">
      <c r="B1318" s="35">
        <f t="shared" si="42"/>
        <v>853</v>
      </c>
      <c r="C1318" s="41" t="s">
        <v>69</v>
      </c>
      <c r="D1318" s="41"/>
      <c r="E1318" s="163" t="s">
        <v>191</v>
      </c>
      <c r="F1318" s="94">
        <v>437146</v>
      </c>
      <c r="G1318" s="163" t="s">
        <v>172</v>
      </c>
      <c r="H1318" s="41"/>
      <c r="I1318" s="41"/>
      <c r="J1318" s="42"/>
      <c r="K1318" s="41"/>
      <c r="L1318" s="135">
        <v>5</v>
      </c>
      <c r="M1318" s="135">
        <v>58058</v>
      </c>
    </row>
    <row r="1319" spans="2:13" outlineLevel="2">
      <c r="B1319" s="35">
        <f t="shared" si="42"/>
        <v>854</v>
      </c>
      <c r="C1319" s="41" t="s">
        <v>69</v>
      </c>
      <c r="D1319" s="41"/>
      <c r="E1319" s="163" t="s">
        <v>191</v>
      </c>
      <c r="F1319" s="94">
        <v>497421</v>
      </c>
      <c r="G1319" s="163" t="s">
        <v>172</v>
      </c>
      <c r="H1319" s="41"/>
      <c r="I1319" s="41"/>
      <c r="J1319" s="42"/>
      <c r="K1319" s="41"/>
      <c r="L1319" s="135">
        <v>4</v>
      </c>
      <c r="M1319" s="135">
        <v>58059</v>
      </c>
    </row>
    <row r="1320" spans="2:13" outlineLevel="2">
      <c r="B1320" s="35">
        <f t="shared" si="42"/>
        <v>855</v>
      </c>
      <c r="C1320" s="41" t="s">
        <v>69</v>
      </c>
      <c r="D1320" s="41"/>
      <c r="E1320" s="163" t="s">
        <v>191</v>
      </c>
      <c r="F1320" s="94">
        <v>575758</v>
      </c>
      <c r="G1320" s="163" t="s">
        <v>172</v>
      </c>
      <c r="H1320" s="41"/>
      <c r="I1320" s="41"/>
      <c r="J1320" s="42"/>
      <c r="K1320" s="41"/>
      <c r="L1320" s="135">
        <v>25</v>
      </c>
      <c r="M1320" s="135">
        <v>58060</v>
      </c>
    </row>
    <row r="1321" spans="2:13" outlineLevel="2">
      <c r="B1321" s="35">
        <f t="shared" si="42"/>
        <v>856</v>
      </c>
      <c r="C1321" s="41" t="s">
        <v>69</v>
      </c>
      <c r="D1321" s="41"/>
      <c r="E1321" s="163" t="s">
        <v>191</v>
      </c>
      <c r="F1321" s="94">
        <v>557820</v>
      </c>
      <c r="G1321" s="163" t="s">
        <v>172</v>
      </c>
      <c r="H1321" s="41"/>
      <c r="I1321" s="41"/>
      <c r="J1321" s="42"/>
      <c r="K1321" s="41"/>
      <c r="L1321" s="135">
        <v>34</v>
      </c>
      <c r="M1321" s="135">
        <v>58061</v>
      </c>
    </row>
    <row r="1322" spans="2:13" outlineLevel="2">
      <c r="B1322" s="35">
        <f t="shared" si="42"/>
        <v>857</v>
      </c>
      <c r="C1322" s="41" t="s">
        <v>69</v>
      </c>
      <c r="D1322" s="41"/>
      <c r="E1322" s="163" t="s">
        <v>191</v>
      </c>
      <c r="F1322" s="94">
        <v>441412</v>
      </c>
      <c r="G1322" s="163" t="s">
        <v>172</v>
      </c>
      <c r="H1322" s="41"/>
      <c r="I1322" s="41"/>
      <c r="J1322" s="42"/>
      <c r="K1322" s="41"/>
      <c r="L1322" s="135">
        <v>17</v>
      </c>
      <c r="M1322" s="135">
        <v>58063</v>
      </c>
    </row>
    <row r="1323" spans="2:13" outlineLevel="2">
      <c r="B1323" s="35">
        <f t="shared" si="42"/>
        <v>858</v>
      </c>
      <c r="C1323" s="41" t="s">
        <v>69</v>
      </c>
      <c r="D1323" s="41"/>
      <c r="E1323" s="163" t="s">
        <v>191</v>
      </c>
      <c r="F1323" s="94">
        <v>151996</v>
      </c>
      <c r="G1323" s="163" t="s">
        <v>172</v>
      </c>
      <c r="H1323" s="41"/>
      <c r="I1323" s="41"/>
      <c r="J1323" s="42"/>
      <c r="K1323" s="41"/>
      <c r="L1323" s="135">
        <v>19</v>
      </c>
      <c r="M1323" s="135">
        <v>58064</v>
      </c>
    </row>
    <row r="1324" spans="2:13" outlineLevel="2">
      <c r="B1324" s="35">
        <f t="shared" si="42"/>
        <v>859</v>
      </c>
      <c r="C1324" s="41" t="s">
        <v>69</v>
      </c>
      <c r="D1324" s="41"/>
      <c r="E1324" s="163" t="s">
        <v>191</v>
      </c>
      <c r="F1324" s="94">
        <v>549429</v>
      </c>
      <c r="G1324" s="163" t="s">
        <v>172</v>
      </c>
      <c r="H1324" s="41"/>
      <c r="I1324" s="41"/>
      <c r="J1324" s="42"/>
      <c r="K1324" s="41"/>
      <c r="L1324" s="135">
        <v>41</v>
      </c>
      <c r="M1324" s="135">
        <v>58065</v>
      </c>
    </row>
    <row r="1325" spans="2:13" outlineLevel="2">
      <c r="B1325" s="35">
        <f t="shared" si="42"/>
        <v>860</v>
      </c>
      <c r="C1325" s="41" t="s">
        <v>69</v>
      </c>
      <c r="D1325" s="41"/>
      <c r="E1325" s="163" t="s">
        <v>191</v>
      </c>
      <c r="F1325" s="94">
        <v>109858</v>
      </c>
      <c r="G1325" s="163" t="s">
        <v>172</v>
      </c>
      <c r="H1325" s="41"/>
      <c r="I1325" s="41"/>
      <c r="J1325" s="42"/>
      <c r="K1325" s="41"/>
      <c r="L1325" s="135">
        <v>26</v>
      </c>
      <c r="M1325" s="135">
        <v>58066</v>
      </c>
    </row>
    <row r="1326" spans="2:13" outlineLevel="2">
      <c r="B1326" s="35">
        <f t="shared" si="42"/>
        <v>861</v>
      </c>
      <c r="C1326" s="41" t="s">
        <v>69</v>
      </c>
      <c r="D1326" s="41"/>
      <c r="E1326" s="163" t="s">
        <v>191</v>
      </c>
      <c r="F1326" s="94">
        <v>226342</v>
      </c>
      <c r="G1326" s="163">
        <v>5020777</v>
      </c>
      <c r="H1326" s="41"/>
      <c r="I1326" s="41"/>
      <c r="J1326" s="42"/>
      <c r="K1326" s="41"/>
      <c r="L1326" s="135" t="s">
        <v>172</v>
      </c>
      <c r="M1326" s="135">
        <v>58090</v>
      </c>
    </row>
    <row r="1327" spans="2:13" outlineLevel="2">
      <c r="B1327" s="35">
        <f t="shared" si="42"/>
        <v>862</v>
      </c>
      <c r="C1327" s="41" t="s">
        <v>69</v>
      </c>
      <c r="D1327" s="41"/>
      <c r="E1327" s="163" t="s">
        <v>191</v>
      </c>
      <c r="F1327" s="94">
        <v>185888</v>
      </c>
      <c r="G1327" s="163" t="s">
        <v>172</v>
      </c>
      <c r="H1327" s="41"/>
      <c r="I1327" s="41"/>
      <c r="J1327" s="42"/>
      <c r="K1327" s="41"/>
      <c r="L1327" s="135" t="s">
        <v>172</v>
      </c>
      <c r="M1327" s="135">
        <v>58092</v>
      </c>
    </row>
    <row r="1328" spans="2:13" outlineLevel="2">
      <c r="B1328" s="35">
        <f t="shared" si="42"/>
        <v>863</v>
      </c>
      <c r="C1328" s="41" t="s">
        <v>69</v>
      </c>
      <c r="D1328" s="41"/>
      <c r="E1328" s="163" t="s">
        <v>191</v>
      </c>
      <c r="F1328" s="94">
        <v>352781</v>
      </c>
      <c r="G1328" s="163" t="s">
        <v>172</v>
      </c>
      <c r="H1328" s="41"/>
      <c r="I1328" s="41"/>
      <c r="J1328" s="42"/>
      <c r="K1328" s="41"/>
      <c r="L1328" s="135" t="s">
        <v>172</v>
      </c>
      <c r="M1328" s="135">
        <v>58093</v>
      </c>
    </row>
    <row r="1329" spans="2:13" outlineLevel="2">
      <c r="B1329" s="35">
        <f t="shared" si="42"/>
        <v>864</v>
      </c>
      <c r="C1329" s="41" t="s">
        <v>69</v>
      </c>
      <c r="D1329" s="41"/>
      <c r="E1329" s="163" t="s">
        <v>191</v>
      </c>
      <c r="F1329" s="94">
        <v>409064</v>
      </c>
      <c r="G1329" s="163" t="s">
        <v>172</v>
      </c>
      <c r="H1329" s="41"/>
      <c r="I1329" s="41"/>
      <c r="J1329" s="42"/>
      <c r="K1329" s="41"/>
      <c r="L1329" s="135" t="s">
        <v>172</v>
      </c>
      <c r="M1329" s="135">
        <v>58094</v>
      </c>
    </row>
    <row r="1330" spans="2:13" outlineLevel="2">
      <c r="B1330" s="35">
        <f t="shared" si="42"/>
        <v>865</v>
      </c>
      <c r="C1330" s="41" t="s">
        <v>69</v>
      </c>
      <c r="D1330" s="41"/>
      <c r="E1330" s="163" t="s">
        <v>191</v>
      </c>
      <c r="F1330" s="94">
        <v>207457</v>
      </c>
      <c r="G1330" s="163" t="s">
        <v>172</v>
      </c>
      <c r="H1330" s="41"/>
      <c r="I1330" s="41"/>
      <c r="J1330" s="42"/>
      <c r="K1330" s="41"/>
      <c r="L1330" s="135" t="s">
        <v>172</v>
      </c>
      <c r="M1330" s="135">
        <v>58095</v>
      </c>
    </row>
    <row r="1331" spans="2:13" outlineLevel="2">
      <c r="B1331" s="35">
        <f t="shared" si="42"/>
        <v>866</v>
      </c>
      <c r="C1331" s="41" t="s">
        <v>69</v>
      </c>
      <c r="D1331" s="41"/>
      <c r="E1331" s="163" t="s">
        <v>191</v>
      </c>
      <c r="F1331" s="94">
        <v>60106</v>
      </c>
      <c r="G1331" s="163" t="s">
        <v>172</v>
      </c>
      <c r="H1331" s="41"/>
      <c r="I1331" s="41"/>
      <c r="J1331" s="42"/>
      <c r="K1331" s="41"/>
      <c r="L1331" s="135" t="s">
        <v>172</v>
      </c>
      <c r="M1331" s="135">
        <v>58096</v>
      </c>
    </row>
    <row r="1332" spans="2:13" outlineLevel="2">
      <c r="B1332" s="35">
        <f t="shared" si="42"/>
        <v>867</v>
      </c>
      <c r="C1332" s="41" t="s">
        <v>69</v>
      </c>
      <c r="D1332" s="41"/>
      <c r="E1332" s="163" t="s">
        <v>191</v>
      </c>
      <c r="F1332" s="94">
        <v>217918</v>
      </c>
      <c r="G1332" s="163" t="s">
        <v>172</v>
      </c>
      <c r="H1332" s="41"/>
      <c r="I1332" s="41"/>
      <c r="J1332" s="42"/>
      <c r="K1332" s="41"/>
      <c r="L1332" s="135" t="s">
        <v>172</v>
      </c>
      <c r="M1332" s="135">
        <v>58097</v>
      </c>
    </row>
    <row r="1333" spans="2:13" outlineLevel="2">
      <c r="B1333" s="35">
        <f t="shared" si="42"/>
        <v>868</v>
      </c>
      <c r="C1333" s="41" t="s">
        <v>69</v>
      </c>
      <c r="D1333" s="41"/>
      <c r="E1333" s="163" t="s">
        <v>167</v>
      </c>
      <c r="F1333" s="94">
        <v>342687</v>
      </c>
      <c r="G1333" s="163" t="s">
        <v>172</v>
      </c>
      <c r="H1333" s="41"/>
      <c r="I1333" s="41"/>
      <c r="J1333" s="42"/>
      <c r="K1333" s="41"/>
      <c r="L1333" s="135" t="s">
        <v>172</v>
      </c>
      <c r="M1333" s="135">
        <v>58098</v>
      </c>
    </row>
    <row r="1334" spans="2:13" outlineLevel="2">
      <c r="B1334" s="35">
        <f t="shared" si="42"/>
        <v>869</v>
      </c>
      <c r="C1334" s="41" t="s">
        <v>69</v>
      </c>
      <c r="D1334" s="41"/>
      <c r="E1334" s="163" t="s">
        <v>191</v>
      </c>
      <c r="F1334" s="94">
        <v>6580</v>
      </c>
      <c r="G1334" s="41"/>
      <c r="H1334" s="41"/>
      <c r="I1334" s="41"/>
      <c r="J1334" s="42"/>
      <c r="K1334" s="41"/>
      <c r="L1334" s="135">
        <v>43</v>
      </c>
      <c r="M1334" s="135">
        <v>59653</v>
      </c>
    </row>
    <row r="1335" spans="2:13" outlineLevel="2">
      <c r="B1335" s="35">
        <f t="shared" si="42"/>
        <v>870</v>
      </c>
      <c r="C1335" s="41" t="s">
        <v>69</v>
      </c>
      <c r="D1335" s="41"/>
      <c r="E1335" s="163" t="s">
        <v>191</v>
      </c>
      <c r="F1335" s="94">
        <v>248288</v>
      </c>
      <c r="G1335" s="41"/>
      <c r="H1335" s="41"/>
      <c r="I1335" s="41"/>
      <c r="J1335" s="42"/>
      <c r="K1335" s="41"/>
      <c r="L1335" s="135">
        <v>47</v>
      </c>
      <c r="M1335" s="135">
        <v>59654</v>
      </c>
    </row>
    <row r="1336" spans="2:13" outlineLevel="2">
      <c r="B1336" s="35">
        <f t="shared" si="42"/>
        <v>871</v>
      </c>
      <c r="C1336" s="41" t="s">
        <v>69</v>
      </c>
      <c r="D1336" s="41"/>
      <c r="E1336" s="163" t="s">
        <v>129</v>
      </c>
      <c r="F1336" s="94">
        <v>7244</v>
      </c>
      <c r="G1336" s="41"/>
      <c r="H1336" s="41"/>
      <c r="I1336" s="41"/>
      <c r="J1336" s="42"/>
      <c r="K1336" s="41"/>
      <c r="L1336" s="135">
        <v>46</v>
      </c>
      <c r="M1336" s="135">
        <v>59655</v>
      </c>
    </row>
    <row r="1337" spans="2:13" outlineLevel="2">
      <c r="B1337" s="35">
        <f t="shared" si="42"/>
        <v>872</v>
      </c>
      <c r="C1337" s="41" t="s">
        <v>69</v>
      </c>
      <c r="D1337" s="41"/>
      <c r="E1337" s="163" t="s">
        <v>129</v>
      </c>
      <c r="F1337" s="94">
        <v>355668</v>
      </c>
      <c r="G1337" s="41"/>
      <c r="H1337" s="41"/>
      <c r="I1337" s="41"/>
      <c r="J1337" s="42"/>
      <c r="K1337" s="41"/>
      <c r="L1337" s="135">
        <v>48</v>
      </c>
      <c r="M1337" s="135">
        <v>59656</v>
      </c>
    </row>
    <row r="1338" spans="2:13" outlineLevel="2">
      <c r="B1338" s="35">
        <f t="shared" si="42"/>
        <v>873</v>
      </c>
      <c r="C1338" s="41" t="s">
        <v>69</v>
      </c>
      <c r="D1338" s="41"/>
      <c r="E1338" s="163" t="s">
        <v>191</v>
      </c>
      <c r="F1338" s="94">
        <v>207925</v>
      </c>
      <c r="G1338" s="41"/>
      <c r="H1338" s="41"/>
      <c r="I1338" s="41"/>
      <c r="J1338" s="42"/>
      <c r="K1338" s="41"/>
      <c r="L1338" s="135">
        <v>6</v>
      </c>
      <c r="M1338" s="135">
        <v>59658</v>
      </c>
    </row>
    <row r="1339" spans="2:13" outlineLevel="2">
      <c r="B1339" s="35">
        <f t="shared" si="42"/>
        <v>874</v>
      </c>
      <c r="C1339" s="41" t="s">
        <v>69</v>
      </c>
      <c r="D1339" s="41"/>
      <c r="E1339" s="163" t="s">
        <v>129</v>
      </c>
      <c r="F1339" s="94">
        <v>79489</v>
      </c>
      <c r="G1339" s="41"/>
      <c r="H1339" s="41"/>
      <c r="I1339" s="41"/>
      <c r="J1339" s="42"/>
      <c r="K1339" s="41"/>
      <c r="L1339" s="135">
        <v>47</v>
      </c>
      <c r="M1339" s="135">
        <v>59659</v>
      </c>
    </row>
    <row r="1340" spans="2:13" outlineLevel="2">
      <c r="B1340" s="35">
        <f t="shared" si="42"/>
        <v>875</v>
      </c>
      <c r="C1340" s="41" t="s">
        <v>69</v>
      </c>
      <c r="D1340" s="41"/>
      <c r="E1340" s="163" t="s">
        <v>191</v>
      </c>
      <c r="F1340" s="94">
        <v>349762</v>
      </c>
      <c r="G1340" s="41"/>
      <c r="H1340" s="41"/>
      <c r="I1340" s="41"/>
      <c r="J1340" s="42"/>
      <c r="K1340" s="41"/>
      <c r="L1340" s="135">
        <v>2</v>
      </c>
      <c r="M1340" s="135">
        <v>59660</v>
      </c>
    </row>
    <row r="1341" spans="2:13" outlineLevel="2">
      <c r="B1341" s="35">
        <f t="shared" si="42"/>
        <v>876</v>
      </c>
      <c r="C1341" s="41" t="s">
        <v>69</v>
      </c>
      <c r="D1341" s="41"/>
      <c r="E1341" s="163" t="s">
        <v>173</v>
      </c>
      <c r="F1341" s="94">
        <v>59993</v>
      </c>
      <c r="G1341" s="41"/>
      <c r="H1341" s="41"/>
      <c r="I1341" s="41"/>
      <c r="J1341" s="42"/>
      <c r="K1341" s="41"/>
      <c r="L1341" s="135">
        <v>8</v>
      </c>
      <c r="M1341" s="135">
        <v>59662</v>
      </c>
    </row>
    <row r="1342" spans="2:13" outlineLevel="2">
      <c r="B1342" s="35">
        <f t="shared" si="42"/>
        <v>877</v>
      </c>
      <c r="C1342" s="41" t="s">
        <v>69</v>
      </c>
      <c r="D1342" s="41"/>
      <c r="E1342" s="163" t="s">
        <v>191</v>
      </c>
      <c r="F1342" s="94">
        <v>9685794</v>
      </c>
      <c r="G1342" s="41"/>
      <c r="H1342" s="41"/>
      <c r="I1342" s="41"/>
      <c r="J1342" s="42"/>
      <c r="K1342" s="41"/>
      <c r="L1342" s="135">
        <v>2</v>
      </c>
      <c r="M1342" s="135">
        <v>59664</v>
      </c>
    </row>
    <row r="1343" spans="2:13" outlineLevel="2">
      <c r="B1343" s="35">
        <f t="shared" ref="B1343:B1362" si="43">(B1342+1)</f>
        <v>878</v>
      </c>
      <c r="C1343" s="41" t="s">
        <v>69</v>
      </c>
      <c r="D1343" s="41"/>
      <c r="E1343" s="163" t="s">
        <v>191</v>
      </c>
      <c r="F1343" s="94">
        <v>31626</v>
      </c>
      <c r="G1343" s="41"/>
      <c r="H1343" s="41"/>
      <c r="I1343" s="41"/>
      <c r="J1343" s="42"/>
      <c r="K1343" s="41"/>
      <c r="L1343" s="135">
        <v>3</v>
      </c>
      <c r="M1343" s="135">
        <v>59666</v>
      </c>
    </row>
    <row r="1344" spans="2:13" outlineLevel="2">
      <c r="B1344" s="35">
        <f t="shared" si="43"/>
        <v>879</v>
      </c>
      <c r="C1344" s="41" t="s">
        <v>69</v>
      </c>
      <c r="D1344" s="41"/>
      <c r="E1344" s="163" t="s">
        <v>191</v>
      </c>
      <c r="F1344" s="94">
        <v>191037</v>
      </c>
      <c r="G1344" s="41"/>
      <c r="H1344" s="41"/>
      <c r="I1344" s="41"/>
      <c r="J1344" s="42"/>
      <c r="K1344" s="41"/>
      <c r="L1344" s="135">
        <v>22</v>
      </c>
      <c r="M1344" s="135">
        <v>59667</v>
      </c>
    </row>
    <row r="1345" spans="2:13" outlineLevel="2">
      <c r="B1345" s="35">
        <f t="shared" si="43"/>
        <v>880</v>
      </c>
      <c r="C1345" s="41" t="s">
        <v>69</v>
      </c>
      <c r="D1345" s="41"/>
      <c r="E1345" s="163" t="s">
        <v>167</v>
      </c>
      <c r="F1345" s="94">
        <v>9582875</v>
      </c>
      <c r="G1345" s="41"/>
      <c r="H1345" s="41"/>
      <c r="I1345" s="41"/>
      <c r="J1345" s="42"/>
      <c r="K1345" s="41"/>
      <c r="L1345" s="135">
        <v>2</v>
      </c>
      <c r="M1345" s="135">
        <v>59668</v>
      </c>
    </row>
    <row r="1346" spans="2:13" outlineLevel="2">
      <c r="B1346" s="35">
        <f t="shared" si="43"/>
        <v>881</v>
      </c>
      <c r="C1346" s="41" t="s">
        <v>69</v>
      </c>
      <c r="D1346" s="41"/>
      <c r="E1346" s="163" t="s">
        <v>191</v>
      </c>
      <c r="F1346" s="94">
        <v>66879</v>
      </c>
      <c r="G1346" s="41"/>
      <c r="H1346" s="41"/>
      <c r="I1346" s="41"/>
      <c r="J1346" s="42"/>
      <c r="K1346" s="41"/>
      <c r="L1346" s="135">
        <v>43</v>
      </c>
      <c r="M1346" s="135">
        <v>59669</v>
      </c>
    </row>
    <row r="1347" spans="2:13" outlineLevel="2">
      <c r="B1347" s="35">
        <f t="shared" si="43"/>
        <v>882</v>
      </c>
      <c r="C1347" s="41" t="s">
        <v>69</v>
      </c>
      <c r="D1347" s="41"/>
      <c r="E1347" s="163" t="s">
        <v>191</v>
      </c>
      <c r="F1347" s="94">
        <v>297007</v>
      </c>
      <c r="G1347" s="41"/>
      <c r="H1347" s="41"/>
      <c r="I1347" s="41"/>
      <c r="J1347" s="42"/>
      <c r="K1347" s="41"/>
      <c r="L1347" s="135">
        <v>10</v>
      </c>
      <c r="M1347" s="135">
        <v>59670</v>
      </c>
    </row>
    <row r="1348" spans="2:13" outlineLevel="2">
      <c r="B1348" s="35">
        <f t="shared" si="43"/>
        <v>883</v>
      </c>
      <c r="C1348" s="41" t="s">
        <v>69</v>
      </c>
      <c r="D1348" s="41"/>
      <c r="E1348" s="163" t="s">
        <v>129</v>
      </c>
      <c r="F1348" s="94">
        <v>207955</v>
      </c>
      <c r="G1348" s="41"/>
      <c r="H1348" s="41"/>
      <c r="I1348" s="41"/>
      <c r="J1348" s="42"/>
      <c r="K1348" s="41"/>
      <c r="L1348" s="135">
        <v>48</v>
      </c>
      <c r="M1348" s="135">
        <v>59671</v>
      </c>
    </row>
    <row r="1349" spans="2:13" outlineLevel="2">
      <c r="B1349" s="35">
        <f t="shared" si="43"/>
        <v>884</v>
      </c>
      <c r="C1349" s="41" t="s">
        <v>69</v>
      </c>
      <c r="D1349" s="41"/>
      <c r="E1349" s="163" t="s">
        <v>191</v>
      </c>
      <c r="F1349" s="94">
        <v>5213</v>
      </c>
      <c r="G1349" s="41"/>
      <c r="H1349" s="41"/>
      <c r="I1349" s="41"/>
      <c r="J1349" s="42"/>
      <c r="K1349" s="41"/>
      <c r="L1349" s="135">
        <v>44</v>
      </c>
      <c r="M1349" s="135">
        <v>59675</v>
      </c>
    </row>
    <row r="1350" spans="2:13" outlineLevel="2">
      <c r="B1350" s="35">
        <f t="shared" si="43"/>
        <v>885</v>
      </c>
      <c r="C1350" s="41" t="s">
        <v>69</v>
      </c>
      <c r="D1350" s="41"/>
      <c r="E1350" s="163" t="s">
        <v>181</v>
      </c>
      <c r="F1350" s="94">
        <v>183377</v>
      </c>
      <c r="G1350" s="41"/>
      <c r="H1350" s="41"/>
      <c r="I1350" s="41"/>
      <c r="J1350" s="42"/>
      <c r="K1350" s="41"/>
      <c r="L1350" s="135">
        <v>4</v>
      </c>
      <c r="M1350" s="135">
        <v>59678</v>
      </c>
    </row>
    <row r="1351" spans="2:13" outlineLevel="2">
      <c r="B1351" s="35">
        <f t="shared" si="43"/>
        <v>886</v>
      </c>
      <c r="C1351" s="41" t="s">
        <v>69</v>
      </c>
      <c r="D1351" s="41"/>
      <c r="E1351" s="163" t="s">
        <v>167</v>
      </c>
      <c r="F1351" s="94">
        <v>175883</v>
      </c>
      <c r="G1351" s="41"/>
      <c r="H1351" s="41"/>
      <c r="I1351" s="41"/>
      <c r="J1351" s="42"/>
      <c r="K1351" s="41"/>
      <c r="L1351" s="135">
        <v>36</v>
      </c>
      <c r="M1351" s="135">
        <v>59679</v>
      </c>
    </row>
    <row r="1352" spans="2:13" outlineLevel="2">
      <c r="B1352" s="35">
        <f t="shared" si="43"/>
        <v>887</v>
      </c>
      <c r="C1352" s="41" t="s">
        <v>69</v>
      </c>
      <c r="D1352" s="41"/>
      <c r="E1352" s="163" t="s">
        <v>191</v>
      </c>
      <c r="F1352" s="94">
        <v>8317</v>
      </c>
      <c r="G1352" s="41"/>
      <c r="H1352" s="41"/>
      <c r="I1352" s="41"/>
      <c r="J1352" s="42"/>
      <c r="K1352" s="41"/>
      <c r="L1352" s="135">
        <v>4</v>
      </c>
      <c r="M1352" s="135">
        <v>59681</v>
      </c>
    </row>
    <row r="1353" spans="2:13" outlineLevel="2">
      <c r="B1353" s="35">
        <f t="shared" si="43"/>
        <v>888</v>
      </c>
      <c r="C1353" s="41" t="s">
        <v>69</v>
      </c>
      <c r="D1353" s="41"/>
      <c r="E1353" s="163" t="s">
        <v>191</v>
      </c>
      <c r="F1353" s="94">
        <v>243</v>
      </c>
      <c r="G1353" s="41"/>
      <c r="H1353" s="41"/>
      <c r="I1353" s="41"/>
      <c r="J1353" s="42"/>
      <c r="K1353" s="41"/>
      <c r="L1353" s="135">
        <v>45</v>
      </c>
      <c r="M1353" s="135">
        <v>59682</v>
      </c>
    </row>
    <row r="1354" spans="2:13" outlineLevel="2">
      <c r="B1354" s="35">
        <f t="shared" si="43"/>
        <v>889</v>
      </c>
      <c r="C1354" s="41" t="s">
        <v>69</v>
      </c>
      <c r="D1354" s="41"/>
      <c r="E1354" s="163" t="s">
        <v>191</v>
      </c>
      <c r="F1354" s="94">
        <v>33163</v>
      </c>
      <c r="G1354" s="41"/>
      <c r="H1354" s="41"/>
      <c r="I1354" s="41"/>
      <c r="J1354" s="42"/>
      <c r="K1354" s="41"/>
      <c r="L1354" s="135">
        <v>3</v>
      </c>
      <c r="M1354" s="135">
        <v>59683</v>
      </c>
    </row>
    <row r="1355" spans="2:13" outlineLevel="2">
      <c r="B1355" s="35">
        <f t="shared" si="43"/>
        <v>890</v>
      </c>
      <c r="C1355" s="41" t="s">
        <v>69</v>
      </c>
      <c r="D1355" s="41"/>
      <c r="E1355" s="163" t="s">
        <v>193</v>
      </c>
      <c r="F1355" s="94">
        <v>46799</v>
      </c>
      <c r="G1355" s="41"/>
      <c r="H1355" s="41"/>
      <c r="I1355" s="41"/>
      <c r="J1355" s="42"/>
      <c r="K1355" s="41"/>
      <c r="L1355" s="135">
        <v>38</v>
      </c>
      <c r="M1355" s="135">
        <v>59688</v>
      </c>
    </row>
    <row r="1356" spans="2:13" outlineLevel="2">
      <c r="B1356" s="35">
        <f t="shared" si="43"/>
        <v>891</v>
      </c>
      <c r="C1356" s="41" t="s">
        <v>69</v>
      </c>
      <c r="D1356" s="41"/>
      <c r="E1356" s="163" t="s">
        <v>167</v>
      </c>
      <c r="F1356" s="94">
        <v>9173</v>
      </c>
      <c r="G1356" s="41"/>
      <c r="H1356" s="41"/>
      <c r="I1356" s="41"/>
      <c r="J1356" s="42"/>
      <c r="K1356" s="41"/>
      <c r="L1356" s="135">
        <v>9</v>
      </c>
      <c r="M1356" s="135">
        <v>59689</v>
      </c>
    </row>
    <row r="1357" spans="2:13" outlineLevel="2">
      <c r="B1357" s="35">
        <f t="shared" si="43"/>
        <v>892</v>
      </c>
      <c r="C1357" s="41" t="s">
        <v>69</v>
      </c>
      <c r="D1357" s="41"/>
      <c r="E1357" s="163" t="s">
        <v>167</v>
      </c>
      <c r="F1357" s="94">
        <v>212467</v>
      </c>
      <c r="G1357" s="41"/>
      <c r="H1357" s="41"/>
      <c r="I1357" s="41"/>
      <c r="J1357" s="42"/>
      <c r="K1357" s="41"/>
      <c r="L1357" s="135">
        <v>5</v>
      </c>
      <c r="M1357" s="135">
        <v>59691</v>
      </c>
    </row>
    <row r="1358" spans="2:13" outlineLevel="2">
      <c r="B1358" s="35">
        <f t="shared" si="43"/>
        <v>893</v>
      </c>
      <c r="C1358" s="41" t="s">
        <v>69</v>
      </c>
      <c r="D1358" s="41"/>
      <c r="E1358" s="163" t="s">
        <v>167</v>
      </c>
      <c r="F1358" s="94">
        <v>19952</v>
      </c>
      <c r="G1358" s="41"/>
      <c r="H1358" s="41"/>
      <c r="I1358" s="41"/>
      <c r="J1358" s="42"/>
      <c r="K1358" s="41"/>
      <c r="L1358" s="135">
        <v>6</v>
      </c>
      <c r="M1358" s="135">
        <v>59693</v>
      </c>
    </row>
    <row r="1359" spans="2:13" outlineLevel="2">
      <c r="B1359" s="35">
        <f t="shared" si="43"/>
        <v>894</v>
      </c>
      <c r="C1359" s="41" t="s">
        <v>69</v>
      </c>
      <c r="D1359" s="41"/>
      <c r="E1359" s="163" t="e">
        <v>#N/A</v>
      </c>
      <c r="F1359" s="94">
        <v>355457</v>
      </c>
      <c r="G1359" s="41"/>
      <c r="H1359" s="41"/>
      <c r="I1359" s="41"/>
      <c r="J1359" s="42"/>
      <c r="K1359" s="41"/>
      <c r="L1359" s="135">
        <v>27</v>
      </c>
      <c r="M1359" s="135">
        <v>59694</v>
      </c>
    </row>
    <row r="1360" spans="2:13" outlineLevel="2">
      <c r="B1360" s="35">
        <f t="shared" si="43"/>
        <v>895</v>
      </c>
      <c r="C1360" s="41" t="s">
        <v>69</v>
      </c>
      <c r="D1360" s="41"/>
      <c r="E1360" s="163" t="s">
        <v>191</v>
      </c>
      <c r="F1360" s="94">
        <v>138518</v>
      </c>
      <c r="G1360" s="41"/>
      <c r="H1360" s="41"/>
      <c r="I1360" s="41"/>
      <c r="J1360" s="42"/>
      <c r="K1360" s="41"/>
      <c r="L1360" s="135">
        <v>30</v>
      </c>
      <c r="M1360" s="135">
        <v>59695</v>
      </c>
    </row>
    <row r="1361" spans="2:13" outlineLevel="2">
      <c r="B1361" s="35">
        <f t="shared" si="43"/>
        <v>896</v>
      </c>
      <c r="C1361" s="41" t="s">
        <v>69</v>
      </c>
      <c r="D1361" s="41"/>
      <c r="E1361" s="163" t="s">
        <v>167</v>
      </c>
      <c r="F1361" s="94">
        <v>670252</v>
      </c>
      <c r="G1361" s="41"/>
      <c r="H1361" s="41"/>
      <c r="I1361" s="41"/>
      <c r="J1361" s="42"/>
      <c r="K1361" s="41"/>
      <c r="L1361" s="135">
        <v>2</v>
      </c>
      <c r="M1361" s="135">
        <v>59697</v>
      </c>
    </row>
    <row r="1362" spans="2:13" outlineLevel="2">
      <c r="B1362" s="35">
        <f t="shared" si="43"/>
        <v>897</v>
      </c>
      <c r="C1362" s="41" t="s">
        <v>69</v>
      </c>
      <c r="D1362" s="41"/>
      <c r="E1362" s="163" t="s">
        <v>191</v>
      </c>
      <c r="F1362" s="94">
        <v>620934</v>
      </c>
      <c r="G1362" s="41"/>
      <c r="H1362" s="41"/>
      <c r="I1362" s="41"/>
      <c r="J1362" s="42"/>
      <c r="K1362" s="41"/>
      <c r="L1362" s="135">
        <v>2</v>
      </c>
      <c r="M1362" s="135">
        <v>59698</v>
      </c>
    </row>
    <row r="1363" spans="2:13" outlineLevel="2">
      <c r="B1363" s="35">
        <f t="shared" ref="B1363" si="44">(B1362+1)</f>
        <v>898</v>
      </c>
      <c r="C1363" s="41" t="s">
        <v>69</v>
      </c>
      <c r="D1363" s="41"/>
      <c r="E1363" s="163" t="s">
        <v>191</v>
      </c>
      <c r="F1363" s="94">
        <v>95090</v>
      </c>
      <c r="G1363" s="41"/>
      <c r="H1363" s="41"/>
      <c r="I1363" s="41"/>
      <c r="J1363" s="42"/>
      <c r="K1363" s="41"/>
      <c r="L1363" s="135">
        <v>2</v>
      </c>
      <c r="M1363" s="135">
        <v>59702</v>
      </c>
    </row>
    <row r="1364" spans="2:13" outlineLevel="2">
      <c r="B1364" s="35">
        <f t="shared" ref="B1364:B1376" si="45">(B1363+1)</f>
        <v>899</v>
      </c>
      <c r="C1364" s="41" t="s">
        <v>69</v>
      </c>
      <c r="D1364" s="41"/>
      <c r="E1364" s="163" t="s">
        <v>191</v>
      </c>
      <c r="F1364" s="94">
        <v>561735</v>
      </c>
      <c r="G1364" s="41"/>
      <c r="H1364" s="41"/>
      <c r="I1364" s="41"/>
      <c r="J1364" s="42"/>
      <c r="K1364" s="41"/>
      <c r="L1364" s="135">
        <v>15</v>
      </c>
      <c r="M1364" s="135">
        <v>59709</v>
      </c>
    </row>
    <row r="1365" spans="2:13" outlineLevel="2">
      <c r="B1365" s="35">
        <f t="shared" si="45"/>
        <v>900</v>
      </c>
      <c r="C1365" s="41" t="s">
        <v>69</v>
      </c>
      <c r="D1365" s="41"/>
      <c r="E1365" s="163" t="s">
        <v>191</v>
      </c>
      <c r="F1365" s="94">
        <v>1095450</v>
      </c>
      <c r="G1365" s="41"/>
      <c r="H1365" s="41"/>
      <c r="I1365" s="41"/>
      <c r="J1365" s="42"/>
      <c r="K1365" s="41"/>
      <c r="L1365" s="135">
        <v>31</v>
      </c>
      <c r="M1365" s="135">
        <v>59710</v>
      </c>
    </row>
    <row r="1366" spans="2:13" outlineLevel="2">
      <c r="B1366" s="35">
        <f t="shared" si="45"/>
        <v>901</v>
      </c>
      <c r="C1366" s="41" t="s">
        <v>69</v>
      </c>
      <c r="D1366" s="41"/>
      <c r="E1366" s="163" t="s">
        <v>191</v>
      </c>
      <c r="F1366" s="167">
        <v>174451</v>
      </c>
      <c r="G1366" s="41"/>
      <c r="H1366" s="41"/>
      <c r="I1366" s="41"/>
      <c r="J1366" s="42"/>
      <c r="K1366" s="41"/>
      <c r="L1366" s="135">
        <v>19</v>
      </c>
      <c r="M1366" s="135">
        <v>59712</v>
      </c>
    </row>
    <row r="1367" spans="2:13" outlineLevel="2">
      <c r="B1367" s="35">
        <f t="shared" si="45"/>
        <v>902</v>
      </c>
      <c r="C1367" s="41" t="s">
        <v>69</v>
      </c>
      <c r="D1367" s="41"/>
      <c r="E1367" s="163" t="s">
        <v>191</v>
      </c>
      <c r="F1367" s="94">
        <v>141398</v>
      </c>
      <c r="G1367" s="41"/>
      <c r="H1367" s="41"/>
      <c r="I1367" s="41"/>
      <c r="J1367" s="42"/>
      <c r="K1367" s="41"/>
      <c r="L1367" s="135">
        <v>11</v>
      </c>
      <c r="M1367" s="135">
        <v>59781</v>
      </c>
    </row>
    <row r="1368" spans="2:13" outlineLevel="2">
      <c r="B1368" s="35">
        <f t="shared" si="45"/>
        <v>903</v>
      </c>
      <c r="C1368" s="41" t="s">
        <v>69</v>
      </c>
      <c r="D1368" s="41"/>
      <c r="E1368" s="163" t="s">
        <v>167</v>
      </c>
      <c r="F1368" s="94">
        <v>1092094</v>
      </c>
      <c r="G1368" s="41"/>
      <c r="H1368" s="41"/>
      <c r="I1368" s="41"/>
      <c r="J1368" s="42"/>
      <c r="K1368" s="41"/>
      <c r="L1368" s="135">
        <v>8</v>
      </c>
      <c r="M1368" s="135">
        <v>59782</v>
      </c>
    </row>
    <row r="1369" spans="2:13" outlineLevel="2">
      <c r="B1369" s="35">
        <f t="shared" si="45"/>
        <v>904</v>
      </c>
      <c r="C1369" s="41" t="s">
        <v>69</v>
      </c>
      <c r="D1369" s="41"/>
      <c r="E1369" s="163" t="e">
        <v>#N/A</v>
      </c>
      <c r="F1369" s="94">
        <v>264927</v>
      </c>
      <c r="G1369" s="41"/>
      <c r="H1369" s="41"/>
      <c r="I1369" s="41"/>
      <c r="J1369" s="42"/>
      <c r="K1369" s="41"/>
      <c r="L1369" s="135">
        <v>3</v>
      </c>
      <c r="M1369" s="135">
        <v>59783</v>
      </c>
    </row>
    <row r="1370" spans="2:13" outlineLevel="2">
      <c r="B1370" s="35">
        <f t="shared" si="45"/>
        <v>905</v>
      </c>
      <c r="C1370" s="41" t="s">
        <v>69</v>
      </c>
      <c r="D1370" s="41"/>
      <c r="E1370" s="163" t="s">
        <v>191</v>
      </c>
      <c r="F1370" s="94">
        <v>151548</v>
      </c>
      <c r="G1370" s="41"/>
      <c r="H1370" s="41"/>
      <c r="I1370" s="41"/>
      <c r="J1370" s="42"/>
      <c r="K1370" s="41"/>
      <c r="L1370" s="135">
        <v>44</v>
      </c>
      <c r="M1370" s="135">
        <v>59784</v>
      </c>
    </row>
    <row r="1371" spans="2:13" outlineLevel="2">
      <c r="B1371" s="35">
        <f t="shared" si="45"/>
        <v>906</v>
      </c>
      <c r="C1371" s="41" t="s">
        <v>69</v>
      </c>
      <c r="D1371" s="41"/>
      <c r="E1371" s="163" t="s">
        <v>191</v>
      </c>
      <c r="F1371" s="94">
        <v>807671</v>
      </c>
      <c r="G1371" s="41"/>
      <c r="H1371" s="41"/>
      <c r="I1371" s="41"/>
      <c r="J1371" s="42"/>
      <c r="K1371" s="41"/>
      <c r="L1371" s="135">
        <v>14</v>
      </c>
      <c r="M1371" s="135">
        <v>59785</v>
      </c>
    </row>
    <row r="1372" spans="2:13" outlineLevel="2">
      <c r="B1372" s="35">
        <f t="shared" si="45"/>
        <v>907</v>
      </c>
      <c r="C1372" s="41" t="s">
        <v>69</v>
      </c>
      <c r="D1372" s="41"/>
      <c r="E1372" s="163" t="s">
        <v>191</v>
      </c>
      <c r="F1372" s="94">
        <v>644227</v>
      </c>
      <c r="G1372" s="41"/>
      <c r="H1372" s="41"/>
      <c r="I1372" s="41"/>
      <c r="J1372" s="42"/>
      <c r="K1372" s="41"/>
      <c r="L1372" s="135">
        <v>6</v>
      </c>
      <c r="M1372" s="135">
        <v>59786</v>
      </c>
    </row>
    <row r="1373" spans="2:13" outlineLevel="2">
      <c r="B1373" s="35">
        <f t="shared" si="45"/>
        <v>908</v>
      </c>
      <c r="C1373" s="41" t="s">
        <v>69</v>
      </c>
      <c r="D1373" s="41"/>
      <c r="E1373" s="163" t="s">
        <v>167</v>
      </c>
      <c r="F1373" s="94">
        <v>493084</v>
      </c>
      <c r="G1373" s="41"/>
      <c r="H1373" s="41"/>
      <c r="I1373" s="41"/>
      <c r="J1373" s="42"/>
      <c r="K1373" s="41"/>
      <c r="L1373" s="135">
        <v>7</v>
      </c>
      <c r="M1373" s="135">
        <v>59787</v>
      </c>
    </row>
    <row r="1374" spans="2:13" outlineLevel="2">
      <c r="B1374" s="35">
        <f t="shared" si="45"/>
        <v>909</v>
      </c>
      <c r="C1374" s="41" t="s">
        <v>69</v>
      </c>
      <c r="D1374" s="41"/>
      <c r="E1374" s="163" t="s">
        <v>181</v>
      </c>
      <c r="F1374" s="94">
        <v>38558</v>
      </c>
      <c r="G1374" s="41"/>
      <c r="H1374" s="41"/>
      <c r="I1374" s="41"/>
      <c r="J1374" s="42"/>
      <c r="K1374" s="41"/>
      <c r="L1374" s="135">
        <v>40</v>
      </c>
      <c r="M1374" s="135">
        <v>59789</v>
      </c>
    </row>
    <row r="1375" spans="2:13" outlineLevel="2">
      <c r="B1375" s="35">
        <f t="shared" si="45"/>
        <v>910</v>
      </c>
      <c r="C1375" s="41" t="s">
        <v>69</v>
      </c>
      <c r="D1375" s="41"/>
      <c r="E1375" s="163" t="s">
        <v>191</v>
      </c>
      <c r="F1375" s="94">
        <v>852</v>
      </c>
      <c r="G1375" s="41"/>
      <c r="H1375" s="41"/>
      <c r="I1375" s="41"/>
      <c r="J1375" s="42"/>
      <c r="K1375" s="41"/>
      <c r="L1375" s="135">
        <v>8</v>
      </c>
      <c r="M1375" s="135">
        <v>59790</v>
      </c>
    </row>
    <row r="1376" spans="2:13" outlineLevel="2">
      <c r="B1376" s="35">
        <f t="shared" si="45"/>
        <v>911</v>
      </c>
      <c r="C1376" s="41" t="s">
        <v>69</v>
      </c>
      <c r="D1376" s="41"/>
      <c r="E1376" s="163" t="s">
        <v>167</v>
      </c>
      <c r="F1376" s="94">
        <v>411360</v>
      </c>
      <c r="G1376" s="41"/>
      <c r="H1376" s="41"/>
      <c r="I1376" s="41"/>
      <c r="J1376" s="42"/>
      <c r="K1376" s="41"/>
      <c r="L1376" s="135">
        <v>6</v>
      </c>
      <c r="M1376" s="135">
        <v>59791</v>
      </c>
    </row>
    <row r="1377" spans="2:13" outlineLevel="2">
      <c r="B1377" s="66">
        <f t="shared" ref="B1377" si="46">(B1376+1)</f>
        <v>912</v>
      </c>
      <c r="C1377" s="1" t="s">
        <v>69</v>
      </c>
      <c r="D1377" s="1"/>
      <c r="E1377" s="163" t="s">
        <v>191</v>
      </c>
      <c r="F1377" s="94">
        <v>185567</v>
      </c>
      <c r="G1377" s="1"/>
      <c r="H1377" s="1"/>
      <c r="I1377" s="1"/>
      <c r="J1377" s="1"/>
      <c r="K1377" s="1"/>
      <c r="L1377" s="135">
        <v>9</v>
      </c>
      <c r="M1377" s="135">
        <v>59803</v>
      </c>
    </row>
    <row r="1378" spans="2:13" outlineLevel="1">
      <c r="B1378" s="67" t="s">
        <v>194</v>
      </c>
      <c r="C1378" s="1">
        <f>SUBTOTAL(3,C1150:C1377)</f>
        <v>228</v>
      </c>
      <c r="D1378" s="1"/>
      <c r="E1378" s="1">
        <f>COUNTA(E1150:E1377)</f>
        <v>228</v>
      </c>
      <c r="F1378" s="44">
        <f>(E1378/C1378)</f>
        <v>1</v>
      </c>
      <c r="G1378" s="44">
        <f ca="1">(G1378/C1378)</f>
        <v>0</v>
      </c>
      <c r="H1378" s="1"/>
      <c r="I1378" s="1"/>
      <c r="J1378" s="1"/>
      <c r="K1378" s="1"/>
      <c r="L1378" s="1"/>
      <c r="M1378" s="1"/>
    </row>
    <row r="1379" spans="2:13" ht="15.75" thickBot="1">
      <c r="B1379" s="64" t="s">
        <v>195</v>
      </c>
      <c r="C1379" s="61">
        <f>SUBTOTAL(3,C463:C1377)</f>
        <v>912</v>
      </c>
      <c r="D1379" s="61"/>
      <c r="E1379" s="61"/>
      <c r="F1379" s="61"/>
      <c r="G1379" s="61"/>
      <c r="H1379" s="61"/>
      <c r="I1379" s="61"/>
      <c r="J1379" s="62"/>
      <c r="K1379" s="61"/>
      <c r="L1379" s="61"/>
      <c r="M1379" s="63"/>
    </row>
    <row r="1380" spans="2:13" ht="15.75" thickBot="1">
      <c r="B1380" s="320" t="s">
        <v>59</v>
      </c>
      <c r="C1380" s="321"/>
      <c r="D1380" s="321"/>
      <c r="E1380" s="321"/>
      <c r="F1380" s="321"/>
      <c r="G1380" s="321"/>
      <c r="H1380" s="321"/>
      <c r="I1380" s="321"/>
      <c r="J1380" s="321"/>
      <c r="K1380" s="321"/>
      <c r="L1380" s="321"/>
      <c r="M1380" s="322"/>
    </row>
    <row r="1381" spans="2:13" ht="15.75" thickBot="1">
      <c r="B1381" s="26" t="s">
        <v>49</v>
      </c>
      <c r="C1381" s="27" t="s">
        <v>60</v>
      </c>
      <c r="D1381" s="27" t="s">
        <v>61</v>
      </c>
      <c r="E1381" s="27" t="s">
        <v>62</v>
      </c>
      <c r="F1381" s="27" t="s">
        <v>63</v>
      </c>
      <c r="G1381" s="27" t="s">
        <v>64</v>
      </c>
      <c r="H1381" s="27" t="s">
        <v>65</v>
      </c>
      <c r="I1381" s="27" t="s">
        <v>66</v>
      </c>
      <c r="J1381" s="27" t="s">
        <v>67</v>
      </c>
      <c r="K1381" s="27" t="s">
        <v>6</v>
      </c>
      <c r="L1381" s="27" t="s">
        <v>7</v>
      </c>
      <c r="M1381" s="28" t="s">
        <v>68</v>
      </c>
    </row>
    <row r="1382" spans="2:13">
      <c r="B1382" s="46" t="s">
        <v>8</v>
      </c>
      <c r="C1382" s="41">
        <f>COUNTIFS(B463:B1377,"&gt;"&amp;0,C463:C1377,"="&amp;B1382)</f>
        <v>228</v>
      </c>
      <c r="D1382" s="41"/>
      <c r="E1382" s="41">
        <f>COUNTIFS(B463:B1377,"&gt;="&amp;1,C463:C1377,B1382,L463:L1377,"&gt;="&amp;0,L463:L1377,"&lt;"&amp;50)</f>
        <v>210</v>
      </c>
      <c r="F1382" s="41">
        <f>COUNTIFS(B463:B1377,"&gt;="&amp;1,C463:C1377,B1382,L463:L1377,"&gt;="&amp;50,L463:L1377,"&lt;"&amp;500)</f>
        <v>16</v>
      </c>
      <c r="G1382" s="41">
        <f>COUNTIFS(B463:B1377,"&gt;="&amp;1,C463:C1377,B1382,L463:L1377,"&gt;="&amp;500)</f>
        <v>2</v>
      </c>
      <c r="H1382" s="41">
        <f>COUNTIFS(B463:B1377,"&gt;="&amp;1,C463:C1377,B1382,L463:L1377,"&gt;="&amp;0,J463:J1377,"&gt;"&amp;DATE(2021,1,1))</f>
        <v>1</v>
      </c>
      <c r="I1382" s="47">
        <f>IF(H1382=0,"-",(SUM(F1382,G1382)/H1382))</f>
        <v>18</v>
      </c>
      <c r="J1382" s="41">
        <f>IF((COUNTIFS(B463:B1377,"&gt;="&amp;1,C463:C1377,"="&amp;B1382))&gt;228,228,(COUNTIFS(B463:B1377,"&gt;="&amp;1,C463:C1377,"="&amp;B1382)))</f>
        <v>228</v>
      </c>
      <c r="K1382" s="47">
        <f>IF(J1382=0,"-",(COUNTIFS(C463:C1377,"="&amp;B1382,J463:J1377,"&lt;="&amp;DATE(2024,12,31),L463:L1377,"&gt;="&amp;0)/J1382))</f>
        <v>4.3859649122807015E-3</v>
      </c>
      <c r="L1382" s="47">
        <f>IF(J1382=0,"-",IF(K1382=1,"-",(COUNTIFS(B463:B1377,"&gt;"&amp;0,C463:C1377,"="&amp;B1382,J463:J1377,"&gt;"&amp;DATE(2024,12,31),L463:L1377,"&gt;="&amp;0)/(J1382-COUNTIFS(B463:B1377,"&gt;"&amp;0,C463:C1377,"="&amp;B1382,J463:J1377,"&lt;="&amp;DATE(2024,12,31),L463:L1377,"&gt;="&amp;0)))))</f>
        <v>0</v>
      </c>
      <c r="M1382" s="48">
        <f>IF(J1382=0,"-",H1382/J1382)</f>
        <v>4.3859649122807015E-3</v>
      </c>
    </row>
    <row r="1383" spans="2:13">
      <c r="B1383" s="7" t="s">
        <v>9</v>
      </c>
      <c r="C1383" s="1">
        <f>COUNTIFS(B463:B1377,"&gt;"&amp;0,C463:C1377,"="&amp;B1383)</f>
        <v>228</v>
      </c>
      <c r="D1383" s="1"/>
      <c r="E1383" s="1">
        <f>COUNTIFS(B463:B1377,"&gt;="&amp;1,C463:C1377,B1383,L463:L1377,"&gt;="&amp;0,L463:L1377,"&lt;"&amp;50)</f>
        <v>225</v>
      </c>
      <c r="F1383" s="1">
        <f>COUNTIFS(B463:B1377,"&gt;="&amp;1,C463:C1377,B1383,L463:L1377,"&gt;="&amp;50,L463:L1377,"&lt;"&amp;500)</f>
        <v>2</v>
      </c>
      <c r="G1383" s="1">
        <f>COUNTIFS(B463:B1377,"&gt;="&amp;1,C463:C1377,B1383,L463:L1377,"&gt;="&amp;500)</f>
        <v>1</v>
      </c>
      <c r="H1383" s="1">
        <f>COUNTIFS(B463:B1377,"&gt;="&amp;1,C463:C1377,B1383,L463:L1377,"&gt;="&amp;0,J463:J1377,"&gt;"&amp;DATE(2021,1,1))</f>
        <v>0</v>
      </c>
      <c r="I1383" s="44" t="str">
        <f t="shared" ref="I1383:I1386" si="47">IF(H1383=0,"-",(SUM(F1383,G1383)/H1383))</f>
        <v>-</v>
      </c>
      <c r="J1383" s="1">
        <f>IF((COUNTIFS(B463:B1377,"&gt;="&amp;1,C463:C1377,"="&amp;B1383))&gt;228,228,(COUNTIFS(B463:B1377,"&gt;="&amp;1,C463:C1377,"="&amp;B1383)))</f>
        <v>228</v>
      </c>
      <c r="K1383" s="44">
        <f>IF(J1383=0,"-",(COUNTIFS(C463:C1377,"="&amp;B1383,J463:J1377,"&lt;="&amp;DATE(2024,12,31),L463:L1377,"&gt;="&amp;0)/J1383))</f>
        <v>0</v>
      </c>
      <c r="L1383" s="47">
        <f>IF(J1383=0,"-",IF(K1383=1,"-",(COUNTIFS(B463:B1377,"&gt;"&amp;0,C463:C1377,"="&amp;B1383,J463:J1377,"&gt;"&amp;DATE(2024,12,31),L463:L1377,"&gt;="&amp;0)/(J1383-COUNTIFS(B463:B1377,"&gt;"&amp;0,C463:C1377,"="&amp;B1383,J463:J1377,"&lt;="&amp;DATE(2024,12,31),L463:L1377,"&gt;="&amp;0)))))</f>
        <v>0</v>
      </c>
      <c r="M1383" s="45">
        <f t="shared" ref="M1383:M1386" si="48">IF(J1383=0,"-",H1383/J1383)</f>
        <v>0</v>
      </c>
    </row>
    <row r="1384" spans="2:13">
      <c r="B1384" s="7" t="s">
        <v>175</v>
      </c>
      <c r="C1384" s="1">
        <f>COUNTIFS(B463:B1377,"&gt;"&amp;0,C463:C1377,"="&amp;B1384)</f>
        <v>228</v>
      </c>
      <c r="D1384" s="1"/>
      <c r="E1384" s="1">
        <f>COUNTIFS(B463:B1377,"&gt;="&amp;1,C463:C1377,B1384,L463:L1377,"&gt;="&amp;0,L463:L1377,"&lt;"&amp;50)</f>
        <v>222</v>
      </c>
      <c r="F1384" s="1">
        <f>COUNTIFS(B463:B1377,"&gt;="&amp;1,C463:C1377,B1384,L463:L1377,"&gt;="&amp;50,L463:L1377,"&lt;"&amp;500)</f>
        <v>6</v>
      </c>
      <c r="G1384" s="1">
        <f>COUNTIFS(B463:B1377,"&gt;="&amp;1,C463:C1377,B1384,L463:L1377,"&gt;="&amp;500)</f>
        <v>0</v>
      </c>
      <c r="H1384" s="1">
        <f>COUNTIFS(B463:B1377,"&gt;="&amp;1,C463:C1377,B1384,L463:L1377,"&gt;="&amp;0,J463:J1377,"&gt;"&amp;DATE(2021,1,1))</f>
        <v>116</v>
      </c>
      <c r="I1384" s="44">
        <f t="shared" si="47"/>
        <v>5.1724137931034482E-2</v>
      </c>
      <c r="J1384" s="1">
        <f>IF((COUNTIFS(B463:B1377,"&gt;="&amp;1,C463:C1377,"="&amp;B1384))&gt;228,228,(COUNTIFS(B463:B1377,"&gt;="&amp;1,C463:C1377,"="&amp;B1384)))</f>
        <v>228</v>
      </c>
      <c r="K1384" s="44">
        <f>IF(J1384=0,"-",(COUNTIFS(C463:C1377,"="&amp;B1384,J463:J1377,"&lt;="&amp;DATE(2024,12,31),L463:L1377,"&gt;="&amp;0)/J1384))</f>
        <v>0.49561403508771928</v>
      </c>
      <c r="L1384" s="47">
        <f>IF(J1384=0,"-",IF(K1384=1,"-",(COUNTIFS(B463:B1377,"&gt;"&amp;0,C463:C1377,"="&amp;B1384,J463:J1377,"&gt;"&amp;DATE(2024,12,31),L463:L1377,"&gt;="&amp;0)/(J1384-COUNTIFS(B463:B1377,"&gt;"&amp;0,C463:C1377,"="&amp;B1384,J463:J1377,"&lt;="&amp;DATE(2024,12,31),L463:L1377,"&gt;="&amp;0)))))</f>
        <v>2.6086956521739129E-2</v>
      </c>
      <c r="M1384" s="45">
        <f t="shared" si="48"/>
        <v>0.50877192982456143</v>
      </c>
    </row>
    <row r="1385" spans="2:13">
      <c r="B1385" s="7" t="s">
        <v>69</v>
      </c>
      <c r="C1385" s="1">
        <f>COUNTIFS(B463:B1377,"&gt;"&amp;0,C463:C1377,"="&amp;B1385)</f>
        <v>228</v>
      </c>
      <c r="D1385" s="1"/>
      <c r="E1385" s="1">
        <f>COUNTIFS(B463:B1377,"&gt;="&amp;1,C463:C1377,B1385,L463:L1377,"&gt;="&amp;0,L463:L1377,"&lt;"&amp;50)</f>
        <v>203</v>
      </c>
      <c r="F1385" s="1">
        <f>COUNTIFS(B463:B1377,"&gt;="&amp;1,C463:C1377,B1385,L463:L1377,"&gt;="&amp;50,L463:L1377,"&lt;"&amp;500)</f>
        <v>0</v>
      </c>
      <c r="G1385" s="1">
        <f>COUNTIFS(B463:B1377,"&gt;="&amp;1,C463:C1377,B1385,L463:L1377,"&gt;="&amp;500)</f>
        <v>0</v>
      </c>
      <c r="H1385" s="1">
        <f>COUNTIFS(B463:B1377,"&gt;="&amp;1,C463:C1377,B1385,L463:L1377,"&gt;="&amp;0,J463:J1377,"&gt;"&amp;DATE(2021,1,1))</f>
        <v>0</v>
      </c>
      <c r="I1385" s="44" t="str">
        <f t="shared" si="47"/>
        <v>-</v>
      </c>
      <c r="J1385" s="1">
        <f>IF((COUNTIFS(B463:B1377,"&gt;="&amp;1,C463:C1377,"="&amp;B1385))&gt;228,228,(COUNTIFS(B463:B1377,"&gt;="&amp;1,C463:C1377,"="&amp;B1385)))</f>
        <v>228</v>
      </c>
      <c r="K1385" s="44">
        <f>IF(J1385=0,"-",(COUNTIFS(C463:C1377,"="&amp;B1385,J463:J1377,"&lt;="&amp;DATE(2024,12,31),L463:L1377,"&gt;="&amp;0)/J1385))</f>
        <v>0</v>
      </c>
      <c r="L1385" s="47">
        <f>IF(J1385=0,"-",IF(K1385=1,"-",(COUNTIFS(B463:B1377,"&gt;"&amp;0,C463:C1377,"="&amp;B1385,J463:J1377,"&gt;"&amp;DATE(2024,12,31),L463:L1377,"&gt;="&amp;0)/(J1385-COUNTIFS(B463:B1377,"&gt;"&amp;0,C463:C1377,"="&amp;B1385,J463:J1377,"&lt;="&amp;DATE(2024,12,31),L463:L1377,"&gt;="&amp;0)))))</f>
        <v>0</v>
      </c>
      <c r="M1385" s="45">
        <f t="shared" si="48"/>
        <v>0</v>
      </c>
    </row>
    <row r="1386" spans="2:13" ht="15.75" thickBot="1">
      <c r="B1386" s="49" t="s">
        <v>59</v>
      </c>
      <c r="C1386" s="50">
        <f>SUM(C1382:C1385)</f>
        <v>912</v>
      </c>
      <c r="D1386" s="50"/>
      <c r="E1386" s="50">
        <f>SUM(E1382:E1385)</f>
        <v>860</v>
      </c>
      <c r="F1386" s="50">
        <f>SUM(F1382:F1385)</f>
        <v>24</v>
      </c>
      <c r="G1386" s="50">
        <f>SUM(G1382:G1385)</f>
        <v>3</v>
      </c>
      <c r="H1386" s="50">
        <f>SUM(H1382:H1385)</f>
        <v>117</v>
      </c>
      <c r="I1386" s="51">
        <f t="shared" si="47"/>
        <v>0.23076923076923078</v>
      </c>
      <c r="J1386" s="50">
        <f>SUM(J1382:J1385)</f>
        <v>912</v>
      </c>
      <c r="K1386" s="51">
        <f>IF(J1386=0,"-",(COUNTIFS(J463:J1377,"&lt;="&amp;DATE(2024,12,31),L463:L1377,"&gt;="&amp;0)/J1386))</f>
        <v>0.125</v>
      </c>
      <c r="L1386" s="51">
        <f>IF(J1386=0,"-",IF(K1386=1,"-",(COUNTIFS(B463:B1377,"&gt;"&amp;0,J463:J1377,"&gt;"&amp;DATE(2024,12,31),L463:L1377,"&gt;="&amp;0)/(J1386-COUNTIFS(B463:B1377,"&gt;"&amp;0,J463:J1377,"&lt;="&amp;DATE(2024,12,31),L463:L1377,"&gt;="&amp;0)))))</f>
        <v>3.7593984962406013E-3</v>
      </c>
      <c r="M1386" s="52">
        <f t="shared" si="48"/>
        <v>0.12828947368421054</v>
      </c>
    </row>
  </sheetData>
  <mergeCells count="17">
    <mergeCell ref="B461:M461"/>
    <mergeCell ref="B1380:M1380"/>
    <mergeCell ref="B81:M81"/>
    <mergeCell ref="B89:M89"/>
    <mergeCell ref="B343:M343"/>
    <mergeCell ref="B351:M351"/>
    <mergeCell ref="B453:M453"/>
    <mergeCell ref="B57:M57"/>
    <mergeCell ref="B1:M2"/>
    <mergeCell ref="B4:M4"/>
    <mergeCell ref="B9:M9"/>
    <mergeCell ref="B17:M17"/>
    <mergeCell ref="B49:M49"/>
    <mergeCell ref="D6:E6"/>
    <mergeCell ref="D7:E7"/>
    <mergeCell ref="D8:E8"/>
    <mergeCell ref="D5:E5"/>
  </mergeCells>
  <dataValidations count="3">
    <dataValidation type="list" allowBlank="1" showInputMessage="1" showErrorMessage="1" promptTitle="Selecionar a Sub-Família" sqref="C80:D80 C452:D452 C48:D48 C8" xr:uid="{B6C1009F-6AAB-44AC-A2B9-FEC2BF6ED4CE}">
      <formula1>"Até 1988, Após 1988, Sem Info"</formula1>
    </dataValidation>
    <dataValidation type="list" allowBlank="1" showInputMessage="1" showErrorMessage="1" error="Dado Inserido errado" promptTitle="Selecionar a Sub-Família" sqref="C91:D342 C353:D451 C19:D47 C59:D79 C6:C7" xr:uid="{4BBF5CC9-021D-4C9E-B6FD-D2C9C32BEFF4}">
      <formula1>$B$11:$B$13</formula1>
    </dataValidation>
    <dataValidation type="list" allowBlank="1" showInputMessage="1" showErrorMessage="1" sqref="C463:D690 C1150:D1377 C921:D1148 C692:D919" xr:uid="{5DE64782-19CC-4C76-8B5C-952652ADA004}">
      <formula1>$B$1382:$B$1385</formula1>
    </dataValidation>
  </dataValidations>
  <hyperlinks>
    <hyperlink ref="M921" r:id="rId1" display="../../../../../../../../:b:/r/sites/TIME-CoordenaodeTransportes-GestoLogReversa/Documentos Compartilhados/CPFL/Laudos PCB Antes Reforma/MT - MATO GROSSO/EMT - MATO GROSSO - PCB 34522 Nr Serie 31837898.PDF?csf=1&amp;web=1&amp;e=DrNLsJ" xr:uid="{72902AE8-5893-4DC1-9A45-C4149DB3D574}"/>
    <hyperlink ref="M922" r:id="rId2" display="../../../../../../../../:b:/r/sites/TIME-CoordenaodeTransportes-GestoLogReversa/Documentos Compartilhados/CPFL/Laudos PCB Antes Reforma/MT - MATO GROSSO/EMT - MATO GROSSO - PCB 34582 Nr Serie 822419.PDF?csf=1&amp;web=1&amp;e=9frLdS" xr:uid="{879A68BF-7297-4505-8CCF-7CB27D136F8F}"/>
    <hyperlink ref="M923" r:id="rId3" display="../../../../../../../../:b:/r/sites/TIME-CoordenaodeTransportes-GestoLogReversa/Documentos Compartilhados/CPFL/Laudos PCB Antes Reforma/MT - MATO GROSSO/EMT - MATO GROSSO - PCB 34212 Nr Serie 955947.PDF?csf=1&amp;web=1&amp;e=pLLc7h" xr:uid="{AF41071F-CEBF-4C16-9BF8-768D37C904E3}"/>
    <hyperlink ref="M924" r:id="rId4" display="../../../../../../../../:b:/r/sites/TIME-CoordenaodeTransportes-GestoLogReversa/Documentos Compartilhados/CPFL/Laudos PCB Antes Reforma/MT - MATO GROSSO/EMT - MATO GROSSO - PCB 34582 Nr Serie 822419.PDF?csf=1&amp;web=1&amp;e=PYIKYz" xr:uid="{7A743C0B-001D-47BE-8A2C-5BF017980C87}"/>
    <hyperlink ref="M925" r:id="rId5" display="../../../../../../../../:b:/r/sites/TIME-CoordenaodeTransportes-GestoLogReversa/Documentos Compartilhados/CPFL/Laudos PCB Antes Reforma/MT - MATO GROSSO/EMT - MATO GROSSO - PCB 35374 Nr Serie 266714.PDF?csf=1&amp;web=1&amp;e=qtY6Yj" xr:uid="{1E7FA078-D8F8-4836-B6DD-EF6248065EC9}"/>
    <hyperlink ref="M926" r:id="rId6" display="../../../../../../../../:b:/r/sites/TIME-CoordenaodeTransportes-GestoLogReversa/Documentos Compartilhados/CPFL/Laudos PCB Antes Reforma/MT - MATO GROSSO/EMT - MATO GROSSO - PCB 36329 Nr Serie 1080296.PDF?csf=1&amp;web=1&amp;e=oajoTV" xr:uid="{1BCB972A-C98C-41F0-AD5F-9149ADB57C40}"/>
    <hyperlink ref="M927" r:id="rId7" display="../../../../../../../../:b:/r/sites/TIME-CoordenaodeTransportes-GestoLogReversa/Documentos Compartilhados/CPFL/Laudos PCB Antes Reforma/MT - MATO GROSSO/EMT - MATO GROSSO - PCB 36350 Nr Serie 1019646.PDF?csf=1&amp;web=1&amp;e=Pc3JiA" xr:uid="{B0F0D018-C251-49DF-9BE9-FBC011719D18}"/>
    <hyperlink ref="M928" r:id="rId8" display="../../../../../../../../:b:/r/sites/TIME-CoordenaodeTransportes-GestoLogReversa/Documentos Compartilhados/CPFL/Laudos PCB Antes Reforma/MT - MATO GROSSO/EMT - MATO GROSSO - PCB 36328 Nr Serie 1268927.PDF?csf=1&amp;web=1&amp;e=KwFfTu" xr:uid="{3D88544D-3B7A-4FD3-A520-9760228A1EF4}"/>
    <hyperlink ref="M929" r:id="rId9" display="../../../../../../../../:b:/r/sites/TIME-CoordenaodeTransportes-GestoLogReversa/Documentos Compartilhados/TRAEL/Certificados - Equipamentos de 50 a 500 ppm/TRAEL - MT/137 PE%C3%87AS/S%C3%93LIDOS PERME%C3%81VEIS/SP 29390.pdf?csf=1&amp;web=1&amp;e=eJ38pe" xr:uid="{EF20AAD0-E94F-4BE4-A968-BD2E392DCD0F}"/>
    <hyperlink ref="M930" r:id="rId10" display="../../../../../../../../:b:/r/sites/TIME-CoordenaodeTransportes-GestoLogReversa/Documentos Compartilhados/CPFL/Laudos PCB Antes Reforma/MT - MATO GROSSO/EMT - MATO GROSSO - PCB 36332 Nr Serie 1174268.PDF?csf=1&amp;web=1&amp;e=21Gz7U" xr:uid="{8BB59B82-5889-485A-8243-6E4DC19EC058}"/>
    <hyperlink ref="M931" r:id="rId11" display="../../../../../../../../:b:/r/sites/TIME-CoordenaodeTransportes-GestoLogReversa/Documentos Compartilhados/CPFL/Laudos PCB Antes Reforma/MT - MATO GROSSO/EMT - MATO GROSSO - PCB 36353 Nr Serie 1146011.PDF?csf=1&amp;web=1&amp;e=Kk1PKG" xr:uid="{28C490A6-00B1-469E-A3F3-A07C1BF5ADF6}"/>
    <hyperlink ref="M932" r:id="rId12" display="../../../../../../../../:b:/r/sites/TIME-CoordenaodeTransportes-GestoLogReversa/Documentos Compartilhados/CPFL/Laudos PCB Antes Reforma/MT - MATO GROSSO/EMT - MATO GROSSO - PCB 36356 Nr Serie 927419.PDF?csf=1&amp;web=1&amp;e=mVAgR2" xr:uid="{D7C8E9C4-A340-4800-ABC8-8BF12F24F00A}"/>
    <hyperlink ref="M933" r:id="rId13" display="../../../../../../../../:b:/r/sites/TIME-CoordenaodeTransportes-GestoLogReversa/Documentos Compartilhados/CPFL/Laudos PCB Antes Reforma/MT - MATO GROSSO/EMT - MATO GROSSO - PCB 36312 Nr Serie 1200508.PDF?csf=1&amp;web=1&amp;e=ztWlqy" xr:uid="{528ED12F-8E44-4282-85C7-A89A440B4EFF}"/>
    <hyperlink ref="M934" r:id="rId14" display="../../../../../../../../:b:/r/sites/TIME-CoordenaodeTransportes-GestoLogReversa/Documentos Compartilhados/CPFL/Laudos PCB Antes Reforma/MT - MATO GROSSO/EMT - MATO GROSSO - PCB 36339 Nr Serie 1279539.PDF?csf=1&amp;web=1&amp;e=9b2F7E" xr:uid="{A14ACE23-2058-4012-ADEB-73F38662AE3D}"/>
    <hyperlink ref="M935" r:id="rId15" display="../../../../../../../../:b:/r/sites/TIME-CoordenaodeTransportes-GestoLogReversa/Documentos Compartilhados/CPFL/Laudos PCB Antes Reforma/MT - MATO GROSSO/EMT - MATO GROSSO - PCB 36351 Nr Serie 1203079.PDF?csf=1&amp;web=1&amp;e=7qi1H5" xr:uid="{D35FDA25-2510-4B61-914A-F21EAE252255}"/>
    <hyperlink ref="M936" r:id="rId16" display="../../../../../../../../:b:/r/sites/TIME-CoordenaodeTransportes-GestoLogReversa/Documentos Compartilhados/CPFL/Laudos PCB Antes Reforma/MT - MATO GROSSO/EMT - MATO GROSSO - PCB 36343 Nr Serie 1117276.PDF?csf=1&amp;web=1&amp;e=zNtI4O" xr:uid="{7518A7B1-A831-45E1-AA7A-ECEE1530C3DD}"/>
    <hyperlink ref="M937" r:id="rId17" display="../../../../../../../../:b:/r/sites/TIME-CoordenaodeTransportes-GestoLogReversa/Documentos Compartilhados/CPFL/Laudos PCB Antes Reforma/MT - MATO GROSSO/EMT - MATO GROSSO - PCB 36347 Nr Serie 1131639.PDF?csf=1&amp;web=1&amp;e=S4tGzl" xr:uid="{2B080069-75A1-43ED-9D00-5B0910323FDF}"/>
    <hyperlink ref="M938" r:id="rId18" display="../../../../../../../../:b:/r/sites/TIME-CoordenaodeTransportes-GestoLogReversa/Documentos Compartilhados/CPFL/Laudos PCB Antes Reforma/MT - MATO GROSSO/EMT - MATO GROSSO - PCB 37035 Nr Serie 1280958.PDF?csf=1&amp;web=1&amp;e=QKKrbb" xr:uid="{4E46C286-A523-4BDA-B07C-B4086EF7AE4B}"/>
    <hyperlink ref="M939" r:id="rId19" display="../../../../../../../../:b:/r/sites/TIME-CoordenaodeTransportes-GestoLogReversa/Documentos Compartilhados/CPFL/Laudos PCB Antes Reforma/MT - MATO GROSSO/EMT - MATO GROSSO - PCB 39452 Nr Serie 98737.PDF?csf=1&amp;web=1&amp;e=956iUA" xr:uid="{1B81C321-7CBE-452D-BAA7-2B825A802410}"/>
    <hyperlink ref="M940" r:id="rId20" display="../../../../../../../../:b:/r/sites/TIME-CoordenaodeTransportes-GestoLogReversa/Documentos Compartilhados/CPFL/Laudos PCB Antes Reforma/MT - MATO GROSSO/EMT - MATO GROSSO - PCB 38337 Nr Serie 1019547.PDF?csf=1&amp;web=1&amp;e=b2QycL" xr:uid="{A046B82C-79CE-4EC3-89A1-E22822D53497}"/>
    <hyperlink ref="M941" r:id="rId21" display="../../../../../../../../:b:/r/sites/TIME-CoordenaodeTransportes-GestoLogReversa/Documentos Compartilhados/CPFL/Laudos PCB Antes Reforma/MT - MATO GROSSO/EMT - MATO GROSSO - PCB 38319 Nr Serie 858599.PDF?csf=1&amp;web=1&amp;e=LbinxC" xr:uid="{6375CB0C-E1FC-49AC-B648-CDB81BBD92AA}"/>
    <hyperlink ref="M942" r:id="rId22" display="../../../../../../../../:b:/r/sites/TIME-CoordenaodeTransportes-GestoLogReversa/Documentos Compartilhados/CPFL/Laudos PCB Antes Reforma/MT - MATO GROSSO/EMT - MATO GROSSO - PCB 38333 Nr Serie 905300.PDF?csf=1&amp;web=1&amp;e=VzrUKe" xr:uid="{764AB632-93D7-4C36-A3D4-6A8D62D6A1F6}"/>
    <hyperlink ref="M943" r:id="rId23" display="../../../../../../../../:b:/r/sites/TIME-CoordenaodeTransportes-GestoLogReversa/Documentos Compartilhados/CPFL/Laudos PCB Antes Reforma/MT - MATO GROSSO/EMT - MATO GROSSO - PCB 38332 Nr Serie 816033.PDF?csf=1&amp;web=1&amp;e=dcYntt" xr:uid="{0212D64B-EABD-480D-AAA2-E65FE98A622D}"/>
    <hyperlink ref="M944" r:id="rId24" display="../../../../../../../../:b:/r/sites/TIME-CoordenaodeTransportes-GestoLogReversa/Documentos Compartilhados/CPFL/Laudos PCB Antes Reforma/MT - MATO GROSSO/EMT - MATO GROSSO - PCB 38332 Nr Serie 816033.PDF?csf=1&amp;web=1&amp;e=OKo2xp" xr:uid="{18FA5EB5-289C-40AB-83EC-C7C377562CBA}"/>
    <hyperlink ref="M945" r:id="rId25" display="../../../../../../../../:b:/r/sites/TIME-CoordenaodeTransportes-GestoLogReversa/Documentos Compartilhados/TRAEL/Laudos PCB Antes Reforma/TRAEL - MT/Laudos Sucatas/N.2507 AM10526.pdf?csf=1&amp;web=1&amp;e=FqNW3f" xr:uid="{D5331656-07F6-4751-8762-AE773187D753}"/>
    <hyperlink ref="M946" r:id="rId26" display="../../../../../../../../:b:/r/sites/TIME-CoordenaodeTransportes-GestoLogReversa/Documentos Compartilhados/CPFL/Laudos PCB Antes Reforma/MT - MATO GROSSO/EMT - MATO GROSSO - PCB 39246 Nr Serie 1079781.PDF?csf=1&amp;web=1&amp;e=AxJXUf" xr:uid="{4C0FB7B9-9878-4A02-ABF1-3EB44EBB1D07}"/>
    <hyperlink ref="M947" r:id="rId27" display="../../../../../../../../:b:/r/sites/TIME-CoordenaodeTransportes-GestoLogReversa/Documentos Compartilhados/CPFL/Laudos PCB Antes Reforma/MT - MATO GROSSO/EMT - MATO GROSSO - PCB 39217 Nr Serie 1339644.PDF?csf=1&amp;web=1&amp;e=LWn7AA" xr:uid="{E45F6A62-BE65-431D-AAFA-AA3299AD6D9B}"/>
    <hyperlink ref="M948" r:id="rId28" display="../../../../../../../../:b:/r/sites/TIME-CoordenaodeTransportes-GestoLogReversa/Documentos Compartilhados/CPFL/Laudos PCB Antes Reforma/MT - MATO GROSSO/EMT - MATO GROSSO - PCB 39216 Nr Serie 1228146.PDF?csf=1&amp;web=1&amp;e=hNY8GJ" xr:uid="{2E9BBEC3-DA39-4EA4-94C4-7D876F702807}"/>
    <hyperlink ref="M949" r:id="rId29" display="../../../../../../../../:b:/r/sites/TIME-CoordenaodeTransportes-GestoLogReversa/Documentos Compartilhados/CPFL/Laudos PCB Antes Reforma/MT - MATO GROSSO/EMT - MATO GROSSO - PCB 39241 Nr Serie 1281424.PDF?csf=1&amp;web=1&amp;e=dkMw8E" xr:uid="{FBFADD61-0BF6-440A-A293-D5F9A45362F2}"/>
    <hyperlink ref="M950" r:id="rId30" display="../../../../../../../../:b:/r/sites/TIME-CoordenaodeTransportes-GestoLogReversa/Documentos Compartilhados/CPFL/Laudos PCB Antes Reforma/MT - MATO GROSSO/EMT - MATO GROSSO - PCB 40026 Nr Serie 213592.PDF?csf=1&amp;web=1&amp;e=ZmVb42" xr:uid="{B2978F49-5EE9-4E14-8D0F-63FB89FC2B04}"/>
    <hyperlink ref="M951" r:id="rId31" display="../../../../../../../../:b:/r/sites/TIME-CoordenaodeTransportes-GestoLogReversa/Documentos Compartilhados/CPFL/Laudos PCB Antes Reforma/MT - MATO GROSSO/EMT - MATO GROSSO - PCB 40032 Nr Serie 1086137.PDF?csf=1&amp;web=1&amp;e=nbaJdK" xr:uid="{7386B682-707E-4E74-A2C7-0E6A7DCB9673}"/>
    <hyperlink ref="M952" r:id="rId32" display="../../../../../../../../:b:/r/sites/TIME-CoordenaodeTransportes-GestoLogReversa/Documentos Compartilhados/CPFL/Laudos PCB Antes Reforma/MT - MATO GROSSO/EMT - MATO GROSSO - PCB 40024 Nr Serie 294268.PDF?csf=1&amp;web=1&amp;e=QZh9U3" xr:uid="{44438D0B-F345-4F54-A063-C370F6F5195C}"/>
    <hyperlink ref="M953" r:id="rId33" display="../../../../../../../../:b:/r/sites/TIME-CoordenaodeTransportes-GestoLogReversa/Documentos Compartilhados/CPFL/Laudos PCB Antes Reforma/MT - MATO GROSSO/EMT - MATO GROSSO - PCB 40015 Nr Serie 1131397.PDF?csf=1&amp;web=1&amp;e=2F0hQ5" xr:uid="{9B29D1B8-1E9F-40BC-80E8-6813E3AEA942}"/>
    <hyperlink ref="M954" r:id="rId34" display="../../../../../../../../:b:/r/sites/TIME-CoordenaodeTransportes-GestoLogReversa/Documentos Compartilhados/CPFL/Laudos PCB Antes Reforma/MT - MATO GROSSO/EMT - MATO GROSSO - PCB 37061 Nr Serie 98737.PDF?csf=1&amp;web=1&amp;e=tdLYse" xr:uid="{058903CE-B20B-4063-9336-8AADD52F1169}"/>
    <hyperlink ref="M955" r:id="rId35" display="../../../../../../../../:b:/r/sites/TIME-CoordenaodeTransportes-GestoLogReversa/Documentos Compartilhados/CPFL/Laudos PCB Antes Reforma/MT - MATO GROSSO/EMT - MATO GROSSO - PCB 40127 Nr Serie 395763.PDF?csf=1&amp;web=1&amp;e=cEmNXA" xr:uid="{773F3E73-C556-43F7-8227-564B39D7295A}"/>
    <hyperlink ref="M956" r:id="rId36" display="../../../../../../../../:b:/r/sites/TIME-CoordenaodeTransportes-GestoLogReversa/Documentos Compartilhados/CPFL/Laudos PCB Antes Reforma/MT - MATO GROSSO/EMT - MATO GROSSO - PCB 40126 Nr Serie 1200505.PDF?csf=1&amp;web=1&amp;e=cA0rc1" xr:uid="{008AD7A6-AC9D-4D41-B4A0-E87B6935FF90}"/>
    <hyperlink ref="M957" r:id="rId37" display="../../../../../../../../:b:/r/sites/TIME-CoordenaodeTransportes-GestoLogReversa/Documentos Compartilhados/CPFL/Laudos PCB Antes Reforma/MT - MATO GROSSO/EMT - MATO GROSSO - PCB 40153 Nr Serie 1093587.PDF?csf=1&amp;web=1&amp;e=hTSTDu" xr:uid="{3ACED869-469D-4F50-8F60-98BF0FF67F62}"/>
    <hyperlink ref="M958" r:id="rId38" display="../../../../../../../../:b:/r/sites/TIME-CoordenaodeTransportes-GestoLogReversa/Documentos Compartilhados/CPFL/Laudos PCB Antes Reforma/MT - MATO GROSSO/EMT - MATO GROSSO - PCB 40151 Nr Serie 1278042.PDF?csf=1&amp;web=1&amp;e=ucNKFx" xr:uid="{65372C61-6730-4364-99F7-F2B2CA3EB163}"/>
    <hyperlink ref="M959" r:id="rId39" display="../../../../../../../../:b:/r/sites/TIME-CoordenaodeTransportes-GestoLogReversa/Documentos Compartilhados/CPFL/Laudos PCB Antes Reforma/MT - MATO GROSSO/EMT - MATO GROSSO - PCB 40541 Nr Serie 1284816.PDF?csf=1&amp;web=1&amp;e=U8bNYb" xr:uid="{F3CC9F97-F0A4-4F95-A645-850C19242D5E}"/>
    <hyperlink ref="M960" r:id="rId40" display="../../../../../../../../:b:/r/sites/TIME-CoordenaodeTransportes-GestoLogReversa/Documentos Compartilhados/CPFL/Laudos PCB Antes Reforma/MT - MATO GROSSO/EMT - MATO GROSSO - PCB 40967 Nr Serie 921977.PDF?csf=1&amp;web=1&amp;e=eHpUTk" xr:uid="{18A7E0BD-FC78-4FD9-9FB8-452C57E1E8E1}"/>
    <hyperlink ref="M961" r:id="rId41" display="../../../../../../../../:b:/r/sites/TIME-CoordenaodeTransportes-GestoLogReversa/Documentos Compartilhados/CPFL/Laudos PCB Antes Reforma/MT - MATO GROSSO/EMT - MATO GROSSO - PCB 40966 Nr Serie 1171197.PDF?csf=1&amp;web=1&amp;e=HDI5XH" xr:uid="{5577AFF5-B1A0-488B-9074-0B8F31C0C2FD}"/>
    <hyperlink ref="M962" r:id="rId42" display="../../../../../../../../:b:/r/sites/TIME-CoordenaodeTransportes-GestoLogReversa/Documentos Compartilhados/CPFL/Laudos PCB Antes Reforma/MT - MATO GROSSO/EMT - MATO GROSSO - PCB 40969 Nr Serie 399327.PDF?csf=1&amp;web=1&amp;e=huzPu6" xr:uid="{03088110-7708-4257-8CEA-6C72DE1127B0}"/>
    <hyperlink ref="M963" r:id="rId43" display="../../../../../../../../:b:/r/sites/TIME-CoordenaodeTransportes-GestoLogReversa/Documentos Compartilhados/CPFL/Laudos PCB Antes Reforma/MT - MATO GROSSO/EMT - MATO GROSSO - PCB 40941 Nr Serie 422802.PDF?csf=1&amp;web=1&amp;e=8E6nrp" xr:uid="{12E8A010-80E4-4BE5-B7A1-F2C3D425E753}"/>
    <hyperlink ref="M964" r:id="rId44" display="../../../../../../../../:b:/r/sites/TIME-CoordenaodeTransportes-GestoLogReversa/Documentos Compartilhados/TRAEL/Laudos PCB Antes Reforma/TRAEL - MT/Laudos Sucatas/N.274959 AM10853.pdf?csf=1&amp;web=1&amp;e=4lLMN5" xr:uid="{69314697-68CF-45D4-82E7-66D7E51C3E44}"/>
    <hyperlink ref="M965" r:id="rId45" display="../../../../../../../../:b:/r/sites/TIME-CoordenaodeTransportes-GestoLogReversa/Documentos Compartilhados/CPFL/Laudos PCB Antes Reforma/MT - MATO GROSSO/EMT - MATO GROSSO - PCB 40949 Nr Serie 515833.PDF?csf=1&amp;web=1&amp;e=buzPU5" xr:uid="{2D9C334C-A045-4331-9DE1-DC4485134D39}"/>
    <hyperlink ref="M966" r:id="rId46" display="../../../../../../../../:b:/r/sites/TIME-CoordenaodeTransportes-GestoLogReversa/Documentos Compartilhados/CPFL/Laudos PCB Antes Reforma/MT - MATO GROSSO/EMT - MATO GROSSO - PCB 40918 Nr Serie 1036534986.PDF?csf=1&amp;web=1&amp;e=YRsCIx" xr:uid="{6C620477-1690-498C-BB6D-5716BDB66E20}"/>
    <hyperlink ref="M967" r:id="rId47" display="../../../../../../../../:b:/r/sites/TIME-CoordenaodeTransportes-GestoLogReversa/Documentos Compartilhados/CPFL/Laudos PCB Antes Reforma/MT - MATO GROSSO/EMT - MATO GROSSO - PCB 40914 Nr Serie 1066001.PDF?csf=1&amp;web=1&amp;e=VbufdO" xr:uid="{73823DE7-31A5-4996-937D-2E4A8BC9C92C}"/>
    <hyperlink ref="M968" r:id="rId48" display="../../../../../../../../:b:/r/sites/TIME-CoordenaodeTransportes-GestoLogReversa/Documentos Compartilhados/CPFL/Laudos PCB Antes Reforma/MT - MATO GROSSO/EMT - MATO GROSSO - PCB 41264 Nr Serie 199131.PDF?csf=1&amp;web=1&amp;e=YWbwJv" xr:uid="{E64F1A88-27DC-43F6-B543-850DD892D11A}"/>
    <hyperlink ref="M969" r:id="rId49" display="../../../../../../../../:b:/r/sites/TIME-CoordenaodeTransportes-GestoLogReversa/Documentos Compartilhados/CPFL/Laudos PCB Antes Reforma/MT - MATO GROSSO/EMT - MATO GROSSO - PCB 41244 Nr Serie 463738.PDF?csf=1&amp;web=1&amp;e=CecLRf" xr:uid="{B9B70B52-BCE5-45BD-A605-551B529ADA69}"/>
    <hyperlink ref="M970" r:id="rId50" display="../../../../../../../../:b:/r/sites/TIME-CoordenaodeTransportes-GestoLogReversa/Documentos Compartilhados/CPFL/Laudos PCB Antes Reforma/MT - MATO GROSSO/EMT - MATO GROSSO - PCB 41256 Nr Serie 1043376660.PDF?csf=1&amp;web=1&amp;e=7P5BCa" xr:uid="{6A4A9A77-DFB4-442B-9079-8A364F65BB85}"/>
    <hyperlink ref="M971" r:id="rId51" display="../../../../../../../../:b:/r/sites/TIME-CoordenaodeTransportes-GestoLogReversa/Documentos Compartilhados/CPFL/Laudos PCB Antes Reforma/MT - MATO GROSSO/EMT - MATO GROSSO - PCB 37073 Nr Serie 1036255015.PDF?csf=1&amp;web=1&amp;e=hIadLA" xr:uid="{AF95FCFD-91C4-489B-B64C-34569C179E59}"/>
    <hyperlink ref="M972" r:id="rId52" display="../../../../../../../../:b:/r/sites/TIME-CoordenaodeTransportes-GestoLogReversa/Documentos Compartilhados/TRAEL/Laudos PCB Antes Reforma/TRAEL - MT/Laudos Sucatas/N.99013805 AM11709.pdf?csf=1&amp;web=1&amp;e=64DgLW" xr:uid="{2C1E28C3-20BF-44AD-923A-0151D20E9617}"/>
    <hyperlink ref="M973" r:id="rId53" display="../../../../../../../../:b:/r/sites/TIME-CoordenaodeTransportes-GestoLogReversa/Documentos Compartilhados/CPFL/Laudos PCB Antes Reforma/MT - MATO GROSSO/EMT - MATO GROSSO - PCB 42784 Nr Serie 426225.PDF?csf=1&amp;web=1&amp;e=DPIbuc" xr:uid="{B6753B83-9741-4565-A3EC-4D3C1F762405}"/>
    <hyperlink ref="M974" r:id="rId54" display="../../../../../../../../:b:/r/sites/TIME-CoordenaodeTransportes-GestoLogReversa/Documentos Compartilhados/CPFL/Laudos PCB Antes Reforma/MT - MATO GROSSO/EMT - MATO GROSSO - PCB 45337 Nr Serie 152554.PDF?csf=1&amp;web=1&amp;e=fhYQMB" xr:uid="{2D83BB83-ECC7-4674-BE50-E74E797D8DA4}"/>
    <hyperlink ref="M975" r:id="rId55" display="../../../../../../../../:b:/r/sites/TIME-CoordenaodeTransportes-GestoLogReversa/Documentos Compartilhados/CPFL/Laudos PCB Antes Reforma/MT - MATO GROSSO/EMT - MATO GROSSO - PCB 45322 Nr Serie 1285150.PDF?csf=1&amp;web=1&amp;e=uKQwSR" xr:uid="{093F6D51-8FF8-462A-84D8-6EE58CA8E150}"/>
    <hyperlink ref="M976" r:id="rId56" display="../../../../../../../../:b:/r/sites/TIME-CoordenaodeTransportes-GestoLogReversa/Documentos Compartilhados/CPFL/Laudos PCB Antes Reforma/MT - MATO GROSSO/EMT - MATO GROSSO - PCB 45301 Nr Serie 1348051.PDF?csf=1&amp;web=1&amp;e=7BZrfs" xr:uid="{1EEFD439-3F66-4BD0-8D02-4E1C121468A0}"/>
    <hyperlink ref="M977" r:id="rId57" display="../../../../../../../../:b:/r/sites/TIME-CoordenaodeTransportes-GestoLogReversa/Documentos Compartilhados/CPFL/Laudos PCB Antes Reforma/MT - MATO GROSSO/EMT - MATO GROSSO - PCB 45311 Nr Serie 468277.PDF?csf=1&amp;web=1&amp;e=qcjHXu" xr:uid="{6B490C01-D221-49DB-82F2-78A77D92B0D2}"/>
    <hyperlink ref="M978" r:id="rId58" display="../../../../../../../../:b:/r/sites/TIME-CoordenaodeTransportes-GestoLogReversa/Documentos Compartilhados/CPFL/Laudos PCB Antes Reforma/EMS - MATO GROSSO DO SUL/EMS - MATO GROSSO DO SUL - PCB 34750 Nr Serie 230922.PDF?csf=1&amp;web=1&amp;e=elSg2A" xr:uid="{8B510F25-81A6-4232-BED9-61F4F6B45759}"/>
    <hyperlink ref="M979" r:id="rId59" display="../../../../../../../../:b:/r/sites/TIME-CoordenaodeTransportes-GestoLogReversa/Documentos Compartilhados/CPFL/Laudos PCB Antes Reforma/MT - MATO GROSSO/EMT - MATO GROSSO - PCB 57004 Nr Serie 1268928.PDF?csf=1&amp;web=1&amp;e=PvTvfR" xr:uid="{1D573F47-1728-47DF-A3B7-9185BFB34944}"/>
    <hyperlink ref="M980" r:id="rId60" display="../../../../../../../../:b:/r/sites/TIME-CoordenaodeTransportes-GestoLogReversa/Documentos Compartilhados/CPFL/Laudos PCB Antes Reforma/EMS - MATO GROSSO DO SUL/Relatorio de ensaio de PCB 1144742.pdf?csf=1&amp;web=1&amp;e=C6J6jf" xr:uid="{2989C582-BA79-45FB-A9D4-377F5810D072}"/>
    <hyperlink ref="M981" r:id="rId61" display="../../../../../../../../:b:/r/sites/TIME-CoordenaodeTransportes-GestoLogReversa/Documentos Compartilhados/CPFL/Laudos PCB Antes Reforma/EMS - MATO GROSSO DO SUL/Relatorio de ensaio de PCB 329292.pdf?csf=1&amp;web=1&amp;e=xujib6" xr:uid="{4833F54F-E9A1-4ABB-ADE7-4DB7E9B1FBB8}"/>
    <hyperlink ref="M982" r:id="rId62" display="../../../../../../../../:b:/r/sites/TIME-CoordenaodeTransportes-GestoLogReversa/Documentos Compartilhados/CPFL/Laudos PCB Antes Reforma/EMS - MATO GROSSO DO SUL/Relatorio de ensaio de PCB 763914_69605.pdf?csf=1&amp;web=1&amp;e=gtgcSR" xr:uid="{A0D9325A-95B6-4445-942C-98EC260A3EE0}"/>
    <hyperlink ref="M983" r:id="rId63" display="../../../../../../../../:b:/r/sites/TIME-CoordenaodeTransportes-GestoLogReversa/Documentos Compartilhados/CPFL/Laudos PCB Antes Reforma/EMS - MATO GROSSO DO SUL/Relatorio de ensaio de PCB 146447_70403.pdf?csf=1&amp;web=1&amp;e=qHdWe1" xr:uid="{3EBB9CAC-9170-4446-B776-1AE4CD029D86}"/>
    <hyperlink ref="M984" r:id="rId64" display="../../../../../../../../:b:/r/sites/TIME-CoordenaodeTransportes-GestoLogReversa/Documentos Compartilhados/CPFL/Laudos PCB Antes Reforma/EMS - MATO GROSSO DO SUL/Relatorio de ensaio de PCB 1227273_74462.pdf?csf=1&amp;web=1&amp;e=EbB2Yy" xr:uid="{3FBD30C5-1DFF-4ED5-B87E-64542AFC5B6A}"/>
    <hyperlink ref="M985" r:id="rId65" display="../../../../../../../../:b:/r/sites/TIME-CoordenaodeTransportes-GestoLogReversa/Documentos Compartilhados/CPFL/Laudos PCB Antes Reforma/MT - MATO GROSSO/EMT - MATO GROSSO - PCB 36001 Nr Serie 900605.PDF?csf=1&amp;web=1&amp;e=25VNMz" xr:uid="{0D770CEA-7F77-4EA3-9242-F7F0E64F2611}"/>
    <hyperlink ref="M986" r:id="rId66" display="../../../../../../../../:b:/r/sites/TIME-CoordenaodeTransportes-GestoLogReversa/Documentos Compartilhados/CPFL/Laudos PCB Antes Reforma/MT - MATO GROSSO/EMT - MATO GROSSO - PCB 34587 Nr Serie 1219946.PDF?csf=1&amp;web=1&amp;e=Ebgq4d" xr:uid="{5D2BE942-D799-47D9-B54B-61D0C4DC28F0}"/>
    <hyperlink ref="M987" r:id="rId67" display="../../../../../../../../:b:/r/sites/TIME-CoordenaodeTransportes-GestoLogReversa/Documentos Compartilhados/CPFL/Laudos PCB Antes Reforma/MT - MATO GROSSO/EMT - MATO GROSSO - PCB 34524 Nr Serie 1047030868.PDF?csf=1&amp;web=1&amp;e=9f3TOA" xr:uid="{8674DD28-B1E8-4B50-8989-B22C9E6AA102}"/>
    <hyperlink ref="M988" r:id="rId68" display="../../../../../../../../:b:/r/sites/TIME-CoordenaodeTransportes-GestoLogReversa/Documentos Compartilhados/CPFL/Laudos PCB Antes Reforma/MT - MATO GROSSO/EMT - MATO GROSSO - PCB 34523 Nr Serie 451233.PDF?csf=1&amp;web=1&amp;e=pxxShv" xr:uid="{A15E5771-A190-40DC-98F9-2F259989E92D}"/>
    <hyperlink ref="M989" r:id="rId69" display="../../../../../../../../:b:/r/sites/TIME-CoordenaodeTransportes-GestoLogReversa/Documentos Compartilhados/CPFL/Laudos PCB Antes Reforma/MT - MATO GROSSO/EMT - MATO GROSSO - PCB 34521 Nr Serie 919867.PDF?csf=1&amp;web=1&amp;e=gVWfVF" xr:uid="{51619BB7-D1C9-4731-8F32-2B8A7D9849D9}"/>
    <hyperlink ref="M990" r:id="rId70" display="../../../../../../../../:b:/r/sites/TIME-CoordenaodeTransportes-GestoLogReversa/Documentos Compartilhados/CPFL/Laudos PCB Antes Reforma/MT - MATO GROSSO/EMT - MATO GROSSO - PCB 34583 Nr Serie 518649.PDF?csf=1&amp;web=1&amp;e=ymw6Y3" xr:uid="{51EB580F-0BDE-4808-AB4D-44A916A0F6F1}"/>
    <hyperlink ref="M991" r:id="rId71" display="../../../../../../../../:b:/r/sites/TIME-CoordenaodeTransportes-GestoLogReversa/Documentos Compartilhados/CPFL/Laudos PCB Antes Reforma/MT - MATO GROSSO/EMT - MATO GROSSO - PCB 34216 Nr Serie 306514.PDF?csf=1&amp;web=1&amp;e=vqCPEX" xr:uid="{3ADBF97E-6A25-4D35-B91A-3254626382B8}"/>
    <hyperlink ref="M992" r:id="rId72" display="../../../../../../../../:b:/r/sites/TIME-CoordenaodeTransportes-GestoLogReversa/Documentos Compartilhados/CPFL/Laudos PCB Antes Reforma/MT - MATO GROSSO/EMT - MATO GROSSO - PCB 34520 Nr Serie 1042015980.PDF?csf=1&amp;web=1&amp;e=Qeeya8" xr:uid="{E9ED5710-7B4F-413C-A5EE-E28C868F9D03}"/>
    <hyperlink ref="M993" r:id="rId73" display="../../../../../../../../:b:/r/sites/TIME-CoordenaodeTransportes-GestoLogReversa/Documentos Compartilhados/CPFL/Laudos PCB Antes Reforma/MT - MATO GROSSO/EMT - MATO GROSSO - PCB 34585 Nr Serie 602866.PDF?csf=1&amp;web=1&amp;e=U3Erb1" xr:uid="{7B19F75C-5D7D-4748-8D02-C7619E0A312D}"/>
    <hyperlink ref="M994" r:id="rId74" display="../../../../../../../../:b:/r/sites/TIME-CoordenaodeTransportes-GestoLogReversa/Documentos Compartilhados/CPFL/Laudos PCB Antes Reforma/MT - MATO GROSSO/EMT - MATO GROSSO - PCB 34581 Nr Serie 619243.PDF?csf=1&amp;web=1&amp;e=yxikEZ" xr:uid="{8E17545F-59BE-4FE1-B5B7-324F670F0EC4}"/>
    <hyperlink ref="M995" r:id="rId75" display="../../../../../../../../:b:/r/sites/TIME-CoordenaodeTransportes-GestoLogReversa/Documentos Compartilhados/CPFL/Laudos PCB Antes Reforma/MT - MATO GROSSO/EMT - MATO GROSSO - PCB 34215 Nr Serie 150345.PDF?csf=1&amp;web=1&amp;e=dMdee9" xr:uid="{91BB64B3-A361-4FC4-996C-40D6A41FB61F}"/>
    <hyperlink ref="M996" r:id="rId76" display="../../../../../../../../:b:/r/sites/TIME-CoordenaodeTransportes-GestoLogReversa/Documentos Compartilhados/CPFL/Laudos PCB Antes Reforma/MT - MATO GROSSO/EMT - MATO GROSSO - PCB 34227 Nr Serie 1041814516.PDF?csf=1&amp;web=1&amp;e=r1NNSd" xr:uid="{713B3FC5-5A30-4DFE-8A6C-B6B504219A72}"/>
    <hyperlink ref="M997" r:id="rId77" display="../../../../../../../../:b:/r/sites/TIME-CoordenaodeTransportes-GestoLogReversa/Documentos Compartilhados/CPFL/Laudos PCB Antes Reforma/MT - MATO GROSSO/EMT - MATO GROSSO - PCB 34217 Nr Serie 375397.PDF?csf=1&amp;web=1&amp;e=dwj75j" xr:uid="{5759B16B-931C-4948-81D8-013BA0C8A3F4}"/>
    <hyperlink ref="M998" r:id="rId78" display="../../../../../../../../:b:/r/sites/TIME-CoordenaodeTransportes-GestoLogReversa/Documentos Compartilhados/CPFL/Laudos PCB Antes Reforma/MT - MATO GROSSO/EMT - MATO GROSSO - PCB 34209 Nr Serie 390909.PDF?csf=1&amp;web=1&amp;e=DBqCvr" xr:uid="{BAFAAD72-1D1F-4A2A-BD38-692CDEF04899}"/>
    <hyperlink ref="M999" r:id="rId79" display="../../../../../../../../:b:/r/sites/TIME-CoordenaodeTransportes-GestoLogReversa/Documentos Compartilhados/CPFL/Laudos PCB Antes Reforma/MT - MATO GROSSO/EMT - MATO GROSSO - PCB 34219 Nr Serie 857993.PDF?csf=1&amp;web=1&amp;e=gZgcEY" xr:uid="{77D8B744-2FEB-4088-A835-622B56F188BB}"/>
    <hyperlink ref="M1000" r:id="rId80" display="../../../../../../../../:b:/r/sites/TIME-CoordenaodeTransportes-GestoLogReversa/Documentos Compartilhados/CPFL/Laudos PCB Antes Reforma/MT - MATO GROSSO/EMT - MATO GROSSO - PCB 34234 Nr Serie 1028671.PDF?csf=1&amp;web=1&amp;e=dJBWbt" xr:uid="{D2640B56-9DB6-4F34-B699-618D42FEC12E}"/>
    <hyperlink ref="M1001" r:id="rId81" display="../../../../../../../../:b:/r/sites/TIME-CoordenaodeTransportes-GestoLogReversa/Documentos Compartilhados/CPFL/Laudos PCB Antes Reforma/MT - MATO GROSSO/EMT - MATO GROSSO - PCB 34231 Nr Serie 919841.PDF?csf=1&amp;web=1&amp;e=6g1cTK" xr:uid="{4885D56F-18A4-41DD-AEC5-168D7FBBD078}"/>
    <hyperlink ref="M1002" r:id="rId82" display="../../../../../../../../:b:/r/sites/TIME-CoordenaodeTransportes-GestoLogReversa/Documentos Compartilhados/CPFL/Laudos PCB Antes Reforma/MT - MATO GROSSO/EMT - MATO GROSSO - PCB 34208 Nr Serie 825926.PDF?csf=1&amp;web=1&amp;e=vDiOMq" xr:uid="{2E983456-CA58-4CC6-A281-2182DB68DD01}"/>
    <hyperlink ref="M1003" r:id="rId83" display="../../../../../../../../:b:/r/sites/TIME-CoordenaodeTransportes-GestoLogReversa/Documentos Compartilhados/CPFL/Laudos PCB Antes Reforma/MT - MATO GROSSO/EMT - MATO GROSSO - PCB 34238 Nr Serie 955958.PDF?csf=1&amp;web=1&amp;e=uZ6dV1" xr:uid="{D9076C9B-659C-431A-9B8A-303E12AF7449}"/>
    <hyperlink ref="M1004" r:id="rId84" display="../../../../../../../../:b:/r/sites/TIME-CoordenaodeTransportes-GestoLogReversa/Documentos Compartilhados/CPFL/Laudos PCB Antes Reforma/MT - MATO GROSSO/EMT - MATO GROSSO - PCB 34237 Nr Serie 28621957.PDF?csf=1&amp;web=1&amp;e=KmsXl5" xr:uid="{D044D9DE-61E2-4E68-B6BE-E8C893CE72A6}"/>
    <hyperlink ref="M1005" r:id="rId85" display="../../../../../../../../:b:/r/sites/TIME-CoordenaodeTransportes-GestoLogReversa/Documentos Compartilhados/CPFL/Laudos PCB Antes Reforma/MT - MATO GROSSO/EMT - MATO GROSSO - PCB 34236 Nr Serie 812928.PDF?csf=1&amp;web=1&amp;e=foSSlK" xr:uid="{D119F782-90A3-4829-A15F-A44DA2C9D21B}"/>
    <hyperlink ref="M1006" r:id="rId86" display="../../../../../../../../:b:/r/sites/TIME-CoordenaodeTransportes-GestoLogReversa/Documentos Compartilhados/CPFL/Laudos PCB Antes Reforma/MT - MATO GROSSO/EMT - MATO GROSSO - PCB 34222 Nr Serie 1043831749.PDF?csf=1&amp;web=1&amp;e=e77UaQ" xr:uid="{DBF52B94-6C62-45E5-985E-0FC41EF79EC1}"/>
    <hyperlink ref="M1007" r:id="rId87" display="../../../../../../../../:b:/r/sites/TIME-CoordenaodeTransportes-GestoLogReversa/Documentos Compartilhados/CPFL/Laudos PCB Antes Reforma/MT - MATO GROSSO/EMT - MATO GROSSO - PCB 34235 Nr Serie 895135.PDF?csf=1&amp;web=1&amp;e=0DaWn2" xr:uid="{3CEAB188-10B2-4269-A37A-611DCC65246F}"/>
    <hyperlink ref="M1008" r:id="rId88" display="../../../../../../../../:b:/r/sites/TIME-CoordenaodeTransportes-GestoLogReversa/Documentos Compartilhados/CPFL/Laudos PCB Antes Reforma/MT - MATO GROSSO/EMT - MATO GROSSO - PCB 34230 Nr Serie 894976.PDF?csf=1&amp;web=1&amp;e=puyLTf" xr:uid="{3698DBE4-904E-4C81-951B-9B4F92025A0A}"/>
    <hyperlink ref="M1009" r:id="rId89" display="../../../../../../../../:b:/r/sites/TIME-CoordenaodeTransportes-GestoLogReversa/Documentos Compartilhados/CPFL/Laudos PCB Antes Reforma/MT - MATO GROSSO/EMT - MATO GROSSO - PCB 34229 Nr Serie 1036671970.PDF?csf=1&amp;web=1&amp;e=pwwbY6" xr:uid="{8BE5D857-E2A7-468D-ACBA-60ABF3126C91}"/>
    <hyperlink ref="M1010" r:id="rId90" display="../../../../../../../../:b:/r/sites/TIME-CoordenaodeTransportes-GestoLogReversa/Documentos Compartilhados/CPFL/Laudos PCB Antes Reforma/MT - MATO GROSSO/EMT - MATO GROSSO - PCB 34211 Nr Serie 27744832.PDF?csf=1&amp;web=1&amp;e=aZlhZ1" xr:uid="{534A78FC-4861-4312-B92D-5497EC0676E0}"/>
    <hyperlink ref="M1011" r:id="rId91" display="../../../../../../../../:b:/r/sites/TIME-CoordenaodeTransportes-GestoLogReversa/Documentos Compartilhados/CPFL/Laudos PCB Antes Reforma/MT - MATO GROSSO/EMT - MATO GROSSO - PCB 34210 Nr Serie 894974.PDF?csf=1&amp;web=1&amp;e=bl5QL4" xr:uid="{2EC3C310-A731-42CD-AB09-AC3C5E929EA4}"/>
    <hyperlink ref="M1012" r:id="rId92" display="../../../../../../../../:b:/r/sites/TIME-CoordenaodeTransportes-GestoLogReversa/Documentos Compartilhados/CPFL/Laudos PCB Antes Reforma/MT - MATO GROSSO/EMT - MATO GROSSO - PCB 34214 Nr Serie 999130.PDF?csf=1&amp;web=1&amp;e=JdC5Xh" xr:uid="{8F4153BA-FED4-4355-BC64-AF1D34B2B8F7}"/>
    <hyperlink ref="M1013" r:id="rId93" display="../../../../../../../../:b:/r/sites/TIME-CoordenaodeTransportes-GestoLogReversa/Documentos Compartilhados/CPFL/Laudos PCB Antes Reforma/MT - MATO GROSSO/EMT - MATO GROSSO - PCB 34218 Nr Serie 30800647.PDF?csf=1&amp;web=1&amp;e=hmZP6w" xr:uid="{52110BD8-9CC6-4CB7-A70E-0E1BAFDBC483}"/>
    <hyperlink ref="M1014" r:id="rId94" display="../../../../../../../../:b:/r/sites/TIME-CoordenaodeTransportes-GestoLogReversa/Documentos Compartilhados/CPFL/Laudos PCB Antes Reforma/MT - MATO GROSSO/EMT - MATO GROSSO - PCB 34213 Nr Serie 1200076.PDF?csf=1&amp;web=1&amp;e=YlieFv" xr:uid="{36258376-867E-43D9-AC12-C4A1614F4C91}"/>
    <hyperlink ref="M1015" r:id="rId95" display="../../../../../../../../:b:/r/sites/TIME-CoordenaodeTransportes-GestoLogReversa/Documentos Compartilhados/TRAEL/Laudos PCB Antes Reforma/TRAEL - MT/Laudos Sucatas/N.257271 AM13505.pdf?csf=1&amp;web=1&amp;e=P1pNoj" xr:uid="{DC52A679-BE13-4C28-B470-FAA01FC298C8}"/>
    <hyperlink ref="M1016" r:id="rId96" display="../../../../../../../../:b:/r/sites/TIME-CoordenaodeTransportes-GestoLogReversa/Documentos Compartilhados/CPFL/Laudos PCB Antes Reforma/MT - MATO GROSSO/EMT - MATO GROSSO - PCB 35134 Nr Serie 1019435.PDF?csf=1&amp;web=1&amp;e=ZnVIm4" xr:uid="{4B5795F1-3E2D-4272-A105-23D39184DE42}"/>
    <hyperlink ref="M1017" r:id="rId97" display="../../../../../../../../:b:/r/sites/TIME-CoordenaodeTransportes-GestoLogReversa/Documentos Compartilhados/CPFL/Laudos PCB Antes Reforma/MT - MATO GROSSO/EMT - MATO GROSSO - PCB 34226 Nr Serie 943973.PDF?csf=1&amp;web=1&amp;e=5SBm0f" xr:uid="{8DE89A9C-936B-49EB-AB82-1AA437E1CBA0}"/>
    <hyperlink ref="M1018" r:id="rId98" display="../../../../../../../../:b:/r/sites/TIME-CoordenaodeTransportes-GestoLogReversa/Documentos Compartilhados/CPFL/Laudos PCB Antes Reforma/MT - MATO GROSSO/EMT - MATO GROSSO - PCB 34223 Nr Serie 1215434.PDF?csf=1&amp;web=1&amp;e=F5VAJa" xr:uid="{59611267-1E47-43AE-A0E6-8EB3A95A0F03}"/>
    <hyperlink ref="M1019" r:id="rId99" display="../../../../../../../../:b:/r/sites/TIME-CoordenaodeTransportes-GestoLogReversa/Documentos Compartilhados/CPFL/Laudos PCB Antes Reforma/MT - MATO GROSSO/EMT - MATO GROSSO - PCB 34220 Nr Serie 1036849888.PDF?csf=1&amp;web=1&amp;e=bXLHMI" xr:uid="{0927988D-53E5-4682-9BAA-10F9AE380E76}"/>
    <hyperlink ref="M1020" r:id="rId100" display="../../../../../../../../:b:/r/sites/TIME-CoordenaodeTransportes-GestoLogReversa/Documentos Compartilhados/CPFL/Laudos PCB Antes Reforma/MT - MATO GROSSO/EMT - MATO GROSSO - PCB 34233 Nr Serie 1043831783.PDF?csf=1&amp;web=1&amp;e=1zdcWT" xr:uid="{C877874F-8E37-4067-8957-1BC12E235B35}"/>
    <hyperlink ref="M1021" r:id="rId101" display="../../../../../../../../:b:/r/sites/TIME-CoordenaodeTransportes-GestoLogReversa/Documentos Compartilhados/CPFL/Laudos PCB Antes Reforma/MT - MATO GROSSO/EMT - MATO GROSSO - PCB 34224 Nr Serie 1018070.PDF?csf=1&amp;web=1&amp;e=wYDEyq" xr:uid="{4D0B8BA4-80D8-4020-86E4-5EBF3308AF91}"/>
    <hyperlink ref="M1022" r:id="rId102" display="../../../../../../../../:b:/r/sites/TIME-CoordenaodeTransportes-GestoLogReversa/Documentos Compartilhados/CPFL/Laudos PCB Antes Reforma/MT - MATO GROSSO/EMT - MATO GROSSO - PCB 34221 Nr Serie 1019659.PDF?csf=1&amp;web=1&amp;e=vLU2S5" xr:uid="{DFA849D3-830E-4BDB-811E-F490AA27B711}"/>
    <hyperlink ref="M1023" r:id="rId103" display="../../../../../../../../:b:/r/sites/TIME-CoordenaodeTransportes-GestoLogReversa/Documentos Compartilhados/TRAEL/Laudos PCB Antes Reforma/TRAEL - MT/Laudos Sucatas/N.821630 AM13513.pdf?csf=1&amp;web=1&amp;e=5V5hw2" xr:uid="{2FA11B1D-ECF5-4950-B443-220003DA5FAD}"/>
    <hyperlink ref="M1024" r:id="rId104" display="../../../../../../../../:b:/r/sites/TIME-CoordenaodeTransportes-GestoLogReversa/Documentos Compartilhados/CPFL/Laudos PCB Antes Reforma/MT - MATO GROSSO/EMT - MATO GROSSO - PCB 35372 Nr Serie 518516.PDF?csf=1&amp;web=1&amp;e=BRioWB" xr:uid="{CADCF489-EDF4-40C3-8332-1D95F841AC85}"/>
    <hyperlink ref="M1025" r:id="rId105" display="../../../../../../../../:b:/r/sites/TIME-CoordenaodeTransportes-GestoLogReversa/Documentos Compartilhados/CPFL/Laudos PCB Antes Reforma/MT - MATO GROSSO/EMT - MATO GROSSO - PCB 35392 Nr Serie 518534.PDF?csf=1&amp;web=1&amp;e=B7TKdN" xr:uid="{C8FEF9CD-29A9-442C-97FB-4FEDE331AE28}"/>
    <hyperlink ref="M1026" r:id="rId106" display="../../../../../../../../:b:/r/sites/TIME-CoordenaodeTransportes-GestoLogReversa/Documentos Compartilhados/CPFL/Laudos PCB Antes Reforma/MT - MATO GROSSO/EMT - MATO GROSSO - PCB 35393 Nr Serie 102469.PDF?csf=1&amp;web=1&amp;e=mTVSI6" xr:uid="{B629572D-772B-4B34-A512-B0765302779B}"/>
    <hyperlink ref="M1027" r:id="rId107" display="../../../../../../../../:b:/r/sites/TIME-CoordenaodeTransportes-GestoLogReversa/Documentos Compartilhados/CPFL/Laudos PCB Antes Reforma/MT - MATO GROSSO/EMT - MATO GROSSO - PCB 35391 Nr Serie 102217.PDF?csf=1&amp;web=1&amp;e=2c79Ai" xr:uid="{CA36EA4A-4C7C-4683-8D38-CFBE91D87C88}"/>
    <hyperlink ref="M1028" r:id="rId108" display="../../../../../../../../:b:/r/sites/TIME-CoordenaodeTransportes-GestoLogReversa/Documentos Compartilhados/CPFL/Laudos PCB Antes Reforma/MT - MATO GROSSO/EMT - MATO GROSSO - PCB 35394 Nr Serie 861250.PDF?csf=1&amp;web=1&amp;e=TxFrQY" xr:uid="{C821C397-275D-4B40-B235-1A3EDD2E9BF0}"/>
    <hyperlink ref="M1029" r:id="rId109" display="../../../../../../../../:b:/r/sites/TIME-CoordenaodeTransportes-GestoLogReversa/Documentos Compartilhados/CPFL/Laudos PCB Antes Reforma/MT - MATO GROSSO/EMT - MATO GROSSO - PCB 35387 Nr Serie 1179604.PDF?csf=1&amp;web=1&amp;e=1aJWvf" xr:uid="{413E1F58-664B-469F-A158-9EA6591BCB7C}"/>
    <hyperlink ref="M1030" r:id="rId110" display="../../../../../../../../:b:/r/sites/TIME-CoordenaodeTransportes-GestoLogReversa/Documentos Compartilhados/CPFL/Laudos PCB Antes Reforma/MT - MATO GROSSO/EMT - MATO GROSSO - PCB 35388 Nr Serie 1042015990.PDF?csf=1&amp;web=1&amp;e=QYEGNe" xr:uid="{87C55DA3-05F8-4C90-A97B-2468F6286FB6}"/>
    <hyperlink ref="M1031" r:id="rId111" display="../../../../../../../../:b:/r/sites/TIME-CoordenaodeTransportes-GestoLogReversa/Documentos Compartilhados/CPFL/Laudos PCB Antes Reforma/MT - MATO GROSSO/EMT - MATO GROSSO - PCB 35376 Nr Serie 527050.PDF?csf=1&amp;web=1&amp;e=lKzWUt" xr:uid="{F6FC32F6-C1E3-4092-87FB-E09E35D5B2A3}"/>
    <hyperlink ref="M1032" r:id="rId112" display="../../../../../../../../:b:/r/sites/TIME-CoordenaodeTransportes-GestoLogReversa/Documentos Compartilhados/CPFL/Laudos PCB Antes Reforma/MT - MATO GROSSO/EMT - MATO GROSSO - PCB 35398 Nr Serie 1237407.PDF?csf=1&amp;web=1&amp;e=MFCjud" xr:uid="{3DC2B4A0-E75E-4E31-A146-5DDD1EFDAB6C}"/>
    <hyperlink ref="M1033" r:id="rId113" display="../../../../../../../../:b:/r/sites/TIME-CoordenaodeTransportes-GestoLogReversa/Documentos Compartilhados/CPFL/Laudos PCB Antes Reforma/MT - MATO GROSSO/EMT - MATO GROSSO - PCB 35396 Nr Serie 1041490839.PDF?csf=1&amp;web=1&amp;e=4NruLu" xr:uid="{A19D59D4-3DF6-4FF2-9FF3-E95A2196260C}"/>
    <hyperlink ref="M1034" r:id="rId114" display="../../../../../../../../:b:/r/sites/TIME-CoordenaodeTransportes-GestoLogReversa/Documentos Compartilhados/CPFL/Laudos PCB Antes Reforma/MT - MATO GROSSO/EMT - MATO GROSSO - PCB 38310 Nr Serie 1200158.PDF?csf=1&amp;web=1&amp;e=W3Bj8X" xr:uid="{711C38D0-8BF6-40AF-8279-2BF5091C3580}"/>
    <hyperlink ref="M1035" r:id="rId115" display="../../../../../../../../:b:/r/sites/TIME-CoordenaodeTransportes-GestoLogReversa/Documentos Compartilhados/CPFL/Laudos PCB Ap%C3%B3s Reforma/MATO GROSSO/S%C3%A9rie 1042992893/EMT - MATO GROSSO - PCB 35367 Nr Serie 1042992893.PDF?csf=1&amp;web=1&amp;e=AzqvVR" xr:uid="{AC525BC6-BB95-453F-AD1F-EEC3551D9133}"/>
    <hyperlink ref="M1036" r:id="rId116" display="../../../../../../../../:b:/r/sites/TIME-CoordenaodeTransportes-GestoLogReversa/Documentos Compartilhados/CPFL/Laudos PCB Antes Reforma/MT - MATO GROSSO/EMT - MATO GROSSO - PCB 35390 Nr Serie 29257782.PDF?csf=1&amp;web=1&amp;e=F4lrZe" xr:uid="{33CAF178-902B-4B6C-BD6B-3A8D862A7565}"/>
    <hyperlink ref="M91" r:id="rId117" xr:uid="{247922DF-1326-4F83-88A9-A9634695B485}"/>
    <hyperlink ref="M92" r:id="rId118" xr:uid="{CDF70B3E-C060-4F13-8172-618AF1E16D93}"/>
    <hyperlink ref="M93" r:id="rId119" xr:uid="{940538AD-1C79-431E-B438-AFAE706BBED0}"/>
    <hyperlink ref="M94" r:id="rId120" xr:uid="{497E42F9-2B04-4EC7-9493-0490E4605CCC}"/>
    <hyperlink ref="M95" r:id="rId121" xr:uid="{C57D1760-838D-4B69-8306-87B60609DCD5}"/>
    <hyperlink ref="M96" r:id="rId122" xr:uid="{37388D0D-DA49-435C-A4C3-D5FEFDED265B}"/>
    <hyperlink ref="M97" r:id="rId123" xr:uid="{F2F5272D-D53B-4093-8EA5-60FF60AC3C7E}"/>
    <hyperlink ref="M98" r:id="rId124" xr:uid="{5B0469A1-D3F9-4BD0-9134-4C0A6B3DC51C}"/>
    <hyperlink ref="M99" r:id="rId125" xr:uid="{2EB37ADB-83A7-4363-B971-8CC93E1ACCE5}"/>
    <hyperlink ref="M100" r:id="rId126" xr:uid="{7DCCAAD7-B03F-48EE-8DBB-1012340E88E0}"/>
    <hyperlink ref="M101" r:id="rId127" xr:uid="{BC69489A-795F-42AA-8D61-739A1103E630}"/>
    <hyperlink ref="M102" r:id="rId128" xr:uid="{896E6862-E941-4594-AB63-6C1A3E0D4D66}"/>
    <hyperlink ref="M103" r:id="rId129" xr:uid="{F16B51BC-2852-4A45-A9C7-A006D45132B0}"/>
    <hyperlink ref="M104" r:id="rId130" xr:uid="{67154F8D-F2B3-4E1A-9ECF-3DD0BC59B2FD}"/>
    <hyperlink ref="M105" r:id="rId131" xr:uid="{67FBA40B-2B94-40CB-9E5E-80D4DC5B4008}"/>
    <hyperlink ref="M106" r:id="rId132" xr:uid="{8EF9746E-30B9-4260-8F02-D3F062321A99}"/>
    <hyperlink ref="M107" r:id="rId133" xr:uid="{957B4675-AA3F-4CF4-A8B3-8EDAD5A1AA03}"/>
    <hyperlink ref="M108" r:id="rId134" xr:uid="{82FB9663-446F-404D-8C33-DFA1FFCF50FE}"/>
    <hyperlink ref="M109" r:id="rId135" xr:uid="{6FCC4222-DB4D-458D-AEEF-8236C8E84DC9}"/>
    <hyperlink ref="M110" r:id="rId136" xr:uid="{875C77F0-0E30-4142-BF0E-00D4C24834B6}"/>
    <hyperlink ref="M111" r:id="rId137" xr:uid="{597921FD-7FDC-4993-8645-7E47E0E76185}"/>
    <hyperlink ref="M112" r:id="rId138" xr:uid="{4A6CCF1D-95B4-4281-A456-A84E1E4058E8}"/>
    <hyperlink ref="M113" r:id="rId139" xr:uid="{45B9FAB6-3710-41B0-B8EF-243BB0CE7CFE}"/>
    <hyperlink ref="M114" r:id="rId140" xr:uid="{9DE97B9A-6221-4111-ACD6-320836CC17EE}"/>
    <hyperlink ref="M115" r:id="rId141" xr:uid="{39C4B337-A65A-49B8-A32E-B6F1BD0647E8}"/>
    <hyperlink ref="M116" r:id="rId142" xr:uid="{7A73309E-8879-46C2-824A-D9BA5AF35F95}"/>
    <hyperlink ref="M117" r:id="rId143" xr:uid="{41BB9DEA-8BE3-42ED-87E9-44A7A29928EB}"/>
    <hyperlink ref="M118" r:id="rId144" xr:uid="{F7773660-6E1C-4482-B289-9CA0BF084CB1}"/>
    <hyperlink ref="M119" r:id="rId145" xr:uid="{58A783F4-DCA2-4F16-8930-F50B07EF473C}"/>
    <hyperlink ref="M120" r:id="rId146" xr:uid="{81BB37D2-E9B1-44A0-896D-C6A501A9C508}"/>
    <hyperlink ref="M121" r:id="rId147" xr:uid="{2066DBC9-4EE5-4B70-AAA8-70E85BF7CEF0}"/>
    <hyperlink ref="M122" r:id="rId148" xr:uid="{9F78C3DA-B2E4-4B3E-9E5B-79866850F777}"/>
    <hyperlink ref="M123" r:id="rId149" xr:uid="{7FF095CB-0D18-40AC-A7B4-80880B57189C}"/>
    <hyperlink ref="M124" r:id="rId150" xr:uid="{E3187EA3-78B0-4F39-B1F6-181DFCD7FB61}"/>
    <hyperlink ref="M125" r:id="rId151" xr:uid="{1323DDE9-E78F-4FAE-8450-A2F994262375}"/>
    <hyperlink ref="M126" r:id="rId152" xr:uid="{3D741A14-C8CF-4698-9087-FB1D51DD714D}"/>
    <hyperlink ref="M464" r:id="rId153" display="../../../../../../../../:b:/r/sites/TIME-CoordenaodeTransportes-GestoLogReversa/Documentos Compartilhados/CPFL/Laudos PCB Antes Reforma/EMS - MATO GROSSO DO SUL/Relatorio de ensaio de PCB 14860_72028.pdf?csf=1&amp;web=1&amp;e=UnbB7a" xr:uid="{708ADD30-D872-4FA9-93F2-50BE5D04303B}"/>
  </hyperlinks>
  <pageMargins left="0.511811024" right="0.511811024" top="0.78740157499999996" bottom="0.78740157499999996" header="0.31496062000000002" footer="0.31496062000000002"/>
  <pageSetup paperSize="9" orientation="portrait" r:id="rId154"/>
  <legacyDrawing r:id="rId15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7F9E-2F63-4F1F-A8F9-0964043E433F}">
  <dimension ref="B1:L1386"/>
  <sheetViews>
    <sheetView showGridLines="0" topLeftCell="A459" workbookViewId="0">
      <pane ySplit="4" topLeftCell="B909" activePane="bottomLeft" state="frozen"/>
      <selection pane="bottomLeft" activeCell="G920" sqref="G920"/>
    </sheetView>
  </sheetViews>
  <sheetFormatPr defaultRowHeight="15" outlineLevelRow="2"/>
  <cols>
    <col min="2" max="2" width="20.85546875" customWidth="1"/>
    <col min="3" max="3" width="16.28515625" customWidth="1"/>
    <col min="4" max="4" width="42.5703125" customWidth="1"/>
    <col min="5" max="5" width="18.42578125" bestFit="1" customWidth="1"/>
    <col min="6" max="6" width="13.28515625" customWidth="1"/>
    <col min="7" max="7" width="17.85546875" customWidth="1"/>
    <col min="8" max="8" width="13.85546875" customWidth="1"/>
    <col min="9" max="9" width="12.5703125" customWidth="1"/>
    <col min="10" max="11" width="14" customWidth="1"/>
    <col min="12" max="12" width="19.140625" customWidth="1"/>
    <col min="13" max="13" width="17.28515625" bestFit="1" customWidth="1"/>
  </cols>
  <sheetData>
    <row r="1" spans="2:12">
      <c r="B1" s="310" t="s">
        <v>47</v>
      </c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2:12" ht="19.5" customHeight="1" thickBot="1">
      <c r="B2" s="347"/>
      <c r="C2" s="348"/>
      <c r="D2" s="348"/>
      <c r="E2" s="348"/>
      <c r="F2" s="348"/>
      <c r="G2" s="348"/>
      <c r="H2" s="348"/>
      <c r="I2" s="348"/>
      <c r="J2" s="348"/>
      <c r="K2" s="348"/>
      <c r="L2" s="349"/>
    </row>
    <row r="3" spans="2:12" ht="19.5" customHeight="1" thickBot="1"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ht="32.25" customHeight="1" thickBot="1">
      <c r="B4" s="320" t="str">
        <f>_xlfn.CONCAT("Transformadores de Rede Subterrânea",TEXT(IF(SUM(I11:I13)=0," ",(SUM(G11:G13)/SUM(I11:I13))), " 0,00%"))</f>
        <v xml:space="preserve">Transformadores de Rede Subterrânea </v>
      </c>
      <c r="C4" s="321"/>
      <c r="D4" s="321"/>
      <c r="E4" s="321"/>
      <c r="F4" s="321"/>
      <c r="G4" s="321"/>
      <c r="H4" s="321"/>
      <c r="I4" s="321"/>
      <c r="J4" s="321"/>
      <c r="K4" s="321"/>
      <c r="L4" s="322"/>
    </row>
    <row r="5" spans="2:12" ht="24" customHeight="1" outlineLevel="1" thickBot="1">
      <c r="B5" s="26" t="s">
        <v>48</v>
      </c>
      <c r="C5" s="27" t="s">
        <v>49</v>
      </c>
      <c r="D5" s="27" t="s">
        <v>50</v>
      </c>
      <c r="E5" s="27" t="s">
        <v>51</v>
      </c>
      <c r="F5" s="27" t="s">
        <v>52</v>
      </c>
      <c r="G5" s="27" t="s">
        <v>53</v>
      </c>
      <c r="H5" s="27" t="s">
        <v>54</v>
      </c>
      <c r="I5" s="27" t="s">
        <v>55</v>
      </c>
      <c r="J5" s="27" t="s">
        <v>56</v>
      </c>
      <c r="K5" s="27" t="s">
        <v>57</v>
      </c>
      <c r="L5" s="28" t="s">
        <v>58</v>
      </c>
    </row>
    <row r="6" spans="2:12" outlineLevel="1">
      <c r="B6" s="40" t="str">
        <f>IF(C6="","",ROW($A$1))</f>
        <v/>
      </c>
      <c r="C6" s="41"/>
      <c r="D6" s="41"/>
      <c r="E6" s="41"/>
      <c r="F6" s="41"/>
      <c r="G6" s="41"/>
      <c r="H6" s="41"/>
      <c r="I6" s="42"/>
      <c r="J6" s="41"/>
      <c r="K6" s="41"/>
      <c r="L6" s="43"/>
    </row>
    <row r="7" spans="2:12" outlineLevel="1">
      <c r="B7" s="35" t="str">
        <f>IF(B6="","",(B6+1))</f>
        <v/>
      </c>
      <c r="C7" s="1"/>
      <c r="D7" s="1"/>
      <c r="E7" s="1"/>
      <c r="F7" s="1"/>
      <c r="G7" s="1"/>
      <c r="H7" s="1"/>
      <c r="I7" s="36"/>
      <c r="J7" s="1"/>
      <c r="K7" s="1"/>
      <c r="L7" s="2"/>
    </row>
    <row r="8" spans="2:12" ht="15.75" outlineLevel="1" thickBot="1">
      <c r="B8" s="37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2:12" ht="26.25" customHeight="1" thickBot="1">
      <c r="B9" s="320" t="s">
        <v>59</v>
      </c>
      <c r="C9" s="321"/>
      <c r="D9" s="321"/>
      <c r="E9" s="321"/>
      <c r="F9" s="321"/>
      <c r="G9" s="321"/>
      <c r="H9" s="321"/>
      <c r="I9" s="321"/>
      <c r="J9" s="321"/>
      <c r="K9" s="321"/>
      <c r="L9" s="322"/>
    </row>
    <row r="10" spans="2:12" ht="24" customHeight="1" thickBot="1">
      <c r="B10" s="26" t="s">
        <v>49</v>
      </c>
      <c r="C10" s="27" t="s">
        <v>60</v>
      </c>
      <c r="D10" s="27" t="s">
        <v>62</v>
      </c>
      <c r="E10" s="27" t="s">
        <v>63</v>
      </c>
      <c r="F10" s="27" t="s">
        <v>64</v>
      </c>
      <c r="G10" s="27" t="s">
        <v>65</v>
      </c>
      <c r="H10" s="27" t="s">
        <v>66</v>
      </c>
      <c r="I10" s="27" t="s">
        <v>67</v>
      </c>
      <c r="J10" s="27" t="s">
        <v>6</v>
      </c>
      <c r="K10" s="27" t="s">
        <v>7</v>
      </c>
      <c r="L10" s="28" t="s">
        <v>68</v>
      </c>
    </row>
    <row r="11" spans="2:12">
      <c r="B11" s="46" t="s">
        <v>8</v>
      </c>
      <c r="C11" s="41">
        <f>COUNTIFS(B6:B8,"&gt;"&amp;0,C6:C8,"="&amp;B11)</f>
        <v>0</v>
      </c>
      <c r="D11" s="41">
        <f>COUNTIFS(B6:B8,"&gt;="&amp;1,C6:C8,B11,K6:K8,"&gt;="&amp;0,K6:K8,"&lt;"&amp;50)</f>
        <v>0</v>
      </c>
      <c r="E11" s="41">
        <f>COUNTIFS(B6:B8,"&gt;="&amp;1,C6:C8,B11,K6:K8,"&gt;="&amp;50,K6:K8,"&lt;"&amp;500)</f>
        <v>0</v>
      </c>
      <c r="F11" s="41">
        <f>COUNTIFS(B6:B8,"&gt;="&amp;1,C6:C8,B11,K6:K8,"&gt;="&amp;500)</f>
        <v>0</v>
      </c>
      <c r="G11" s="41">
        <f>COUNTIFS(B6:B8,"&gt;="&amp;1,C6:C8,B11,K6:K8,"&gt;="&amp;0,I6:I8,"&gt;"&amp;DATE(2021,1,1))</f>
        <v>0</v>
      </c>
      <c r="H11" s="47" t="str">
        <f>IF(G11=0,"-",(SUM(E11,F11)/G11))</f>
        <v>-</v>
      </c>
      <c r="I11" s="41">
        <f>IF((COUNTIFS(B6:B8,"&gt;="&amp;1,C6:C8,"="&amp;B11))&gt;228,228,(COUNTIFS(B6:B8,"&gt;="&amp;1,C6:C8,"="&amp;B11)))</f>
        <v>0</v>
      </c>
      <c r="J11" s="47" t="str">
        <f>IF(I11=0,"-",(COUNTIFS(C6:C8,"="&amp;B11,I6:I8,"&lt;="&amp;DATE(2024,12,31),K6:K8,"&gt;="&amp;0)/I11))</f>
        <v>-</v>
      </c>
      <c r="K11" s="47" t="str">
        <f>IF(I11=0,"-",IF(J11=1,"-",(COUNTIFS(B6:B8,"&gt;"&amp;0,C6:C8,"="&amp;B11,I6:I8,"&gt;"&amp;DATE(2024,12,31),K6:K8,"&gt;="&amp;0)/(I11-COUNTIFS(B6:B8,"&gt;"&amp;0,C6:C8,"="&amp;B11,I6:I8,"&lt;="&amp;DATE(2024,12,31),K6:K8,"&gt;="&amp;0)))))</f>
        <v>-</v>
      </c>
      <c r="L11" s="48" t="str">
        <f>IF(I11=0,"-",G11/I11)</f>
        <v>-</v>
      </c>
    </row>
    <row r="12" spans="2:12">
      <c r="B12" s="7" t="s">
        <v>9</v>
      </c>
      <c r="C12" s="1">
        <f>COUNTIFS(B6:B8,"&gt;"&amp;0,C6:C8,"="&amp;B12)</f>
        <v>0</v>
      </c>
      <c r="D12" s="1">
        <f>COUNTIFS(B6:B8,"&gt;="&amp;1,C6:C8,B12,K6:K8,"&gt;="&amp;0,K6:K8,"&lt;"&amp;50)</f>
        <v>0</v>
      </c>
      <c r="E12" s="1">
        <f>COUNTIFS(B6:B8,"&gt;="&amp;1,C6:C8,B12,K6:K8,"&gt;="&amp;50,K6:K8,"&lt;"&amp;500)</f>
        <v>0</v>
      </c>
      <c r="F12" s="1">
        <f>COUNTIFS(B6:B8,"&gt;="&amp;1,C6:C8,B12,K6:K8,"&gt;="&amp;500)</f>
        <v>0</v>
      </c>
      <c r="G12" s="1">
        <f>COUNTIFS(B6:B8,"&gt;="&amp;1,C6:C8,B12,K6:K8,"&gt;="&amp;0,I6:I8,"&gt;"&amp;DATE(2021,1,1))</f>
        <v>0</v>
      </c>
      <c r="H12" s="44" t="str">
        <f t="shared" ref="H12:H14" si="0">IF(G12=0,"-",(SUM(E12,F12)/G12))</f>
        <v>-</v>
      </c>
      <c r="I12" s="1">
        <f>IF((COUNTIFS(B6:B8,"&gt;="&amp;1,C6:C8,"="&amp;B12))&gt;228,228,(COUNTIFS(B6:B8,"&gt;="&amp;1,C6:C8,"="&amp;B12)))</f>
        <v>0</v>
      </c>
      <c r="J12" s="44" t="str">
        <f>IF(I12=0,"-",(COUNTIFS(C6:C8,"="&amp;B12,I6:I8,"&lt;="&amp;DATE(2024,12,31),K6:K8,"&gt;="&amp;0)/I12))</f>
        <v>-</v>
      </c>
      <c r="K12" s="47" t="str">
        <f>IF(I12=0,"-",IF(J12=1,"-",(COUNTIFS(B6:B8,"&gt;"&amp;0,C6:C8,"="&amp;B12,I6:I8,"&gt;"&amp;DATE(2024,12,31),K6:K8,"&gt;="&amp;0)/(I12-COUNTIFS(B6:B8,"&gt;"&amp;0,C6:C8,"="&amp;B12,I6:I8,"&lt;="&amp;DATE(2024,12,31),K6:K8,"&gt;="&amp;0)))))</f>
        <v>-</v>
      </c>
      <c r="L12" s="45" t="str">
        <f t="shared" ref="L12:L14" si="1">IF(I12=0,"-",G12/I12)</f>
        <v>-</v>
      </c>
    </row>
    <row r="13" spans="2:12">
      <c r="B13" s="7" t="s">
        <v>69</v>
      </c>
      <c r="C13" s="1">
        <f>COUNTIFS(B6:B8,"&gt;"&amp;0,C6:C8,"="&amp;B13)</f>
        <v>0</v>
      </c>
      <c r="D13" s="1">
        <f>COUNTIFS(B6:B8,"&gt;="&amp;1,C6:C8,B13,K6:K8,"&gt;="&amp;0,K6:K8,"&lt;"&amp;50)</f>
        <v>0</v>
      </c>
      <c r="E13" s="1">
        <f>COUNTIFS(B6:B8,"&gt;="&amp;1,C6:C8,B13,K6:K8,"&gt;="&amp;50,K6:K8,"&lt;"&amp;500)</f>
        <v>0</v>
      </c>
      <c r="F13" s="1">
        <f>COUNTIFS(B6:B7,"&gt;="&amp;1,C6:C7,B13,K6:K7,"&gt;="&amp;500)</f>
        <v>0</v>
      </c>
      <c r="G13" s="1">
        <f>COUNTIFS(B6:B8,"&gt;="&amp;1,C6:C8,B13,K6:K8,"&gt;="&amp;0,I6:I8,"&gt;"&amp;DATE(2021,1,1))</f>
        <v>0</v>
      </c>
      <c r="H13" s="44" t="str">
        <f t="shared" si="0"/>
        <v>-</v>
      </c>
      <c r="I13" s="1">
        <f>IF((COUNTIFS(B6:B7,"&gt;="&amp;1,C6:C7,"="&amp;B13))&gt;228,228,(COUNTIFS(B6:B7,"&gt;="&amp;1,C6:C7,"="&amp;B13)))</f>
        <v>0</v>
      </c>
      <c r="J13" s="44" t="str">
        <f>IF(I13=0,"-",(COUNTIFS(C6:C8,"="&amp;B13,I6:I8,"&lt;="&amp;DATE(2024,12,31),K6:K8,"&gt;="&amp;0)/I13))</f>
        <v>-</v>
      </c>
      <c r="K13" s="47" t="str">
        <f>IF(I13=0,"-",IF(J13=1,"-",(COUNTIFS(B6:B8,"&gt;"&amp;0,C6:C8,"="&amp;B13,I6:I8,"&gt;"&amp;DATE(2024,12,31),K6:K8,"&gt;="&amp;0)/(I13-COUNTIFS(B6:B8,"&gt;"&amp;0,C6:C8,"="&amp;B13,I6:I8,"&lt;="&amp;DATE(2024,12,31),K6:K8,"&gt;="&amp;0)))))</f>
        <v>-</v>
      </c>
      <c r="L13" s="45" t="str">
        <f t="shared" si="1"/>
        <v>-</v>
      </c>
    </row>
    <row r="14" spans="2:12" ht="23.25" customHeight="1" thickBot="1">
      <c r="B14" s="49" t="s">
        <v>59</v>
      </c>
      <c r="C14" s="50">
        <f>SUM(C11:C13)</f>
        <v>0</v>
      </c>
      <c r="D14" s="50">
        <f>SUM(D11:D13)</f>
        <v>0</v>
      </c>
      <c r="E14" s="50">
        <f>SUM(E11:E13)</f>
        <v>0</v>
      </c>
      <c r="F14" s="50">
        <f>SUM(F11:F13)</f>
        <v>0</v>
      </c>
      <c r="G14" s="50">
        <f>SUM(G11:G13)</f>
        <v>0</v>
      </c>
      <c r="H14" s="51" t="str">
        <f t="shared" si="0"/>
        <v>-</v>
      </c>
      <c r="I14" s="50">
        <f>SUM(I11:I13)</f>
        <v>0</v>
      </c>
      <c r="J14" s="51" t="str">
        <f>IF(I14=0,"-",(COUNTIFS(I6:I8,"&lt;="&amp;DATE(2024,12,31),K6:K8,"&gt;="&amp;0)/I14))</f>
        <v>-</v>
      </c>
      <c r="K14" s="51" t="str">
        <f>IF(I14=0,"-",IF(J14=1,"-",(COUNTIFS(B6:B8,"&gt;"&amp;0,I6:I8,"&gt;"&amp;DATE(2024,12,31),K6:K8,"&gt;="&amp;0)/(I14-COUNTIFS(B6:B8,"&gt;"&amp;0,I6:I8,"&lt;="&amp;DATE(2024,12,31),K6:K8,"&gt;="&amp;0)))))</f>
        <v>-</v>
      </c>
      <c r="L14" s="52" t="str">
        <f t="shared" si="1"/>
        <v>-</v>
      </c>
    </row>
    <row r="16" spans="2:12" ht="15.75" thickBot="1"/>
    <row r="17" spans="2:12" ht="32.25" customHeight="1" thickBot="1">
      <c r="B17" s="320" t="str">
        <f>_xlfn.CONCAT("Disjuntores com extinção de arco OMI (PVO e GVO)",TEXT(IF(SUM(I51:I53)=0," ",(SUM(G51:G53)/SUM(I51:I53))), " 0,00%"))</f>
        <v xml:space="preserve">Disjuntores com extinção de arco OMI (PVO e GVO) </v>
      </c>
      <c r="C17" s="321"/>
      <c r="D17" s="321"/>
      <c r="E17" s="321"/>
      <c r="F17" s="321"/>
      <c r="G17" s="321"/>
      <c r="H17" s="321"/>
      <c r="I17" s="321"/>
      <c r="J17" s="321"/>
      <c r="K17" s="321"/>
      <c r="L17" s="322"/>
    </row>
    <row r="18" spans="2:12" ht="24" customHeight="1" outlineLevel="1" thickBot="1">
      <c r="B18" s="26" t="s">
        <v>48</v>
      </c>
      <c r="C18" s="27" t="s">
        <v>49</v>
      </c>
      <c r="D18" s="27" t="s">
        <v>50</v>
      </c>
      <c r="E18" s="27" t="s">
        <v>51</v>
      </c>
      <c r="F18" s="27" t="s">
        <v>52</v>
      </c>
      <c r="G18" s="27" t="s">
        <v>53</v>
      </c>
      <c r="H18" s="27" t="s">
        <v>54</v>
      </c>
      <c r="I18" s="27" t="s">
        <v>55</v>
      </c>
      <c r="J18" s="27" t="s">
        <v>56</v>
      </c>
      <c r="K18" s="27" t="s">
        <v>57</v>
      </c>
      <c r="L18" s="28" t="s">
        <v>58</v>
      </c>
    </row>
    <row r="19" spans="2:12" outlineLevel="1">
      <c r="B19" s="46" t="str">
        <f>IF(C19="","",ROW($A$1))</f>
        <v/>
      </c>
      <c r="C19" s="41"/>
      <c r="D19" s="41"/>
      <c r="E19" s="41"/>
      <c r="F19" s="41"/>
      <c r="G19" s="41"/>
      <c r="H19" s="41"/>
      <c r="I19" s="42"/>
      <c r="J19" s="41"/>
      <c r="K19" s="41"/>
      <c r="L19" s="43"/>
    </row>
    <row r="20" spans="2:12" hidden="1" outlineLevel="1">
      <c r="B20" s="46" t="str">
        <f>IF(C20="","",B19+1)</f>
        <v/>
      </c>
      <c r="C20" s="41"/>
      <c r="D20" s="41"/>
      <c r="E20" s="41"/>
      <c r="F20" s="41"/>
      <c r="G20" s="41"/>
      <c r="H20" s="41"/>
      <c r="I20" s="42"/>
      <c r="J20" s="41"/>
      <c r="K20" s="41"/>
      <c r="L20" s="43"/>
    </row>
    <row r="21" spans="2:12" hidden="1" outlineLevel="1">
      <c r="B21" s="46" t="str">
        <f t="shared" ref="B21:B48" si="2">IF(C21="","",B20+1)</f>
        <v/>
      </c>
      <c r="C21" s="41"/>
      <c r="D21" s="41"/>
      <c r="E21" s="41"/>
      <c r="F21" s="41"/>
      <c r="G21" s="41"/>
      <c r="H21" s="41"/>
      <c r="I21" s="42"/>
      <c r="J21" s="41"/>
      <c r="K21" s="41"/>
      <c r="L21" s="43"/>
    </row>
    <row r="22" spans="2:12" hidden="1" outlineLevel="1">
      <c r="B22" s="46" t="str">
        <f t="shared" si="2"/>
        <v/>
      </c>
      <c r="C22" s="41"/>
      <c r="D22" s="41"/>
      <c r="E22" s="41"/>
      <c r="F22" s="41"/>
      <c r="G22" s="41"/>
      <c r="H22" s="41"/>
      <c r="I22" s="42"/>
      <c r="J22" s="41"/>
      <c r="K22" s="41"/>
      <c r="L22" s="43"/>
    </row>
    <row r="23" spans="2:12" hidden="1" outlineLevel="1">
      <c r="B23" s="46" t="str">
        <f t="shared" si="2"/>
        <v/>
      </c>
      <c r="C23" s="41"/>
      <c r="D23" s="41"/>
      <c r="E23" s="41"/>
      <c r="F23" s="41"/>
      <c r="G23" s="41"/>
      <c r="H23" s="41"/>
      <c r="I23" s="42"/>
      <c r="J23" s="41"/>
      <c r="K23" s="41"/>
      <c r="L23" s="43"/>
    </row>
    <row r="24" spans="2:12" hidden="1" outlineLevel="1">
      <c r="B24" s="46" t="str">
        <f t="shared" si="2"/>
        <v/>
      </c>
      <c r="C24" s="41"/>
      <c r="D24" s="41"/>
      <c r="E24" s="41"/>
      <c r="F24" s="41"/>
      <c r="G24" s="41"/>
      <c r="H24" s="41"/>
      <c r="I24" s="42"/>
      <c r="J24" s="41"/>
      <c r="K24" s="41"/>
      <c r="L24" s="43"/>
    </row>
    <row r="25" spans="2:12" hidden="1" outlineLevel="1">
      <c r="B25" s="46" t="str">
        <f t="shared" si="2"/>
        <v/>
      </c>
      <c r="C25" s="41"/>
      <c r="D25" s="41"/>
      <c r="E25" s="41"/>
      <c r="F25" s="41"/>
      <c r="G25" s="41"/>
      <c r="H25" s="41"/>
      <c r="I25" s="42"/>
      <c r="J25" s="41"/>
      <c r="K25" s="41"/>
      <c r="L25" s="43"/>
    </row>
    <row r="26" spans="2:12" hidden="1" outlineLevel="1">
      <c r="B26" s="46" t="str">
        <f t="shared" si="2"/>
        <v/>
      </c>
      <c r="C26" s="41"/>
      <c r="D26" s="41"/>
      <c r="E26" s="41"/>
      <c r="F26" s="41"/>
      <c r="G26" s="41"/>
      <c r="H26" s="41"/>
      <c r="I26" s="42"/>
      <c r="J26" s="41"/>
      <c r="K26" s="41"/>
      <c r="L26" s="43"/>
    </row>
    <row r="27" spans="2:12" hidden="1" outlineLevel="1">
      <c r="B27" s="46" t="str">
        <f t="shared" si="2"/>
        <v/>
      </c>
      <c r="C27" s="41"/>
      <c r="D27" s="41"/>
      <c r="E27" s="41"/>
      <c r="F27" s="41"/>
      <c r="G27" s="41"/>
      <c r="H27" s="41"/>
      <c r="I27" s="42"/>
      <c r="J27" s="41"/>
      <c r="K27" s="41"/>
      <c r="L27" s="43"/>
    </row>
    <row r="28" spans="2:12" hidden="1" outlineLevel="1">
      <c r="B28" s="46" t="str">
        <f t="shared" si="2"/>
        <v/>
      </c>
      <c r="C28" s="41"/>
      <c r="D28" s="41"/>
      <c r="E28" s="41"/>
      <c r="F28" s="41"/>
      <c r="G28" s="41"/>
      <c r="H28" s="41"/>
      <c r="I28" s="42"/>
      <c r="J28" s="41"/>
      <c r="K28" s="41"/>
      <c r="L28" s="43"/>
    </row>
    <row r="29" spans="2:12" hidden="1" outlineLevel="1">
      <c r="B29" s="46" t="str">
        <f t="shared" si="2"/>
        <v/>
      </c>
      <c r="C29" s="41"/>
      <c r="D29" s="41"/>
      <c r="E29" s="41"/>
      <c r="F29" s="41"/>
      <c r="G29" s="41"/>
      <c r="H29" s="41"/>
      <c r="I29" s="42"/>
      <c r="J29" s="41"/>
      <c r="K29" s="41"/>
      <c r="L29" s="43"/>
    </row>
    <row r="30" spans="2:12" hidden="1" outlineLevel="1">
      <c r="B30" s="46" t="str">
        <f t="shared" si="2"/>
        <v/>
      </c>
      <c r="C30" s="41"/>
      <c r="D30" s="41"/>
      <c r="E30" s="41"/>
      <c r="F30" s="41"/>
      <c r="G30" s="41"/>
      <c r="H30" s="41"/>
      <c r="I30" s="42"/>
      <c r="J30" s="41"/>
      <c r="K30" s="41"/>
      <c r="L30" s="43"/>
    </row>
    <row r="31" spans="2:12" hidden="1" outlineLevel="1">
      <c r="B31" s="46" t="str">
        <f t="shared" si="2"/>
        <v/>
      </c>
      <c r="C31" s="41"/>
      <c r="D31" s="41"/>
      <c r="E31" s="41"/>
      <c r="F31" s="41"/>
      <c r="G31" s="41"/>
      <c r="H31" s="41"/>
      <c r="I31" s="42"/>
      <c r="J31" s="41"/>
      <c r="K31" s="41"/>
      <c r="L31" s="43"/>
    </row>
    <row r="32" spans="2:12" hidden="1" outlineLevel="1">
      <c r="B32" s="46" t="str">
        <f t="shared" si="2"/>
        <v/>
      </c>
      <c r="C32" s="41"/>
      <c r="D32" s="41"/>
      <c r="E32" s="41"/>
      <c r="F32" s="41"/>
      <c r="G32" s="41"/>
      <c r="H32" s="41"/>
      <c r="I32" s="42"/>
      <c r="J32" s="41"/>
      <c r="K32" s="41"/>
      <c r="L32" s="43"/>
    </row>
    <row r="33" spans="2:12" hidden="1" outlineLevel="1">
      <c r="B33" s="46" t="str">
        <f t="shared" si="2"/>
        <v/>
      </c>
      <c r="C33" s="41"/>
      <c r="D33" s="41"/>
      <c r="E33" s="41"/>
      <c r="F33" s="41"/>
      <c r="G33" s="41"/>
      <c r="H33" s="41"/>
      <c r="I33" s="42"/>
      <c r="J33" s="41"/>
      <c r="K33" s="41"/>
      <c r="L33" s="43"/>
    </row>
    <row r="34" spans="2:12" hidden="1" outlineLevel="1">
      <c r="B34" s="46" t="str">
        <f t="shared" si="2"/>
        <v/>
      </c>
      <c r="C34" s="41"/>
      <c r="D34" s="41"/>
      <c r="E34" s="41"/>
      <c r="F34" s="41"/>
      <c r="G34" s="41"/>
      <c r="H34" s="41"/>
      <c r="I34" s="42"/>
      <c r="J34" s="41"/>
      <c r="K34" s="41"/>
      <c r="L34" s="43"/>
    </row>
    <row r="35" spans="2:12" hidden="1" outlineLevel="1">
      <c r="B35" s="46" t="str">
        <f t="shared" si="2"/>
        <v/>
      </c>
      <c r="C35" s="41"/>
      <c r="D35" s="41"/>
      <c r="E35" s="41"/>
      <c r="F35" s="41"/>
      <c r="G35" s="41"/>
      <c r="H35" s="41"/>
      <c r="I35" s="42"/>
      <c r="J35" s="41"/>
      <c r="K35" s="41"/>
      <c r="L35" s="43"/>
    </row>
    <row r="36" spans="2:12" hidden="1" outlineLevel="1">
      <c r="B36" s="46" t="str">
        <f t="shared" si="2"/>
        <v/>
      </c>
      <c r="C36" s="41"/>
      <c r="D36" s="41"/>
      <c r="E36" s="41"/>
      <c r="F36" s="41"/>
      <c r="G36" s="41"/>
      <c r="H36" s="41"/>
      <c r="I36" s="42"/>
      <c r="J36" s="41"/>
      <c r="K36" s="41"/>
      <c r="L36" s="43"/>
    </row>
    <row r="37" spans="2:12" hidden="1" outlineLevel="1">
      <c r="B37" s="46" t="str">
        <f t="shared" si="2"/>
        <v/>
      </c>
      <c r="C37" s="41"/>
      <c r="D37" s="41"/>
      <c r="E37" s="41"/>
      <c r="F37" s="41"/>
      <c r="G37" s="41"/>
      <c r="H37" s="41"/>
      <c r="I37" s="42"/>
      <c r="J37" s="41"/>
      <c r="K37" s="41"/>
      <c r="L37" s="43"/>
    </row>
    <row r="38" spans="2:12" hidden="1" outlineLevel="1">
      <c r="B38" s="46" t="str">
        <f t="shared" si="2"/>
        <v/>
      </c>
      <c r="C38" s="41"/>
      <c r="D38" s="41"/>
      <c r="E38" s="41"/>
      <c r="F38" s="41"/>
      <c r="G38" s="41"/>
      <c r="H38" s="41"/>
      <c r="I38" s="42"/>
      <c r="J38" s="41"/>
      <c r="K38" s="41"/>
      <c r="L38" s="43"/>
    </row>
    <row r="39" spans="2:12" hidden="1" outlineLevel="1">
      <c r="B39" s="46" t="str">
        <f t="shared" si="2"/>
        <v/>
      </c>
      <c r="C39" s="41"/>
      <c r="D39" s="41"/>
      <c r="E39" s="41"/>
      <c r="F39" s="41"/>
      <c r="G39" s="41"/>
      <c r="H39" s="41"/>
      <c r="I39" s="42"/>
      <c r="J39" s="41"/>
      <c r="K39" s="41"/>
      <c r="L39" s="43"/>
    </row>
    <row r="40" spans="2:12" hidden="1" outlineLevel="1">
      <c r="B40" s="46" t="str">
        <f t="shared" si="2"/>
        <v/>
      </c>
      <c r="C40" s="41"/>
      <c r="D40" s="41"/>
      <c r="E40" s="41"/>
      <c r="F40" s="41"/>
      <c r="G40" s="41"/>
      <c r="H40" s="41"/>
      <c r="I40" s="42"/>
      <c r="J40" s="41"/>
      <c r="K40" s="41"/>
      <c r="L40" s="43"/>
    </row>
    <row r="41" spans="2:12" hidden="1" outlineLevel="1">
      <c r="B41" s="46" t="str">
        <f t="shared" si="2"/>
        <v/>
      </c>
      <c r="C41" s="41"/>
      <c r="D41" s="41"/>
      <c r="E41" s="41"/>
      <c r="F41" s="41"/>
      <c r="G41" s="41"/>
      <c r="H41" s="41"/>
      <c r="I41" s="42"/>
      <c r="J41" s="41"/>
      <c r="K41" s="41"/>
      <c r="L41" s="43"/>
    </row>
    <row r="42" spans="2:12" hidden="1" outlineLevel="1">
      <c r="B42" s="46" t="str">
        <f t="shared" si="2"/>
        <v/>
      </c>
      <c r="C42" s="41"/>
      <c r="D42" s="41"/>
      <c r="E42" s="41"/>
      <c r="F42" s="41"/>
      <c r="G42" s="41"/>
      <c r="H42" s="41"/>
      <c r="I42" s="42"/>
      <c r="J42" s="41"/>
      <c r="K42" s="41"/>
      <c r="L42" s="43"/>
    </row>
    <row r="43" spans="2:12" hidden="1" outlineLevel="1">
      <c r="B43" s="46" t="str">
        <f t="shared" si="2"/>
        <v/>
      </c>
      <c r="C43" s="41"/>
      <c r="D43" s="41"/>
      <c r="E43" s="41"/>
      <c r="F43" s="41"/>
      <c r="G43" s="41"/>
      <c r="H43" s="41"/>
      <c r="I43" s="42"/>
      <c r="J43" s="41"/>
      <c r="K43" s="41"/>
      <c r="L43" s="43"/>
    </row>
    <row r="44" spans="2:12" hidden="1" outlineLevel="1">
      <c r="B44" s="46" t="str">
        <f t="shared" si="2"/>
        <v/>
      </c>
      <c r="C44" s="41"/>
      <c r="D44" s="41"/>
      <c r="E44" s="41"/>
      <c r="F44" s="41"/>
      <c r="G44" s="41"/>
      <c r="H44" s="41"/>
      <c r="I44" s="42"/>
      <c r="J44" s="41"/>
      <c r="K44" s="41"/>
      <c r="L44" s="43"/>
    </row>
    <row r="45" spans="2:12" hidden="1" outlineLevel="1">
      <c r="B45" s="46" t="str">
        <f t="shared" si="2"/>
        <v/>
      </c>
      <c r="C45" s="41"/>
      <c r="D45" s="41"/>
      <c r="E45" s="41"/>
      <c r="F45" s="41"/>
      <c r="G45" s="41"/>
      <c r="H45" s="41"/>
      <c r="I45" s="42"/>
      <c r="J45" s="41"/>
      <c r="K45" s="41"/>
      <c r="L45" s="43"/>
    </row>
    <row r="46" spans="2:12" hidden="1" outlineLevel="1">
      <c r="B46" s="46" t="str">
        <f t="shared" si="2"/>
        <v/>
      </c>
      <c r="C46" s="41"/>
      <c r="D46" s="41"/>
      <c r="E46" s="41"/>
      <c r="F46" s="41"/>
      <c r="G46" s="41"/>
      <c r="H46" s="41"/>
      <c r="I46" s="42"/>
      <c r="J46" s="41"/>
      <c r="K46" s="41"/>
      <c r="L46" s="43"/>
    </row>
    <row r="47" spans="2:12" hidden="1" outlineLevel="1">
      <c r="B47" s="46" t="str">
        <f t="shared" si="2"/>
        <v/>
      </c>
      <c r="C47" s="1"/>
      <c r="D47" s="1"/>
      <c r="E47" s="1"/>
      <c r="F47" s="1"/>
      <c r="G47" s="1"/>
      <c r="H47" s="1"/>
      <c r="I47" s="36"/>
      <c r="J47" s="1"/>
      <c r="K47" s="1"/>
      <c r="L47" s="2"/>
    </row>
    <row r="48" spans="2:12" ht="15.75" outlineLevel="1" thickBot="1">
      <c r="B48" s="56" t="str">
        <f t="shared" si="2"/>
        <v/>
      </c>
      <c r="C48" s="38"/>
      <c r="D48" s="38"/>
      <c r="E48" s="38"/>
      <c r="F48" s="38"/>
      <c r="G48" s="38"/>
      <c r="H48" s="38"/>
      <c r="I48" s="38"/>
      <c r="J48" s="38"/>
      <c r="K48" s="38"/>
      <c r="L48" s="39"/>
    </row>
    <row r="49" spans="2:12" ht="24" customHeight="1" thickBot="1">
      <c r="B49" s="320" t="s">
        <v>59</v>
      </c>
      <c r="C49" s="321"/>
      <c r="D49" s="321"/>
      <c r="E49" s="321"/>
      <c r="F49" s="321"/>
      <c r="G49" s="321"/>
      <c r="H49" s="321"/>
      <c r="I49" s="321"/>
      <c r="J49" s="321"/>
      <c r="K49" s="321"/>
      <c r="L49" s="322"/>
    </row>
    <row r="50" spans="2:12" ht="24" customHeight="1" thickBot="1">
      <c r="B50" s="26" t="s">
        <v>49</v>
      </c>
      <c r="C50" s="27" t="s">
        <v>60</v>
      </c>
      <c r="D50" s="27" t="s">
        <v>62</v>
      </c>
      <c r="E50" s="27" t="s">
        <v>63</v>
      </c>
      <c r="F50" s="27" t="s">
        <v>64</v>
      </c>
      <c r="G50" s="27" t="s">
        <v>65</v>
      </c>
      <c r="H50" s="27" t="s">
        <v>66</v>
      </c>
      <c r="I50" s="27" t="s">
        <v>67</v>
      </c>
      <c r="J50" s="27" t="s">
        <v>6</v>
      </c>
      <c r="K50" s="27" t="s">
        <v>7</v>
      </c>
      <c r="L50" s="28" t="s">
        <v>68</v>
      </c>
    </row>
    <row r="51" spans="2:12">
      <c r="B51" s="46" t="s">
        <v>8</v>
      </c>
      <c r="C51" s="41">
        <f>COUNTIFS(B19:B48,"&gt;"&amp;0,C19:C48,"="&amp;B51)</f>
        <v>0</v>
      </c>
      <c r="D51" s="41">
        <f>COUNTIFS(B19:B48,"&gt;="&amp;1,C19:C48,B51,K19:K48,"&gt;="&amp;0,K19:K48,"&lt;"&amp;50)</f>
        <v>0</v>
      </c>
      <c r="E51" s="41">
        <f>COUNTIFS(B19:B48,"&gt;="&amp;1,C19:C48,B51,K19:K48,"&gt;="&amp;50,K19:K48,"&lt;"&amp;500)</f>
        <v>0</v>
      </c>
      <c r="F51" s="41">
        <f>COUNTIFS(B19:B48,"&gt;="&amp;1,C19:C48,B51,K19:K48,"&gt;="&amp;500)</f>
        <v>0</v>
      </c>
      <c r="G51" s="41">
        <f>COUNTIFS(B19:B48,"&gt;="&amp;1,C19:C48,B51,K19:K48,"&gt;="&amp;0,I19:I48,"&gt;"&amp;DATE(2021,1,1))</f>
        <v>0</v>
      </c>
      <c r="H51" s="47" t="str">
        <f>IF(G51=0,"-",(SUM(E51,F51)/G51))</f>
        <v>-</v>
      </c>
      <c r="I51" s="41">
        <f>IF((COUNTIFS(B19:B48,"&gt;="&amp;1,C19:C48,"="&amp;B51))&gt;228,228,(COUNTIFS(B19:B48,"&gt;="&amp;1,C19:C48,"="&amp;B51)))</f>
        <v>0</v>
      </c>
      <c r="J51" s="47" t="str">
        <f>IF(I51=0,"-",(COUNTIFS(C19:C48,"="&amp;B51,I19:I48,"&lt;="&amp;DATE(2024,12,31),K19:K48,"&gt;="&amp;0)/I51))</f>
        <v>-</v>
      </c>
      <c r="K51" s="47" t="str">
        <f>IF(I51=0,"-",IF(J51=1,"-",(COUNTIFS(B19:B48,"&gt;"&amp;0,C19:C48,"="&amp;B51,I19:I48,"&gt;"&amp;DATE(2024,12,31),K19:K48,"&gt;="&amp;0)/(I51-COUNTIFS(B19:B48,"&gt;"&amp;0,C19:C48,"="&amp;B51,I19:I48,"&lt;="&amp;DATE(2024,12,31),K19:K48,"&gt;="&amp;0)))))</f>
        <v>-</v>
      </c>
      <c r="L51" s="48" t="str">
        <f>IF(I51=0,"-",G51/I51)</f>
        <v>-</v>
      </c>
    </row>
    <row r="52" spans="2:12">
      <c r="B52" s="7" t="s">
        <v>9</v>
      </c>
      <c r="C52" s="1">
        <f>COUNTIFS(B19:B48,"&gt;"&amp;0,C19:C48,"="&amp;B52)</f>
        <v>0</v>
      </c>
      <c r="D52" s="1">
        <f>COUNTIFS(B19:B48,"&gt;="&amp;1,C19:C48,B52,K19:K48,"&gt;="&amp;0,K19:K48,"&lt;"&amp;50)</f>
        <v>0</v>
      </c>
      <c r="E52" s="1">
        <f>COUNTIFS(B19:B48,"&gt;="&amp;1,C19:C48,B52,K19:K48,"&gt;="&amp;50,K19:K48,"&lt;"&amp;500)</f>
        <v>0</v>
      </c>
      <c r="F52" s="1">
        <f>COUNTIFS(B19:B48,"&gt;="&amp;1,C19:C48,B52,K19:K48,"&gt;="&amp;500)</f>
        <v>0</v>
      </c>
      <c r="G52" s="1">
        <f>COUNTIFS(B19:B48,"&gt;="&amp;1,C19:C48,B52,K19:K48,"&gt;="&amp;0,I19:I48,"&gt;"&amp;DATE(2021,1,1))</f>
        <v>0</v>
      </c>
      <c r="H52" s="44" t="str">
        <f t="shared" ref="H52:H54" si="3">IF(G52=0,"-",(SUM(E52,F52)/G52))</f>
        <v>-</v>
      </c>
      <c r="I52" s="1">
        <f>IF((COUNTIFS(B19:B48,"&gt;="&amp;1,C19:C48,"="&amp;B52))&gt;228,228,(COUNTIFS(B19:B48,"&gt;="&amp;1,C19:C48,"="&amp;B52)))</f>
        <v>0</v>
      </c>
      <c r="J52" s="44" t="str">
        <f>IF(I52=0,"-",(COUNTIFS(C19:C48,"="&amp;B52,I19:I48,"&lt;="&amp;DATE(2024,12,31),K19:K48,"&gt;="&amp;0)/I52))</f>
        <v>-</v>
      </c>
      <c r="K52" s="47" t="str">
        <f>IF(I52=0,"-",IF(J52=1,"-",(COUNTIFS(B19:B48,"&gt;"&amp;0,C19:C48,"="&amp;B52,I19:I48,"&gt;"&amp;DATE(2024,12,31),K19:K48,"&gt;="&amp;0)/(I52-COUNTIFS(B19:B48,"&gt;"&amp;0,C19:C48,"="&amp;B52,I19:I48,"&lt;="&amp;DATE(2024,12,31),K19:K48,"&gt;="&amp;0)))))</f>
        <v>-</v>
      </c>
      <c r="L52" s="45" t="str">
        <f t="shared" ref="L52:L54" si="4">IF(I52=0,"-",G52/I52)</f>
        <v>-</v>
      </c>
    </row>
    <row r="53" spans="2:12">
      <c r="B53" s="7" t="s">
        <v>69</v>
      </c>
      <c r="C53" s="1">
        <f>COUNTIFS(B19:B48,"&gt;"&amp;0,C19:C48,"="&amp;B53)</f>
        <v>0</v>
      </c>
      <c r="D53" s="1">
        <f>COUNTIFS(B19:B48,"&gt;="&amp;1,C19:C48,B53,K19:K48,"&gt;="&amp;0,K19:K48,"&lt;"&amp;50)</f>
        <v>0</v>
      </c>
      <c r="E53" s="1">
        <f>COUNTIFS(B19:B48,"&gt;="&amp;1,C19:C48,B53,K19:K48,"&gt;="&amp;50,K19:K48,"&lt;"&amp;500)</f>
        <v>0</v>
      </c>
      <c r="F53" s="1">
        <f>COUNTIFS(B19:B47,"&gt;="&amp;1,C19:C47,B53,K19:K47,"&gt;="&amp;500)</f>
        <v>0</v>
      </c>
      <c r="G53" s="1">
        <f>COUNTIFS(B19:B48,"&gt;="&amp;1,C19:C48,B53,K19:K48,"&gt;="&amp;0,I19:I48,"&gt;"&amp;DATE(2021,1,1))</f>
        <v>0</v>
      </c>
      <c r="H53" s="44" t="str">
        <f t="shared" si="3"/>
        <v>-</v>
      </c>
      <c r="I53" s="1">
        <f>IF((COUNTIFS(B19:B47,"&gt;="&amp;1,C19:C47,"="&amp;B53))&gt;228,228,(COUNTIFS(B19:B47,"&gt;="&amp;1,C19:C47,"="&amp;B53)))</f>
        <v>0</v>
      </c>
      <c r="J53" s="44" t="str">
        <f>IF(I53=0,"-",(COUNTIFS(C19:C48,"="&amp;B53,I19:I48,"&lt;="&amp;DATE(2024,12,31),K19:K48,"&gt;="&amp;0)/I53))</f>
        <v>-</v>
      </c>
      <c r="K53" s="47" t="str">
        <f>IF(I53=0,"-",IF(J53=1,"-",(COUNTIFS(B19:B48,"&gt;"&amp;0,C19:C48,"="&amp;B53,I19:I48,"&gt;"&amp;DATE(2024,12,31),K19:K48,"&gt;="&amp;0)/(I53-COUNTIFS(B19:B48,"&gt;"&amp;0,C19:C48,"="&amp;B53,I19:I48,"&lt;="&amp;DATE(2024,12,31),K19:K48,"&gt;="&amp;0)))))</f>
        <v>-</v>
      </c>
      <c r="L53" s="45" t="str">
        <f t="shared" si="4"/>
        <v>-</v>
      </c>
    </row>
    <row r="54" spans="2:12" ht="24" customHeight="1" thickBot="1">
      <c r="B54" s="49" t="s">
        <v>59</v>
      </c>
      <c r="C54" s="50">
        <f>SUM(C51:C53)</f>
        <v>0</v>
      </c>
      <c r="D54" s="50">
        <f>SUM(D51:D53)</f>
        <v>0</v>
      </c>
      <c r="E54" s="50">
        <f>SUM(E51:E53)</f>
        <v>0</v>
      </c>
      <c r="F54" s="50">
        <f>SUM(F51:F53)</f>
        <v>0</v>
      </c>
      <c r="G54" s="50">
        <f>SUM(G51:G53)</f>
        <v>0</v>
      </c>
      <c r="H54" s="51" t="str">
        <f t="shared" si="3"/>
        <v>-</v>
      </c>
      <c r="I54" s="50">
        <f>SUM(I51:I53)</f>
        <v>0</v>
      </c>
      <c r="J54" s="51" t="str">
        <f>IF(I54=0,"-",(COUNTIFS(I19:I48,"&lt;="&amp;DATE(2024,12,31),K19:K48,"&gt;="&amp;0)/I54))</f>
        <v>-</v>
      </c>
      <c r="K54" s="51" t="str">
        <f>IF(I54=0,"-",IF(J54=1,"-",(COUNTIFS(B19:B48,"&gt;"&amp;0,I19:I48,"&gt;"&amp;DATE(2024,12,31),K19:K48,"&gt;="&amp;0)/(I54-COUNTIFS(B19:B48,"&gt;"&amp;0,I19:I48,"&lt;="&amp;DATE(2024,12,31),K19:K48,"&gt;="&amp;0)))))</f>
        <v>-</v>
      </c>
      <c r="L54" s="52" t="str">
        <f t="shared" si="4"/>
        <v>-</v>
      </c>
    </row>
    <row r="56" spans="2:12" ht="15.75" thickBot="1"/>
    <row r="57" spans="2:12" ht="32.25" customHeight="1" thickBot="1">
      <c r="B57" s="320" t="str">
        <f>_xlfn.CONCAT("Religadores",TEXT(IF(SUM(I83:I85)=0," ",(SUM(G83:G85)/SUM(I83:I85))), " 0,00%"))</f>
        <v xml:space="preserve">Religadores </v>
      </c>
      <c r="C57" s="321"/>
      <c r="D57" s="321"/>
      <c r="E57" s="321"/>
      <c r="F57" s="321"/>
      <c r="G57" s="321"/>
      <c r="H57" s="321"/>
      <c r="I57" s="321"/>
      <c r="J57" s="321"/>
      <c r="K57" s="321"/>
      <c r="L57" s="322"/>
    </row>
    <row r="58" spans="2:12" ht="24" customHeight="1" outlineLevel="1" thickBot="1">
      <c r="B58" s="26" t="s">
        <v>48</v>
      </c>
      <c r="C58" s="27" t="s">
        <v>49</v>
      </c>
      <c r="D58" s="27" t="s">
        <v>50</v>
      </c>
      <c r="E58" s="27" t="s">
        <v>51</v>
      </c>
      <c r="F58" s="27" t="s">
        <v>52</v>
      </c>
      <c r="G58" s="27" t="s">
        <v>53</v>
      </c>
      <c r="H58" s="27" t="s">
        <v>54</v>
      </c>
      <c r="I58" s="27" t="s">
        <v>55</v>
      </c>
      <c r="J58" s="27" t="s">
        <v>56</v>
      </c>
      <c r="K58" s="27" t="s">
        <v>57</v>
      </c>
      <c r="L58" s="28" t="s">
        <v>58</v>
      </c>
    </row>
    <row r="59" spans="2:12" outlineLevel="1">
      <c r="B59" s="46" t="str">
        <f>IF(C59="","",ROW($A$1))</f>
        <v/>
      </c>
      <c r="C59" s="41"/>
      <c r="D59" s="41"/>
      <c r="E59" s="41"/>
      <c r="F59" s="41"/>
      <c r="G59" s="41"/>
      <c r="H59" s="41"/>
      <c r="I59" s="42"/>
      <c r="J59" s="41"/>
      <c r="K59" s="41"/>
      <c r="L59" s="43"/>
    </row>
    <row r="60" spans="2:12" hidden="1" outlineLevel="1">
      <c r="B60" s="7" t="str">
        <f>IF(C60="","",(B59+1))</f>
        <v/>
      </c>
      <c r="C60" s="1"/>
      <c r="D60" s="41"/>
      <c r="E60" s="1"/>
      <c r="F60" s="1"/>
      <c r="G60" s="1"/>
      <c r="H60" s="1"/>
      <c r="I60" s="36"/>
      <c r="J60" s="1"/>
      <c r="K60" s="1"/>
      <c r="L60" s="2"/>
    </row>
    <row r="61" spans="2:12" hidden="1" outlineLevel="1">
      <c r="B61" s="7" t="str">
        <f t="shared" ref="B61:B80" si="5">IF(C61="","",(B60+1))</f>
        <v/>
      </c>
      <c r="C61" s="53"/>
      <c r="D61" s="41"/>
      <c r="E61" s="53"/>
      <c r="F61" s="53"/>
      <c r="G61" s="53"/>
      <c r="H61" s="53"/>
      <c r="I61" s="54"/>
      <c r="J61" s="53"/>
      <c r="K61" s="53"/>
      <c r="L61" s="55"/>
    </row>
    <row r="62" spans="2:12" hidden="1" outlineLevel="1">
      <c r="B62" s="7" t="str">
        <f t="shared" si="5"/>
        <v/>
      </c>
      <c r="C62" s="53"/>
      <c r="D62" s="41"/>
      <c r="E62" s="53"/>
      <c r="F62" s="53"/>
      <c r="G62" s="53"/>
      <c r="H62" s="53"/>
      <c r="I62" s="54"/>
      <c r="J62" s="53"/>
      <c r="K62" s="53"/>
      <c r="L62" s="55"/>
    </row>
    <row r="63" spans="2:12" hidden="1" outlineLevel="1">
      <c r="B63" s="7" t="str">
        <f t="shared" si="5"/>
        <v/>
      </c>
      <c r="C63" s="53"/>
      <c r="D63" s="41"/>
      <c r="E63" s="53"/>
      <c r="F63" s="53"/>
      <c r="G63" s="53"/>
      <c r="H63" s="53"/>
      <c r="I63" s="54"/>
      <c r="J63" s="53"/>
      <c r="K63" s="53"/>
      <c r="L63" s="55"/>
    </row>
    <row r="64" spans="2:12" hidden="1" outlineLevel="1">
      <c r="B64" s="7" t="str">
        <f t="shared" si="5"/>
        <v/>
      </c>
      <c r="C64" s="53"/>
      <c r="D64" s="41"/>
      <c r="E64" s="53"/>
      <c r="F64" s="53"/>
      <c r="G64" s="53"/>
      <c r="H64" s="53"/>
      <c r="I64" s="54"/>
      <c r="J64" s="53"/>
      <c r="K64" s="53"/>
      <c r="L64" s="55"/>
    </row>
    <row r="65" spans="2:12" hidden="1" outlineLevel="1">
      <c r="B65" s="7" t="str">
        <f t="shared" si="5"/>
        <v/>
      </c>
      <c r="C65" s="53"/>
      <c r="D65" s="41"/>
      <c r="E65" s="53"/>
      <c r="F65" s="53"/>
      <c r="G65" s="53"/>
      <c r="H65" s="53"/>
      <c r="I65" s="54"/>
      <c r="J65" s="53"/>
      <c r="K65" s="53"/>
      <c r="L65" s="55"/>
    </row>
    <row r="66" spans="2:12" hidden="1" outlineLevel="1">
      <c r="B66" s="7" t="str">
        <f t="shared" si="5"/>
        <v/>
      </c>
      <c r="C66" s="53"/>
      <c r="D66" s="41"/>
      <c r="E66" s="53"/>
      <c r="F66" s="53"/>
      <c r="G66" s="53"/>
      <c r="H66" s="53"/>
      <c r="I66" s="54"/>
      <c r="J66" s="53"/>
      <c r="K66" s="53"/>
      <c r="L66" s="55"/>
    </row>
    <row r="67" spans="2:12" hidden="1" outlineLevel="1">
      <c r="B67" s="7" t="str">
        <f t="shared" si="5"/>
        <v/>
      </c>
      <c r="C67" s="53"/>
      <c r="D67" s="41"/>
      <c r="E67" s="53"/>
      <c r="F67" s="53"/>
      <c r="G67" s="53"/>
      <c r="H67" s="53"/>
      <c r="I67" s="54"/>
      <c r="J67" s="53"/>
      <c r="K67" s="53"/>
      <c r="L67" s="55"/>
    </row>
    <row r="68" spans="2:12" hidden="1" outlineLevel="1">
      <c r="B68" s="7" t="str">
        <f t="shared" si="5"/>
        <v/>
      </c>
      <c r="C68" s="53"/>
      <c r="D68" s="41"/>
      <c r="E68" s="53"/>
      <c r="F68" s="53"/>
      <c r="G68" s="53"/>
      <c r="H68" s="53"/>
      <c r="I68" s="54"/>
      <c r="J68" s="53"/>
      <c r="K68" s="53"/>
      <c r="L68" s="55"/>
    </row>
    <row r="69" spans="2:12" hidden="1" outlineLevel="1">
      <c r="B69" s="7" t="str">
        <f t="shared" si="5"/>
        <v/>
      </c>
      <c r="C69" s="53"/>
      <c r="D69" s="41"/>
      <c r="E69" s="53"/>
      <c r="F69" s="53"/>
      <c r="G69" s="53"/>
      <c r="H69" s="53"/>
      <c r="I69" s="54"/>
      <c r="J69" s="53"/>
      <c r="K69" s="53"/>
      <c r="L69" s="55"/>
    </row>
    <row r="70" spans="2:12" hidden="1" outlineLevel="1">
      <c r="B70" s="7" t="str">
        <f t="shared" si="5"/>
        <v/>
      </c>
      <c r="C70" s="53"/>
      <c r="D70" s="41"/>
      <c r="E70" s="53"/>
      <c r="F70" s="53"/>
      <c r="G70" s="53"/>
      <c r="H70" s="53"/>
      <c r="I70" s="54"/>
      <c r="J70" s="53"/>
      <c r="K70" s="53"/>
      <c r="L70" s="55"/>
    </row>
    <row r="71" spans="2:12" hidden="1" outlineLevel="1">
      <c r="B71" s="7" t="str">
        <f t="shared" si="5"/>
        <v/>
      </c>
      <c r="C71" s="53"/>
      <c r="D71" s="41"/>
      <c r="E71" s="53"/>
      <c r="F71" s="53"/>
      <c r="G71" s="53"/>
      <c r="H71" s="53"/>
      <c r="I71" s="54"/>
      <c r="J71" s="53"/>
      <c r="K71" s="53"/>
      <c r="L71" s="55"/>
    </row>
    <row r="72" spans="2:12" hidden="1" outlineLevel="1">
      <c r="B72" s="7" t="str">
        <f t="shared" si="5"/>
        <v/>
      </c>
      <c r="C72" s="53"/>
      <c r="D72" s="41"/>
      <c r="E72" s="53"/>
      <c r="F72" s="53"/>
      <c r="G72" s="53"/>
      <c r="H72" s="53"/>
      <c r="I72" s="54"/>
      <c r="J72" s="53"/>
      <c r="K72" s="53"/>
      <c r="L72" s="55"/>
    </row>
    <row r="73" spans="2:12" hidden="1" outlineLevel="1">
      <c r="B73" s="7" t="str">
        <f t="shared" si="5"/>
        <v/>
      </c>
      <c r="C73" s="53"/>
      <c r="D73" s="41"/>
      <c r="E73" s="53"/>
      <c r="F73" s="53"/>
      <c r="G73" s="53"/>
      <c r="H73" s="53"/>
      <c r="I73" s="54"/>
      <c r="J73" s="53"/>
      <c r="K73" s="53"/>
      <c r="L73" s="55"/>
    </row>
    <row r="74" spans="2:12" hidden="1" outlineLevel="1">
      <c r="B74" s="7" t="str">
        <f t="shared" si="5"/>
        <v/>
      </c>
      <c r="C74" s="53"/>
      <c r="D74" s="41"/>
      <c r="E74" s="53"/>
      <c r="F74" s="53"/>
      <c r="G74" s="53"/>
      <c r="H74" s="53"/>
      <c r="I74" s="54"/>
      <c r="J74" s="53"/>
      <c r="K74" s="53"/>
      <c r="L74" s="55"/>
    </row>
    <row r="75" spans="2:12" hidden="1" outlineLevel="1">
      <c r="B75" s="7" t="str">
        <f>IF(C75="","",(B74+1))</f>
        <v/>
      </c>
      <c r="C75" s="53"/>
      <c r="D75" s="41"/>
      <c r="E75" s="53"/>
      <c r="F75" s="53"/>
      <c r="G75" s="53"/>
      <c r="H75" s="53"/>
      <c r="I75" s="54"/>
      <c r="J75" s="53"/>
      <c r="K75" s="53"/>
      <c r="L75" s="55"/>
    </row>
    <row r="76" spans="2:12" hidden="1" outlineLevel="1">
      <c r="B76" s="7" t="str">
        <f>IF(C76="","",(B75+1))</f>
        <v/>
      </c>
      <c r="C76" s="53"/>
      <c r="D76" s="41"/>
      <c r="E76" s="53"/>
      <c r="F76" s="53"/>
      <c r="G76" s="53"/>
      <c r="H76" s="53"/>
      <c r="I76" s="54"/>
      <c r="J76" s="53"/>
      <c r="K76" s="53"/>
      <c r="L76" s="55"/>
    </row>
    <row r="77" spans="2:12" hidden="1" outlineLevel="1">
      <c r="B77" s="7" t="str">
        <f t="shared" si="5"/>
        <v/>
      </c>
      <c r="C77" s="53"/>
      <c r="D77" s="53"/>
      <c r="E77" s="53"/>
      <c r="F77" s="53"/>
      <c r="G77" s="53"/>
      <c r="H77" s="53"/>
      <c r="I77" s="54"/>
      <c r="J77" s="53"/>
      <c r="K77" s="53"/>
      <c r="L77" s="55"/>
    </row>
    <row r="78" spans="2:12" hidden="1" outlineLevel="1">
      <c r="B78" s="7" t="str">
        <f t="shared" si="5"/>
        <v/>
      </c>
      <c r="C78" s="53"/>
      <c r="D78" s="53"/>
      <c r="E78" s="53"/>
      <c r="F78" s="53"/>
      <c r="G78" s="53"/>
      <c r="H78" s="53"/>
      <c r="I78" s="54"/>
      <c r="J78" s="53"/>
      <c r="K78" s="53"/>
      <c r="L78" s="55"/>
    </row>
    <row r="79" spans="2:12" hidden="1" outlineLevel="1">
      <c r="B79" s="7" t="str">
        <f t="shared" si="5"/>
        <v/>
      </c>
      <c r="C79" s="53"/>
      <c r="D79" s="53"/>
      <c r="E79" s="53"/>
      <c r="F79" s="53"/>
      <c r="G79" s="53"/>
      <c r="H79" s="53"/>
      <c r="I79" s="54"/>
      <c r="J79" s="53"/>
      <c r="K79" s="53"/>
      <c r="L79" s="55"/>
    </row>
    <row r="80" spans="2:12" ht="15.75" outlineLevel="1" thickBot="1">
      <c r="B80" s="56" t="str">
        <f t="shared" si="5"/>
        <v/>
      </c>
      <c r="C80" s="38"/>
      <c r="D80" s="38"/>
      <c r="E80" s="38"/>
      <c r="F80" s="38"/>
      <c r="G80" s="38"/>
      <c r="H80" s="38"/>
      <c r="I80" s="57"/>
      <c r="J80" s="38"/>
      <c r="K80" s="38"/>
      <c r="L80" s="39"/>
    </row>
    <row r="81" spans="2:12" ht="24" customHeight="1" thickBot="1">
      <c r="B81" s="320" t="s">
        <v>59</v>
      </c>
      <c r="C81" s="321"/>
      <c r="D81" s="321"/>
      <c r="E81" s="321"/>
      <c r="F81" s="321"/>
      <c r="G81" s="321"/>
      <c r="H81" s="321"/>
      <c r="I81" s="321"/>
      <c r="J81" s="321"/>
      <c r="K81" s="321"/>
      <c r="L81" s="322"/>
    </row>
    <row r="82" spans="2:12" ht="24" customHeight="1" thickBot="1">
      <c r="B82" s="26" t="s">
        <v>49</v>
      </c>
      <c r="C82" s="27" t="s">
        <v>60</v>
      </c>
      <c r="D82" s="27" t="s">
        <v>62</v>
      </c>
      <c r="E82" s="27" t="s">
        <v>63</v>
      </c>
      <c r="F82" s="27" t="s">
        <v>64</v>
      </c>
      <c r="G82" s="27" t="s">
        <v>65</v>
      </c>
      <c r="H82" s="27" t="s">
        <v>66</v>
      </c>
      <c r="I82" s="27" t="s">
        <v>67</v>
      </c>
      <c r="J82" s="27" t="s">
        <v>6</v>
      </c>
      <c r="K82" s="27" t="s">
        <v>7</v>
      </c>
      <c r="L82" s="28" t="s">
        <v>68</v>
      </c>
    </row>
    <row r="83" spans="2:12">
      <c r="B83" s="46" t="s">
        <v>8</v>
      </c>
      <c r="C83" s="41">
        <f>COUNTIFS(B59:B80,"&gt;"&amp;0,C59:C80,"="&amp;B83)</f>
        <v>0</v>
      </c>
      <c r="D83" s="41">
        <f>COUNTIFS(B59:B80,"&gt;="&amp;1,C59:C80,B83,K59:K80,"&gt;="&amp;0,K59:K80,"&lt;"&amp;50)</f>
        <v>0</v>
      </c>
      <c r="E83" s="41">
        <f>COUNTIFS(B59:B80,"&gt;="&amp;1,C59:C80,B83,K59:K80,"&gt;="&amp;50,K59:K80,"&lt;"&amp;500)</f>
        <v>0</v>
      </c>
      <c r="F83" s="41">
        <f>COUNTIFS(B59:B80,"&gt;="&amp;1,C59:C80,B83,K59:K80,"&gt;="&amp;500)</f>
        <v>0</v>
      </c>
      <c r="G83" s="41">
        <f>COUNTIFS(B59:B80,"&gt;="&amp;1,C59:C80,B83,K59:K80,"&gt;="&amp;0,I59:I80,"&gt;"&amp;DATE(2021,1,1))</f>
        <v>0</v>
      </c>
      <c r="H83" s="47" t="str">
        <f>IF(G83=0,"-",(SUM(E83,F83)/G83))</f>
        <v>-</v>
      </c>
      <c r="I83" s="41">
        <f>IF((COUNTIFS(B59:B80,"&gt;="&amp;1,C59:C80,"="&amp;B83))&gt;228,228,(COUNTIFS(B59:B80,"&gt;="&amp;1,C59:C80,"="&amp;B83)))</f>
        <v>0</v>
      </c>
      <c r="J83" s="47" t="str">
        <f>IF(I83=0,"-",(COUNTIFS(C59:C80,"="&amp;B83,I59:I80,"&lt;="&amp;DATE(2024,12,31),K59:K80,"&gt;="&amp;0)/I83))</f>
        <v>-</v>
      </c>
      <c r="K83" s="47" t="str">
        <f>IF(I83=0,"-",IF(J83=1,"-",(COUNTIFS(B59:B80,"&gt;"&amp;0,C59:C80,"="&amp;B83,I59:I80,"&gt;"&amp;DATE(2024,12,31),K59:K80,"&gt;="&amp;0)/(I83-COUNTIFS(B59:B80,"&gt;"&amp;0,C59:C80,"="&amp;B83,I59:I80,"&lt;="&amp;DATE(2024,12,31),K59:K80,"&gt;="&amp;0)))))</f>
        <v>-</v>
      </c>
      <c r="L83" s="48" t="str">
        <f>IF(I83=0,"-",G83/I83)</f>
        <v>-</v>
      </c>
    </row>
    <row r="84" spans="2:12">
      <c r="B84" s="7" t="s">
        <v>9</v>
      </c>
      <c r="C84" s="1">
        <f>COUNTIFS(B59:B80,"&gt;"&amp;0,C59:C80,"="&amp;B84)</f>
        <v>0</v>
      </c>
      <c r="D84" s="1">
        <f>COUNTIFS(B59:B80,"&gt;="&amp;1,C59:C80,B84,K59:K80,"&gt;="&amp;0,K59:K80,"&lt;"&amp;50)</f>
        <v>0</v>
      </c>
      <c r="E84" s="1">
        <f>COUNTIFS(B59:B80,"&gt;="&amp;1,C59:C80,B84,K59:K80,"&gt;="&amp;50,K59:K80,"&lt;"&amp;500)</f>
        <v>0</v>
      </c>
      <c r="F84" s="1">
        <f>COUNTIFS(B59:B80,"&gt;="&amp;1,C59:C80,B84,K59:K80,"&gt;="&amp;500)</f>
        <v>0</v>
      </c>
      <c r="G84" s="1">
        <f>COUNTIFS(B59:B80,"&gt;="&amp;1,C59:C80,B84,K59:K80,"&gt;="&amp;0,I59:I80,"&gt;"&amp;DATE(2021,1,1))</f>
        <v>0</v>
      </c>
      <c r="H84" s="44" t="str">
        <f t="shared" ref="H84:H86" si="6">IF(G84=0,"-",(SUM(E84,F84)/G84))</f>
        <v>-</v>
      </c>
      <c r="I84" s="1">
        <f>IF((COUNTIFS(B59:B80,"&gt;="&amp;1,C59:C80,"="&amp;B84))&gt;228,228,(COUNTIFS(B59:B80,"&gt;="&amp;1,C59:C80,"="&amp;B84)))</f>
        <v>0</v>
      </c>
      <c r="J84" s="44" t="str">
        <f>IF(I84=0,"-",(COUNTIFS(C59:C80,"="&amp;B84,I59:I80,"&lt;="&amp;DATE(2024,12,31),K59:K80,"&gt;="&amp;0)/I84))</f>
        <v>-</v>
      </c>
      <c r="K84" s="47" t="str">
        <f>IF(I84=0,"-",IF(J84=1,"-",(COUNTIFS(B59:B80,"&gt;"&amp;0,C59:C80,"="&amp;B84,I59:I80,"&gt;"&amp;DATE(2024,12,31),K59:K80,"&gt;="&amp;0)/(I84-COUNTIFS(B59:B80,"&gt;"&amp;0,C59:C80,"="&amp;B84,I59:I80,"&lt;="&amp;DATE(2024,12,31),K59:K80,"&gt;="&amp;0)))))</f>
        <v>-</v>
      </c>
      <c r="L84" s="45" t="str">
        <f t="shared" ref="L84:L86" si="7">IF(I84=0,"-",G84/I84)</f>
        <v>-</v>
      </c>
    </row>
    <row r="85" spans="2:12">
      <c r="B85" s="7" t="s">
        <v>69</v>
      </c>
      <c r="C85" s="1">
        <f>COUNTIFS(B59:B80,"&gt;"&amp;0,C59:C80,"="&amp;B85)</f>
        <v>0</v>
      </c>
      <c r="D85" s="1">
        <f>COUNTIFS(B59:B80,"&gt;="&amp;1,C59:C80,B85,K59:K80,"&gt;="&amp;0,K59:K80,"&lt;"&amp;50)</f>
        <v>0</v>
      </c>
      <c r="E85" s="1">
        <f>COUNTIFS(B59:B80,"&gt;="&amp;1,C59:C80,B85,K59:K80,"&gt;="&amp;50,K59:K80,"&lt;"&amp;500)</f>
        <v>0</v>
      </c>
      <c r="F85" s="1">
        <f>COUNTIFS(B59:B60,"&gt;="&amp;1,C59:C60,B85,K59:K60,"&gt;="&amp;500)</f>
        <v>0</v>
      </c>
      <c r="G85" s="1">
        <f>COUNTIFS(B59:B80,"&gt;="&amp;1,C59:C80,B85,K59:K80,"&gt;="&amp;0,I59:I80,"&gt;"&amp;DATE(2021,1,1))</f>
        <v>0</v>
      </c>
      <c r="H85" s="44" t="str">
        <f t="shared" si="6"/>
        <v>-</v>
      </c>
      <c r="I85" s="1">
        <f>IF((COUNTIFS(B59:B60,"&gt;="&amp;1,C59:C60,"="&amp;B85))&gt;228,228,(COUNTIFS(B59:B60,"&gt;="&amp;1,C59:C60,"="&amp;B85)))</f>
        <v>0</v>
      </c>
      <c r="J85" s="44" t="str">
        <f>IF(I85=0,"-",(COUNTIFS(C59:C80,"="&amp;B85,I59:I80,"&lt;="&amp;DATE(2024,12,31),K59:K80,"&gt;="&amp;0)/I85))</f>
        <v>-</v>
      </c>
      <c r="K85" s="47" t="str">
        <f>IF(I85=0,"-",IF(J85=1,"-",(COUNTIFS(B59:B80,"&gt;"&amp;0,C59:C80,"="&amp;B85,I59:I80,"&gt;"&amp;DATE(2024,12,31),K59:K80,"&gt;="&amp;0)/(I85-COUNTIFS(B59:B80,"&gt;"&amp;0,C59:C80,"="&amp;B85,I59:I80,"&lt;="&amp;DATE(2024,12,31),K59:K80,"&gt;="&amp;0)))))</f>
        <v>-</v>
      </c>
      <c r="L85" s="45" t="str">
        <f t="shared" si="7"/>
        <v>-</v>
      </c>
    </row>
    <row r="86" spans="2:12" ht="24" customHeight="1" thickBot="1">
      <c r="B86" s="49" t="s">
        <v>59</v>
      </c>
      <c r="C86" s="50">
        <f>SUM(C83:C85)</f>
        <v>0</v>
      </c>
      <c r="D86" s="50">
        <f>SUM(D83:D85)</f>
        <v>0</v>
      </c>
      <c r="E86" s="50">
        <f>SUM(E83:E85)</f>
        <v>0</v>
      </c>
      <c r="F86" s="50">
        <f>SUM(F83:F85)</f>
        <v>0</v>
      </c>
      <c r="G86" s="50">
        <f>SUM(G83:G85)</f>
        <v>0</v>
      </c>
      <c r="H86" s="51" t="str">
        <f t="shared" si="6"/>
        <v>-</v>
      </c>
      <c r="I86" s="50">
        <f>SUM(I83:I85)</f>
        <v>0</v>
      </c>
      <c r="J86" s="51" t="str">
        <f>IF(I86=0,"-",(COUNTIFS(I59:I80,"&lt;="&amp;DATE(2024,12,31),K59:K80,"&gt;="&amp;0)/I86))</f>
        <v>-</v>
      </c>
      <c r="K86" s="51" t="str">
        <f>IF(I86=0,"-",IF(J86=1,"-",(COUNTIFS(B59:B80,"&gt;"&amp;0,I59:I80,"&gt;"&amp;DATE(2024,12,31),K59:K80,"&gt;="&amp;0)/(I86-COUNTIFS(B59:B80,"&gt;"&amp;0,I59:I80,"&lt;="&amp;DATE(2024,12,31),K59:K80,"&gt;="&amp;0)))))</f>
        <v>-</v>
      </c>
      <c r="L86" s="52" t="str">
        <f t="shared" si="7"/>
        <v>-</v>
      </c>
    </row>
    <row r="88" spans="2:12" ht="15.75" thickBot="1"/>
    <row r="89" spans="2:12" ht="32.25" customHeight="1" thickBot="1">
      <c r="B89" s="320" t="str">
        <f>_xlfn.CONCAT("Reguladores de Tensão",TEXT(IF(SUM(I345:I347)=0," ",(SUM(G345:G347)/SUM(I345:I347))), " 0,00%"))</f>
        <v xml:space="preserve">Reguladores de Tensão </v>
      </c>
      <c r="C89" s="321"/>
      <c r="D89" s="321"/>
      <c r="E89" s="321"/>
      <c r="F89" s="321"/>
      <c r="G89" s="321"/>
      <c r="H89" s="321"/>
      <c r="I89" s="321"/>
      <c r="J89" s="321"/>
      <c r="K89" s="321"/>
      <c r="L89" s="322"/>
    </row>
    <row r="90" spans="2:12" ht="24" hidden="1" customHeight="1" outlineLevel="1" thickBot="1">
      <c r="B90" s="26" t="s">
        <v>48</v>
      </c>
      <c r="C90" s="27" t="s">
        <v>49</v>
      </c>
      <c r="D90" s="27" t="s">
        <v>50</v>
      </c>
      <c r="E90" s="27" t="s">
        <v>51</v>
      </c>
      <c r="F90" s="27" t="s">
        <v>52</v>
      </c>
      <c r="G90" s="27" t="s">
        <v>53</v>
      </c>
      <c r="H90" s="27" t="s">
        <v>54</v>
      </c>
      <c r="I90" s="27" t="s">
        <v>55</v>
      </c>
      <c r="J90" s="27" t="s">
        <v>56</v>
      </c>
      <c r="K90" s="27" t="s">
        <v>57</v>
      </c>
      <c r="L90" s="28" t="s">
        <v>58</v>
      </c>
    </row>
    <row r="91" spans="2:12" hidden="1" outlineLevel="1">
      <c r="B91" s="46" t="str">
        <f>IF(C91="","",ROW($A$1))</f>
        <v/>
      </c>
      <c r="C91" s="41"/>
      <c r="D91" s="41"/>
      <c r="E91" s="41"/>
      <c r="F91" s="41"/>
      <c r="G91" s="41"/>
      <c r="H91" s="41"/>
      <c r="I91" s="42"/>
      <c r="J91" s="41"/>
      <c r="K91" s="41"/>
      <c r="L91" s="43"/>
    </row>
    <row r="92" spans="2:12" hidden="1" outlineLevel="1">
      <c r="B92" s="7" t="str">
        <f>IF(C92="","",(B91+1))</f>
        <v/>
      </c>
      <c r="C92" s="41"/>
      <c r="D92" s="41"/>
      <c r="E92" s="41"/>
      <c r="F92" s="41"/>
      <c r="G92" s="41"/>
      <c r="H92" s="41"/>
      <c r="I92" s="42"/>
      <c r="J92" s="41"/>
      <c r="K92" s="41"/>
      <c r="L92" s="43"/>
    </row>
    <row r="93" spans="2:12" hidden="1" outlineLevel="1">
      <c r="B93" s="7" t="str">
        <f t="shared" ref="B93:B156" si="8">IF(C93="","",(B92+1))</f>
        <v/>
      </c>
      <c r="C93" s="41"/>
      <c r="D93" s="41"/>
      <c r="E93" s="41"/>
      <c r="F93" s="41"/>
      <c r="G93" s="41"/>
      <c r="H93" s="41"/>
      <c r="I93" s="42"/>
      <c r="J93" s="41"/>
      <c r="K93" s="41"/>
      <c r="L93" s="43"/>
    </row>
    <row r="94" spans="2:12" hidden="1" outlineLevel="1">
      <c r="B94" s="7" t="str">
        <f t="shared" si="8"/>
        <v/>
      </c>
      <c r="C94" s="41"/>
      <c r="D94" s="41"/>
      <c r="E94" s="41"/>
      <c r="F94" s="41"/>
      <c r="G94" s="41"/>
      <c r="H94" s="41"/>
      <c r="I94" s="42"/>
      <c r="J94" s="41"/>
      <c r="K94" s="41"/>
      <c r="L94" s="43"/>
    </row>
    <row r="95" spans="2:12" hidden="1" outlineLevel="1">
      <c r="B95" s="7" t="str">
        <f t="shared" si="8"/>
        <v/>
      </c>
      <c r="C95" s="41"/>
      <c r="D95" s="41"/>
      <c r="E95" s="41"/>
      <c r="F95" s="41"/>
      <c r="G95" s="41"/>
      <c r="H95" s="41"/>
      <c r="I95" s="42"/>
      <c r="J95" s="41"/>
      <c r="K95" s="41"/>
      <c r="L95" s="43"/>
    </row>
    <row r="96" spans="2:12" hidden="1" outlineLevel="1">
      <c r="B96" s="7" t="str">
        <f t="shared" si="8"/>
        <v/>
      </c>
      <c r="C96" s="41"/>
      <c r="D96" s="41"/>
      <c r="E96" s="41"/>
      <c r="F96" s="41"/>
      <c r="G96" s="41"/>
      <c r="H96" s="41"/>
      <c r="I96" s="42"/>
      <c r="J96" s="41"/>
      <c r="K96" s="41"/>
      <c r="L96" s="43"/>
    </row>
    <row r="97" spans="2:12" hidden="1" outlineLevel="1">
      <c r="B97" s="7" t="str">
        <f t="shared" si="8"/>
        <v/>
      </c>
      <c r="C97" s="41"/>
      <c r="D97" s="41"/>
      <c r="E97" s="41"/>
      <c r="F97" s="41"/>
      <c r="G97" s="41"/>
      <c r="H97" s="41"/>
      <c r="I97" s="42"/>
      <c r="J97" s="41"/>
      <c r="K97" s="41"/>
      <c r="L97" s="43"/>
    </row>
    <row r="98" spans="2:12" hidden="1" outlineLevel="1">
      <c r="B98" s="7" t="str">
        <f t="shared" si="8"/>
        <v/>
      </c>
      <c r="C98" s="41"/>
      <c r="D98" s="41"/>
      <c r="E98" s="58"/>
      <c r="F98" s="41"/>
      <c r="G98" s="41"/>
      <c r="H98" s="41"/>
      <c r="I98" s="42"/>
      <c r="J98" s="41"/>
      <c r="K98" s="41"/>
      <c r="L98" s="43"/>
    </row>
    <row r="99" spans="2:12" hidden="1" outlineLevel="1">
      <c r="B99" s="7" t="str">
        <f t="shared" si="8"/>
        <v/>
      </c>
      <c r="C99" s="41"/>
      <c r="D99" s="41"/>
      <c r="E99" s="58"/>
      <c r="F99" s="41"/>
      <c r="G99" s="41"/>
      <c r="H99" s="41"/>
      <c r="I99" s="42"/>
      <c r="J99" s="41"/>
      <c r="K99" s="41"/>
      <c r="L99" s="43"/>
    </row>
    <row r="100" spans="2:12" hidden="1" outlineLevel="1">
      <c r="B100" s="7" t="str">
        <f t="shared" si="8"/>
        <v/>
      </c>
      <c r="C100" s="41"/>
      <c r="D100" s="41"/>
      <c r="E100" s="58"/>
      <c r="F100" s="41"/>
      <c r="G100" s="41"/>
      <c r="H100" s="41"/>
      <c r="I100" s="42"/>
      <c r="J100" s="41"/>
      <c r="K100" s="41"/>
      <c r="L100" s="43"/>
    </row>
    <row r="101" spans="2:12" hidden="1" outlineLevel="1">
      <c r="B101" s="7" t="str">
        <f t="shared" si="8"/>
        <v/>
      </c>
      <c r="C101" s="41"/>
      <c r="D101" s="41"/>
      <c r="E101" s="41"/>
      <c r="F101" s="41"/>
      <c r="G101" s="41"/>
      <c r="H101" s="41"/>
      <c r="I101" s="42"/>
      <c r="J101" s="41"/>
      <c r="K101" s="41"/>
      <c r="L101" s="43"/>
    </row>
    <row r="102" spans="2:12" hidden="1" outlineLevel="1">
      <c r="B102" s="7" t="str">
        <f t="shared" si="8"/>
        <v/>
      </c>
      <c r="C102" s="41"/>
      <c r="D102" s="41"/>
      <c r="E102" s="41"/>
      <c r="F102" s="41"/>
      <c r="G102" s="41"/>
      <c r="H102" s="41"/>
      <c r="I102" s="42"/>
      <c r="J102" s="41"/>
      <c r="K102" s="41"/>
      <c r="L102" s="43"/>
    </row>
    <row r="103" spans="2:12" hidden="1" outlineLevel="1">
      <c r="B103" s="7" t="str">
        <f t="shared" si="8"/>
        <v/>
      </c>
      <c r="C103" s="41"/>
      <c r="D103" s="41"/>
      <c r="E103" s="41"/>
      <c r="F103" s="41"/>
      <c r="G103" s="41"/>
      <c r="H103" s="41"/>
      <c r="I103" s="42"/>
      <c r="J103" s="41"/>
      <c r="K103" s="41"/>
      <c r="L103" s="43"/>
    </row>
    <row r="104" spans="2:12" hidden="1" outlineLevel="1">
      <c r="B104" s="7" t="str">
        <f t="shared" si="8"/>
        <v/>
      </c>
      <c r="C104" s="41"/>
      <c r="D104" s="41"/>
      <c r="E104" s="41"/>
      <c r="F104" s="41"/>
      <c r="G104" s="41"/>
      <c r="H104" s="41"/>
      <c r="I104" s="42"/>
      <c r="J104" s="41"/>
      <c r="K104" s="41"/>
      <c r="L104" s="43"/>
    </row>
    <row r="105" spans="2:12" hidden="1" outlineLevel="1">
      <c r="B105" s="7" t="str">
        <f t="shared" si="8"/>
        <v/>
      </c>
      <c r="C105" s="41"/>
      <c r="D105" s="41"/>
      <c r="E105" s="41"/>
      <c r="F105" s="41"/>
      <c r="G105" s="41"/>
      <c r="H105" s="41"/>
      <c r="I105" s="42"/>
      <c r="J105" s="41"/>
      <c r="K105" s="41"/>
      <c r="L105" s="43"/>
    </row>
    <row r="106" spans="2:12" hidden="1" outlineLevel="1">
      <c r="B106" s="7" t="str">
        <f t="shared" si="8"/>
        <v/>
      </c>
      <c r="C106" s="41"/>
      <c r="D106" s="41"/>
      <c r="E106" s="41"/>
      <c r="F106" s="41"/>
      <c r="G106" s="41"/>
      <c r="H106" s="41"/>
      <c r="I106" s="42"/>
      <c r="J106" s="41"/>
      <c r="K106" s="41"/>
      <c r="L106" s="43"/>
    </row>
    <row r="107" spans="2:12" hidden="1" outlineLevel="1">
      <c r="B107" s="7" t="str">
        <f t="shared" si="8"/>
        <v/>
      </c>
      <c r="C107" s="41"/>
      <c r="D107" s="41"/>
      <c r="E107" s="58"/>
      <c r="F107" s="41"/>
      <c r="G107" s="41"/>
      <c r="H107" s="41"/>
      <c r="I107" s="42"/>
      <c r="J107" s="41"/>
      <c r="K107" s="41"/>
      <c r="L107" s="43"/>
    </row>
    <row r="108" spans="2:12" hidden="1" outlineLevel="1">
      <c r="B108" s="7" t="str">
        <f t="shared" si="8"/>
        <v/>
      </c>
      <c r="C108" s="41"/>
      <c r="D108" s="41"/>
      <c r="E108" s="41"/>
      <c r="F108" s="41"/>
      <c r="G108" s="41"/>
      <c r="H108" s="41"/>
      <c r="I108" s="42"/>
      <c r="J108" s="41"/>
      <c r="K108" s="41"/>
      <c r="L108" s="43"/>
    </row>
    <row r="109" spans="2:12" hidden="1" outlineLevel="1">
      <c r="B109" s="7" t="str">
        <f t="shared" si="8"/>
        <v/>
      </c>
      <c r="C109" s="41"/>
      <c r="D109" s="41"/>
      <c r="E109" s="41"/>
      <c r="F109" s="41"/>
      <c r="G109" s="41"/>
      <c r="H109" s="41"/>
      <c r="I109" s="42"/>
      <c r="J109" s="41"/>
      <c r="K109" s="41"/>
      <c r="L109" s="43"/>
    </row>
    <row r="110" spans="2:12" hidden="1" outlineLevel="1">
      <c r="B110" s="7" t="str">
        <f t="shared" si="8"/>
        <v/>
      </c>
      <c r="C110" s="41"/>
      <c r="D110" s="41"/>
      <c r="E110" s="41"/>
      <c r="F110" s="41"/>
      <c r="G110" s="41"/>
      <c r="H110" s="41"/>
      <c r="I110" s="42"/>
      <c r="J110" s="41"/>
      <c r="K110" s="41"/>
      <c r="L110" s="43"/>
    </row>
    <row r="111" spans="2:12" hidden="1" outlineLevel="1">
      <c r="B111" s="7" t="str">
        <f t="shared" si="8"/>
        <v/>
      </c>
      <c r="C111" s="41"/>
      <c r="D111" s="41"/>
      <c r="E111" s="41"/>
      <c r="F111" s="41"/>
      <c r="G111" s="41"/>
      <c r="H111" s="41"/>
      <c r="I111" s="42"/>
      <c r="J111" s="41"/>
      <c r="K111" s="41"/>
      <c r="L111" s="43"/>
    </row>
    <row r="112" spans="2:12" hidden="1" outlineLevel="1">
      <c r="B112" s="7" t="str">
        <f t="shared" si="8"/>
        <v/>
      </c>
      <c r="C112" s="41"/>
      <c r="D112" s="41"/>
      <c r="E112" s="41"/>
      <c r="F112" s="41"/>
      <c r="G112" s="41"/>
      <c r="H112" s="41"/>
      <c r="I112" s="42"/>
      <c r="J112" s="41"/>
      <c r="K112" s="41"/>
      <c r="L112" s="43"/>
    </row>
    <row r="113" spans="2:12" hidden="1" outlineLevel="1">
      <c r="B113" s="7" t="str">
        <f t="shared" si="8"/>
        <v/>
      </c>
      <c r="C113" s="41"/>
      <c r="D113" s="41"/>
      <c r="E113" s="41"/>
      <c r="F113" s="41"/>
      <c r="G113" s="41"/>
      <c r="H113" s="41"/>
      <c r="I113" s="42"/>
      <c r="J113" s="41"/>
      <c r="K113" s="41"/>
      <c r="L113" s="43"/>
    </row>
    <row r="114" spans="2:12" hidden="1" outlineLevel="1">
      <c r="B114" s="7" t="str">
        <f t="shared" si="8"/>
        <v/>
      </c>
      <c r="C114" s="41"/>
      <c r="D114" s="41"/>
      <c r="E114" s="41"/>
      <c r="F114" s="41"/>
      <c r="G114" s="41"/>
      <c r="H114" s="41"/>
      <c r="I114" s="42"/>
      <c r="J114" s="41"/>
      <c r="K114" s="41"/>
      <c r="L114" s="43"/>
    </row>
    <row r="115" spans="2:12" hidden="1" outlineLevel="1">
      <c r="B115" s="7" t="str">
        <f t="shared" si="8"/>
        <v/>
      </c>
      <c r="C115" s="41"/>
      <c r="D115" s="41"/>
      <c r="E115" s="41"/>
      <c r="F115" s="41"/>
      <c r="G115" s="41"/>
      <c r="H115" s="41"/>
      <c r="I115" s="42"/>
      <c r="J115" s="41"/>
      <c r="K115" s="41"/>
      <c r="L115" s="43"/>
    </row>
    <row r="116" spans="2:12" hidden="1" outlineLevel="1">
      <c r="B116" s="7" t="str">
        <f t="shared" si="8"/>
        <v/>
      </c>
      <c r="C116" s="41"/>
      <c r="D116" s="41"/>
      <c r="E116" s="41"/>
      <c r="F116" s="41"/>
      <c r="G116" s="41"/>
      <c r="H116" s="41"/>
      <c r="I116" s="42"/>
      <c r="J116" s="41"/>
      <c r="K116" s="41"/>
      <c r="L116" s="43"/>
    </row>
    <row r="117" spans="2:12" hidden="1" outlineLevel="1">
      <c r="B117" s="7" t="str">
        <f t="shared" si="8"/>
        <v/>
      </c>
      <c r="C117" s="41"/>
      <c r="D117" s="41"/>
      <c r="E117" s="41"/>
      <c r="F117" s="41"/>
      <c r="G117" s="41"/>
      <c r="H117" s="41"/>
      <c r="I117" s="42"/>
      <c r="J117" s="41"/>
      <c r="K117" s="41"/>
      <c r="L117" s="43"/>
    </row>
    <row r="118" spans="2:12" hidden="1" outlineLevel="1">
      <c r="B118" s="7" t="str">
        <f t="shared" si="8"/>
        <v/>
      </c>
      <c r="C118" s="41"/>
      <c r="D118" s="41"/>
      <c r="E118" s="41"/>
      <c r="F118" s="41"/>
      <c r="G118" s="41"/>
      <c r="H118" s="41"/>
      <c r="I118" s="42"/>
      <c r="J118" s="41"/>
      <c r="K118" s="41"/>
      <c r="L118" s="43"/>
    </row>
    <row r="119" spans="2:12" hidden="1" outlineLevel="1">
      <c r="B119" s="7" t="str">
        <f t="shared" si="8"/>
        <v/>
      </c>
      <c r="C119" s="41"/>
      <c r="D119" s="41"/>
      <c r="E119" s="41"/>
      <c r="F119" s="41"/>
      <c r="G119" s="41"/>
      <c r="H119" s="41"/>
      <c r="I119" s="42"/>
      <c r="J119" s="41"/>
      <c r="K119" s="41"/>
      <c r="L119" s="43"/>
    </row>
    <row r="120" spans="2:12" hidden="1" outlineLevel="1">
      <c r="B120" s="7" t="str">
        <f t="shared" si="8"/>
        <v/>
      </c>
      <c r="C120" s="41"/>
      <c r="D120" s="41"/>
      <c r="E120" s="41"/>
      <c r="F120" s="41"/>
      <c r="G120" s="41"/>
      <c r="H120" s="41"/>
      <c r="I120" s="42"/>
      <c r="J120" s="41"/>
      <c r="K120" s="41"/>
      <c r="L120" s="43"/>
    </row>
    <row r="121" spans="2:12" hidden="1" outlineLevel="1">
      <c r="B121" s="7" t="str">
        <f t="shared" si="8"/>
        <v/>
      </c>
      <c r="C121" s="41"/>
      <c r="D121" s="41"/>
      <c r="E121" s="41"/>
      <c r="F121" s="41"/>
      <c r="G121" s="41"/>
      <c r="H121" s="41"/>
      <c r="I121" s="42"/>
      <c r="J121" s="41"/>
      <c r="K121" s="41"/>
      <c r="L121" s="43"/>
    </row>
    <row r="122" spans="2:12" hidden="1" outlineLevel="1">
      <c r="B122" s="7" t="str">
        <f t="shared" si="8"/>
        <v/>
      </c>
      <c r="C122" s="41"/>
      <c r="D122" s="41"/>
      <c r="E122" s="41"/>
      <c r="F122" s="41"/>
      <c r="G122" s="41"/>
      <c r="H122" s="41"/>
      <c r="I122" s="42"/>
      <c r="J122" s="41"/>
      <c r="K122" s="41"/>
      <c r="L122" s="43"/>
    </row>
    <row r="123" spans="2:12" hidden="1" outlineLevel="1">
      <c r="B123" s="7" t="str">
        <f t="shared" si="8"/>
        <v/>
      </c>
      <c r="C123" s="41"/>
      <c r="D123" s="41"/>
      <c r="E123" s="41"/>
      <c r="F123" s="41"/>
      <c r="G123" s="41"/>
      <c r="H123" s="41"/>
      <c r="I123" s="42"/>
      <c r="J123" s="41"/>
      <c r="K123" s="41"/>
      <c r="L123" s="43"/>
    </row>
    <row r="124" spans="2:12" hidden="1" outlineLevel="1">
      <c r="B124" s="7" t="str">
        <f t="shared" si="8"/>
        <v/>
      </c>
      <c r="C124" s="41"/>
      <c r="D124" s="41"/>
      <c r="E124" s="41"/>
      <c r="F124" s="41"/>
      <c r="G124" s="41"/>
      <c r="H124" s="41"/>
      <c r="I124" s="42"/>
      <c r="J124" s="41"/>
      <c r="K124" s="41"/>
      <c r="L124" s="43"/>
    </row>
    <row r="125" spans="2:12" hidden="1" outlineLevel="1">
      <c r="B125" s="7" t="str">
        <f t="shared" si="8"/>
        <v/>
      </c>
      <c r="C125" s="41"/>
      <c r="D125" s="41"/>
      <c r="E125" s="41"/>
      <c r="F125" s="41"/>
      <c r="G125" s="41"/>
      <c r="H125" s="41"/>
      <c r="I125" s="42"/>
      <c r="J125" s="41"/>
      <c r="K125" s="41"/>
      <c r="L125" s="43"/>
    </row>
    <row r="126" spans="2:12" hidden="1" outlineLevel="1">
      <c r="B126" s="7" t="str">
        <f t="shared" si="8"/>
        <v/>
      </c>
      <c r="C126" s="41"/>
      <c r="D126" s="41"/>
      <c r="E126" s="41"/>
      <c r="F126" s="41"/>
      <c r="G126" s="41"/>
      <c r="H126" s="41"/>
      <c r="I126" s="42"/>
      <c r="J126" s="41"/>
      <c r="K126" s="41"/>
      <c r="L126" s="43"/>
    </row>
    <row r="127" spans="2:12" hidden="1" outlineLevel="1">
      <c r="B127" s="7" t="str">
        <f t="shared" si="8"/>
        <v/>
      </c>
      <c r="C127" s="41"/>
      <c r="D127" s="41"/>
      <c r="E127" s="58"/>
      <c r="F127" s="41"/>
      <c r="G127" s="41"/>
      <c r="H127" s="41"/>
      <c r="I127" s="42"/>
      <c r="J127" s="41"/>
      <c r="K127" s="41"/>
      <c r="L127" s="43"/>
    </row>
    <row r="128" spans="2:12" hidden="1" outlineLevel="1">
      <c r="B128" s="7" t="str">
        <f t="shared" si="8"/>
        <v/>
      </c>
      <c r="C128" s="41"/>
      <c r="D128" s="41"/>
      <c r="E128" s="58"/>
      <c r="F128" s="41"/>
      <c r="G128" s="41"/>
      <c r="H128" s="41"/>
      <c r="I128" s="42"/>
      <c r="J128" s="41"/>
      <c r="K128" s="41"/>
      <c r="L128" s="43"/>
    </row>
    <row r="129" spans="2:12" hidden="1" outlineLevel="1">
      <c r="B129" s="7" t="str">
        <f t="shared" si="8"/>
        <v/>
      </c>
      <c r="C129" s="41"/>
      <c r="D129" s="41"/>
      <c r="E129" s="41"/>
      <c r="F129" s="41"/>
      <c r="G129" s="41"/>
      <c r="H129" s="41"/>
      <c r="I129" s="42"/>
      <c r="J129" s="41"/>
      <c r="K129" s="41"/>
      <c r="L129" s="43"/>
    </row>
    <row r="130" spans="2:12" hidden="1" outlineLevel="1">
      <c r="B130" s="7" t="str">
        <f t="shared" si="8"/>
        <v/>
      </c>
      <c r="C130" s="41"/>
      <c r="D130" s="41"/>
      <c r="E130" s="41"/>
      <c r="F130" s="41"/>
      <c r="G130" s="41"/>
      <c r="H130" s="41"/>
      <c r="I130" s="42"/>
      <c r="J130" s="41"/>
      <c r="K130" s="41"/>
      <c r="L130" s="43"/>
    </row>
    <row r="131" spans="2:12" hidden="1" outlineLevel="1">
      <c r="B131" s="7" t="str">
        <f t="shared" si="8"/>
        <v/>
      </c>
      <c r="C131" s="41"/>
      <c r="D131" s="41"/>
      <c r="E131" s="41"/>
      <c r="F131" s="41"/>
      <c r="G131" s="41"/>
      <c r="H131" s="41"/>
      <c r="I131" s="42"/>
      <c r="J131" s="41"/>
      <c r="K131" s="41"/>
      <c r="L131" s="43"/>
    </row>
    <row r="132" spans="2:12" hidden="1" outlineLevel="1">
      <c r="B132" s="7" t="str">
        <f t="shared" si="8"/>
        <v/>
      </c>
      <c r="C132" s="41"/>
      <c r="D132" s="41"/>
      <c r="E132" s="41"/>
      <c r="F132" s="41"/>
      <c r="G132" s="41"/>
      <c r="H132" s="41"/>
      <c r="I132" s="42"/>
      <c r="J132" s="41"/>
      <c r="K132" s="41"/>
      <c r="L132" s="43"/>
    </row>
    <row r="133" spans="2:12" hidden="1" outlineLevel="1">
      <c r="B133" s="7" t="str">
        <f t="shared" si="8"/>
        <v/>
      </c>
      <c r="C133" s="41"/>
      <c r="D133" s="41"/>
      <c r="E133" s="41"/>
      <c r="F133" s="41"/>
      <c r="G133" s="41"/>
      <c r="H133" s="41"/>
      <c r="I133" s="42"/>
      <c r="J133" s="41"/>
      <c r="K133" s="41"/>
      <c r="L133" s="43"/>
    </row>
    <row r="134" spans="2:12" hidden="1" outlineLevel="1">
      <c r="B134" s="7" t="str">
        <f t="shared" si="8"/>
        <v/>
      </c>
      <c r="C134" s="41"/>
      <c r="D134" s="41"/>
      <c r="E134" s="41"/>
      <c r="F134" s="41"/>
      <c r="G134" s="41"/>
      <c r="H134" s="41"/>
      <c r="I134" s="42"/>
      <c r="J134" s="41"/>
      <c r="K134" s="41"/>
      <c r="L134" s="43"/>
    </row>
    <row r="135" spans="2:12" hidden="1" outlineLevel="1">
      <c r="B135" s="7" t="str">
        <f t="shared" si="8"/>
        <v/>
      </c>
      <c r="C135" s="41"/>
      <c r="D135" s="41"/>
      <c r="E135" s="41"/>
      <c r="F135" s="41"/>
      <c r="G135" s="41"/>
      <c r="H135" s="41"/>
      <c r="I135" s="42"/>
      <c r="J135" s="41"/>
      <c r="K135" s="41"/>
      <c r="L135" s="43"/>
    </row>
    <row r="136" spans="2:12" hidden="1" outlineLevel="1">
      <c r="B136" s="7" t="str">
        <f t="shared" si="8"/>
        <v/>
      </c>
      <c r="C136" s="41"/>
      <c r="D136" s="41"/>
      <c r="E136" s="41"/>
      <c r="F136" s="41"/>
      <c r="G136" s="41"/>
      <c r="H136" s="41"/>
      <c r="I136" s="42"/>
      <c r="J136" s="41"/>
      <c r="K136" s="41"/>
      <c r="L136" s="43"/>
    </row>
    <row r="137" spans="2:12" hidden="1" outlineLevel="1">
      <c r="B137" s="7" t="str">
        <f t="shared" si="8"/>
        <v/>
      </c>
      <c r="C137" s="41"/>
      <c r="D137" s="41"/>
      <c r="E137" s="41"/>
      <c r="F137" s="41"/>
      <c r="G137" s="41"/>
      <c r="H137" s="41"/>
      <c r="I137" s="42"/>
      <c r="J137" s="41"/>
      <c r="K137" s="41"/>
      <c r="L137" s="43"/>
    </row>
    <row r="138" spans="2:12" hidden="1" outlineLevel="1">
      <c r="B138" s="7" t="str">
        <f t="shared" si="8"/>
        <v/>
      </c>
      <c r="C138" s="41"/>
      <c r="D138" s="41"/>
      <c r="E138" s="41"/>
      <c r="F138" s="41"/>
      <c r="G138" s="41"/>
      <c r="H138" s="41"/>
      <c r="I138" s="42"/>
      <c r="J138" s="41"/>
      <c r="K138" s="41"/>
      <c r="L138" s="43"/>
    </row>
    <row r="139" spans="2:12" hidden="1" outlineLevel="1">
      <c r="B139" s="7" t="str">
        <f t="shared" si="8"/>
        <v/>
      </c>
      <c r="C139" s="41"/>
      <c r="D139" s="41"/>
      <c r="E139" s="41"/>
      <c r="F139" s="41"/>
      <c r="G139" s="41"/>
      <c r="H139" s="41"/>
      <c r="I139" s="42"/>
      <c r="J139" s="41"/>
      <c r="K139" s="41"/>
      <c r="L139" s="43"/>
    </row>
    <row r="140" spans="2:12" hidden="1" outlineLevel="1">
      <c r="B140" s="7" t="str">
        <f t="shared" si="8"/>
        <v/>
      </c>
      <c r="C140" s="41"/>
      <c r="D140" s="41"/>
      <c r="E140" s="41"/>
      <c r="F140" s="41"/>
      <c r="G140" s="41"/>
      <c r="H140" s="41"/>
      <c r="I140" s="42"/>
      <c r="J140" s="41"/>
      <c r="K140" s="41"/>
      <c r="L140" s="43"/>
    </row>
    <row r="141" spans="2:12" hidden="1" outlineLevel="1">
      <c r="B141" s="7" t="str">
        <f t="shared" si="8"/>
        <v/>
      </c>
      <c r="C141" s="41"/>
      <c r="D141" s="41"/>
      <c r="E141" s="41"/>
      <c r="F141" s="41"/>
      <c r="G141" s="41"/>
      <c r="H141" s="41"/>
      <c r="I141" s="42"/>
      <c r="J141" s="41"/>
      <c r="K141" s="41"/>
      <c r="L141" s="43"/>
    </row>
    <row r="142" spans="2:12" hidden="1" outlineLevel="1">
      <c r="B142" s="7" t="str">
        <f t="shared" si="8"/>
        <v/>
      </c>
      <c r="C142" s="41"/>
      <c r="D142" s="41"/>
      <c r="E142" s="41"/>
      <c r="F142" s="41"/>
      <c r="G142" s="41"/>
      <c r="H142" s="41"/>
      <c r="I142" s="42"/>
      <c r="J142" s="41"/>
      <c r="K142" s="41"/>
      <c r="L142" s="43"/>
    </row>
    <row r="143" spans="2:12" hidden="1" outlineLevel="1">
      <c r="B143" s="7" t="str">
        <f t="shared" si="8"/>
        <v/>
      </c>
      <c r="C143" s="41"/>
      <c r="D143" s="41"/>
      <c r="E143" s="41"/>
      <c r="F143" s="41"/>
      <c r="G143" s="41"/>
      <c r="H143" s="41"/>
      <c r="I143" s="42"/>
      <c r="J143" s="41"/>
      <c r="K143" s="41"/>
      <c r="L143" s="43"/>
    </row>
    <row r="144" spans="2:12" hidden="1" outlineLevel="1">
      <c r="B144" s="7" t="str">
        <f t="shared" si="8"/>
        <v/>
      </c>
      <c r="C144" s="41"/>
      <c r="D144" s="41"/>
      <c r="E144" s="41"/>
      <c r="F144" s="41"/>
      <c r="G144" s="41"/>
      <c r="H144" s="41"/>
      <c r="I144" s="42"/>
      <c r="J144" s="41"/>
      <c r="K144" s="41"/>
      <c r="L144" s="43"/>
    </row>
    <row r="145" spans="2:12" hidden="1" outlineLevel="1">
      <c r="B145" s="7" t="str">
        <f t="shared" si="8"/>
        <v/>
      </c>
      <c r="C145" s="41"/>
      <c r="D145" s="41"/>
      <c r="E145" s="41"/>
      <c r="F145" s="41"/>
      <c r="G145" s="41"/>
      <c r="H145" s="41"/>
      <c r="I145" s="42"/>
      <c r="J145" s="41"/>
      <c r="K145" s="41"/>
      <c r="L145" s="43"/>
    </row>
    <row r="146" spans="2:12" hidden="1" outlineLevel="1">
      <c r="B146" s="7" t="str">
        <f t="shared" si="8"/>
        <v/>
      </c>
      <c r="C146" s="41"/>
      <c r="D146" s="41"/>
      <c r="E146" s="41"/>
      <c r="F146" s="41"/>
      <c r="G146" s="41"/>
      <c r="H146" s="41"/>
      <c r="I146" s="42"/>
      <c r="J146" s="41"/>
      <c r="K146" s="41"/>
      <c r="L146" s="43"/>
    </row>
    <row r="147" spans="2:12" hidden="1" outlineLevel="1">
      <c r="B147" s="7" t="str">
        <f t="shared" si="8"/>
        <v/>
      </c>
      <c r="C147" s="41"/>
      <c r="D147" s="41"/>
      <c r="E147" s="41"/>
      <c r="F147" s="41"/>
      <c r="G147" s="41"/>
      <c r="H147" s="41"/>
      <c r="I147" s="42"/>
      <c r="J147" s="41"/>
      <c r="K147" s="41"/>
      <c r="L147" s="43"/>
    </row>
    <row r="148" spans="2:12" hidden="1" outlineLevel="1">
      <c r="B148" s="7" t="str">
        <f t="shared" si="8"/>
        <v/>
      </c>
      <c r="C148" s="41"/>
      <c r="D148" s="41"/>
      <c r="E148" s="41"/>
      <c r="F148" s="41"/>
      <c r="G148" s="41"/>
      <c r="H148" s="41"/>
      <c r="I148" s="42"/>
      <c r="J148" s="41"/>
      <c r="K148" s="41"/>
      <c r="L148" s="43"/>
    </row>
    <row r="149" spans="2:12" hidden="1" outlineLevel="1">
      <c r="B149" s="7" t="str">
        <f t="shared" si="8"/>
        <v/>
      </c>
      <c r="C149" s="41"/>
      <c r="D149" s="41"/>
      <c r="E149" s="41"/>
      <c r="F149" s="41"/>
      <c r="G149" s="41"/>
      <c r="H149" s="41"/>
      <c r="I149" s="42"/>
      <c r="J149" s="41"/>
      <c r="K149" s="41"/>
      <c r="L149" s="43"/>
    </row>
    <row r="150" spans="2:12" hidden="1" outlineLevel="1">
      <c r="B150" s="7" t="str">
        <f t="shared" si="8"/>
        <v/>
      </c>
      <c r="C150" s="41"/>
      <c r="D150" s="41"/>
      <c r="E150" s="41"/>
      <c r="F150" s="41"/>
      <c r="G150" s="41"/>
      <c r="H150" s="41"/>
      <c r="I150" s="42"/>
      <c r="J150" s="41"/>
      <c r="K150" s="41"/>
      <c r="L150" s="43"/>
    </row>
    <row r="151" spans="2:12" hidden="1" outlineLevel="1">
      <c r="B151" s="7" t="str">
        <f t="shared" si="8"/>
        <v/>
      </c>
      <c r="C151" s="41"/>
      <c r="D151" s="41"/>
      <c r="E151" s="41"/>
      <c r="F151" s="41"/>
      <c r="G151" s="41"/>
      <c r="H151" s="41"/>
      <c r="I151" s="42"/>
      <c r="J151" s="41"/>
      <c r="K151" s="41"/>
      <c r="L151" s="43"/>
    </row>
    <row r="152" spans="2:12" hidden="1" outlineLevel="1">
      <c r="B152" s="7" t="str">
        <f t="shared" si="8"/>
        <v/>
      </c>
      <c r="C152" s="41"/>
      <c r="D152" s="41"/>
      <c r="E152" s="58"/>
      <c r="F152" s="41"/>
      <c r="G152" s="41"/>
      <c r="H152" s="41"/>
      <c r="I152" s="42"/>
      <c r="J152" s="41"/>
      <c r="K152" s="41"/>
      <c r="L152" s="43"/>
    </row>
    <row r="153" spans="2:12" hidden="1" outlineLevel="1">
      <c r="B153" s="7" t="str">
        <f t="shared" si="8"/>
        <v/>
      </c>
      <c r="C153" s="41"/>
      <c r="D153" s="41"/>
      <c r="E153" s="41"/>
      <c r="F153" s="41"/>
      <c r="G153" s="41"/>
      <c r="H153" s="41"/>
      <c r="I153" s="42"/>
      <c r="J153" s="41"/>
      <c r="K153" s="41"/>
      <c r="L153" s="43"/>
    </row>
    <row r="154" spans="2:12" hidden="1" outlineLevel="1">
      <c r="B154" s="7" t="str">
        <f t="shared" si="8"/>
        <v/>
      </c>
      <c r="C154" s="41"/>
      <c r="D154" s="41"/>
      <c r="E154" s="41"/>
      <c r="F154" s="41"/>
      <c r="G154" s="41"/>
      <c r="H154" s="41"/>
      <c r="I154" s="42"/>
      <c r="J154" s="41"/>
      <c r="K154" s="41"/>
      <c r="L154" s="43"/>
    </row>
    <row r="155" spans="2:12" hidden="1" outlineLevel="1">
      <c r="B155" s="7" t="str">
        <f t="shared" si="8"/>
        <v/>
      </c>
      <c r="C155" s="41"/>
      <c r="D155" s="41"/>
      <c r="E155" s="41"/>
      <c r="F155" s="41"/>
      <c r="G155" s="41"/>
      <c r="H155" s="41"/>
      <c r="I155" s="42"/>
      <c r="J155" s="41"/>
      <c r="K155" s="41"/>
      <c r="L155" s="43"/>
    </row>
    <row r="156" spans="2:12" hidden="1" outlineLevel="1">
      <c r="B156" s="7" t="str">
        <f t="shared" si="8"/>
        <v/>
      </c>
      <c r="C156" s="41"/>
      <c r="D156" s="41"/>
      <c r="E156" s="41"/>
      <c r="F156" s="41"/>
      <c r="G156" s="41"/>
      <c r="H156" s="41"/>
      <c r="I156" s="42"/>
      <c r="J156" s="41"/>
      <c r="K156" s="41"/>
      <c r="L156" s="43"/>
    </row>
    <row r="157" spans="2:12" hidden="1" outlineLevel="1">
      <c r="B157" s="7" t="str">
        <f t="shared" ref="B157:B220" si="9">IF(C157="","",(B156+1))</f>
        <v/>
      </c>
      <c r="C157" s="41"/>
      <c r="D157" s="41"/>
      <c r="E157" s="41"/>
      <c r="F157" s="41"/>
      <c r="G157" s="41"/>
      <c r="H157" s="41"/>
      <c r="I157" s="42"/>
      <c r="J157" s="41"/>
      <c r="K157" s="41"/>
      <c r="L157" s="43"/>
    </row>
    <row r="158" spans="2:12" hidden="1" outlineLevel="1">
      <c r="B158" s="7" t="str">
        <f t="shared" si="9"/>
        <v/>
      </c>
      <c r="C158" s="41"/>
      <c r="D158" s="41"/>
      <c r="E158" s="41"/>
      <c r="F158" s="41"/>
      <c r="G158" s="41"/>
      <c r="H158" s="41"/>
      <c r="I158" s="42"/>
      <c r="J158" s="41"/>
      <c r="K158" s="41"/>
      <c r="L158" s="43"/>
    </row>
    <row r="159" spans="2:12" hidden="1" outlineLevel="1">
      <c r="B159" s="7" t="str">
        <f t="shared" si="9"/>
        <v/>
      </c>
      <c r="C159" s="41"/>
      <c r="D159" s="41"/>
      <c r="E159" s="58"/>
      <c r="F159" s="41"/>
      <c r="G159" s="41"/>
      <c r="H159" s="41"/>
      <c r="I159" s="42"/>
      <c r="J159" s="41"/>
      <c r="K159" s="41"/>
      <c r="L159" s="43"/>
    </row>
    <row r="160" spans="2:12" hidden="1" outlineLevel="1">
      <c r="B160" s="7" t="str">
        <f t="shared" si="9"/>
        <v/>
      </c>
      <c r="C160" s="41"/>
      <c r="D160" s="41"/>
      <c r="E160" s="41"/>
      <c r="F160" s="41"/>
      <c r="G160" s="41"/>
      <c r="H160" s="41"/>
      <c r="I160" s="42"/>
      <c r="J160" s="41"/>
      <c r="K160" s="41"/>
      <c r="L160" s="43"/>
    </row>
    <row r="161" spans="2:12" hidden="1" outlineLevel="1">
      <c r="B161" s="7" t="str">
        <f t="shared" si="9"/>
        <v/>
      </c>
      <c r="C161" s="41"/>
      <c r="D161" s="41"/>
      <c r="E161" s="58"/>
      <c r="F161" s="41"/>
      <c r="G161" s="41"/>
      <c r="H161" s="41"/>
      <c r="I161" s="42"/>
      <c r="J161" s="41"/>
      <c r="K161" s="41"/>
      <c r="L161" s="43"/>
    </row>
    <row r="162" spans="2:12" hidden="1" outlineLevel="1">
      <c r="B162" s="7" t="str">
        <f t="shared" si="9"/>
        <v/>
      </c>
      <c r="C162" s="41"/>
      <c r="D162" s="41"/>
      <c r="E162" s="41"/>
      <c r="F162" s="41"/>
      <c r="G162" s="41"/>
      <c r="H162" s="41"/>
      <c r="I162" s="42"/>
      <c r="J162" s="41"/>
      <c r="K162" s="41"/>
      <c r="L162" s="43"/>
    </row>
    <row r="163" spans="2:12" hidden="1" outlineLevel="1">
      <c r="B163" s="7" t="str">
        <f t="shared" si="9"/>
        <v/>
      </c>
      <c r="C163" s="41"/>
      <c r="D163" s="41"/>
      <c r="E163" s="41"/>
      <c r="F163" s="41"/>
      <c r="G163" s="41"/>
      <c r="H163" s="41"/>
      <c r="I163" s="42"/>
      <c r="J163" s="41"/>
      <c r="K163" s="41"/>
      <c r="L163" s="43"/>
    </row>
    <row r="164" spans="2:12" hidden="1" outlineLevel="1">
      <c r="B164" s="7" t="str">
        <f t="shared" si="9"/>
        <v/>
      </c>
      <c r="C164" s="41"/>
      <c r="D164" s="41"/>
      <c r="E164" s="41"/>
      <c r="F164" s="41"/>
      <c r="G164" s="41"/>
      <c r="H164" s="41"/>
      <c r="I164" s="42"/>
      <c r="J164" s="41"/>
      <c r="K164" s="41"/>
      <c r="L164" s="43"/>
    </row>
    <row r="165" spans="2:12" hidden="1" outlineLevel="1">
      <c r="B165" s="7" t="str">
        <f t="shared" si="9"/>
        <v/>
      </c>
      <c r="C165" s="41"/>
      <c r="D165" s="41"/>
      <c r="E165" s="41"/>
      <c r="F165" s="41"/>
      <c r="G165" s="41"/>
      <c r="H165" s="41"/>
      <c r="I165" s="42"/>
      <c r="J165" s="41"/>
      <c r="K165" s="41"/>
      <c r="L165" s="43"/>
    </row>
    <row r="166" spans="2:12" hidden="1" outlineLevel="1">
      <c r="B166" s="7" t="str">
        <f t="shared" si="9"/>
        <v/>
      </c>
      <c r="C166" s="41"/>
      <c r="D166" s="41"/>
      <c r="E166" s="41"/>
      <c r="F166" s="41"/>
      <c r="G166" s="41"/>
      <c r="H166" s="41"/>
      <c r="I166" s="42"/>
      <c r="J166" s="41"/>
      <c r="K166" s="41"/>
      <c r="L166" s="43"/>
    </row>
    <row r="167" spans="2:12" hidden="1" outlineLevel="1">
      <c r="B167" s="7" t="str">
        <f t="shared" si="9"/>
        <v/>
      </c>
      <c r="C167" s="41"/>
      <c r="D167" s="41"/>
      <c r="E167" s="58"/>
      <c r="F167" s="41"/>
      <c r="G167" s="41"/>
      <c r="H167" s="41"/>
      <c r="I167" s="42"/>
      <c r="J167" s="41"/>
      <c r="K167" s="41"/>
      <c r="L167" s="43"/>
    </row>
    <row r="168" spans="2:12" hidden="1" outlineLevel="1">
      <c r="B168" s="7" t="str">
        <f t="shared" si="9"/>
        <v/>
      </c>
      <c r="C168" s="41"/>
      <c r="D168" s="41"/>
      <c r="E168" s="41"/>
      <c r="F168" s="41"/>
      <c r="G168" s="41"/>
      <c r="H168" s="41"/>
      <c r="I168" s="42"/>
      <c r="J168" s="41"/>
      <c r="K168" s="41"/>
      <c r="L168" s="43"/>
    </row>
    <row r="169" spans="2:12" hidden="1" outlineLevel="1">
      <c r="B169" s="7" t="str">
        <f t="shared" si="9"/>
        <v/>
      </c>
      <c r="C169" s="41"/>
      <c r="D169" s="41"/>
      <c r="E169" s="41"/>
      <c r="F169" s="41"/>
      <c r="G169" s="41"/>
      <c r="H169" s="41"/>
      <c r="I169" s="42"/>
      <c r="J169" s="41"/>
      <c r="K169" s="41"/>
      <c r="L169" s="43"/>
    </row>
    <row r="170" spans="2:12" hidden="1" outlineLevel="1">
      <c r="B170" s="7" t="str">
        <f t="shared" si="9"/>
        <v/>
      </c>
      <c r="C170" s="41"/>
      <c r="D170" s="41"/>
      <c r="E170" s="41"/>
      <c r="F170" s="41"/>
      <c r="G170" s="41"/>
      <c r="H170" s="41"/>
      <c r="I170" s="42"/>
      <c r="J170" s="41"/>
      <c r="K170" s="41"/>
      <c r="L170" s="43"/>
    </row>
    <row r="171" spans="2:12" hidden="1" outlineLevel="1">
      <c r="B171" s="7" t="str">
        <f t="shared" si="9"/>
        <v/>
      </c>
      <c r="C171" s="41"/>
      <c r="D171" s="41"/>
      <c r="E171" s="41"/>
      <c r="F171" s="41"/>
      <c r="G171" s="41"/>
      <c r="H171" s="41"/>
      <c r="I171" s="42"/>
      <c r="J171" s="41"/>
      <c r="K171" s="41"/>
      <c r="L171" s="43"/>
    </row>
    <row r="172" spans="2:12" hidden="1" outlineLevel="1">
      <c r="B172" s="7" t="str">
        <f t="shared" si="9"/>
        <v/>
      </c>
      <c r="C172" s="41"/>
      <c r="D172" s="41"/>
      <c r="E172" s="58"/>
      <c r="F172" s="41"/>
      <c r="G172" s="41"/>
      <c r="H172" s="41"/>
      <c r="I172" s="42"/>
      <c r="J172" s="41"/>
      <c r="K172" s="41"/>
      <c r="L172" s="43"/>
    </row>
    <row r="173" spans="2:12" hidden="1" outlineLevel="1">
      <c r="B173" s="7" t="str">
        <f t="shared" si="9"/>
        <v/>
      </c>
      <c r="C173" s="41"/>
      <c r="D173" s="41"/>
      <c r="E173" s="41"/>
      <c r="F173" s="41"/>
      <c r="G173" s="41"/>
      <c r="H173" s="41"/>
      <c r="I173" s="42"/>
      <c r="J173" s="41"/>
      <c r="K173" s="41"/>
      <c r="L173" s="43"/>
    </row>
    <row r="174" spans="2:12" hidden="1" outlineLevel="1">
      <c r="B174" s="7" t="str">
        <f t="shared" si="9"/>
        <v/>
      </c>
      <c r="C174" s="41"/>
      <c r="D174" s="41"/>
      <c r="E174" s="41"/>
      <c r="F174" s="41"/>
      <c r="G174" s="41"/>
      <c r="H174" s="41"/>
      <c r="I174" s="42"/>
      <c r="J174" s="41"/>
      <c r="K174" s="41"/>
      <c r="L174" s="43"/>
    </row>
    <row r="175" spans="2:12" hidden="1" outlineLevel="1">
      <c r="B175" s="7" t="str">
        <f t="shared" si="9"/>
        <v/>
      </c>
      <c r="C175" s="41"/>
      <c r="D175" s="41"/>
      <c r="E175" s="41"/>
      <c r="F175" s="41"/>
      <c r="G175" s="41"/>
      <c r="H175" s="41"/>
      <c r="I175" s="42"/>
      <c r="J175" s="41"/>
      <c r="K175" s="41"/>
      <c r="L175" s="43"/>
    </row>
    <row r="176" spans="2:12" hidden="1" outlineLevel="1">
      <c r="B176" s="7" t="str">
        <f t="shared" si="9"/>
        <v/>
      </c>
      <c r="C176" s="41"/>
      <c r="D176" s="41"/>
      <c r="E176" s="41"/>
      <c r="F176" s="41"/>
      <c r="G176" s="41"/>
      <c r="H176" s="41"/>
      <c r="I176" s="42"/>
      <c r="J176" s="41"/>
      <c r="K176" s="41"/>
      <c r="L176" s="43"/>
    </row>
    <row r="177" spans="2:12" hidden="1" outlineLevel="1">
      <c r="B177" s="7" t="str">
        <f t="shared" si="9"/>
        <v/>
      </c>
      <c r="C177" s="41"/>
      <c r="D177" s="41"/>
      <c r="E177" s="41"/>
      <c r="F177" s="41"/>
      <c r="G177" s="41"/>
      <c r="H177" s="41"/>
      <c r="I177" s="42"/>
      <c r="J177" s="41"/>
      <c r="K177" s="41"/>
      <c r="L177" s="43"/>
    </row>
    <row r="178" spans="2:12" hidden="1" outlineLevel="1">
      <c r="B178" s="7" t="str">
        <f t="shared" si="9"/>
        <v/>
      </c>
      <c r="C178" s="41"/>
      <c r="D178" s="41"/>
      <c r="E178" s="41"/>
      <c r="F178" s="41"/>
      <c r="G178" s="41"/>
      <c r="H178" s="41"/>
      <c r="I178" s="42"/>
      <c r="J178" s="41"/>
      <c r="K178" s="41"/>
      <c r="L178" s="43"/>
    </row>
    <row r="179" spans="2:12" hidden="1" outlineLevel="1">
      <c r="B179" s="7" t="str">
        <f t="shared" si="9"/>
        <v/>
      </c>
      <c r="C179" s="41"/>
      <c r="D179" s="41"/>
      <c r="E179" s="41"/>
      <c r="F179" s="41"/>
      <c r="G179" s="41"/>
      <c r="H179" s="41"/>
      <c r="I179" s="42"/>
      <c r="J179" s="41"/>
      <c r="K179" s="41"/>
      <c r="L179" s="43"/>
    </row>
    <row r="180" spans="2:12" hidden="1" outlineLevel="1">
      <c r="B180" s="7" t="str">
        <f t="shared" si="9"/>
        <v/>
      </c>
      <c r="C180" s="41"/>
      <c r="D180" s="41"/>
      <c r="E180" s="41"/>
      <c r="F180" s="41"/>
      <c r="G180" s="41"/>
      <c r="H180" s="41"/>
      <c r="I180" s="42"/>
      <c r="J180" s="41"/>
      <c r="K180" s="41"/>
      <c r="L180" s="43"/>
    </row>
    <row r="181" spans="2:12" hidden="1" outlineLevel="1">
      <c r="B181" s="7" t="str">
        <f t="shared" si="9"/>
        <v/>
      </c>
      <c r="C181" s="41"/>
      <c r="D181" s="41"/>
      <c r="E181" s="41"/>
      <c r="F181" s="41"/>
      <c r="G181" s="41"/>
      <c r="H181" s="41"/>
      <c r="I181" s="42"/>
      <c r="J181" s="41"/>
      <c r="K181" s="41"/>
      <c r="L181" s="43"/>
    </row>
    <row r="182" spans="2:12" hidden="1" outlineLevel="1">
      <c r="B182" s="7" t="str">
        <f t="shared" si="9"/>
        <v/>
      </c>
      <c r="C182" s="41"/>
      <c r="D182" s="41"/>
      <c r="E182" s="41"/>
      <c r="F182" s="41"/>
      <c r="G182" s="41"/>
      <c r="H182" s="41"/>
      <c r="I182" s="42"/>
      <c r="J182" s="41"/>
      <c r="K182" s="41"/>
      <c r="L182" s="43"/>
    </row>
    <row r="183" spans="2:12" hidden="1" outlineLevel="1">
      <c r="B183" s="7" t="str">
        <f t="shared" si="9"/>
        <v/>
      </c>
      <c r="C183" s="41"/>
      <c r="D183" s="41"/>
      <c r="E183" s="41"/>
      <c r="F183" s="41"/>
      <c r="G183" s="41"/>
      <c r="H183" s="41"/>
      <c r="I183" s="42"/>
      <c r="J183" s="41"/>
      <c r="K183" s="41"/>
      <c r="L183" s="43"/>
    </row>
    <row r="184" spans="2:12" hidden="1" outlineLevel="1">
      <c r="B184" s="7" t="str">
        <f t="shared" si="9"/>
        <v/>
      </c>
      <c r="C184" s="41"/>
      <c r="D184" s="41"/>
      <c r="E184" s="41"/>
      <c r="F184" s="41"/>
      <c r="G184" s="41"/>
      <c r="H184" s="41"/>
      <c r="I184" s="42"/>
      <c r="J184" s="41"/>
      <c r="K184" s="41"/>
      <c r="L184" s="43"/>
    </row>
    <row r="185" spans="2:12" hidden="1" outlineLevel="1">
      <c r="B185" s="7" t="str">
        <f t="shared" si="9"/>
        <v/>
      </c>
      <c r="C185" s="41"/>
      <c r="D185" s="41"/>
      <c r="E185" s="41"/>
      <c r="F185" s="41"/>
      <c r="G185" s="41"/>
      <c r="H185" s="41"/>
      <c r="I185" s="42"/>
      <c r="J185" s="41"/>
      <c r="K185" s="41"/>
      <c r="L185" s="43"/>
    </row>
    <row r="186" spans="2:12" hidden="1" outlineLevel="1">
      <c r="B186" s="7" t="str">
        <f t="shared" si="9"/>
        <v/>
      </c>
      <c r="C186" s="41"/>
      <c r="D186" s="41"/>
      <c r="E186" s="41"/>
      <c r="F186" s="41"/>
      <c r="G186" s="41"/>
      <c r="H186" s="41"/>
      <c r="I186" s="42"/>
      <c r="J186" s="41"/>
      <c r="K186" s="41"/>
      <c r="L186" s="43"/>
    </row>
    <row r="187" spans="2:12" hidden="1" outlineLevel="1">
      <c r="B187" s="7" t="str">
        <f t="shared" si="9"/>
        <v/>
      </c>
      <c r="C187" s="41"/>
      <c r="D187" s="41"/>
      <c r="E187" s="41"/>
      <c r="F187" s="41"/>
      <c r="G187" s="41"/>
      <c r="H187" s="41"/>
      <c r="I187" s="42"/>
      <c r="J187" s="41"/>
      <c r="K187" s="41"/>
      <c r="L187" s="43"/>
    </row>
    <row r="188" spans="2:12" hidden="1" outlineLevel="1">
      <c r="B188" s="7" t="str">
        <f t="shared" si="9"/>
        <v/>
      </c>
      <c r="C188" s="41"/>
      <c r="D188" s="41"/>
      <c r="E188" s="41"/>
      <c r="F188" s="41"/>
      <c r="G188" s="41"/>
      <c r="H188" s="41"/>
      <c r="I188" s="42"/>
      <c r="J188" s="41"/>
      <c r="K188" s="41"/>
      <c r="L188" s="43"/>
    </row>
    <row r="189" spans="2:12" hidden="1" outlineLevel="1">
      <c r="B189" s="7" t="str">
        <f t="shared" si="9"/>
        <v/>
      </c>
      <c r="C189" s="41"/>
      <c r="D189" s="41"/>
      <c r="E189" s="41"/>
      <c r="F189" s="41"/>
      <c r="G189" s="41"/>
      <c r="H189" s="41"/>
      <c r="I189" s="42"/>
      <c r="J189" s="41"/>
      <c r="K189" s="41"/>
      <c r="L189" s="43"/>
    </row>
    <row r="190" spans="2:12" hidden="1" outlineLevel="1">
      <c r="B190" s="7" t="str">
        <f t="shared" si="9"/>
        <v/>
      </c>
      <c r="C190" s="41"/>
      <c r="D190" s="41"/>
      <c r="E190" s="41"/>
      <c r="F190" s="41"/>
      <c r="G190" s="41"/>
      <c r="H190" s="41"/>
      <c r="I190" s="42"/>
      <c r="J190" s="41"/>
      <c r="K190" s="41"/>
      <c r="L190" s="43"/>
    </row>
    <row r="191" spans="2:12" hidden="1" outlineLevel="1">
      <c r="B191" s="7" t="str">
        <f t="shared" si="9"/>
        <v/>
      </c>
      <c r="C191" s="41"/>
      <c r="D191" s="41"/>
      <c r="E191" s="41"/>
      <c r="F191" s="41"/>
      <c r="G191" s="41"/>
      <c r="H191" s="41"/>
      <c r="I191" s="42"/>
      <c r="J191" s="41"/>
      <c r="K191" s="41"/>
      <c r="L191" s="43"/>
    </row>
    <row r="192" spans="2:12" hidden="1" outlineLevel="1">
      <c r="B192" s="7" t="str">
        <f t="shared" si="9"/>
        <v/>
      </c>
      <c r="C192" s="41"/>
      <c r="D192" s="41"/>
      <c r="E192" s="41"/>
      <c r="F192" s="41"/>
      <c r="G192" s="41"/>
      <c r="H192" s="41"/>
      <c r="I192" s="42"/>
      <c r="J192" s="41"/>
      <c r="K192" s="41"/>
      <c r="L192" s="43"/>
    </row>
    <row r="193" spans="2:12" hidden="1" outlineLevel="1">
      <c r="B193" s="7" t="str">
        <f t="shared" si="9"/>
        <v/>
      </c>
      <c r="C193" s="41"/>
      <c r="D193" s="41"/>
      <c r="E193" s="41"/>
      <c r="F193" s="41"/>
      <c r="G193" s="41"/>
      <c r="H193" s="41"/>
      <c r="I193" s="42"/>
      <c r="J193" s="41"/>
      <c r="K193" s="41"/>
      <c r="L193" s="43"/>
    </row>
    <row r="194" spans="2:12" hidden="1" outlineLevel="1">
      <c r="B194" s="7" t="str">
        <f t="shared" si="9"/>
        <v/>
      </c>
      <c r="C194" s="41"/>
      <c r="D194" s="41"/>
      <c r="E194" s="41"/>
      <c r="F194" s="41"/>
      <c r="G194" s="41"/>
      <c r="H194" s="41"/>
      <c r="I194" s="42"/>
      <c r="J194" s="41"/>
      <c r="K194" s="41"/>
      <c r="L194" s="43"/>
    </row>
    <row r="195" spans="2:12" hidden="1" outlineLevel="1">
      <c r="B195" s="7" t="str">
        <f t="shared" si="9"/>
        <v/>
      </c>
      <c r="C195" s="41"/>
      <c r="D195" s="41"/>
      <c r="E195" s="41"/>
      <c r="F195" s="41"/>
      <c r="G195" s="41"/>
      <c r="H195" s="41"/>
      <c r="I195" s="42"/>
      <c r="J195" s="41"/>
      <c r="K195" s="41"/>
      <c r="L195" s="43"/>
    </row>
    <row r="196" spans="2:12" hidden="1" outlineLevel="1">
      <c r="B196" s="7" t="str">
        <f t="shared" si="9"/>
        <v/>
      </c>
      <c r="C196" s="41"/>
      <c r="D196" s="41"/>
      <c r="E196" s="41"/>
      <c r="F196" s="41"/>
      <c r="G196" s="41"/>
      <c r="H196" s="41"/>
      <c r="I196" s="42"/>
      <c r="J196" s="41"/>
      <c r="K196" s="41"/>
      <c r="L196" s="43"/>
    </row>
    <row r="197" spans="2:12" hidden="1" outlineLevel="1">
      <c r="B197" s="7" t="str">
        <f t="shared" si="9"/>
        <v/>
      </c>
      <c r="C197" s="41"/>
      <c r="D197" s="41"/>
      <c r="E197" s="41"/>
      <c r="F197" s="41"/>
      <c r="G197" s="41"/>
      <c r="H197" s="41"/>
      <c r="I197" s="42"/>
      <c r="J197" s="41"/>
      <c r="K197" s="41"/>
      <c r="L197" s="43"/>
    </row>
    <row r="198" spans="2:12" hidden="1" outlineLevel="1">
      <c r="B198" s="7" t="str">
        <f t="shared" si="9"/>
        <v/>
      </c>
      <c r="C198" s="41"/>
      <c r="D198" s="41"/>
      <c r="E198" s="41"/>
      <c r="F198" s="41"/>
      <c r="G198" s="41"/>
      <c r="H198" s="41"/>
      <c r="I198" s="42"/>
      <c r="J198" s="41"/>
      <c r="K198" s="41"/>
      <c r="L198" s="43"/>
    </row>
    <row r="199" spans="2:12" hidden="1" outlineLevel="1">
      <c r="B199" s="7" t="str">
        <f t="shared" si="9"/>
        <v/>
      </c>
      <c r="C199" s="41"/>
      <c r="D199" s="41"/>
      <c r="E199" s="41"/>
      <c r="F199" s="41"/>
      <c r="G199" s="41"/>
      <c r="H199" s="41"/>
      <c r="I199" s="42"/>
      <c r="J199" s="41"/>
      <c r="K199" s="41"/>
      <c r="L199" s="43"/>
    </row>
    <row r="200" spans="2:12" hidden="1" outlineLevel="1">
      <c r="B200" s="7" t="str">
        <f t="shared" si="9"/>
        <v/>
      </c>
      <c r="C200" s="41"/>
      <c r="D200" s="41"/>
      <c r="E200" s="41"/>
      <c r="F200" s="41"/>
      <c r="G200" s="41"/>
      <c r="H200" s="41"/>
      <c r="I200" s="42"/>
      <c r="J200" s="41"/>
      <c r="K200" s="41"/>
      <c r="L200" s="43"/>
    </row>
    <row r="201" spans="2:12" hidden="1" outlineLevel="1">
      <c r="B201" s="7" t="str">
        <f t="shared" si="9"/>
        <v/>
      </c>
      <c r="C201" s="41"/>
      <c r="D201" s="41"/>
      <c r="E201" s="41"/>
      <c r="F201" s="41"/>
      <c r="G201" s="41"/>
      <c r="H201" s="41"/>
      <c r="I201" s="42"/>
      <c r="J201" s="41"/>
      <c r="K201" s="41"/>
      <c r="L201" s="43"/>
    </row>
    <row r="202" spans="2:12" hidden="1" outlineLevel="1">
      <c r="B202" s="7" t="str">
        <f t="shared" si="9"/>
        <v/>
      </c>
      <c r="C202" s="41"/>
      <c r="D202" s="41"/>
      <c r="E202" s="41"/>
      <c r="F202" s="41"/>
      <c r="G202" s="41"/>
      <c r="H202" s="41"/>
      <c r="I202" s="42"/>
      <c r="J202" s="41"/>
      <c r="K202" s="41"/>
      <c r="L202" s="43"/>
    </row>
    <row r="203" spans="2:12" hidden="1" outlineLevel="1">
      <c r="B203" s="7" t="str">
        <f t="shared" si="9"/>
        <v/>
      </c>
      <c r="C203" s="41"/>
      <c r="D203" s="41"/>
      <c r="E203" s="41"/>
      <c r="F203" s="41"/>
      <c r="G203" s="41"/>
      <c r="H203" s="41"/>
      <c r="I203" s="42"/>
      <c r="J203" s="41"/>
      <c r="K203" s="41"/>
      <c r="L203" s="43"/>
    </row>
    <row r="204" spans="2:12" hidden="1" outlineLevel="1">
      <c r="B204" s="7" t="str">
        <f t="shared" si="9"/>
        <v/>
      </c>
      <c r="C204" s="41"/>
      <c r="D204" s="41"/>
      <c r="E204" s="41"/>
      <c r="F204" s="41"/>
      <c r="G204" s="41"/>
      <c r="H204" s="41"/>
      <c r="I204" s="42"/>
      <c r="J204" s="41"/>
      <c r="K204" s="41"/>
      <c r="L204" s="43"/>
    </row>
    <row r="205" spans="2:12" hidden="1" outlineLevel="1">
      <c r="B205" s="7" t="str">
        <f t="shared" si="9"/>
        <v/>
      </c>
      <c r="C205" s="41"/>
      <c r="D205" s="41"/>
      <c r="E205" s="41"/>
      <c r="F205" s="41"/>
      <c r="G205" s="41"/>
      <c r="H205" s="41"/>
      <c r="I205" s="42"/>
      <c r="J205" s="41"/>
      <c r="K205" s="41"/>
      <c r="L205" s="43"/>
    </row>
    <row r="206" spans="2:12" hidden="1" outlineLevel="1">
      <c r="B206" s="7" t="str">
        <f t="shared" si="9"/>
        <v/>
      </c>
      <c r="C206" s="41"/>
      <c r="D206" s="41"/>
      <c r="E206" s="41"/>
      <c r="F206" s="41"/>
      <c r="G206" s="41"/>
      <c r="H206" s="41"/>
      <c r="I206" s="42"/>
      <c r="J206" s="41"/>
      <c r="K206" s="41"/>
      <c r="L206" s="43"/>
    </row>
    <row r="207" spans="2:12" hidden="1" outlineLevel="1">
      <c r="B207" s="7" t="str">
        <f t="shared" si="9"/>
        <v/>
      </c>
      <c r="C207" s="41"/>
      <c r="D207" s="41"/>
      <c r="E207" s="41"/>
      <c r="F207" s="41"/>
      <c r="G207" s="41"/>
      <c r="H207" s="41"/>
      <c r="I207" s="42"/>
      <c r="J207" s="41"/>
      <c r="K207" s="41"/>
      <c r="L207" s="43"/>
    </row>
    <row r="208" spans="2:12" hidden="1" outlineLevel="1">
      <c r="B208" s="7" t="str">
        <f t="shared" si="9"/>
        <v/>
      </c>
      <c r="C208" s="41"/>
      <c r="D208" s="41"/>
      <c r="E208" s="41"/>
      <c r="F208" s="41"/>
      <c r="G208" s="41"/>
      <c r="H208" s="41"/>
      <c r="I208" s="42"/>
      <c r="J208" s="41"/>
      <c r="K208" s="41"/>
      <c r="L208" s="43"/>
    </row>
    <row r="209" spans="2:12" hidden="1" outlineLevel="1">
      <c r="B209" s="7" t="str">
        <f t="shared" si="9"/>
        <v/>
      </c>
      <c r="C209" s="41"/>
      <c r="D209" s="41"/>
      <c r="E209" s="41"/>
      <c r="F209" s="41"/>
      <c r="G209" s="41"/>
      <c r="H209" s="41"/>
      <c r="I209" s="42"/>
      <c r="J209" s="41"/>
      <c r="K209" s="41"/>
      <c r="L209" s="43"/>
    </row>
    <row r="210" spans="2:12" hidden="1" outlineLevel="1">
      <c r="B210" s="7" t="str">
        <f t="shared" si="9"/>
        <v/>
      </c>
      <c r="C210" s="41"/>
      <c r="D210" s="41"/>
      <c r="E210" s="41"/>
      <c r="F210" s="41"/>
      <c r="G210" s="41"/>
      <c r="H210" s="41"/>
      <c r="I210" s="42"/>
      <c r="J210" s="41"/>
      <c r="K210" s="41"/>
      <c r="L210" s="43"/>
    </row>
    <row r="211" spans="2:12" hidden="1" outlineLevel="1">
      <c r="B211" s="7" t="str">
        <f t="shared" si="9"/>
        <v/>
      </c>
      <c r="C211" s="41"/>
      <c r="D211" s="41"/>
      <c r="E211" s="41"/>
      <c r="F211" s="41"/>
      <c r="G211" s="41"/>
      <c r="H211" s="41"/>
      <c r="I211" s="42"/>
      <c r="J211" s="41"/>
      <c r="K211" s="41"/>
      <c r="L211" s="43"/>
    </row>
    <row r="212" spans="2:12" hidden="1" outlineLevel="1">
      <c r="B212" s="7" t="str">
        <f t="shared" si="9"/>
        <v/>
      </c>
      <c r="C212" s="41"/>
      <c r="D212" s="41"/>
      <c r="E212" s="41"/>
      <c r="F212" s="41"/>
      <c r="G212" s="41"/>
      <c r="H212" s="41"/>
      <c r="I212" s="42"/>
      <c r="J212" s="41"/>
      <c r="K212" s="41"/>
      <c r="L212" s="43"/>
    </row>
    <row r="213" spans="2:12" hidden="1" outlineLevel="1">
      <c r="B213" s="7" t="str">
        <f t="shared" si="9"/>
        <v/>
      </c>
      <c r="C213" s="41"/>
      <c r="D213" s="41"/>
      <c r="E213" s="41"/>
      <c r="F213" s="41"/>
      <c r="G213" s="41"/>
      <c r="H213" s="41"/>
      <c r="I213" s="42"/>
      <c r="J213" s="41"/>
      <c r="K213" s="41"/>
      <c r="L213" s="43"/>
    </row>
    <row r="214" spans="2:12" hidden="1" outlineLevel="1">
      <c r="B214" s="7" t="str">
        <f t="shared" si="9"/>
        <v/>
      </c>
      <c r="C214" s="41"/>
      <c r="D214" s="41"/>
      <c r="E214" s="41"/>
      <c r="F214" s="41"/>
      <c r="G214" s="41"/>
      <c r="H214" s="41"/>
      <c r="I214" s="42"/>
      <c r="J214" s="41"/>
      <c r="K214" s="41"/>
      <c r="L214" s="43"/>
    </row>
    <row r="215" spans="2:12" hidden="1" outlineLevel="1">
      <c r="B215" s="7" t="str">
        <f t="shared" si="9"/>
        <v/>
      </c>
      <c r="C215" s="41"/>
      <c r="D215" s="41"/>
      <c r="E215" s="41"/>
      <c r="F215" s="41"/>
      <c r="G215" s="41"/>
      <c r="H215" s="41"/>
      <c r="I215" s="42"/>
      <c r="J215" s="41"/>
      <c r="K215" s="41"/>
      <c r="L215" s="43"/>
    </row>
    <row r="216" spans="2:12" hidden="1" outlineLevel="1">
      <c r="B216" s="7" t="str">
        <f t="shared" si="9"/>
        <v/>
      </c>
      <c r="C216" s="41"/>
      <c r="D216" s="41"/>
      <c r="E216" s="41"/>
      <c r="F216" s="41"/>
      <c r="G216" s="41"/>
      <c r="H216" s="41"/>
      <c r="I216" s="42"/>
      <c r="J216" s="41"/>
      <c r="K216" s="41"/>
      <c r="L216" s="43"/>
    </row>
    <row r="217" spans="2:12" hidden="1" outlineLevel="1">
      <c r="B217" s="7" t="str">
        <f t="shared" si="9"/>
        <v/>
      </c>
      <c r="C217" s="41"/>
      <c r="D217" s="41"/>
      <c r="E217" s="41"/>
      <c r="F217" s="41"/>
      <c r="G217" s="41"/>
      <c r="H217" s="41"/>
      <c r="I217" s="42"/>
      <c r="J217" s="41"/>
      <c r="K217" s="41"/>
      <c r="L217" s="43"/>
    </row>
    <row r="218" spans="2:12" hidden="1" outlineLevel="1">
      <c r="B218" s="7" t="str">
        <f t="shared" si="9"/>
        <v/>
      </c>
      <c r="C218" s="41"/>
      <c r="D218" s="41"/>
      <c r="E218" s="41"/>
      <c r="F218" s="41"/>
      <c r="G218" s="41"/>
      <c r="H218" s="41"/>
      <c r="I218" s="42"/>
      <c r="J218" s="41"/>
      <c r="K218" s="41"/>
      <c r="L218" s="43"/>
    </row>
    <row r="219" spans="2:12" hidden="1" outlineLevel="1">
      <c r="B219" s="7" t="str">
        <f t="shared" si="9"/>
        <v/>
      </c>
      <c r="C219" s="41"/>
      <c r="D219" s="41"/>
      <c r="E219" s="41"/>
      <c r="F219" s="41"/>
      <c r="G219" s="41"/>
      <c r="H219" s="41"/>
      <c r="I219" s="42"/>
      <c r="J219" s="41"/>
      <c r="K219" s="41"/>
      <c r="L219" s="43"/>
    </row>
    <row r="220" spans="2:12" hidden="1" outlineLevel="1">
      <c r="B220" s="7" t="str">
        <f t="shared" si="9"/>
        <v/>
      </c>
      <c r="C220" s="41"/>
      <c r="D220" s="41"/>
      <c r="E220" s="41"/>
      <c r="F220" s="41"/>
      <c r="G220" s="41"/>
      <c r="H220" s="41"/>
      <c r="I220" s="42"/>
      <c r="J220" s="41"/>
      <c r="K220" s="41"/>
      <c r="L220" s="43"/>
    </row>
    <row r="221" spans="2:12" hidden="1" outlineLevel="1">
      <c r="B221" s="7" t="str">
        <f t="shared" ref="B221:B284" si="10">IF(C221="","",(B220+1))</f>
        <v/>
      </c>
      <c r="C221" s="41"/>
      <c r="D221" s="41"/>
      <c r="E221" s="41"/>
      <c r="F221" s="41"/>
      <c r="G221" s="41"/>
      <c r="H221" s="41"/>
      <c r="I221" s="42"/>
      <c r="J221" s="41"/>
      <c r="K221" s="41"/>
      <c r="L221" s="43"/>
    </row>
    <row r="222" spans="2:12" hidden="1" outlineLevel="1">
      <c r="B222" s="7" t="str">
        <f t="shared" si="10"/>
        <v/>
      </c>
      <c r="C222" s="41"/>
      <c r="D222" s="41"/>
      <c r="E222" s="41"/>
      <c r="F222" s="41"/>
      <c r="G222" s="41"/>
      <c r="H222" s="41"/>
      <c r="I222" s="42"/>
      <c r="J222" s="41"/>
      <c r="K222" s="41"/>
      <c r="L222" s="43"/>
    </row>
    <row r="223" spans="2:12" hidden="1" outlineLevel="1">
      <c r="B223" s="7" t="str">
        <f t="shared" si="10"/>
        <v/>
      </c>
      <c r="C223" s="41"/>
      <c r="D223" s="41"/>
      <c r="E223" s="58"/>
      <c r="F223" s="41"/>
      <c r="G223" s="41"/>
      <c r="H223" s="41"/>
      <c r="I223" s="42"/>
      <c r="J223" s="41"/>
      <c r="K223" s="41"/>
      <c r="L223" s="43"/>
    </row>
    <row r="224" spans="2:12" hidden="1" outlineLevel="1">
      <c r="B224" s="7" t="str">
        <f t="shared" si="10"/>
        <v/>
      </c>
      <c r="C224" s="41"/>
      <c r="D224" s="41"/>
      <c r="E224" s="41"/>
      <c r="F224" s="41"/>
      <c r="G224" s="41"/>
      <c r="H224" s="41"/>
      <c r="I224" s="42"/>
      <c r="J224" s="41"/>
      <c r="K224" s="41"/>
      <c r="L224" s="43"/>
    </row>
    <row r="225" spans="2:12" hidden="1" outlineLevel="1">
      <c r="B225" s="7" t="str">
        <f t="shared" si="10"/>
        <v/>
      </c>
      <c r="C225" s="41"/>
      <c r="D225" s="41"/>
      <c r="E225" s="41"/>
      <c r="F225" s="41"/>
      <c r="G225" s="41"/>
      <c r="H225" s="41"/>
      <c r="I225" s="42"/>
      <c r="J225" s="41"/>
      <c r="K225" s="41"/>
      <c r="L225" s="43"/>
    </row>
    <row r="226" spans="2:12" hidden="1" outlineLevel="1">
      <c r="B226" s="7" t="str">
        <f t="shared" si="10"/>
        <v/>
      </c>
      <c r="C226" s="41"/>
      <c r="D226" s="41"/>
      <c r="E226" s="58"/>
      <c r="F226" s="41"/>
      <c r="G226" s="41"/>
      <c r="H226" s="41"/>
      <c r="I226" s="42"/>
      <c r="J226" s="41"/>
      <c r="K226" s="41"/>
      <c r="L226" s="43"/>
    </row>
    <row r="227" spans="2:12" hidden="1" outlineLevel="1">
      <c r="B227" s="7" t="str">
        <f t="shared" si="10"/>
        <v/>
      </c>
      <c r="C227" s="41"/>
      <c r="D227" s="41"/>
      <c r="E227" s="41"/>
      <c r="F227" s="41"/>
      <c r="G227" s="41"/>
      <c r="H227" s="41"/>
      <c r="I227" s="42"/>
      <c r="J227" s="41"/>
      <c r="K227" s="41"/>
      <c r="L227" s="43"/>
    </row>
    <row r="228" spans="2:12" hidden="1" outlineLevel="1">
      <c r="B228" s="7" t="str">
        <f t="shared" si="10"/>
        <v/>
      </c>
      <c r="C228" s="41"/>
      <c r="D228" s="41"/>
      <c r="E228" s="41"/>
      <c r="F228" s="41"/>
      <c r="G228" s="41"/>
      <c r="H228" s="41"/>
      <c r="I228" s="42"/>
      <c r="J228" s="41"/>
      <c r="K228" s="41"/>
      <c r="L228" s="43"/>
    </row>
    <row r="229" spans="2:12" hidden="1" outlineLevel="1">
      <c r="B229" s="7" t="str">
        <f t="shared" si="10"/>
        <v/>
      </c>
      <c r="C229" s="41"/>
      <c r="D229" s="41"/>
      <c r="E229" s="41"/>
      <c r="F229" s="41"/>
      <c r="G229" s="41"/>
      <c r="H229" s="41"/>
      <c r="I229" s="42"/>
      <c r="J229" s="41"/>
      <c r="K229" s="41"/>
      <c r="L229" s="43"/>
    </row>
    <row r="230" spans="2:12" hidden="1" outlineLevel="1">
      <c r="B230" s="7" t="str">
        <f t="shared" si="10"/>
        <v/>
      </c>
      <c r="C230" s="41"/>
      <c r="D230" s="41"/>
      <c r="E230" s="41"/>
      <c r="F230" s="41"/>
      <c r="G230" s="41"/>
      <c r="H230" s="41"/>
      <c r="I230" s="42"/>
      <c r="J230" s="41"/>
      <c r="K230" s="41"/>
      <c r="L230" s="43"/>
    </row>
    <row r="231" spans="2:12" hidden="1" outlineLevel="1">
      <c r="B231" s="7" t="str">
        <f t="shared" si="10"/>
        <v/>
      </c>
      <c r="C231" s="41"/>
      <c r="D231" s="41"/>
      <c r="E231" s="41"/>
      <c r="F231" s="41"/>
      <c r="G231" s="41"/>
      <c r="H231" s="41"/>
      <c r="I231" s="42"/>
      <c r="J231" s="41"/>
      <c r="K231" s="41"/>
      <c r="L231" s="43"/>
    </row>
    <row r="232" spans="2:12" hidden="1" outlineLevel="1">
      <c r="B232" s="7" t="str">
        <f t="shared" si="10"/>
        <v/>
      </c>
      <c r="C232" s="41"/>
      <c r="D232" s="41"/>
      <c r="E232" s="41"/>
      <c r="F232" s="41"/>
      <c r="G232" s="41"/>
      <c r="H232" s="41"/>
      <c r="I232" s="42"/>
      <c r="J232" s="41"/>
      <c r="K232" s="41"/>
      <c r="L232" s="43"/>
    </row>
    <row r="233" spans="2:12" hidden="1" outlineLevel="1">
      <c r="B233" s="7" t="str">
        <f t="shared" si="10"/>
        <v/>
      </c>
      <c r="C233" s="41"/>
      <c r="D233" s="41"/>
      <c r="E233" s="41"/>
      <c r="F233" s="41"/>
      <c r="G233" s="41"/>
      <c r="H233" s="41"/>
      <c r="I233" s="42"/>
      <c r="J233" s="41"/>
      <c r="K233" s="41"/>
      <c r="L233" s="43"/>
    </row>
    <row r="234" spans="2:12" hidden="1" outlineLevel="1">
      <c r="B234" s="7" t="str">
        <f t="shared" si="10"/>
        <v/>
      </c>
      <c r="C234" s="41"/>
      <c r="D234" s="41"/>
      <c r="E234" s="41"/>
      <c r="F234" s="41"/>
      <c r="G234" s="41"/>
      <c r="H234" s="41"/>
      <c r="I234" s="42"/>
      <c r="J234" s="41"/>
      <c r="K234" s="41"/>
      <c r="L234" s="43"/>
    </row>
    <row r="235" spans="2:12" hidden="1" outlineLevel="1">
      <c r="B235" s="7" t="str">
        <f t="shared" si="10"/>
        <v/>
      </c>
      <c r="C235" s="41"/>
      <c r="D235" s="41"/>
      <c r="E235" s="41"/>
      <c r="F235" s="41"/>
      <c r="G235" s="41"/>
      <c r="H235" s="41"/>
      <c r="I235" s="42"/>
      <c r="J235" s="41"/>
      <c r="K235" s="41"/>
      <c r="L235" s="43"/>
    </row>
    <row r="236" spans="2:12" hidden="1" outlineLevel="1">
      <c r="B236" s="7" t="str">
        <f t="shared" si="10"/>
        <v/>
      </c>
      <c r="C236" s="41"/>
      <c r="D236" s="41"/>
      <c r="E236" s="41"/>
      <c r="F236" s="41"/>
      <c r="G236" s="41"/>
      <c r="H236" s="41"/>
      <c r="I236" s="42"/>
      <c r="J236" s="41"/>
      <c r="K236" s="41"/>
      <c r="L236" s="43"/>
    </row>
    <row r="237" spans="2:12" hidden="1" outlineLevel="1">
      <c r="B237" s="7" t="str">
        <f t="shared" si="10"/>
        <v/>
      </c>
      <c r="C237" s="41"/>
      <c r="D237" s="41"/>
      <c r="E237" s="41"/>
      <c r="F237" s="41"/>
      <c r="G237" s="41"/>
      <c r="H237" s="41"/>
      <c r="I237" s="42"/>
      <c r="J237" s="41"/>
      <c r="K237" s="41"/>
      <c r="L237" s="43"/>
    </row>
    <row r="238" spans="2:12" hidden="1" outlineLevel="1">
      <c r="B238" s="7" t="str">
        <f t="shared" si="10"/>
        <v/>
      </c>
      <c r="C238" s="41"/>
      <c r="D238" s="41"/>
      <c r="E238" s="41"/>
      <c r="F238" s="41"/>
      <c r="G238" s="41"/>
      <c r="H238" s="41"/>
      <c r="I238" s="42"/>
      <c r="J238" s="41"/>
      <c r="K238" s="41"/>
      <c r="L238" s="43"/>
    </row>
    <row r="239" spans="2:12" hidden="1" outlineLevel="1">
      <c r="B239" s="7" t="str">
        <f t="shared" si="10"/>
        <v/>
      </c>
      <c r="C239" s="41"/>
      <c r="D239" s="41"/>
      <c r="E239" s="41"/>
      <c r="F239" s="41"/>
      <c r="G239" s="41"/>
      <c r="H239" s="41"/>
      <c r="I239" s="42"/>
      <c r="J239" s="41"/>
      <c r="K239" s="41"/>
      <c r="L239" s="43"/>
    </row>
    <row r="240" spans="2:12" hidden="1" outlineLevel="1">
      <c r="B240" s="7" t="str">
        <f t="shared" si="10"/>
        <v/>
      </c>
      <c r="C240" s="41"/>
      <c r="D240" s="41"/>
      <c r="E240" s="41"/>
      <c r="F240" s="41"/>
      <c r="G240" s="41"/>
      <c r="H240" s="41"/>
      <c r="I240" s="42"/>
      <c r="J240" s="41"/>
      <c r="K240" s="41"/>
      <c r="L240" s="43"/>
    </row>
    <row r="241" spans="2:12" hidden="1" outlineLevel="1">
      <c r="B241" s="7" t="str">
        <f t="shared" si="10"/>
        <v/>
      </c>
      <c r="C241" s="41"/>
      <c r="D241" s="41"/>
      <c r="E241" s="41"/>
      <c r="F241" s="41"/>
      <c r="G241" s="41"/>
      <c r="H241" s="41"/>
      <c r="I241" s="42"/>
      <c r="J241" s="41"/>
      <c r="K241" s="41"/>
      <c r="L241" s="43"/>
    </row>
    <row r="242" spans="2:12" hidden="1" outlineLevel="1">
      <c r="B242" s="7" t="str">
        <f t="shared" si="10"/>
        <v/>
      </c>
      <c r="C242" s="41"/>
      <c r="D242" s="41"/>
      <c r="E242" s="41"/>
      <c r="F242" s="41"/>
      <c r="G242" s="41"/>
      <c r="H242" s="41"/>
      <c r="I242" s="42"/>
      <c r="J242" s="41"/>
      <c r="K242" s="41"/>
      <c r="L242" s="43"/>
    </row>
    <row r="243" spans="2:12" hidden="1" outlineLevel="1">
      <c r="B243" s="7" t="str">
        <f t="shared" si="10"/>
        <v/>
      </c>
      <c r="C243" s="41"/>
      <c r="D243" s="41"/>
      <c r="E243" s="58"/>
      <c r="F243" s="41"/>
      <c r="G243" s="41"/>
      <c r="H243" s="41"/>
      <c r="I243" s="42"/>
      <c r="J243" s="41"/>
      <c r="K243" s="41"/>
      <c r="L243" s="43"/>
    </row>
    <row r="244" spans="2:12" hidden="1" outlineLevel="1">
      <c r="B244" s="7" t="str">
        <f t="shared" si="10"/>
        <v/>
      </c>
      <c r="C244" s="41"/>
      <c r="D244" s="41"/>
      <c r="E244" s="41"/>
      <c r="F244" s="41"/>
      <c r="G244" s="41"/>
      <c r="H244" s="41"/>
      <c r="I244" s="42"/>
      <c r="J244" s="41"/>
      <c r="K244" s="41"/>
      <c r="L244" s="43"/>
    </row>
    <row r="245" spans="2:12" hidden="1" outlineLevel="1">
      <c r="B245" s="7" t="str">
        <f t="shared" si="10"/>
        <v/>
      </c>
      <c r="C245" s="41"/>
      <c r="D245" s="41"/>
      <c r="E245" s="41"/>
      <c r="F245" s="41"/>
      <c r="G245" s="41"/>
      <c r="H245" s="41"/>
      <c r="I245" s="42"/>
      <c r="J245" s="41"/>
      <c r="K245" s="41"/>
      <c r="L245" s="43"/>
    </row>
    <row r="246" spans="2:12" hidden="1" outlineLevel="1">
      <c r="B246" s="7" t="str">
        <f t="shared" si="10"/>
        <v/>
      </c>
      <c r="C246" s="41"/>
      <c r="D246" s="41"/>
      <c r="E246" s="41"/>
      <c r="F246" s="41"/>
      <c r="G246" s="41"/>
      <c r="H246" s="41"/>
      <c r="I246" s="42"/>
      <c r="J246" s="41"/>
      <c r="K246" s="41"/>
      <c r="L246" s="43"/>
    </row>
    <row r="247" spans="2:12" hidden="1" outlineLevel="1">
      <c r="B247" s="7" t="str">
        <f t="shared" si="10"/>
        <v/>
      </c>
      <c r="C247" s="41"/>
      <c r="D247" s="41"/>
      <c r="E247" s="41"/>
      <c r="F247" s="41"/>
      <c r="G247" s="41"/>
      <c r="H247" s="41"/>
      <c r="I247" s="42"/>
      <c r="J247" s="41"/>
      <c r="K247" s="41"/>
      <c r="L247" s="43"/>
    </row>
    <row r="248" spans="2:12" hidden="1" outlineLevel="1">
      <c r="B248" s="7" t="str">
        <f t="shared" si="10"/>
        <v/>
      </c>
      <c r="C248" s="41"/>
      <c r="D248" s="41"/>
      <c r="E248" s="41"/>
      <c r="F248" s="41"/>
      <c r="G248" s="41"/>
      <c r="H248" s="41"/>
      <c r="I248" s="42"/>
      <c r="J248" s="41"/>
      <c r="K248" s="41"/>
      <c r="L248" s="43"/>
    </row>
    <row r="249" spans="2:12" hidden="1" outlineLevel="1">
      <c r="B249" s="7" t="str">
        <f t="shared" si="10"/>
        <v/>
      </c>
      <c r="C249" s="41"/>
      <c r="D249" s="41"/>
      <c r="E249" s="58"/>
      <c r="F249" s="41"/>
      <c r="G249" s="41"/>
      <c r="H249" s="41"/>
      <c r="I249" s="42"/>
      <c r="J249" s="41"/>
      <c r="K249" s="41"/>
      <c r="L249" s="43"/>
    </row>
    <row r="250" spans="2:12" hidden="1" outlineLevel="1">
      <c r="B250" s="7" t="str">
        <f t="shared" si="10"/>
        <v/>
      </c>
      <c r="C250" s="41"/>
      <c r="D250" s="41"/>
      <c r="E250" s="41"/>
      <c r="F250" s="41"/>
      <c r="G250" s="41"/>
      <c r="H250" s="41"/>
      <c r="I250" s="42"/>
      <c r="J250" s="41"/>
      <c r="K250" s="41"/>
      <c r="L250" s="43"/>
    </row>
    <row r="251" spans="2:12" hidden="1" outlineLevel="1">
      <c r="B251" s="7" t="str">
        <f t="shared" si="10"/>
        <v/>
      </c>
      <c r="C251" s="41"/>
      <c r="D251" s="41"/>
      <c r="E251" s="41"/>
      <c r="F251" s="41"/>
      <c r="G251" s="41"/>
      <c r="H251" s="41"/>
      <c r="I251" s="42"/>
      <c r="J251" s="41"/>
      <c r="K251" s="41"/>
      <c r="L251" s="43"/>
    </row>
    <row r="252" spans="2:12" hidden="1" outlineLevel="1">
      <c r="B252" s="7" t="str">
        <f t="shared" si="10"/>
        <v/>
      </c>
      <c r="C252" s="41"/>
      <c r="D252" s="41"/>
      <c r="E252" s="58"/>
      <c r="F252" s="41"/>
      <c r="G252" s="41"/>
      <c r="H252" s="41"/>
      <c r="I252" s="42"/>
      <c r="J252" s="41"/>
      <c r="K252" s="41"/>
      <c r="L252" s="43"/>
    </row>
    <row r="253" spans="2:12" hidden="1" outlineLevel="1">
      <c r="B253" s="7" t="str">
        <f t="shared" si="10"/>
        <v/>
      </c>
      <c r="C253" s="41"/>
      <c r="D253" s="41"/>
      <c r="E253" s="58"/>
      <c r="F253" s="41"/>
      <c r="G253" s="41"/>
      <c r="H253" s="41"/>
      <c r="I253" s="42"/>
      <c r="J253" s="41"/>
      <c r="K253" s="41"/>
      <c r="L253" s="43"/>
    </row>
    <row r="254" spans="2:12" hidden="1" outlineLevel="1">
      <c r="B254" s="7" t="str">
        <f t="shared" si="10"/>
        <v/>
      </c>
      <c r="C254" s="41"/>
      <c r="D254" s="41"/>
      <c r="E254" s="58"/>
      <c r="F254" s="41"/>
      <c r="G254" s="41"/>
      <c r="H254" s="41"/>
      <c r="I254" s="42"/>
      <c r="J254" s="41"/>
      <c r="K254" s="41"/>
      <c r="L254" s="43"/>
    </row>
    <row r="255" spans="2:12" hidden="1" outlineLevel="1">
      <c r="B255" s="7" t="str">
        <f t="shared" si="10"/>
        <v/>
      </c>
      <c r="C255" s="41"/>
      <c r="D255" s="41"/>
      <c r="E255" s="41"/>
      <c r="F255" s="41"/>
      <c r="G255" s="41"/>
      <c r="H255" s="41"/>
      <c r="I255" s="42"/>
      <c r="J255" s="41"/>
      <c r="K255" s="41"/>
      <c r="L255" s="43"/>
    </row>
    <row r="256" spans="2:12" hidden="1" outlineLevel="1">
      <c r="B256" s="7" t="str">
        <f t="shared" si="10"/>
        <v/>
      </c>
      <c r="C256" s="41"/>
      <c r="D256" s="41"/>
      <c r="E256" s="41"/>
      <c r="F256" s="41"/>
      <c r="G256" s="41"/>
      <c r="H256" s="41"/>
      <c r="I256" s="42"/>
      <c r="J256" s="41"/>
      <c r="K256" s="41"/>
      <c r="L256" s="43"/>
    </row>
    <row r="257" spans="2:12" hidden="1" outlineLevel="1">
      <c r="B257" s="7" t="str">
        <f t="shared" si="10"/>
        <v/>
      </c>
      <c r="C257" s="41"/>
      <c r="D257" s="41"/>
      <c r="E257" s="41"/>
      <c r="F257" s="41"/>
      <c r="G257" s="41"/>
      <c r="H257" s="41"/>
      <c r="I257" s="42"/>
      <c r="J257" s="41"/>
      <c r="K257" s="41"/>
      <c r="L257" s="43"/>
    </row>
    <row r="258" spans="2:12" hidden="1" outlineLevel="1">
      <c r="B258" s="7" t="str">
        <f t="shared" si="10"/>
        <v/>
      </c>
      <c r="C258" s="41"/>
      <c r="D258" s="41"/>
      <c r="E258" s="41"/>
      <c r="F258" s="41"/>
      <c r="G258" s="41"/>
      <c r="H258" s="41"/>
      <c r="I258" s="42"/>
      <c r="J258" s="41"/>
      <c r="K258" s="41"/>
      <c r="L258" s="43"/>
    </row>
    <row r="259" spans="2:12" hidden="1" outlineLevel="1">
      <c r="B259" s="7" t="str">
        <f t="shared" si="10"/>
        <v/>
      </c>
      <c r="C259" s="41"/>
      <c r="D259" s="41"/>
      <c r="E259" s="41"/>
      <c r="F259" s="41"/>
      <c r="G259" s="41"/>
      <c r="H259" s="41"/>
      <c r="I259" s="42"/>
      <c r="J259" s="41"/>
      <c r="K259" s="41"/>
      <c r="L259" s="43"/>
    </row>
    <row r="260" spans="2:12" hidden="1" outlineLevel="1">
      <c r="B260" s="7" t="str">
        <f t="shared" si="10"/>
        <v/>
      </c>
      <c r="C260" s="41"/>
      <c r="D260" s="41"/>
      <c r="E260" s="41"/>
      <c r="F260" s="41"/>
      <c r="G260" s="41"/>
      <c r="H260" s="41"/>
      <c r="I260" s="42"/>
      <c r="J260" s="41"/>
      <c r="K260" s="41"/>
      <c r="L260" s="43"/>
    </row>
    <row r="261" spans="2:12" hidden="1" outlineLevel="1">
      <c r="B261" s="7" t="str">
        <f t="shared" si="10"/>
        <v/>
      </c>
      <c r="C261" s="41"/>
      <c r="D261" s="41"/>
      <c r="E261" s="41"/>
      <c r="F261" s="41"/>
      <c r="G261" s="41"/>
      <c r="H261" s="41"/>
      <c r="I261" s="42"/>
      <c r="J261" s="41"/>
      <c r="K261" s="41"/>
      <c r="L261" s="43"/>
    </row>
    <row r="262" spans="2:12" hidden="1" outlineLevel="1">
      <c r="B262" s="7" t="str">
        <f t="shared" si="10"/>
        <v/>
      </c>
      <c r="C262" s="41"/>
      <c r="D262" s="41"/>
      <c r="E262" s="41"/>
      <c r="F262" s="41"/>
      <c r="G262" s="41"/>
      <c r="H262" s="41"/>
      <c r="I262" s="42"/>
      <c r="J262" s="41"/>
      <c r="K262" s="41"/>
      <c r="L262" s="43"/>
    </row>
    <row r="263" spans="2:12" hidden="1" outlineLevel="1">
      <c r="B263" s="7" t="str">
        <f t="shared" si="10"/>
        <v/>
      </c>
      <c r="C263" s="41"/>
      <c r="D263" s="41"/>
      <c r="E263" s="41"/>
      <c r="F263" s="41"/>
      <c r="G263" s="41"/>
      <c r="H263" s="41"/>
      <c r="I263" s="42"/>
      <c r="J263" s="41"/>
      <c r="K263" s="41"/>
      <c r="L263" s="43"/>
    </row>
    <row r="264" spans="2:12" hidden="1" outlineLevel="1">
      <c r="B264" s="7" t="str">
        <f t="shared" si="10"/>
        <v/>
      </c>
      <c r="C264" s="41"/>
      <c r="D264" s="41"/>
      <c r="E264" s="41"/>
      <c r="F264" s="41"/>
      <c r="G264" s="41"/>
      <c r="H264" s="41"/>
      <c r="I264" s="42"/>
      <c r="J264" s="41"/>
      <c r="K264" s="41"/>
      <c r="L264" s="43"/>
    </row>
    <row r="265" spans="2:12" hidden="1" outlineLevel="1">
      <c r="B265" s="7" t="str">
        <f t="shared" si="10"/>
        <v/>
      </c>
      <c r="C265" s="41"/>
      <c r="D265" s="41"/>
      <c r="E265" s="41"/>
      <c r="F265" s="41"/>
      <c r="G265" s="41"/>
      <c r="H265" s="41"/>
      <c r="I265" s="42"/>
      <c r="J265" s="41"/>
      <c r="K265" s="41"/>
      <c r="L265" s="43"/>
    </row>
    <row r="266" spans="2:12" hidden="1" outlineLevel="1">
      <c r="B266" s="7" t="str">
        <f t="shared" si="10"/>
        <v/>
      </c>
      <c r="C266" s="41"/>
      <c r="D266" s="41"/>
      <c r="E266" s="58"/>
      <c r="F266" s="41"/>
      <c r="G266" s="41"/>
      <c r="H266" s="41"/>
      <c r="I266" s="42"/>
      <c r="J266" s="41"/>
      <c r="K266" s="41"/>
      <c r="L266" s="43"/>
    </row>
    <row r="267" spans="2:12" hidden="1" outlineLevel="1">
      <c r="B267" s="7" t="str">
        <f t="shared" si="10"/>
        <v/>
      </c>
      <c r="C267" s="41"/>
      <c r="D267" s="41"/>
      <c r="E267" s="41"/>
      <c r="F267" s="41"/>
      <c r="G267" s="41"/>
      <c r="H267" s="41"/>
      <c r="I267" s="42"/>
      <c r="J267" s="41"/>
      <c r="K267" s="41"/>
      <c r="L267" s="43"/>
    </row>
    <row r="268" spans="2:12" hidden="1" outlineLevel="1">
      <c r="B268" s="7" t="str">
        <f t="shared" si="10"/>
        <v/>
      </c>
      <c r="C268" s="41"/>
      <c r="D268" s="41"/>
      <c r="E268" s="58"/>
      <c r="F268" s="41"/>
      <c r="G268" s="41"/>
      <c r="H268" s="41"/>
      <c r="I268" s="42"/>
      <c r="J268" s="41"/>
      <c r="K268" s="41"/>
      <c r="L268" s="43"/>
    </row>
    <row r="269" spans="2:12" hidden="1" outlineLevel="1">
      <c r="B269" s="7" t="str">
        <f t="shared" si="10"/>
        <v/>
      </c>
      <c r="C269" s="41"/>
      <c r="D269" s="41"/>
      <c r="E269" s="41"/>
      <c r="F269" s="41"/>
      <c r="G269" s="41"/>
      <c r="H269" s="41"/>
      <c r="I269" s="42"/>
      <c r="J269" s="41"/>
      <c r="K269" s="41"/>
      <c r="L269" s="43"/>
    </row>
    <row r="270" spans="2:12" hidden="1" outlineLevel="1">
      <c r="B270" s="7" t="str">
        <f t="shared" si="10"/>
        <v/>
      </c>
      <c r="C270" s="41"/>
      <c r="D270" s="41"/>
      <c r="E270" s="58"/>
      <c r="F270" s="41"/>
      <c r="G270" s="41"/>
      <c r="H270" s="41"/>
      <c r="I270" s="42"/>
      <c r="J270" s="41"/>
      <c r="K270" s="41"/>
      <c r="L270" s="43"/>
    </row>
    <row r="271" spans="2:12" hidden="1" outlineLevel="1">
      <c r="B271" s="7" t="str">
        <f t="shared" si="10"/>
        <v/>
      </c>
      <c r="C271" s="41"/>
      <c r="D271" s="41"/>
      <c r="E271" s="41"/>
      <c r="F271" s="41"/>
      <c r="G271" s="41"/>
      <c r="H271" s="41"/>
      <c r="I271" s="42"/>
      <c r="J271" s="41"/>
      <c r="K271" s="41"/>
      <c r="L271" s="43"/>
    </row>
    <row r="272" spans="2:12" hidden="1" outlineLevel="1">
      <c r="B272" s="7" t="str">
        <f t="shared" si="10"/>
        <v/>
      </c>
      <c r="C272" s="41"/>
      <c r="D272" s="41"/>
      <c r="E272" s="58"/>
      <c r="F272" s="41"/>
      <c r="G272" s="41"/>
      <c r="H272" s="41"/>
      <c r="I272" s="42"/>
      <c r="J272" s="41"/>
      <c r="K272" s="41"/>
      <c r="L272" s="43"/>
    </row>
    <row r="273" spans="2:12" hidden="1" outlineLevel="1">
      <c r="B273" s="7" t="str">
        <f t="shared" si="10"/>
        <v/>
      </c>
      <c r="C273" s="41"/>
      <c r="D273" s="41"/>
      <c r="E273" s="41"/>
      <c r="F273" s="41"/>
      <c r="G273" s="41"/>
      <c r="H273" s="41"/>
      <c r="I273" s="42"/>
      <c r="J273" s="41"/>
      <c r="K273" s="41"/>
      <c r="L273" s="43"/>
    </row>
    <row r="274" spans="2:12" hidden="1" outlineLevel="1">
      <c r="B274" s="7" t="str">
        <f t="shared" si="10"/>
        <v/>
      </c>
      <c r="C274" s="41"/>
      <c r="D274" s="41"/>
      <c r="E274" s="41"/>
      <c r="F274" s="41"/>
      <c r="G274" s="41"/>
      <c r="H274" s="41"/>
      <c r="I274" s="42"/>
      <c r="J274" s="41"/>
      <c r="K274" s="41"/>
      <c r="L274" s="43"/>
    </row>
    <row r="275" spans="2:12" hidden="1" outlineLevel="1">
      <c r="B275" s="7" t="str">
        <f t="shared" si="10"/>
        <v/>
      </c>
      <c r="C275" s="41"/>
      <c r="D275" s="41"/>
      <c r="E275" s="41"/>
      <c r="F275" s="41"/>
      <c r="G275" s="41"/>
      <c r="H275" s="41"/>
      <c r="I275" s="42"/>
      <c r="J275" s="41"/>
      <c r="K275" s="41"/>
      <c r="L275" s="43"/>
    </row>
    <row r="276" spans="2:12" hidden="1" outlineLevel="1">
      <c r="B276" s="7" t="str">
        <f t="shared" si="10"/>
        <v/>
      </c>
      <c r="C276" s="41"/>
      <c r="D276" s="41"/>
      <c r="E276" s="58"/>
      <c r="F276" s="41"/>
      <c r="G276" s="41"/>
      <c r="H276" s="41"/>
      <c r="I276" s="42"/>
      <c r="J276" s="41"/>
      <c r="K276" s="41"/>
      <c r="L276" s="43"/>
    </row>
    <row r="277" spans="2:12" hidden="1" outlineLevel="1">
      <c r="B277" s="7" t="str">
        <f t="shared" si="10"/>
        <v/>
      </c>
      <c r="C277" s="41"/>
      <c r="D277" s="41"/>
      <c r="E277" s="41"/>
      <c r="F277" s="41"/>
      <c r="G277" s="41"/>
      <c r="H277" s="41"/>
      <c r="I277" s="42"/>
      <c r="J277" s="41"/>
      <c r="K277" s="41"/>
      <c r="L277" s="43"/>
    </row>
    <row r="278" spans="2:12" hidden="1" outlineLevel="1">
      <c r="B278" s="7" t="str">
        <f t="shared" si="10"/>
        <v/>
      </c>
      <c r="C278" s="41"/>
      <c r="D278" s="41"/>
      <c r="E278" s="41"/>
      <c r="F278" s="41"/>
      <c r="G278" s="41"/>
      <c r="H278" s="41"/>
      <c r="I278" s="42"/>
      <c r="J278" s="41"/>
      <c r="K278" s="41"/>
      <c r="L278" s="43"/>
    </row>
    <row r="279" spans="2:12" hidden="1" outlineLevel="1">
      <c r="B279" s="7" t="str">
        <f t="shared" si="10"/>
        <v/>
      </c>
      <c r="C279" s="41"/>
      <c r="D279" s="41"/>
      <c r="E279" s="58"/>
      <c r="F279" s="41"/>
      <c r="G279" s="41"/>
      <c r="H279" s="41"/>
      <c r="I279" s="42"/>
      <c r="J279" s="41"/>
      <c r="K279" s="41"/>
      <c r="L279" s="43"/>
    </row>
    <row r="280" spans="2:12" hidden="1" outlineLevel="1">
      <c r="B280" s="7" t="str">
        <f t="shared" si="10"/>
        <v/>
      </c>
      <c r="C280" s="41"/>
      <c r="D280" s="41"/>
      <c r="E280" s="41"/>
      <c r="F280" s="41"/>
      <c r="G280" s="41"/>
      <c r="H280" s="41"/>
      <c r="I280" s="42"/>
      <c r="J280" s="41"/>
      <c r="K280" s="41"/>
      <c r="L280" s="43"/>
    </row>
    <row r="281" spans="2:12" hidden="1" outlineLevel="1">
      <c r="B281" s="7" t="str">
        <f t="shared" si="10"/>
        <v/>
      </c>
      <c r="C281" s="41"/>
      <c r="D281" s="41"/>
      <c r="E281" s="41"/>
      <c r="F281" s="41"/>
      <c r="G281" s="41"/>
      <c r="H281" s="41"/>
      <c r="I281" s="42"/>
      <c r="J281" s="41"/>
      <c r="K281" s="41"/>
      <c r="L281" s="43"/>
    </row>
    <row r="282" spans="2:12" hidden="1" outlineLevel="1">
      <c r="B282" s="7" t="str">
        <f t="shared" si="10"/>
        <v/>
      </c>
      <c r="C282" s="41"/>
      <c r="D282" s="41"/>
      <c r="E282" s="41"/>
      <c r="F282" s="41"/>
      <c r="G282" s="41"/>
      <c r="H282" s="41"/>
      <c r="I282" s="42"/>
      <c r="J282" s="41"/>
      <c r="K282" s="41"/>
      <c r="L282" s="43"/>
    </row>
    <row r="283" spans="2:12" hidden="1" outlineLevel="1">
      <c r="B283" s="7" t="str">
        <f t="shared" si="10"/>
        <v/>
      </c>
      <c r="C283" s="41"/>
      <c r="D283" s="41"/>
      <c r="E283" s="41"/>
      <c r="F283" s="41"/>
      <c r="G283" s="41"/>
      <c r="H283" s="41"/>
      <c r="I283" s="42"/>
      <c r="J283" s="41"/>
      <c r="K283" s="41"/>
      <c r="L283" s="43"/>
    </row>
    <row r="284" spans="2:12" hidden="1" outlineLevel="1">
      <c r="B284" s="7" t="str">
        <f t="shared" si="10"/>
        <v/>
      </c>
      <c r="C284" s="41"/>
      <c r="D284" s="41"/>
      <c r="E284" s="41"/>
      <c r="F284" s="41"/>
      <c r="G284" s="41"/>
      <c r="H284" s="41"/>
      <c r="I284" s="42"/>
      <c r="J284" s="41"/>
      <c r="K284" s="41"/>
      <c r="L284" s="43"/>
    </row>
    <row r="285" spans="2:12" hidden="1" outlineLevel="1">
      <c r="B285" s="7" t="str">
        <f t="shared" ref="B285:B324" si="11">IF(C285="","",(B284+1))</f>
        <v/>
      </c>
      <c r="C285" s="41"/>
      <c r="D285" s="41"/>
      <c r="E285" s="58"/>
      <c r="F285" s="41"/>
      <c r="G285" s="41"/>
      <c r="H285" s="41"/>
      <c r="I285" s="42"/>
      <c r="J285" s="41"/>
      <c r="K285" s="41"/>
      <c r="L285" s="43"/>
    </row>
    <row r="286" spans="2:12" hidden="1" outlineLevel="1">
      <c r="B286" s="7" t="str">
        <f t="shared" si="11"/>
        <v/>
      </c>
      <c r="C286" s="41"/>
      <c r="D286" s="41"/>
      <c r="E286" s="41"/>
      <c r="F286" s="41"/>
      <c r="G286" s="41"/>
      <c r="H286" s="41"/>
      <c r="I286" s="42"/>
      <c r="J286" s="41"/>
      <c r="K286" s="41"/>
      <c r="L286" s="43"/>
    </row>
    <row r="287" spans="2:12" hidden="1" outlineLevel="1">
      <c r="B287" s="7" t="str">
        <f t="shared" si="11"/>
        <v/>
      </c>
      <c r="C287" s="41"/>
      <c r="D287" s="41"/>
      <c r="E287" s="58"/>
      <c r="F287" s="41"/>
      <c r="G287" s="41"/>
      <c r="H287" s="41"/>
      <c r="I287" s="42"/>
      <c r="J287" s="41"/>
      <c r="K287" s="41"/>
      <c r="L287" s="43"/>
    </row>
    <row r="288" spans="2:12" hidden="1" outlineLevel="1">
      <c r="B288" s="7" t="str">
        <f t="shared" si="11"/>
        <v/>
      </c>
      <c r="C288" s="41"/>
      <c r="D288" s="41"/>
      <c r="E288" s="41"/>
      <c r="F288" s="41"/>
      <c r="G288" s="41"/>
      <c r="H288" s="41"/>
      <c r="I288" s="42"/>
      <c r="J288" s="41"/>
      <c r="K288" s="41"/>
      <c r="L288" s="43"/>
    </row>
    <row r="289" spans="2:12" hidden="1" outlineLevel="1">
      <c r="B289" s="7" t="str">
        <f t="shared" si="11"/>
        <v/>
      </c>
      <c r="C289" s="41"/>
      <c r="D289" s="41"/>
      <c r="E289" s="41"/>
      <c r="F289" s="41"/>
      <c r="G289" s="41"/>
      <c r="H289" s="41"/>
      <c r="I289" s="42"/>
      <c r="J289" s="41"/>
      <c r="K289" s="41"/>
      <c r="L289" s="43"/>
    </row>
    <row r="290" spans="2:12" hidden="1" outlineLevel="1">
      <c r="B290" s="7" t="str">
        <f t="shared" si="11"/>
        <v/>
      </c>
      <c r="C290" s="41"/>
      <c r="D290" s="41"/>
      <c r="E290" s="41"/>
      <c r="F290" s="41"/>
      <c r="G290" s="41"/>
      <c r="H290" s="41"/>
      <c r="I290" s="42"/>
      <c r="J290" s="41"/>
      <c r="K290" s="41"/>
      <c r="L290" s="43"/>
    </row>
    <row r="291" spans="2:12" hidden="1" outlineLevel="1">
      <c r="B291" s="7" t="str">
        <f t="shared" si="11"/>
        <v/>
      </c>
      <c r="C291" s="41"/>
      <c r="D291" s="41"/>
      <c r="E291" s="41"/>
      <c r="F291" s="41"/>
      <c r="G291" s="41"/>
      <c r="H291" s="41"/>
      <c r="I291" s="42"/>
      <c r="J291" s="41"/>
      <c r="K291" s="41"/>
      <c r="L291" s="43"/>
    </row>
    <row r="292" spans="2:12" hidden="1" outlineLevel="1">
      <c r="B292" s="7" t="str">
        <f t="shared" si="11"/>
        <v/>
      </c>
      <c r="C292" s="41"/>
      <c r="D292" s="41"/>
      <c r="E292" s="41"/>
      <c r="F292" s="41"/>
      <c r="G292" s="41"/>
      <c r="H292" s="41"/>
      <c r="I292" s="42"/>
      <c r="J292" s="41"/>
      <c r="K292" s="41"/>
      <c r="L292" s="43"/>
    </row>
    <row r="293" spans="2:12" hidden="1" outlineLevel="1">
      <c r="B293" s="7" t="str">
        <f t="shared" si="11"/>
        <v/>
      </c>
      <c r="C293" s="41"/>
      <c r="D293" s="41"/>
      <c r="E293" s="41"/>
      <c r="F293" s="41"/>
      <c r="G293" s="41"/>
      <c r="H293" s="41"/>
      <c r="I293" s="42"/>
      <c r="J293" s="41"/>
      <c r="K293" s="41"/>
      <c r="L293" s="43"/>
    </row>
    <row r="294" spans="2:12" hidden="1" outlineLevel="1">
      <c r="B294" s="7" t="str">
        <f t="shared" si="11"/>
        <v/>
      </c>
      <c r="C294" s="41"/>
      <c r="D294" s="41"/>
      <c r="E294" s="41"/>
      <c r="F294" s="41"/>
      <c r="G294" s="41"/>
      <c r="H294" s="41"/>
      <c r="I294" s="42"/>
      <c r="J294" s="41"/>
      <c r="K294" s="41"/>
      <c r="L294" s="43"/>
    </row>
    <row r="295" spans="2:12" hidden="1" outlineLevel="1">
      <c r="B295" s="7" t="str">
        <f t="shared" si="11"/>
        <v/>
      </c>
      <c r="C295" s="41"/>
      <c r="D295" s="41"/>
      <c r="E295" s="41"/>
      <c r="F295" s="41"/>
      <c r="G295" s="41"/>
      <c r="H295" s="41"/>
      <c r="I295" s="42"/>
      <c r="J295" s="41"/>
      <c r="K295" s="41"/>
      <c r="L295" s="43"/>
    </row>
    <row r="296" spans="2:12" hidden="1" outlineLevel="1">
      <c r="B296" s="7" t="str">
        <f t="shared" si="11"/>
        <v/>
      </c>
      <c r="C296" s="41"/>
      <c r="D296" s="41"/>
      <c r="E296" s="41"/>
      <c r="F296" s="41"/>
      <c r="G296" s="41"/>
      <c r="H296" s="41"/>
      <c r="I296" s="42"/>
      <c r="J296" s="41"/>
      <c r="K296" s="41"/>
      <c r="L296" s="43"/>
    </row>
    <row r="297" spans="2:12" hidden="1" outlineLevel="1">
      <c r="B297" s="7" t="str">
        <f t="shared" si="11"/>
        <v/>
      </c>
      <c r="C297" s="41"/>
      <c r="D297" s="41"/>
      <c r="E297" s="41"/>
      <c r="F297" s="41"/>
      <c r="G297" s="41"/>
      <c r="H297" s="41"/>
      <c r="I297" s="42"/>
      <c r="J297" s="41"/>
      <c r="K297" s="41"/>
      <c r="L297" s="43"/>
    </row>
    <row r="298" spans="2:12" hidden="1" outlineLevel="1">
      <c r="B298" s="7" t="str">
        <f t="shared" si="11"/>
        <v/>
      </c>
      <c r="C298" s="41"/>
      <c r="D298" s="41"/>
      <c r="E298" s="41"/>
      <c r="F298" s="41"/>
      <c r="G298" s="41"/>
      <c r="H298" s="41"/>
      <c r="I298" s="42"/>
      <c r="J298" s="41"/>
      <c r="K298" s="41"/>
      <c r="L298" s="43"/>
    </row>
    <row r="299" spans="2:12" hidden="1" outlineLevel="1">
      <c r="B299" s="7" t="str">
        <f t="shared" si="11"/>
        <v/>
      </c>
      <c r="C299" s="41"/>
      <c r="D299" s="41"/>
      <c r="E299" s="41"/>
      <c r="F299" s="41"/>
      <c r="G299" s="41"/>
      <c r="H299" s="41"/>
      <c r="I299" s="42"/>
      <c r="J299" s="41"/>
      <c r="K299" s="41"/>
      <c r="L299" s="43"/>
    </row>
    <row r="300" spans="2:12" hidden="1" outlineLevel="1">
      <c r="B300" s="7" t="str">
        <f t="shared" si="11"/>
        <v/>
      </c>
      <c r="C300" s="41"/>
      <c r="D300" s="41"/>
      <c r="E300" s="41"/>
      <c r="F300" s="41"/>
      <c r="G300" s="41"/>
      <c r="H300" s="41"/>
      <c r="I300" s="42"/>
      <c r="J300" s="41"/>
      <c r="K300" s="41"/>
      <c r="L300" s="43"/>
    </row>
    <row r="301" spans="2:12" hidden="1" outlineLevel="1">
      <c r="B301" s="7" t="str">
        <f t="shared" si="11"/>
        <v/>
      </c>
      <c r="C301" s="41"/>
      <c r="D301" s="41"/>
      <c r="E301" s="41"/>
      <c r="F301" s="41"/>
      <c r="G301" s="41"/>
      <c r="H301" s="41"/>
      <c r="I301" s="42"/>
      <c r="J301" s="41"/>
      <c r="K301" s="41"/>
      <c r="L301" s="43"/>
    </row>
    <row r="302" spans="2:12" hidden="1" outlineLevel="1">
      <c r="B302" s="7" t="str">
        <f t="shared" si="11"/>
        <v/>
      </c>
      <c r="C302" s="41"/>
      <c r="D302" s="41"/>
      <c r="E302" s="41"/>
      <c r="F302" s="41"/>
      <c r="G302" s="41"/>
      <c r="H302" s="41"/>
      <c r="I302" s="42"/>
      <c r="J302" s="41"/>
      <c r="K302" s="41"/>
      <c r="L302" s="43"/>
    </row>
    <row r="303" spans="2:12" hidden="1" outlineLevel="1">
      <c r="B303" s="7" t="str">
        <f t="shared" si="11"/>
        <v/>
      </c>
      <c r="C303" s="41"/>
      <c r="D303" s="41"/>
      <c r="E303" s="41"/>
      <c r="F303" s="41"/>
      <c r="G303" s="41"/>
      <c r="H303" s="41"/>
      <c r="I303" s="42"/>
      <c r="J303" s="41"/>
      <c r="K303" s="41"/>
      <c r="L303" s="43"/>
    </row>
    <row r="304" spans="2:12" hidden="1" outlineLevel="1">
      <c r="B304" s="7" t="str">
        <f t="shared" si="11"/>
        <v/>
      </c>
      <c r="C304" s="41"/>
      <c r="D304" s="41"/>
      <c r="E304" s="41"/>
      <c r="F304" s="41"/>
      <c r="G304" s="41"/>
      <c r="H304" s="41"/>
      <c r="I304" s="42"/>
      <c r="J304" s="41"/>
      <c r="K304" s="41"/>
      <c r="L304" s="43"/>
    </row>
    <row r="305" spans="2:12" hidden="1" outlineLevel="1">
      <c r="B305" s="7" t="str">
        <f t="shared" si="11"/>
        <v/>
      </c>
      <c r="C305" s="41"/>
      <c r="D305" s="41"/>
      <c r="E305" s="41"/>
      <c r="F305" s="41"/>
      <c r="G305" s="41"/>
      <c r="H305" s="41"/>
      <c r="I305" s="42"/>
      <c r="J305" s="41"/>
      <c r="K305" s="41"/>
      <c r="L305" s="43"/>
    </row>
    <row r="306" spans="2:12" hidden="1" outlineLevel="1">
      <c r="B306" s="7" t="str">
        <f t="shared" si="11"/>
        <v/>
      </c>
      <c r="C306" s="41"/>
      <c r="D306" s="41"/>
      <c r="E306" s="41"/>
      <c r="F306" s="41"/>
      <c r="G306" s="41"/>
      <c r="H306" s="41"/>
      <c r="I306" s="42"/>
      <c r="J306" s="41"/>
      <c r="K306" s="41"/>
      <c r="L306" s="43"/>
    </row>
    <row r="307" spans="2:12" hidden="1" outlineLevel="1">
      <c r="B307" s="7" t="str">
        <f t="shared" si="11"/>
        <v/>
      </c>
      <c r="C307" s="41"/>
      <c r="D307" s="41"/>
      <c r="E307" s="41"/>
      <c r="F307" s="41"/>
      <c r="G307" s="41"/>
      <c r="H307" s="41"/>
      <c r="I307" s="42"/>
      <c r="J307" s="41"/>
      <c r="K307" s="41"/>
      <c r="L307" s="43"/>
    </row>
    <row r="308" spans="2:12" hidden="1" outlineLevel="1">
      <c r="B308" s="7" t="str">
        <f t="shared" si="11"/>
        <v/>
      </c>
      <c r="C308" s="41"/>
      <c r="D308" s="41"/>
      <c r="E308" s="41"/>
      <c r="F308" s="41"/>
      <c r="G308" s="41"/>
      <c r="H308" s="41"/>
      <c r="I308" s="42"/>
      <c r="J308" s="41"/>
      <c r="K308" s="41"/>
      <c r="L308" s="43"/>
    </row>
    <row r="309" spans="2:12" hidden="1" outlineLevel="1">
      <c r="B309" s="7" t="str">
        <f t="shared" si="11"/>
        <v/>
      </c>
      <c r="C309" s="41"/>
      <c r="D309" s="41"/>
      <c r="E309" s="41"/>
      <c r="F309" s="41"/>
      <c r="G309" s="41"/>
      <c r="H309" s="41"/>
      <c r="I309" s="42"/>
      <c r="J309" s="41"/>
      <c r="K309" s="41"/>
      <c r="L309" s="43"/>
    </row>
    <row r="310" spans="2:12" hidden="1" outlineLevel="1">
      <c r="B310" s="7" t="str">
        <f t="shared" si="11"/>
        <v/>
      </c>
      <c r="C310" s="41"/>
      <c r="D310" s="41"/>
      <c r="E310" s="41"/>
      <c r="F310" s="41"/>
      <c r="G310" s="41"/>
      <c r="H310" s="41"/>
      <c r="I310" s="42"/>
      <c r="J310" s="41"/>
      <c r="K310" s="41"/>
      <c r="L310" s="43"/>
    </row>
    <row r="311" spans="2:12" hidden="1" outlineLevel="1">
      <c r="B311" s="7" t="str">
        <f t="shared" si="11"/>
        <v/>
      </c>
      <c r="C311" s="41"/>
      <c r="D311" s="41"/>
      <c r="E311" s="41"/>
      <c r="F311" s="41"/>
      <c r="G311" s="41"/>
      <c r="H311" s="41"/>
      <c r="I311" s="42"/>
      <c r="J311" s="41"/>
      <c r="K311" s="41"/>
      <c r="L311" s="43"/>
    </row>
    <row r="312" spans="2:12" hidden="1" outlineLevel="1">
      <c r="B312" s="7" t="str">
        <f t="shared" si="11"/>
        <v/>
      </c>
      <c r="C312" s="41"/>
      <c r="D312" s="41"/>
      <c r="E312" s="41"/>
      <c r="F312" s="41"/>
      <c r="G312" s="41"/>
      <c r="H312" s="41"/>
      <c r="I312" s="42"/>
      <c r="J312" s="41"/>
      <c r="K312" s="41"/>
      <c r="L312" s="43"/>
    </row>
    <row r="313" spans="2:12" hidden="1" outlineLevel="1">
      <c r="B313" s="7" t="str">
        <f t="shared" si="11"/>
        <v/>
      </c>
      <c r="C313" s="41"/>
      <c r="D313" s="41"/>
      <c r="E313" s="41"/>
      <c r="F313" s="41"/>
      <c r="G313" s="41"/>
      <c r="H313" s="41"/>
      <c r="I313" s="42"/>
      <c r="J313" s="41"/>
      <c r="K313" s="41"/>
      <c r="L313" s="43"/>
    </row>
    <row r="314" spans="2:12" hidden="1" outlineLevel="1">
      <c r="B314" s="7" t="str">
        <f t="shared" si="11"/>
        <v/>
      </c>
      <c r="C314" s="41"/>
      <c r="D314" s="41"/>
      <c r="E314" s="41"/>
      <c r="F314" s="41"/>
      <c r="G314" s="41"/>
      <c r="H314" s="41"/>
      <c r="I314" s="42"/>
      <c r="J314" s="41"/>
      <c r="K314" s="41"/>
      <c r="L314" s="43"/>
    </row>
    <row r="315" spans="2:12" hidden="1" outlineLevel="1">
      <c r="B315" s="7" t="str">
        <f t="shared" si="11"/>
        <v/>
      </c>
      <c r="C315" s="41"/>
      <c r="D315" s="41"/>
      <c r="E315" s="41"/>
      <c r="F315" s="41"/>
      <c r="G315" s="41"/>
      <c r="H315" s="41"/>
      <c r="I315" s="42"/>
      <c r="J315" s="41"/>
      <c r="K315" s="41"/>
      <c r="L315" s="43"/>
    </row>
    <row r="316" spans="2:12" hidden="1" outlineLevel="1">
      <c r="B316" s="7" t="str">
        <f t="shared" si="11"/>
        <v/>
      </c>
      <c r="C316" s="41"/>
      <c r="D316" s="41"/>
      <c r="E316" s="41"/>
      <c r="F316" s="41"/>
      <c r="G316" s="41"/>
      <c r="H316" s="41"/>
      <c r="I316" s="42"/>
      <c r="J316" s="41"/>
      <c r="K316" s="41"/>
      <c r="L316" s="43"/>
    </row>
    <row r="317" spans="2:12" hidden="1" outlineLevel="1">
      <c r="B317" s="7" t="str">
        <f t="shared" si="11"/>
        <v/>
      </c>
      <c r="C317" s="41"/>
      <c r="D317" s="41"/>
      <c r="E317" s="41"/>
      <c r="F317" s="41"/>
      <c r="G317" s="41"/>
      <c r="H317" s="41"/>
      <c r="I317" s="42"/>
      <c r="J317" s="41"/>
      <c r="K317" s="41"/>
      <c r="L317" s="43"/>
    </row>
    <row r="318" spans="2:12" hidden="1" outlineLevel="1">
      <c r="B318" s="7" t="str">
        <f t="shared" si="11"/>
        <v/>
      </c>
      <c r="C318" s="41"/>
      <c r="D318" s="41"/>
      <c r="E318" s="41"/>
      <c r="F318" s="41"/>
      <c r="G318" s="41"/>
      <c r="H318" s="41"/>
      <c r="I318" s="42"/>
      <c r="J318" s="41"/>
      <c r="K318" s="41"/>
      <c r="L318" s="43"/>
    </row>
    <row r="319" spans="2:12" hidden="1" outlineLevel="1">
      <c r="B319" s="7" t="str">
        <f t="shared" si="11"/>
        <v/>
      </c>
      <c r="C319" s="41"/>
      <c r="D319" s="41"/>
      <c r="E319" s="41"/>
      <c r="F319" s="41"/>
      <c r="G319" s="41"/>
      <c r="H319" s="41"/>
      <c r="I319" s="42"/>
      <c r="J319" s="41"/>
      <c r="K319" s="41"/>
      <c r="L319" s="43"/>
    </row>
    <row r="320" spans="2:12" hidden="1" outlineLevel="1">
      <c r="B320" s="7" t="str">
        <f t="shared" si="11"/>
        <v/>
      </c>
      <c r="C320" s="41"/>
      <c r="D320" s="41"/>
      <c r="E320" s="41"/>
      <c r="F320" s="41"/>
      <c r="G320" s="41"/>
      <c r="H320" s="41"/>
      <c r="I320" s="42"/>
      <c r="J320" s="41"/>
      <c r="K320" s="41"/>
      <c r="L320" s="43"/>
    </row>
    <row r="321" spans="2:12" hidden="1" outlineLevel="1">
      <c r="B321" s="7" t="str">
        <f t="shared" si="11"/>
        <v/>
      </c>
      <c r="C321" s="41"/>
      <c r="D321" s="41"/>
      <c r="E321" s="41"/>
      <c r="F321" s="41"/>
      <c r="G321" s="41"/>
      <c r="H321" s="41"/>
      <c r="I321" s="42"/>
      <c r="J321" s="41"/>
      <c r="K321" s="41"/>
      <c r="L321" s="43"/>
    </row>
    <row r="322" spans="2:12" hidden="1" outlineLevel="1">
      <c r="B322" s="7" t="str">
        <f t="shared" si="11"/>
        <v/>
      </c>
      <c r="C322" s="41"/>
      <c r="D322" s="41"/>
      <c r="E322" s="41"/>
      <c r="F322" s="41"/>
      <c r="G322" s="41"/>
      <c r="H322" s="41"/>
      <c r="I322" s="42"/>
      <c r="J322" s="41"/>
      <c r="K322" s="41"/>
      <c r="L322" s="43"/>
    </row>
    <row r="323" spans="2:12" hidden="1" outlineLevel="1">
      <c r="B323" s="7" t="str">
        <f t="shared" si="11"/>
        <v/>
      </c>
      <c r="C323" s="41"/>
      <c r="D323" s="41"/>
      <c r="E323" s="41"/>
      <c r="F323" s="41"/>
      <c r="G323" s="41"/>
      <c r="H323" s="41"/>
      <c r="I323" s="42"/>
      <c r="J323" s="41"/>
      <c r="K323" s="41"/>
      <c r="L323" s="43"/>
    </row>
    <row r="324" spans="2:12" hidden="1" outlineLevel="1">
      <c r="B324" s="7" t="str">
        <f t="shared" si="11"/>
        <v/>
      </c>
      <c r="C324" s="41"/>
      <c r="D324" s="41"/>
      <c r="E324" s="41"/>
      <c r="F324" s="41"/>
      <c r="G324" s="41"/>
      <c r="H324" s="41"/>
      <c r="I324" s="42"/>
      <c r="J324" s="41"/>
      <c r="K324" s="41"/>
      <c r="L324" s="43"/>
    </row>
    <row r="325" spans="2:12" hidden="1" outlineLevel="1">
      <c r="B325" s="7" t="str">
        <f>IF(C325="","",(#REF!+1))</f>
        <v/>
      </c>
      <c r="C325" s="41"/>
      <c r="D325" s="41"/>
      <c r="E325" s="41"/>
      <c r="F325" s="41"/>
      <c r="G325" s="41"/>
      <c r="H325" s="41"/>
      <c r="I325" s="42"/>
      <c r="J325" s="41"/>
      <c r="K325" s="41"/>
      <c r="L325" s="43"/>
    </row>
    <row r="326" spans="2:12" hidden="1" outlineLevel="1">
      <c r="B326" s="7" t="str">
        <f t="shared" ref="B326:B342" si="12">IF(C326="","",(B325+1))</f>
        <v/>
      </c>
      <c r="C326" s="41"/>
      <c r="D326" s="41"/>
      <c r="E326" s="41"/>
      <c r="F326" s="41"/>
      <c r="G326" s="41"/>
      <c r="H326" s="41"/>
      <c r="I326" s="42"/>
      <c r="J326" s="41"/>
      <c r="K326" s="41"/>
      <c r="L326" s="43"/>
    </row>
    <row r="327" spans="2:12" hidden="1" outlineLevel="1">
      <c r="B327" s="7" t="str">
        <f t="shared" si="12"/>
        <v/>
      </c>
      <c r="C327" s="41"/>
      <c r="D327" s="41"/>
      <c r="E327" s="41"/>
      <c r="F327" s="41"/>
      <c r="G327" s="41"/>
      <c r="H327" s="41"/>
      <c r="I327" s="42"/>
      <c r="J327" s="41"/>
      <c r="K327" s="41"/>
      <c r="L327" s="43"/>
    </row>
    <row r="328" spans="2:12" hidden="1" outlineLevel="1">
      <c r="B328" s="7" t="str">
        <f t="shared" si="12"/>
        <v/>
      </c>
      <c r="C328" s="41"/>
      <c r="D328" s="41"/>
      <c r="E328" s="41"/>
      <c r="F328" s="41"/>
      <c r="G328" s="41"/>
      <c r="H328" s="41"/>
      <c r="I328" s="42"/>
      <c r="J328" s="41"/>
      <c r="K328" s="41"/>
      <c r="L328" s="43"/>
    </row>
    <row r="329" spans="2:12" hidden="1" outlineLevel="1">
      <c r="B329" s="7" t="str">
        <f t="shared" si="12"/>
        <v/>
      </c>
      <c r="C329" s="41"/>
      <c r="D329" s="41"/>
      <c r="E329" s="41"/>
      <c r="F329" s="41"/>
      <c r="G329" s="41"/>
      <c r="H329" s="41"/>
      <c r="I329" s="42"/>
      <c r="J329" s="41"/>
      <c r="K329" s="41"/>
      <c r="L329" s="43"/>
    </row>
    <row r="330" spans="2:12" hidden="1" outlineLevel="1">
      <c r="B330" s="7" t="str">
        <f t="shared" si="12"/>
        <v/>
      </c>
      <c r="C330" s="41"/>
      <c r="D330" s="41"/>
      <c r="E330" s="41"/>
      <c r="F330" s="41"/>
      <c r="G330" s="41"/>
      <c r="H330" s="41"/>
      <c r="I330" s="42"/>
      <c r="J330" s="41"/>
      <c r="K330" s="41"/>
      <c r="L330" s="43"/>
    </row>
    <row r="331" spans="2:12" hidden="1" outlineLevel="1">
      <c r="B331" s="7" t="str">
        <f t="shared" si="12"/>
        <v/>
      </c>
      <c r="C331" s="41"/>
      <c r="D331" s="41"/>
      <c r="E331" s="41"/>
      <c r="F331" s="41"/>
      <c r="G331" s="41"/>
      <c r="H331" s="41"/>
      <c r="I331" s="42"/>
      <c r="J331" s="41"/>
      <c r="K331" s="41"/>
      <c r="L331" s="43"/>
    </row>
    <row r="332" spans="2:12" hidden="1" outlineLevel="1">
      <c r="B332" s="7" t="str">
        <f t="shared" si="12"/>
        <v/>
      </c>
      <c r="C332" s="41"/>
      <c r="D332" s="41"/>
      <c r="E332" s="41"/>
      <c r="F332" s="41"/>
      <c r="G332" s="41"/>
      <c r="H332" s="41"/>
      <c r="I332" s="42"/>
      <c r="J332" s="41"/>
      <c r="K332" s="41"/>
      <c r="L332" s="43"/>
    </row>
    <row r="333" spans="2:12" hidden="1" outlineLevel="1">
      <c r="B333" s="7" t="str">
        <f t="shared" si="12"/>
        <v/>
      </c>
      <c r="C333" s="41"/>
      <c r="D333" s="41"/>
      <c r="E333" s="41"/>
      <c r="F333" s="41"/>
      <c r="G333" s="41"/>
      <c r="H333" s="41"/>
      <c r="I333" s="42"/>
      <c r="J333" s="41"/>
      <c r="K333" s="41"/>
      <c r="L333" s="43"/>
    </row>
    <row r="334" spans="2:12" hidden="1" outlineLevel="1">
      <c r="B334" s="7" t="str">
        <f t="shared" si="12"/>
        <v/>
      </c>
      <c r="C334" s="41"/>
      <c r="D334" s="41"/>
      <c r="E334" s="41"/>
      <c r="F334" s="41"/>
      <c r="G334" s="41"/>
      <c r="H334" s="41"/>
      <c r="I334" s="42"/>
      <c r="J334" s="41"/>
      <c r="K334" s="41"/>
      <c r="L334" s="43"/>
    </row>
    <row r="335" spans="2:12" hidden="1" outlineLevel="1">
      <c r="B335" s="7" t="str">
        <f t="shared" si="12"/>
        <v/>
      </c>
      <c r="C335" s="41"/>
      <c r="D335" s="41"/>
      <c r="E335" s="41"/>
      <c r="F335" s="41"/>
      <c r="G335" s="41"/>
      <c r="H335" s="41"/>
      <c r="I335" s="42"/>
      <c r="J335" s="41"/>
      <c r="K335" s="41"/>
      <c r="L335" s="43"/>
    </row>
    <row r="336" spans="2:12" hidden="1" outlineLevel="1">
      <c r="B336" s="7" t="str">
        <f t="shared" si="12"/>
        <v/>
      </c>
      <c r="C336" s="41"/>
      <c r="D336" s="41"/>
      <c r="E336" s="41"/>
      <c r="F336" s="41"/>
      <c r="G336" s="41"/>
      <c r="H336" s="41"/>
      <c r="I336" s="42"/>
      <c r="J336" s="41"/>
      <c r="K336" s="41"/>
      <c r="L336" s="43"/>
    </row>
    <row r="337" spans="2:12" hidden="1" outlineLevel="1">
      <c r="B337" s="7" t="str">
        <f t="shared" si="12"/>
        <v/>
      </c>
      <c r="C337" s="41"/>
      <c r="D337" s="41"/>
      <c r="E337" s="41"/>
      <c r="F337" s="41"/>
      <c r="G337" s="41"/>
      <c r="H337" s="41"/>
      <c r="I337" s="42"/>
      <c r="J337" s="41"/>
      <c r="K337" s="41"/>
      <c r="L337" s="43"/>
    </row>
    <row r="338" spans="2:12" hidden="1" outlineLevel="1">
      <c r="B338" s="7" t="str">
        <f t="shared" si="12"/>
        <v/>
      </c>
      <c r="C338" s="41"/>
      <c r="D338" s="41"/>
      <c r="E338" s="41"/>
      <c r="F338" s="41"/>
      <c r="G338" s="41"/>
      <c r="H338" s="41"/>
      <c r="I338" s="42"/>
      <c r="J338" s="41"/>
      <c r="K338" s="41"/>
      <c r="L338" s="43"/>
    </row>
    <row r="339" spans="2:12" hidden="1" outlineLevel="1">
      <c r="B339" s="7" t="str">
        <f t="shared" si="12"/>
        <v/>
      </c>
      <c r="C339" s="41"/>
      <c r="D339" s="41"/>
      <c r="E339" s="41"/>
      <c r="F339" s="41"/>
      <c r="G339" s="41"/>
      <c r="H339" s="41"/>
      <c r="I339" s="42"/>
      <c r="J339" s="41"/>
      <c r="K339" s="41"/>
      <c r="L339" s="43"/>
    </row>
    <row r="340" spans="2:12" hidden="1" outlineLevel="1">
      <c r="B340" s="7" t="str">
        <f t="shared" si="12"/>
        <v/>
      </c>
      <c r="C340" s="41"/>
      <c r="D340" s="41"/>
      <c r="E340" s="41"/>
      <c r="F340" s="41"/>
      <c r="G340" s="41"/>
      <c r="H340" s="41"/>
      <c r="I340" s="42"/>
      <c r="J340" s="41"/>
      <c r="K340" s="41"/>
      <c r="L340" s="43"/>
    </row>
    <row r="341" spans="2:12" hidden="1" outlineLevel="1">
      <c r="B341" s="7" t="str">
        <f t="shared" si="12"/>
        <v/>
      </c>
      <c r="C341" s="1"/>
      <c r="D341" s="1"/>
      <c r="E341" s="1"/>
      <c r="F341" s="1"/>
      <c r="G341" s="1"/>
      <c r="H341" s="1"/>
      <c r="I341" s="36"/>
      <c r="J341" s="1"/>
      <c r="K341" s="1"/>
      <c r="L341" s="2"/>
    </row>
    <row r="342" spans="2:12" ht="15.75" hidden="1" outlineLevel="1" thickBot="1">
      <c r="B342" s="7" t="str">
        <f t="shared" si="12"/>
        <v/>
      </c>
      <c r="C342" s="38"/>
      <c r="D342" s="38"/>
      <c r="E342" s="38"/>
      <c r="F342" s="38"/>
      <c r="G342" s="38"/>
      <c r="H342" s="38"/>
      <c r="I342" s="38"/>
      <c r="J342" s="38"/>
      <c r="K342" s="38"/>
      <c r="L342" s="39"/>
    </row>
    <row r="343" spans="2:12" ht="24" customHeight="1" collapsed="1" thickBot="1">
      <c r="B343" s="320" t="s">
        <v>59</v>
      </c>
      <c r="C343" s="321"/>
      <c r="D343" s="321"/>
      <c r="E343" s="321"/>
      <c r="F343" s="321"/>
      <c r="G343" s="321"/>
      <c r="H343" s="321"/>
      <c r="I343" s="321"/>
      <c r="J343" s="321"/>
      <c r="K343" s="321"/>
      <c r="L343" s="322"/>
    </row>
    <row r="344" spans="2:12" ht="24" customHeight="1" thickBot="1">
      <c r="B344" s="26" t="s">
        <v>49</v>
      </c>
      <c r="C344" s="27" t="s">
        <v>60</v>
      </c>
      <c r="D344" s="27" t="s">
        <v>62</v>
      </c>
      <c r="E344" s="27" t="s">
        <v>63</v>
      </c>
      <c r="F344" s="27" t="s">
        <v>64</v>
      </c>
      <c r="G344" s="27" t="s">
        <v>65</v>
      </c>
      <c r="H344" s="27" t="s">
        <v>66</v>
      </c>
      <c r="I344" s="27" t="s">
        <v>67</v>
      </c>
      <c r="J344" s="27" t="s">
        <v>6</v>
      </c>
      <c r="K344" s="27" t="s">
        <v>7</v>
      </c>
      <c r="L344" s="28" t="s">
        <v>68</v>
      </c>
    </row>
    <row r="345" spans="2:12">
      <c r="B345" s="46" t="s">
        <v>8</v>
      </c>
      <c r="C345" s="41">
        <f>COUNTIFS(B91:B342,"&gt;"&amp;0,C91:C342,"="&amp;B345)</f>
        <v>0</v>
      </c>
      <c r="D345" s="41">
        <f>COUNTIFS(B91:B342,"&gt;="&amp;1,C91:C342,B345,K91:K342,"&gt;="&amp;0,K91:K342,"&lt;"&amp;50)</f>
        <v>0</v>
      </c>
      <c r="E345" s="41">
        <f>COUNTIFS(B91:B342,"&gt;="&amp;1,C91:C342,B345,K91:K342,"&gt;="&amp;50,K91:K342,"&lt;"&amp;500)</f>
        <v>0</v>
      </c>
      <c r="F345" s="41">
        <f>COUNTIFS(B91:B342,"&gt;="&amp;1,C91:C342,B345,K91:K342,"&gt;="&amp;500)</f>
        <v>0</v>
      </c>
      <c r="G345" s="41">
        <f>COUNTIFS(B91:B342,"&gt;="&amp;1,C91:C342,B345,K91:K342,"&gt;="&amp;0,I91:I342,"&gt;"&amp;DATE(2021,1,1))</f>
        <v>0</v>
      </c>
      <c r="H345" s="47" t="str">
        <f>IF(G345=0,"-",(SUM(E345,F345)/G345))</f>
        <v>-</v>
      </c>
      <c r="I345" s="41">
        <f>IF((COUNTIFS(B91:B342,"&gt;="&amp;1,C91:C342,"="&amp;B345))&gt;228,228,(COUNTIFS(B91:B342,"&gt;="&amp;1,C91:C342,"="&amp;B345)))</f>
        <v>0</v>
      </c>
      <c r="J345" s="47" t="str">
        <f>IF(I345=0,"-",(COUNTIFS(C91:C342,"="&amp;B345,I91:I342,"&lt;="&amp;DATE(2024,12,31),K91:K342,"&gt;="&amp;0)/I345))</f>
        <v>-</v>
      </c>
      <c r="K345" s="47" t="str">
        <f>IF(I345=0,"-",IF(J345=1,"-",(COUNTIFS(B91:B342,"&gt;"&amp;0,C91:C342,"="&amp;B345,I91:I342,"&gt;"&amp;DATE(2024,12,31),K91:K342,"&gt;="&amp;0)/(I345-COUNTIFS(B91:B342,"&gt;"&amp;0,C91:C342,"="&amp;B345,I91:I342,"&lt;="&amp;DATE(2024,12,31),K91:K342,"&gt;="&amp;0)))))</f>
        <v>-</v>
      </c>
      <c r="L345" s="48" t="str">
        <f>IF(I345=0,"-",G345/I345)</f>
        <v>-</v>
      </c>
    </row>
    <row r="346" spans="2:12">
      <c r="B346" s="7" t="s">
        <v>9</v>
      </c>
      <c r="C346" s="1">
        <f>COUNTIFS(B91:B342,"&gt;"&amp;0,C91:C342,"="&amp;B346)</f>
        <v>0</v>
      </c>
      <c r="D346" s="1">
        <f>COUNTIFS(B91:B342,"&gt;="&amp;1,C91:C342,B346,K91:K342,"&gt;="&amp;0,K91:K342,"&lt;"&amp;50)</f>
        <v>0</v>
      </c>
      <c r="E346" s="1">
        <f>COUNTIFS(B91:B342,"&gt;="&amp;1,C91:C342,B346,K91:K342,"&gt;="&amp;50,K91:K342,"&lt;"&amp;500)</f>
        <v>0</v>
      </c>
      <c r="F346" s="1">
        <f>COUNTIFS(B91:B342,"&gt;="&amp;1,C91:C342,B346,K91:K342,"&gt;="&amp;500)</f>
        <v>0</v>
      </c>
      <c r="G346" s="1">
        <f>COUNTIFS(B91:B342,"&gt;="&amp;1,C91:C342,B346,K91:K342,"&gt;="&amp;0,I91:I342,"&gt;"&amp;DATE(2021,1,1))</f>
        <v>0</v>
      </c>
      <c r="H346" s="44" t="str">
        <f t="shared" ref="H346:H348" si="13">IF(G346=0,"-",(SUM(E346,F346)/G346))</f>
        <v>-</v>
      </c>
      <c r="I346" s="1">
        <f>IF((COUNTIFS(B91:B342,"&gt;="&amp;1,C91:C342,"="&amp;B346))&gt;228,228,(COUNTIFS(B91:B342,"&gt;="&amp;1,C91:C342,"="&amp;B346)))</f>
        <v>0</v>
      </c>
      <c r="J346" s="44" t="str">
        <f>IF(I346=0,"-",(COUNTIFS(C91:C342,"="&amp;B346,I91:I342,"&lt;="&amp;DATE(2024,12,31),K91:K342,"&gt;="&amp;0)/I346))</f>
        <v>-</v>
      </c>
      <c r="K346" s="47" t="str">
        <f>IF(I346=0,"-",IF(J346=1,"-",(COUNTIFS(B91:B342,"&gt;"&amp;0,C91:C342,"="&amp;B346,I91:I342,"&gt;"&amp;DATE(2024,12,31),K91:K342,"&gt;="&amp;0)/(I346-COUNTIFS(B91:B342,"&gt;"&amp;0,C91:C342,"="&amp;B346,I91:I342,"&lt;="&amp;DATE(2024,12,31),K91:K342,"&gt;="&amp;0)))))</f>
        <v>-</v>
      </c>
      <c r="L346" s="45" t="str">
        <f t="shared" ref="L346:L348" si="14">IF(I346=0,"-",G346/I346)</f>
        <v>-</v>
      </c>
    </row>
    <row r="347" spans="2:12">
      <c r="B347" s="7" t="s">
        <v>69</v>
      </c>
      <c r="C347" s="1">
        <f>COUNTIFS(B91:B342,"&gt;"&amp;0,C91:C342,"="&amp;B347)</f>
        <v>0</v>
      </c>
      <c r="D347" s="1">
        <f>COUNTIFS(B91:B342,"&gt;="&amp;1,C91:C342,B347,K91:K342,"&gt;="&amp;0,K91:K342,"&lt;"&amp;50)</f>
        <v>0</v>
      </c>
      <c r="E347" s="1">
        <f>COUNTIFS(B91:B342,"&gt;="&amp;1,C91:C342,B347,K91:K342,"&gt;="&amp;50,K91:K342,"&lt;"&amp;500)</f>
        <v>0</v>
      </c>
      <c r="F347" s="1">
        <f>COUNTIFS(B91:B341,"&gt;="&amp;1,C91:C341,B347,K91:K341,"&gt;="&amp;500)</f>
        <v>0</v>
      </c>
      <c r="G347" s="1">
        <f>COUNTIFS(B91:B342,"&gt;="&amp;1,C91:C342,B347,K91:K342,"&gt;="&amp;0,I91:I342,"&gt;"&amp;DATE(2021,1,1))</f>
        <v>0</v>
      </c>
      <c r="H347" s="44" t="str">
        <f t="shared" si="13"/>
        <v>-</v>
      </c>
      <c r="I347" s="1">
        <f>IF((COUNTIFS(B91:B341,"&gt;="&amp;1,C91:C341,"="&amp;B347))&gt;228,228,(COUNTIFS(B91:B341,"&gt;="&amp;1,C91:C341,"="&amp;B347)))</f>
        <v>0</v>
      </c>
      <c r="J347" s="44" t="str">
        <f>IF(I347=0,"-",(COUNTIFS(C91:C342,"="&amp;B347,I91:I342,"&lt;="&amp;DATE(2024,12,31),K91:K342,"&gt;="&amp;0)/I347))</f>
        <v>-</v>
      </c>
      <c r="K347" s="47" t="str">
        <f>IF(I347=0,"-",IF(J347=1,"-",(COUNTIFS(B91:B342,"&gt;"&amp;0,C91:C342,"="&amp;B347,I91:I342,"&gt;"&amp;DATE(2024,12,31),K91:K342,"&gt;="&amp;0)/(I347-COUNTIFS(B91:B342,"&gt;"&amp;0,C91:C342,"="&amp;B347,I91:I342,"&lt;="&amp;DATE(2024,12,31),K91:K342,"&gt;="&amp;0)))))</f>
        <v>-</v>
      </c>
      <c r="L347" s="45" t="str">
        <f t="shared" si="14"/>
        <v>-</v>
      </c>
    </row>
    <row r="348" spans="2:12" ht="24" customHeight="1" thickBot="1">
      <c r="B348" s="49" t="s">
        <v>59</v>
      </c>
      <c r="C348" s="50">
        <f>SUM(C345:C347)</f>
        <v>0</v>
      </c>
      <c r="D348" s="50">
        <f>SUM(D345:D347)</f>
        <v>0</v>
      </c>
      <c r="E348" s="50">
        <f>SUM(E345:E347)</f>
        <v>0</v>
      </c>
      <c r="F348" s="50">
        <f>SUM(F345:F347)</f>
        <v>0</v>
      </c>
      <c r="G348" s="50">
        <f>SUM(G345:G347)</f>
        <v>0</v>
      </c>
      <c r="H348" s="51" t="str">
        <f t="shared" si="13"/>
        <v>-</v>
      </c>
      <c r="I348" s="50">
        <f>SUM(I345:I347)</f>
        <v>0</v>
      </c>
      <c r="J348" s="51" t="str">
        <f>IF(I348=0,"-",(COUNTIFS(I91:I342,"&lt;="&amp;DATE(2024,12,31),K91:K342,"&gt;="&amp;0)/I348))</f>
        <v>-</v>
      </c>
      <c r="K348" s="51" t="str">
        <f>IF(I348=0,"-",IF(J348=1,"-",(COUNTIFS(B91:B342,"&gt;"&amp;0,I91:I342,"&gt;"&amp;DATE(2024,12,31),K91:K342,"&gt;="&amp;0)/(I348-COUNTIFS(B91:B342,"&gt;"&amp;0,I91:I342,"&lt;="&amp;DATE(2024,12,31),K91:K342,"&gt;="&amp;0)))))</f>
        <v>-</v>
      </c>
      <c r="L348" s="52" t="str">
        <f t="shared" si="14"/>
        <v>-</v>
      </c>
    </row>
    <row r="350" spans="2:12" ht="15.75" thickBot="1"/>
    <row r="351" spans="2:12" ht="32.25" customHeight="1" thickBot="1">
      <c r="B351" s="320" t="str">
        <f>_xlfn.CONCAT("Outros Equipamentos ( TSAs,Chaves a Óleo entre Outros)",TEXT(IF(SUM(I455:I457)=0," ",(SUM(G455:G457)/SUM(I455:I457))), " 0,00%"))</f>
        <v xml:space="preserve">Outros Equipamentos ( TSAs,Chaves a Óleo entre Outros) </v>
      </c>
      <c r="C351" s="321"/>
      <c r="D351" s="321"/>
      <c r="E351" s="321"/>
      <c r="F351" s="321"/>
      <c r="G351" s="321"/>
      <c r="H351" s="321"/>
      <c r="I351" s="321"/>
      <c r="J351" s="321"/>
      <c r="K351" s="321"/>
      <c r="L351" s="322"/>
    </row>
    <row r="352" spans="2:12" ht="24" hidden="1" customHeight="1" outlineLevel="1" thickBot="1">
      <c r="B352" s="26" t="s">
        <v>48</v>
      </c>
      <c r="C352" s="27" t="s">
        <v>49</v>
      </c>
      <c r="D352" s="27" t="s">
        <v>50</v>
      </c>
      <c r="E352" s="27" t="s">
        <v>51</v>
      </c>
      <c r="F352" s="27" t="s">
        <v>52</v>
      </c>
      <c r="G352" s="27" t="s">
        <v>53</v>
      </c>
      <c r="H352" s="27" t="s">
        <v>54</v>
      </c>
      <c r="I352" s="27" t="s">
        <v>55</v>
      </c>
      <c r="J352" s="27" t="s">
        <v>56</v>
      </c>
      <c r="K352" s="27" t="s">
        <v>57</v>
      </c>
      <c r="L352" s="28" t="s">
        <v>58</v>
      </c>
    </row>
    <row r="353" spans="2:12" ht="15.75" hidden="1" outlineLevel="1" thickBot="1">
      <c r="B353" s="40" t="str">
        <f>IF(C353="","",ROW($A$1))</f>
        <v/>
      </c>
      <c r="C353" s="41"/>
      <c r="D353" s="41"/>
      <c r="E353" s="41"/>
      <c r="F353" s="41"/>
      <c r="G353" s="41"/>
      <c r="H353" s="41"/>
      <c r="I353" s="42"/>
      <c r="J353" s="41"/>
      <c r="K353" s="41"/>
      <c r="L353" s="43"/>
    </row>
    <row r="354" spans="2:12" ht="15.75" hidden="1" outlineLevel="1" thickBot="1">
      <c r="B354" s="35" t="str">
        <f>IF(C354="","",(B353+1))</f>
        <v/>
      </c>
      <c r="C354" s="41"/>
      <c r="D354" s="41"/>
      <c r="E354" s="41"/>
      <c r="F354" s="41"/>
      <c r="G354" s="41"/>
      <c r="H354" s="41"/>
      <c r="I354" s="42"/>
      <c r="J354" s="41"/>
      <c r="K354" s="41"/>
      <c r="L354" s="43"/>
    </row>
    <row r="355" spans="2:12" ht="15.75" hidden="1" outlineLevel="1" thickBot="1">
      <c r="B355" s="35" t="str">
        <f t="shared" ref="B355:B418" si="15">IF(C355="","",(B354+1))</f>
        <v/>
      </c>
      <c r="C355" s="41"/>
      <c r="D355" s="41"/>
      <c r="E355" s="41"/>
      <c r="F355" s="41"/>
      <c r="G355" s="41"/>
      <c r="H355" s="41"/>
      <c r="I355" s="42"/>
      <c r="J355" s="41"/>
      <c r="K355" s="41"/>
      <c r="L355" s="43"/>
    </row>
    <row r="356" spans="2:12" ht="15.75" hidden="1" outlineLevel="1" thickBot="1">
      <c r="B356" s="35" t="str">
        <f t="shared" si="15"/>
        <v/>
      </c>
      <c r="C356" s="41"/>
      <c r="D356" s="41"/>
      <c r="E356" s="41"/>
      <c r="F356" s="41"/>
      <c r="G356" s="41"/>
      <c r="H356" s="41"/>
      <c r="I356" s="42"/>
      <c r="J356" s="41"/>
      <c r="K356" s="41"/>
      <c r="L356" s="43"/>
    </row>
    <row r="357" spans="2:12" ht="15.75" hidden="1" outlineLevel="1" thickBot="1">
      <c r="B357" s="35" t="str">
        <f t="shared" si="15"/>
        <v/>
      </c>
      <c r="C357" s="41"/>
      <c r="D357" s="41"/>
      <c r="E357" s="41"/>
      <c r="F357" s="41"/>
      <c r="G357" s="41"/>
      <c r="H357" s="41"/>
      <c r="I357" s="42"/>
      <c r="J357" s="41"/>
      <c r="K357" s="41"/>
      <c r="L357" s="43"/>
    </row>
    <row r="358" spans="2:12" ht="15.75" hidden="1" outlineLevel="1" thickBot="1">
      <c r="B358" s="35" t="str">
        <f t="shared" si="15"/>
        <v/>
      </c>
      <c r="C358" s="41"/>
      <c r="D358" s="41"/>
      <c r="E358" s="41"/>
      <c r="F358" s="41"/>
      <c r="G358" s="41"/>
      <c r="H358" s="41"/>
      <c r="I358" s="42"/>
      <c r="J358" s="41"/>
      <c r="K358" s="41"/>
      <c r="L358" s="43"/>
    </row>
    <row r="359" spans="2:12" ht="15.75" hidden="1" outlineLevel="1" thickBot="1">
      <c r="B359" s="35" t="str">
        <f t="shared" si="15"/>
        <v/>
      </c>
      <c r="C359" s="41"/>
      <c r="D359" s="41"/>
      <c r="E359" s="41"/>
      <c r="F359" s="41"/>
      <c r="G359" s="41"/>
      <c r="H359" s="41"/>
      <c r="I359" s="42"/>
      <c r="J359" s="41"/>
      <c r="K359" s="41"/>
      <c r="L359" s="43"/>
    </row>
    <row r="360" spans="2:12" ht="15.75" hidden="1" outlineLevel="1" thickBot="1">
      <c r="B360" s="35" t="str">
        <f t="shared" si="15"/>
        <v/>
      </c>
      <c r="C360" s="41"/>
      <c r="D360" s="41"/>
      <c r="E360" s="41"/>
      <c r="F360" s="41"/>
      <c r="G360" s="41"/>
      <c r="H360" s="41"/>
      <c r="I360" s="42"/>
      <c r="J360" s="41"/>
      <c r="K360" s="41"/>
      <c r="L360" s="43"/>
    </row>
    <row r="361" spans="2:12" ht="15.75" hidden="1" outlineLevel="1" thickBot="1">
      <c r="B361" s="35" t="str">
        <f t="shared" si="15"/>
        <v/>
      </c>
      <c r="C361" s="41"/>
      <c r="D361" s="41"/>
      <c r="E361" s="41"/>
      <c r="F361" s="41"/>
      <c r="G361" s="41"/>
      <c r="H361" s="41"/>
      <c r="I361" s="42"/>
      <c r="J361" s="41"/>
      <c r="K361" s="41"/>
      <c r="L361" s="43"/>
    </row>
    <row r="362" spans="2:12" ht="15.75" hidden="1" outlineLevel="1" thickBot="1">
      <c r="B362" s="35" t="str">
        <f t="shared" si="15"/>
        <v/>
      </c>
      <c r="C362" s="41"/>
      <c r="D362" s="41"/>
      <c r="E362" s="41"/>
      <c r="F362" s="41"/>
      <c r="G362" s="41"/>
      <c r="H362" s="41"/>
      <c r="I362" s="42"/>
      <c r="J362" s="41"/>
      <c r="K362" s="41"/>
      <c r="L362" s="43"/>
    </row>
    <row r="363" spans="2:12" ht="15.75" hidden="1" outlineLevel="1" thickBot="1">
      <c r="B363" s="35" t="str">
        <f t="shared" si="15"/>
        <v/>
      </c>
      <c r="C363" s="41"/>
      <c r="D363" s="41"/>
      <c r="E363" s="41"/>
      <c r="F363" s="41"/>
      <c r="G363" s="41"/>
      <c r="H363" s="41"/>
      <c r="I363" s="42"/>
      <c r="J363" s="41"/>
      <c r="K363" s="41"/>
      <c r="L363" s="43"/>
    </row>
    <row r="364" spans="2:12" ht="15.75" hidden="1" outlineLevel="1" thickBot="1">
      <c r="B364" s="40" t="str">
        <f t="shared" si="15"/>
        <v/>
      </c>
      <c r="C364" s="41"/>
      <c r="D364" s="41"/>
      <c r="E364" s="41"/>
      <c r="F364" s="41"/>
      <c r="G364" s="41"/>
      <c r="H364" s="41"/>
      <c r="I364" s="42"/>
      <c r="J364" s="41"/>
      <c r="K364" s="41"/>
      <c r="L364" s="43"/>
    </row>
    <row r="365" spans="2:12" ht="15.75" hidden="1" outlineLevel="1" thickBot="1">
      <c r="B365" s="40" t="str">
        <f t="shared" si="15"/>
        <v/>
      </c>
      <c r="C365" s="41"/>
      <c r="D365" s="41"/>
      <c r="E365" s="41"/>
      <c r="F365" s="41"/>
      <c r="G365" s="41"/>
      <c r="H365" s="41"/>
      <c r="I365" s="42"/>
      <c r="J365" s="41"/>
      <c r="K365" s="41"/>
      <c r="L365" s="43"/>
    </row>
    <row r="366" spans="2:12" ht="15.75" hidden="1" outlineLevel="1" thickBot="1">
      <c r="B366" s="40" t="str">
        <f t="shared" si="15"/>
        <v/>
      </c>
      <c r="C366" s="41"/>
      <c r="D366" s="41"/>
      <c r="E366" s="41"/>
      <c r="F366" s="41"/>
      <c r="G366" s="41"/>
      <c r="H366" s="41"/>
      <c r="I366" s="42"/>
      <c r="J366" s="41"/>
      <c r="K366" s="41"/>
      <c r="L366" s="43"/>
    </row>
    <row r="367" spans="2:12" ht="15.75" hidden="1" outlineLevel="1" thickBot="1">
      <c r="B367" s="40" t="str">
        <f t="shared" si="15"/>
        <v/>
      </c>
      <c r="C367" s="41"/>
      <c r="D367" s="41"/>
      <c r="E367" s="41"/>
      <c r="F367" s="41"/>
      <c r="G367" s="41"/>
      <c r="H367" s="41"/>
      <c r="I367" s="42"/>
      <c r="J367" s="41"/>
      <c r="K367" s="41"/>
      <c r="L367" s="43"/>
    </row>
    <row r="368" spans="2:12" ht="15.75" hidden="1" outlineLevel="1" thickBot="1">
      <c r="B368" s="40" t="str">
        <f t="shared" si="15"/>
        <v/>
      </c>
      <c r="C368" s="41"/>
      <c r="D368" s="41"/>
      <c r="E368" s="41"/>
      <c r="F368" s="41"/>
      <c r="G368" s="41"/>
      <c r="H368" s="41"/>
      <c r="I368" s="42"/>
      <c r="J368" s="41"/>
      <c r="K368" s="41"/>
      <c r="L368" s="43"/>
    </row>
    <row r="369" spans="2:12" ht="15.75" hidden="1" outlineLevel="1" thickBot="1">
      <c r="B369" s="40" t="str">
        <f t="shared" si="15"/>
        <v/>
      </c>
      <c r="C369" s="41"/>
      <c r="D369" s="41"/>
      <c r="E369" s="41"/>
      <c r="F369" s="41"/>
      <c r="G369" s="41"/>
      <c r="H369" s="41"/>
      <c r="I369" s="42"/>
      <c r="J369" s="41"/>
      <c r="K369" s="41"/>
      <c r="L369" s="43"/>
    </row>
    <row r="370" spans="2:12" ht="15.75" hidden="1" outlineLevel="1" thickBot="1">
      <c r="B370" s="40" t="str">
        <f t="shared" si="15"/>
        <v/>
      </c>
      <c r="C370" s="41"/>
      <c r="D370" s="41"/>
      <c r="E370" s="41"/>
      <c r="F370" s="41"/>
      <c r="G370" s="41"/>
      <c r="H370" s="41"/>
      <c r="I370" s="42"/>
      <c r="J370" s="41"/>
      <c r="K370" s="41"/>
      <c r="L370" s="43"/>
    </row>
    <row r="371" spans="2:12" ht="15.75" hidden="1" outlineLevel="1" thickBot="1">
      <c r="B371" s="40" t="str">
        <f t="shared" si="15"/>
        <v/>
      </c>
      <c r="C371" s="41"/>
      <c r="D371" s="41"/>
      <c r="E371" s="41"/>
      <c r="F371" s="41"/>
      <c r="G371" s="41"/>
      <c r="H371" s="41"/>
      <c r="I371" s="42"/>
      <c r="J371" s="41"/>
      <c r="K371" s="41"/>
      <c r="L371" s="43"/>
    </row>
    <row r="372" spans="2:12" ht="15.75" hidden="1" outlineLevel="1" thickBot="1">
      <c r="B372" s="40" t="str">
        <f t="shared" si="15"/>
        <v/>
      </c>
      <c r="C372" s="41"/>
      <c r="D372" s="41"/>
      <c r="E372" s="41"/>
      <c r="F372" s="41"/>
      <c r="G372" s="41"/>
      <c r="H372" s="41"/>
      <c r="I372" s="42"/>
      <c r="J372" s="41"/>
      <c r="K372" s="41"/>
      <c r="L372" s="43"/>
    </row>
    <row r="373" spans="2:12" ht="15.75" hidden="1" outlineLevel="1" thickBot="1">
      <c r="B373" s="40" t="str">
        <f t="shared" si="15"/>
        <v/>
      </c>
      <c r="C373" s="41"/>
      <c r="D373" s="41"/>
      <c r="E373" s="41"/>
      <c r="F373" s="41"/>
      <c r="G373" s="41"/>
      <c r="H373" s="41"/>
      <c r="I373" s="42"/>
      <c r="J373" s="41"/>
      <c r="K373" s="41"/>
      <c r="L373" s="43"/>
    </row>
    <row r="374" spans="2:12" ht="15.75" hidden="1" outlineLevel="1" thickBot="1">
      <c r="B374" s="40" t="str">
        <f t="shared" si="15"/>
        <v/>
      </c>
      <c r="C374" s="41"/>
      <c r="D374" s="41"/>
      <c r="E374" s="41"/>
      <c r="F374" s="41"/>
      <c r="G374" s="41"/>
      <c r="H374" s="41"/>
      <c r="I374" s="42"/>
      <c r="J374" s="41"/>
      <c r="K374" s="41"/>
      <c r="L374" s="43"/>
    </row>
    <row r="375" spans="2:12" ht="15.75" hidden="1" outlineLevel="1" thickBot="1">
      <c r="B375" s="40" t="str">
        <f t="shared" si="15"/>
        <v/>
      </c>
      <c r="C375" s="41"/>
      <c r="D375" s="41"/>
      <c r="E375" s="41"/>
      <c r="F375" s="41"/>
      <c r="G375" s="41"/>
      <c r="H375" s="41"/>
      <c r="I375" s="42"/>
      <c r="J375" s="41"/>
      <c r="K375" s="41"/>
      <c r="L375" s="43"/>
    </row>
    <row r="376" spans="2:12" ht="15.75" hidden="1" outlineLevel="1" thickBot="1">
      <c r="B376" s="40" t="str">
        <f t="shared" si="15"/>
        <v/>
      </c>
      <c r="C376" s="41"/>
      <c r="D376" s="41"/>
      <c r="E376" s="41"/>
      <c r="F376" s="41"/>
      <c r="G376" s="41"/>
      <c r="H376" s="41"/>
      <c r="I376" s="42"/>
      <c r="J376" s="41"/>
      <c r="K376" s="41"/>
      <c r="L376" s="43"/>
    </row>
    <row r="377" spans="2:12" ht="15.75" hidden="1" outlineLevel="1" thickBot="1">
      <c r="B377" s="40" t="str">
        <f t="shared" si="15"/>
        <v/>
      </c>
      <c r="C377" s="41"/>
      <c r="D377" s="41"/>
      <c r="E377" s="41"/>
      <c r="F377" s="41"/>
      <c r="G377" s="41"/>
      <c r="H377" s="41"/>
      <c r="I377" s="42"/>
      <c r="J377" s="41"/>
      <c r="K377" s="41"/>
      <c r="L377" s="43"/>
    </row>
    <row r="378" spans="2:12" ht="15.75" hidden="1" outlineLevel="1" thickBot="1">
      <c r="B378" s="40" t="str">
        <f t="shared" si="15"/>
        <v/>
      </c>
      <c r="C378" s="41"/>
      <c r="D378" s="41"/>
      <c r="E378" s="41"/>
      <c r="F378" s="41"/>
      <c r="G378" s="41"/>
      <c r="H378" s="41"/>
      <c r="I378" s="42"/>
      <c r="J378" s="41"/>
      <c r="K378" s="41"/>
      <c r="L378" s="43"/>
    </row>
    <row r="379" spans="2:12" ht="15.75" hidden="1" outlineLevel="1" thickBot="1">
      <c r="B379" s="40" t="str">
        <f t="shared" si="15"/>
        <v/>
      </c>
      <c r="C379" s="41"/>
      <c r="D379" s="41"/>
      <c r="E379" s="41"/>
      <c r="F379" s="41"/>
      <c r="G379" s="41"/>
      <c r="H379" s="41"/>
      <c r="I379" s="42"/>
      <c r="J379" s="41"/>
      <c r="K379" s="41"/>
      <c r="L379" s="43"/>
    </row>
    <row r="380" spans="2:12" ht="15.75" hidden="1" outlineLevel="1" thickBot="1">
      <c r="B380" s="40" t="str">
        <f t="shared" si="15"/>
        <v/>
      </c>
      <c r="C380" s="41"/>
      <c r="D380" s="41"/>
      <c r="E380" s="41"/>
      <c r="F380" s="41"/>
      <c r="G380" s="41"/>
      <c r="H380" s="41"/>
      <c r="I380" s="42"/>
      <c r="J380" s="41"/>
      <c r="K380" s="41"/>
      <c r="L380" s="43"/>
    </row>
    <row r="381" spans="2:12" ht="15.75" hidden="1" outlineLevel="1" thickBot="1">
      <c r="B381" s="40" t="str">
        <f t="shared" si="15"/>
        <v/>
      </c>
      <c r="C381" s="41"/>
      <c r="D381" s="41"/>
      <c r="E381" s="41"/>
      <c r="F381" s="41"/>
      <c r="G381" s="41"/>
      <c r="H381" s="41"/>
      <c r="I381" s="42"/>
      <c r="J381" s="41"/>
      <c r="K381" s="41"/>
      <c r="L381" s="43"/>
    </row>
    <row r="382" spans="2:12" ht="15.75" hidden="1" outlineLevel="1" thickBot="1">
      <c r="B382" s="40" t="str">
        <f t="shared" si="15"/>
        <v/>
      </c>
      <c r="C382" s="41"/>
      <c r="D382" s="41"/>
      <c r="E382" s="41"/>
      <c r="F382" s="41"/>
      <c r="G382" s="41"/>
      <c r="H382" s="41"/>
      <c r="I382" s="42"/>
      <c r="J382" s="41"/>
      <c r="K382" s="41"/>
      <c r="L382" s="43"/>
    </row>
    <row r="383" spans="2:12" ht="15.75" hidden="1" outlineLevel="1" thickBot="1">
      <c r="B383" s="40" t="str">
        <f t="shared" si="15"/>
        <v/>
      </c>
      <c r="C383" s="41"/>
      <c r="D383" s="41"/>
      <c r="E383" s="41"/>
      <c r="F383" s="41"/>
      <c r="G383" s="41"/>
      <c r="H383" s="41"/>
      <c r="I383" s="42"/>
      <c r="J383" s="41"/>
      <c r="K383" s="41"/>
      <c r="L383" s="43"/>
    </row>
    <row r="384" spans="2:12" ht="15.75" hidden="1" outlineLevel="1" thickBot="1">
      <c r="B384" s="40" t="str">
        <f t="shared" si="15"/>
        <v/>
      </c>
      <c r="C384" s="41"/>
      <c r="D384" s="41"/>
      <c r="E384" s="41"/>
      <c r="F384" s="41"/>
      <c r="G384" s="41"/>
      <c r="H384" s="41"/>
      <c r="I384" s="42"/>
      <c r="J384" s="41"/>
      <c r="K384" s="41"/>
      <c r="L384" s="43"/>
    </row>
    <row r="385" spans="2:12" ht="15.75" hidden="1" outlineLevel="1" thickBot="1">
      <c r="B385" s="40" t="str">
        <f t="shared" si="15"/>
        <v/>
      </c>
      <c r="C385" s="41"/>
      <c r="D385" s="41"/>
      <c r="E385" s="41"/>
      <c r="F385" s="41"/>
      <c r="G385" s="41"/>
      <c r="H385" s="41"/>
      <c r="I385" s="42"/>
      <c r="J385" s="41"/>
      <c r="K385" s="41"/>
      <c r="L385" s="43"/>
    </row>
    <row r="386" spans="2:12" ht="15.75" hidden="1" outlineLevel="1" thickBot="1">
      <c r="B386" s="40" t="str">
        <f t="shared" si="15"/>
        <v/>
      </c>
      <c r="C386" s="41"/>
      <c r="D386" s="41"/>
      <c r="E386" s="41"/>
      <c r="F386" s="41"/>
      <c r="G386" s="41"/>
      <c r="H386" s="41"/>
      <c r="I386" s="42"/>
      <c r="J386" s="41"/>
      <c r="K386" s="41"/>
      <c r="L386" s="43"/>
    </row>
    <row r="387" spans="2:12" ht="15.75" hidden="1" outlineLevel="1" thickBot="1">
      <c r="B387" s="40" t="str">
        <f t="shared" si="15"/>
        <v/>
      </c>
      <c r="C387" s="41"/>
      <c r="D387" s="41"/>
      <c r="E387" s="41"/>
      <c r="F387" s="41"/>
      <c r="G387" s="41"/>
      <c r="H387" s="41"/>
      <c r="I387" s="42"/>
      <c r="J387" s="41"/>
      <c r="K387" s="41"/>
      <c r="L387" s="43"/>
    </row>
    <row r="388" spans="2:12" ht="15.75" hidden="1" outlineLevel="1" thickBot="1">
      <c r="B388" s="40" t="str">
        <f t="shared" si="15"/>
        <v/>
      </c>
      <c r="C388" s="41"/>
      <c r="D388" s="41"/>
      <c r="E388" s="41"/>
      <c r="F388" s="41"/>
      <c r="G388" s="41"/>
      <c r="H388" s="41"/>
      <c r="I388" s="42"/>
      <c r="J388" s="41"/>
      <c r="K388" s="41"/>
      <c r="L388" s="43"/>
    </row>
    <row r="389" spans="2:12" ht="15.75" hidden="1" outlineLevel="1" thickBot="1">
      <c r="B389" s="40" t="str">
        <f t="shared" si="15"/>
        <v/>
      </c>
      <c r="C389" s="41"/>
      <c r="D389" s="41"/>
      <c r="E389" s="41"/>
      <c r="F389" s="41"/>
      <c r="G389" s="41"/>
      <c r="H389" s="41"/>
      <c r="I389" s="42"/>
      <c r="J389" s="41"/>
      <c r="K389" s="41"/>
      <c r="L389" s="43"/>
    </row>
    <row r="390" spans="2:12" ht="15.75" hidden="1" outlineLevel="1" thickBot="1">
      <c r="B390" s="40" t="str">
        <f t="shared" si="15"/>
        <v/>
      </c>
      <c r="C390" s="41"/>
      <c r="D390" s="41"/>
      <c r="E390" s="41"/>
      <c r="F390" s="41"/>
      <c r="G390" s="41"/>
      <c r="H390" s="41"/>
      <c r="I390" s="42"/>
      <c r="J390" s="41"/>
      <c r="K390" s="41"/>
      <c r="L390" s="43"/>
    </row>
    <row r="391" spans="2:12" ht="15.75" hidden="1" outlineLevel="1" thickBot="1">
      <c r="B391" s="40" t="str">
        <f t="shared" si="15"/>
        <v/>
      </c>
      <c r="C391" s="41"/>
      <c r="D391" s="41"/>
      <c r="E391" s="41"/>
      <c r="F391" s="41"/>
      <c r="G391" s="41"/>
      <c r="H391" s="41"/>
      <c r="I391" s="42"/>
      <c r="J391" s="41"/>
      <c r="K391" s="41"/>
      <c r="L391" s="43"/>
    </row>
    <row r="392" spans="2:12" ht="15.75" hidden="1" outlineLevel="1" thickBot="1">
      <c r="B392" s="40" t="str">
        <f t="shared" si="15"/>
        <v/>
      </c>
      <c r="C392" s="41"/>
      <c r="D392" s="41"/>
      <c r="E392" s="41"/>
      <c r="F392" s="41"/>
      <c r="G392" s="41"/>
      <c r="H392" s="41"/>
      <c r="I392" s="42"/>
      <c r="J392" s="41"/>
      <c r="K392" s="41"/>
      <c r="L392" s="43"/>
    </row>
    <row r="393" spans="2:12" ht="15.75" hidden="1" outlineLevel="1" thickBot="1">
      <c r="B393" s="40" t="str">
        <f t="shared" si="15"/>
        <v/>
      </c>
      <c r="C393" s="41"/>
      <c r="D393" s="41"/>
      <c r="E393" s="41"/>
      <c r="F393" s="41"/>
      <c r="G393" s="41"/>
      <c r="H393" s="41"/>
      <c r="I393" s="42"/>
      <c r="J393" s="41"/>
      <c r="K393" s="41"/>
      <c r="L393" s="43"/>
    </row>
    <row r="394" spans="2:12" ht="15.75" hidden="1" outlineLevel="1" thickBot="1">
      <c r="B394" s="40" t="str">
        <f t="shared" si="15"/>
        <v/>
      </c>
      <c r="C394" s="41"/>
      <c r="D394" s="41"/>
      <c r="E394" s="41"/>
      <c r="F394" s="41"/>
      <c r="G394" s="41"/>
      <c r="H394" s="41"/>
      <c r="I394" s="42"/>
      <c r="J394" s="41"/>
      <c r="K394" s="41"/>
      <c r="L394" s="43"/>
    </row>
    <row r="395" spans="2:12" ht="15.75" hidden="1" outlineLevel="1" thickBot="1">
      <c r="B395" s="40" t="str">
        <f t="shared" si="15"/>
        <v/>
      </c>
      <c r="C395" s="41"/>
      <c r="D395" s="41"/>
      <c r="E395" s="41"/>
      <c r="F395" s="41"/>
      <c r="G395" s="41"/>
      <c r="H395" s="41"/>
      <c r="I395" s="42"/>
      <c r="J395" s="41"/>
      <c r="K395" s="41"/>
      <c r="L395" s="43"/>
    </row>
    <row r="396" spans="2:12" ht="15.75" hidden="1" outlineLevel="1" thickBot="1">
      <c r="B396" s="40" t="str">
        <f t="shared" si="15"/>
        <v/>
      </c>
      <c r="C396" s="41"/>
      <c r="D396" s="41"/>
      <c r="E396" s="41"/>
      <c r="F396" s="41"/>
      <c r="G396" s="41"/>
      <c r="H396" s="41"/>
      <c r="I396" s="42"/>
      <c r="J396" s="41"/>
      <c r="K396" s="41"/>
      <c r="L396" s="43"/>
    </row>
    <row r="397" spans="2:12" ht="15.75" hidden="1" outlineLevel="1" thickBot="1">
      <c r="B397" s="40" t="str">
        <f t="shared" si="15"/>
        <v/>
      </c>
      <c r="C397" s="41"/>
      <c r="D397" s="41"/>
      <c r="E397" s="41"/>
      <c r="F397" s="41"/>
      <c r="G397" s="41"/>
      <c r="H397" s="41"/>
      <c r="I397" s="42"/>
      <c r="J397" s="41"/>
      <c r="K397" s="41"/>
      <c r="L397" s="43"/>
    </row>
    <row r="398" spans="2:12" ht="15.75" hidden="1" outlineLevel="1" thickBot="1">
      <c r="B398" s="40" t="str">
        <f t="shared" si="15"/>
        <v/>
      </c>
      <c r="C398" s="41"/>
      <c r="D398" s="41"/>
      <c r="E398" s="41"/>
      <c r="F398" s="41"/>
      <c r="G398" s="41"/>
      <c r="H398" s="41"/>
      <c r="I398" s="42"/>
      <c r="J398" s="41"/>
      <c r="K398" s="41"/>
      <c r="L398" s="43"/>
    </row>
    <row r="399" spans="2:12" ht="15.75" hidden="1" outlineLevel="1" thickBot="1">
      <c r="B399" s="40" t="str">
        <f t="shared" si="15"/>
        <v/>
      </c>
      <c r="C399" s="41"/>
      <c r="D399" s="41"/>
      <c r="E399" s="41"/>
      <c r="F399" s="41"/>
      <c r="G399" s="41"/>
      <c r="H399" s="41"/>
      <c r="I399" s="42"/>
      <c r="J399" s="41"/>
      <c r="K399" s="41"/>
      <c r="L399" s="43"/>
    </row>
    <row r="400" spans="2:12" ht="15.75" hidden="1" outlineLevel="1" thickBot="1">
      <c r="B400" s="40" t="str">
        <f t="shared" si="15"/>
        <v/>
      </c>
      <c r="C400" s="41"/>
      <c r="D400" s="41"/>
      <c r="E400" s="41"/>
      <c r="F400" s="41"/>
      <c r="G400" s="41"/>
      <c r="H400" s="41"/>
      <c r="I400" s="42"/>
      <c r="J400" s="41"/>
      <c r="K400" s="41"/>
      <c r="L400" s="43"/>
    </row>
    <row r="401" spans="2:12" ht="15.75" hidden="1" outlineLevel="1" thickBot="1">
      <c r="B401" s="40" t="str">
        <f t="shared" si="15"/>
        <v/>
      </c>
      <c r="C401" s="41"/>
      <c r="D401" s="41"/>
      <c r="E401" s="41"/>
      <c r="F401" s="41"/>
      <c r="G401" s="41"/>
      <c r="H401" s="41"/>
      <c r="I401" s="42"/>
      <c r="J401" s="41"/>
      <c r="K401" s="41"/>
      <c r="L401" s="43"/>
    </row>
    <row r="402" spans="2:12" ht="15.75" hidden="1" outlineLevel="1" thickBot="1">
      <c r="B402" s="40" t="str">
        <f t="shared" si="15"/>
        <v/>
      </c>
      <c r="C402" s="41"/>
      <c r="D402" s="41"/>
      <c r="E402" s="41"/>
      <c r="F402" s="41"/>
      <c r="G402" s="41"/>
      <c r="H402" s="41"/>
      <c r="I402" s="42"/>
      <c r="J402" s="41"/>
      <c r="K402" s="41"/>
      <c r="L402" s="43"/>
    </row>
    <row r="403" spans="2:12" ht="15.75" hidden="1" outlineLevel="1" thickBot="1">
      <c r="B403" s="40" t="str">
        <f t="shared" si="15"/>
        <v/>
      </c>
      <c r="C403" s="41"/>
      <c r="D403" s="41"/>
      <c r="E403" s="41"/>
      <c r="F403" s="41"/>
      <c r="G403" s="41"/>
      <c r="H403" s="41"/>
      <c r="I403" s="42"/>
      <c r="J403" s="41"/>
      <c r="K403" s="41"/>
      <c r="L403" s="43"/>
    </row>
    <row r="404" spans="2:12" ht="15.75" hidden="1" outlineLevel="1" thickBot="1">
      <c r="B404" s="40" t="str">
        <f t="shared" si="15"/>
        <v/>
      </c>
      <c r="C404" s="41"/>
      <c r="D404" s="41"/>
      <c r="E404" s="41"/>
      <c r="F404" s="41"/>
      <c r="G404" s="41"/>
      <c r="H404" s="41"/>
      <c r="I404" s="42"/>
      <c r="J404" s="41"/>
      <c r="K404" s="41"/>
      <c r="L404" s="43"/>
    </row>
    <row r="405" spans="2:12" ht="15.75" hidden="1" outlineLevel="1" thickBot="1">
      <c r="B405" s="40" t="str">
        <f t="shared" si="15"/>
        <v/>
      </c>
      <c r="C405" s="41"/>
      <c r="D405" s="41"/>
      <c r="E405" s="41"/>
      <c r="F405" s="41"/>
      <c r="G405" s="41"/>
      <c r="H405" s="41"/>
      <c r="I405" s="42"/>
      <c r="J405" s="41"/>
      <c r="K405" s="41"/>
      <c r="L405" s="43"/>
    </row>
    <row r="406" spans="2:12" ht="15.75" hidden="1" outlineLevel="1" thickBot="1">
      <c r="B406" s="40" t="str">
        <f t="shared" si="15"/>
        <v/>
      </c>
      <c r="C406" s="41"/>
      <c r="D406" s="41"/>
      <c r="E406" s="41"/>
      <c r="F406" s="41"/>
      <c r="G406" s="41"/>
      <c r="H406" s="41"/>
      <c r="I406" s="42"/>
      <c r="J406" s="41"/>
      <c r="K406" s="41"/>
      <c r="L406" s="43"/>
    </row>
    <row r="407" spans="2:12" ht="15.75" hidden="1" outlineLevel="1" thickBot="1">
      <c r="B407" s="40" t="str">
        <f t="shared" si="15"/>
        <v/>
      </c>
      <c r="C407" s="41"/>
      <c r="D407" s="41"/>
      <c r="E407" s="41"/>
      <c r="F407" s="41"/>
      <c r="G407" s="41"/>
      <c r="H407" s="41"/>
      <c r="I407" s="42"/>
      <c r="J407" s="41"/>
      <c r="K407" s="41"/>
      <c r="L407" s="43"/>
    </row>
    <row r="408" spans="2:12" ht="15.75" hidden="1" outlineLevel="1" thickBot="1">
      <c r="B408" s="40" t="str">
        <f t="shared" si="15"/>
        <v/>
      </c>
      <c r="C408" s="41"/>
      <c r="D408" s="41"/>
      <c r="E408" s="41"/>
      <c r="F408" s="41"/>
      <c r="G408" s="41"/>
      <c r="H408" s="41"/>
      <c r="I408" s="42"/>
      <c r="J408" s="41"/>
      <c r="K408" s="41"/>
      <c r="L408" s="43"/>
    </row>
    <row r="409" spans="2:12" ht="15.75" hidden="1" outlineLevel="1" thickBot="1">
      <c r="B409" s="40" t="str">
        <f t="shared" si="15"/>
        <v/>
      </c>
      <c r="C409" s="41"/>
      <c r="D409" s="41"/>
      <c r="E409" s="41"/>
      <c r="F409" s="41"/>
      <c r="G409" s="41"/>
      <c r="H409" s="41"/>
      <c r="I409" s="42"/>
      <c r="J409" s="41"/>
      <c r="K409" s="41"/>
      <c r="L409" s="43"/>
    </row>
    <row r="410" spans="2:12" ht="15.75" hidden="1" outlineLevel="1" thickBot="1">
      <c r="B410" s="40" t="str">
        <f t="shared" si="15"/>
        <v/>
      </c>
      <c r="C410" s="41"/>
      <c r="D410" s="41"/>
      <c r="E410" s="41"/>
      <c r="F410" s="41"/>
      <c r="G410" s="41"/>
      <c r="H410" s="41"/>
      <c r="I410" s="42"/>
      <c r="J410" s="41"/>
      <c r="K410" s="41"/>
      <c r="L410" s="43"/>
    </row>
    <row r="411" spans="2:12" ht="15.75" hidden="1" outlineLevel="1" thickBot="1">
      <c r="B411" s="40" t="str">
        <f t="shared" si="15"/>
        <v/>
      </c>
      <c r="C411" s="41"/>
      <c r="D411" s="41"/>
      <c r="E411" s="41"/>
      <c r="F411" s="41"/>
      <c r="G411" s="41"/>
      <c r="H411" s="41"/>
      <c r="I411" s="42"/>
      <c r="J411" s="41"/>
      <c r="K411" s="41"/>
      <c r="L411" s="43"/>
    </row>
    <row r="412" spans="2:12" ht="15.75" hidden="1" outlineLevel="1" thickBot="1">
      <c r="B412" s="40" t="str">
        <f t="shared" si="15"/>
        <v/>
      </c>
      <c r="C412" s="41"/>
      <c r="D412" s="41"/>
      <c r="E412" s="41"/>
      <c r="F412" s="41"/>
      <c r="G412" s="41"/>
      <c r="H412" s="41"/>
      <c r="I412" s="42"/>
      <c r="J412" s="41"/>
      <c r="K412" s="41"/>
      <c r="L412" s="43"/>
    </row>
    <row r="413" spans="2:12" ht="15.75" hidden="1" outlineLevel="1" thickBot="1">
      <c r="B413" s="40" t="str">
        <f t="shared" si="15"/>
        <v/>
      </c>
      <c r="C413" s="41"/>
      <c r="D413" s="41"/>
      <c r="E413" s="41"/>
      <c r="F413" s="41"/>
      <c r="G413" s="41"/>
      <c r="H413" s="41"/>
      <c r="I413" s="42"/>
      <c r="J413" s="41"/>
      <c r="K413" s="41"/>
      <c r="L413" s="43"/>
    </row>
    <row r="414" spans="2:12" ht="15.75" hidden="1" outlineLevel="1" thickBot="1">
      <c r="B414" s="40" t="str">
        <f t="shared" si="15"/>
        <v/>
      </c>
      <c r="C414" s="41"/>
      <c r="D414" s="41"/>
      <c r="E414" s="41"/>
      <c r="F414" s="41"/>
      <c r="G414" s="41"/>
      <c r="H414" s="41"/>
      <c r="I414" s="42"/>
      <c r="J414" s="41"/>
      <c r="K414" s="41"/>
      <c r="L414" s="43"/>
    </row>
    <row r="415" spans="2:12" ht="15.75" hidden="1" outlineLevel="1" thickBot="1">
      <c r="B415" s="40" t="str">
        <f t="shared" si="15"/>
        <v/>
      </c>
      <c r="C415" s="41"/>
      <c r="D415" s="41"/>
      <c r="E415" s="41"/>
      <c r="F415" s="41"/>
      <c r="G415" s="41"/>
      <c r="H415" s="41"/>
      <c r="I415" s="42"/>
      <c r="J415" s="41"/>
      <c r="K415" s="41"/>
      <c r="L415" s="43"/>
    </row>
    <row r="416" spans="2:12" ht="15.75" hidden="1" outlineLevel="1" thickBot="1">
      <c r="B416" s="40" t="str">
        <f t="shared" si="15"/>
        <v/>
      </c>
      <c r="C416" s="41"/>
      <c r="D416" s="41"/>
      <c r="E416" s="41"/>
      <c r="F416" s="41"/>
      <c r="G416" s="41"/>
      <c r="H416" s="41"/>
      <c r="I416" s="42"/>
      <c r="J416" s="41"/>
      <c r="K416" s="41"/>
      <c r="L416" s="43"/>
    </row>
    <row r="417" spans="2:12" ht="15.75" hidden="1" outlineLevel="1" thickBot="1">
      <c r="B417" s="40" t="str">
        <f t="shared" si="15"/>
        <v/>
      </c>
      <c r="C417" s="41"/>
      <c r="D417" s="41"/>
      <c r="E417" s="41"/>
      <c r="F417" s="41"/>
      <c r="G417" s="41"/>
      <c r="H417" s="41"/>
      <c r="I417" s="42"/>
      <c r="J417" s="41"/>
      <c r="K417" s="41"/>
      <c r="L417" s="43"/>
    </row>
    <row r="418" spans="2:12" ht="15.75" hidden="1" outlineLevel="1" thickBot="1">
      <c r="B418" s="40" t="str">
        <f t="shared" si="15"/>
        <v/>
      </c>
      <c r="C418" s="41"/>
      <c r="D418" s="41"/>
      <c r="E418" s="41"/>
      <c r="F418" s="41"/>
      <c r="G418" s="41"/>
      <c r="H418" s="41"/>
      <c r="I418" s="42"/>
      <c r="J418" s="41"/>
      <c r="K418" s="41"/>
      <c r="L418" s="43"/>
    </row>
    <row r="419" spans="2:12" ht="15.75" hidden="1" outlineLevel="1" thickBot="1">
      <c r="B419" s="40" t="str">
        <f t="shared" ref="B419:B452" si="16">IF(C419="","",(B418+1))</f>
        <v/>
      </c>
      <c r="C419" s="41"/>
      <c r="D419" s="41"/>
      <c r="E419" s="41"/>
      <c r="F419" s="41"/>
      <c r="G419" s="41"/>
      <c r="H419" s="41"/>
      <c r="I419" s="42"/>
      <c r="J419" s="41"/>
      <c r="K419" s="41"/>
      <c r="L419" s="43"/>
    </row>
    <row r="420" spans="2:12" ht="15.75" hidden="1" outlineLevel="1" thickBot="1">
      <c r="B420" s="40" t="str">
        <f t="shared" si="16"/>
        <v/>
      </c>
      <c r="C420" s="41"/>
      <c r="D420" s="41"/>
      <c r="E420" s="41"/>
      <c r="F420" s="41"/>
      <c r="G420" s="41"/>
      <c r="H420" s="41"/>
      <c r="I420" s="42"/>
      <c r="J420" s="41"/>
      <c r="K420" s="41"/>
      <c r="L420" s="43"/>
    </row>
    <row r="421" spans="2:12" ht="15.75" hidden="1" outlineLevel="1" thickBot="1">
      <c r="B421" s="40" t="str">
        <f t="shared" si="16"/>
        <v/>
      </c>
      <c r="C421" s="41"/>
      <c r="D421" s="41"/>
      <c r="E421" s="41"/>
      <c r="F421" s="41"/>
      <c r="G421" s="41"/>
      <c r="H421" s="41"/>
      <c r="I421" s="42"/>
      <c r="J421" s="41"/>
      <c r="K421" s="41"/>
      <c r="L421" s="43"/>
    </row>
    <row r="422" spans="2:12" ht="15.75" hidden="1" outlineLevel="1" thickBot="1">
      <c r="B422" s="40" t="str">
        <f t="shared" si="16"/>
        <v/>
      </c>
      <c r="C422" s="41"/>
      <c r="D422" s="41"/>
      <c r="E422" s="41"/>
      <c r="F422" s="41"/>
      <c r="G422" s="41"/>
      <c r="H422" s="41"/>
      <c r="I422" s="42"/>
      <c r="J422" s="41"/>
      <c r="K422" s="41"/>
      <c r="L422" s="43"/>
    </row>
    <row r="423" spans="2:12" ht="15.75" hidden="1" outlineLevel="1" thickBot="1">
      <c r="B423" s="40" t="str">
        <f t="shared" si="16"/>
        <v/>
      </c>
      <c r="C423" s="41"/>
      <c r="D423" s="41"/>
      <c r="E423" s="41"/>
      <c r="F423" s="41"/>
      <c r="G423" s="41"/>
      <c r="H423" s="41"/>
      <c r="I423" s="42"/>
      <c r="J423" s="41"/>
      <c r="K423" s="41"/>
      <c r="L423" s="43"/>
    </row>
    <row r="424" spans="2:12" ht="15.75" hidden="1" outlineLevel="1" thickBot="1">
      <c r="B424" s="40" t="str">
        <f t="shared" si="16"/>
        <v/>
      </c>
      <c r="C424" s="41"/>
      <c r="D424" s="41"/>
      <c r="E424" s="41"/>
      <c r="F424" s="41"/>
      <c r="G424" s="41"/>
      <c r="H424" s="41"/>
      <c r="I424" s="42"/>
      <c r="J424" s="41"/>
      <c r="K424" s="41"/>
      <c r="L424" s="43"/>
    </row>
    <row r="425" spans="2:12" ht="15.75" hidden="1" outlineLevel="1" thickBot="1">
      <c r="B425" s="40" t="str">
        <f t="shared" si="16"/>
        <v/>
      </c>
      <c r="C425" s="41"/>
      <c r="D425" s="41"/>
      <c r="E425" s="41"/>
      <c r="F425" s="41"/>
      <c r="G425" s="41"/>
      <c r="H425" s="41"/>
      <c r="I425" s="42"/>
      <c r="J425" s="41"/>
      <c r="K425" s="41"/>
      <c r="L425" s="43"/>
    </row>
    <row r="426" spans="2:12" ht="15.75" hidden="1" outlineLevel="1" thickBot="1">
      <c r="B426" s="40" t="str">
        <f t="shared" si="16"/>
        <v/>
      </c>
      <c r="C426" s="41"/>
      <c r="D426" s="41"/>
      <c r="E426" s="41"/>
      <c r="F426" s="41"/>
      <c r="G426" s="41"/>
      <c r="H426" s="41"/>
      <c r="I426" s="42"/>
      <c r="J426" s="41"/>
      <c r="K426" s="41"/>
      <c r="L426" s="43"/>
    </row>
    <row r="427" spans="2:12" ht="15.75" hidden="1" outlineLevel="1" thickBot="1">
      <c r="B427" s="40" t="str">
        <f t="shared" si="16"/>
        <v/>
      </c>
      <c r="C427" s="41"/>
      <c r="D427" s="41"/>
      <c r="E427" s="41"/>
      <c r="F427" s="41"/>
      <c r="G427" s="41"/>
      <c r="H427" s="41"/>
      <c r="I427" s="42"/>
      <c r="J427" s="41"/>
      <c r="K427" s="41"/>
      <c r="L427" s="43"/>
    </row>
    <row r="428" spans="2:12" ht="15.75" hidden="1" outlineLevel="1" thickBot="1">
      <c r="B428" s="40" t="str">
        <f t="shared" si="16"/>
        <v/>
      </c>
      <c r="C428" s="41"/>
      <c r="D428" s="41"/>
      <c r="E428" s="41"/>
      <c r="F428" s="41"/>
      <c r="G428" s="41"/>
      <c r="H428" s="41"/>
      <c r="I428" s="42"/>
      <c r="J428" s="41"/>
      <c r="K428" s="41"/>
      <c r="L428" s="43"/>
    </row>
    <row r="429" spans="2:12" ht="15.75" hidden="1" outlineLevel="1" thickBot="1">
      <c r="B429" s="40" t="str">
        <f t="shared" si="16"/>
        <v/>
      </c>
      <c r="C429" s="41"/>
      <c r="D429" s="41"/>
      <c r="E429" s="41"/>
      <c r="F429" s="41"/>
      <c r="G429" s="41"/>
      <c r="H429" s="41"/>
      <c r="I429" s="42"/>
      <c r="J429" s="41"/>
      <c r="K429" s="41"/>
      <c r="L429" s="43"/>
    </row>
    <row r="430" spans="2:12" ht="15.75" hidden="1" outlineLevel="1" thickBot="1">
      <c r="B430" s="40" t="str">
        <f t="shared" si="16"/>
        <v/>
      </c>
      <c r="C430" s="41"/>
      <c r="D430" s="41"/>
      <c r="E430" s="41"/>
      <c r="F430" s="41"/>
      <c r="G430" s="41"/>
      <c r="H430" s="41"/>
      <c r="I430" s="42"/>
      <c r="J430" s="41"/>
      <c r="K430" s="41"/>
      <c r="L430" s="43"/>
    </row>
    <row r="431" spans="2:12" ht="15.75" hidden="1" outlineLevel="1" thickBot="1">
      <c r="B431" s="40" t="str">
        <f t="shared" si="16"/>
        <v/>
      </c>
      <c r="C431" s="41"/>
      <c r="D431" s="41"/>
      <c r="E431" s="41"/>
      <c r="F431" s="41"/>
      <c r="G431" s="41"/>
      <c r="H431" s="41"/>
      <c r="I431" s="42"/>
      <c r="J431" s="41"/>
      <c r="K431" s="41"/>
      <c r="L431" s="43"/>
    </row>
    <row r="432" spans="2:12" ht="15.75" hidden="1" outlineLevel="1" thickBot="1">
      <c r="B432" s="40" t="str">
        <f t="shared" si="16"/>
        <v/>
      </c>
      <c r="C432" s="41"/>
      <c r="D432" s="41"/>
      <c r="E432" s="41"/>
      <c r="F432" s="41"/>
      <c r="G432" s="41"/>
      <c r="H432" s="41"/>
      <c r="I432" s="42"/>
      <c r="J432" s="41"/>
      <c r="K432" s="41"/>
      <c r="L432" s="43"/>
    </row>
    <row r="433" spans="2:12" ht="15.75" hidden="1" outlineLevel="1" thickBot="1">
      <c r="B433" s="40" t="str">
        <f t="shared" si="16"/>
        <v/>
      </c>
      <c r="C433" s="41"/>
      <c r="D433" s="41"/>
      <c r="E433" s="41"/>
      <c r="F433" s="41"/>
      <c r="G433" s="41"/>
      <c r="H433" s="41"/>
      <c r="I433" s="42"/>
      <c r="J433" s="41"/>
      <c r="K433" s="41"/>
      <c r="L433" s="43"/>
    </row>
    <row r="434" spans="2:12" ht="15.75" hidden="1" outlineLevel="1" thickBot="1">
      <c r="B434" s="40" t="str">
        <f t="shared" si="16"/>
        <v/>
      </c>
      <c r="C434" s="41"/>
      <c r="D434" s="41"/>
      <c r="E434" s="41"/>
      <c r="F434" s="41"/>
      <c r="G434" s="41"/>
      <c r="H434" s="41"/>
      <c r="I434" s="42"/>
      <c r="J434" s="41"/>
      <c r="K434" s="41"/>
      <c r="L434" s="43"/>
    </row>
    <row r="435" spans="2:12" ht="15.75" hidden="1" outlineLevel="1" thickBot="1">
      <c r="B435" s="40" t="str">
        <f t="shared" si="16"/>
        <v/>
      </c>
      <c r="C435" s="41"/>
      <c r="D435" s="41"/>
      <c r="E435" s="41"/>
      <c r="F435" s="41"/>
      <c r="G435" s="41"/>
      <c r="H435" s="41"/>
      <c r="I435" s="42"/>
      <c r="J435" s="41"/>
      <c r="K435" s="41"/>
      <c r="L435" s="43"/>
    </row>
    <row r="436" spans="2:12" ht="15.75" hidden="1" outlineLevel="1" thickBot="1">
      <c r="B436" s="40" t="str">
        <f t="shared" si="16"/>
        <v/>
      </c>
      <c r="C436" s="41"/>
      <c r="D436" s="41"/>
      <c r="E436" s="41"/>
      <c r="F436" s="41"/>
      <c r="G436" s="41"/>
      <c r="H436" s="41"/>
      <c r="I436" s="42"/>
      <c r="J436" s="41"/>
      <c r="K436" s="41"/>
      <c r="L436" s="43"/>
    </row>
    <row r="437" spans="2:12" ht="15.75" hidden="1" outlineLevel="1" thickBot="1">
      <c r="B437" s="40" t="str">
        <f t="shared" si="16"/>
        <v/>
      </c>
      <c r="C437" s="41"/>
      <c r="D437" s="41"/>
      <c r="E437" s="41"/>
      <c r="F437" s="41"/>
      <c r="G437" s="41"/>
      <c r="H437" s="41"/>
      <c r="I437" s="42"/>
      <c r="J437" s="41"/>
      <c r="K437" s="41"/>
      <c r="L437" s="43"/>
    </row>
    <row r="438" spans="2:12" ht="15.75" hidden="1" outlineLevel="1" thickBot="1">
      <c r="B438" s="40" t="str">
        <f t="shared" si="16"/>
        <v/>
      </c>
      <c r="C438" s="41"/>
      <c r="D438" s="41"/>
      <c r="E438" s="41"/>
      <c r="F438" s="41"/>
      <c r="G438" s="41"/>
      <c r="H438" s="41"/>
      <c r="I438" s="42"/>
      <c r="J438" s="41"/>
      <c r="K438" s="41"/>
      <c r="L438" s="43"/>
    </row>
    <row r="439" spans="2:12" ht="15.75" hidden="1" outlineLevel="1" thickBot="1">
      <c r="B439" s="40" t="str">
        <f t="shared" si="16"/>
        <v/>
      </c>
      <c r="C439" s="41"/>
      <c r="D439" s="41"/>
      <c r="E439" s="41"/>
      <c r="F439" s="41"/>
      <c r="G439" s="41"/>
      <c r="H439" s="41"/>
      <c r="I439" s="42"/>
      <c r="J439" s="41"/>
      <c r="K439" s="41"/>
      <c r="L439" s="43"/>
    </row>
    <row r="440" spans="2:12" ht="15.75" hidden="1" outlineLevel="1" thickBot="1">
      <c r="B440" s="40" t="str">
        <f t="shared" si="16"/>
        <v/>
      </c>
      <c r="C440" s="41"/>
      <c r="D440" s="41"/>
      <c r="E440" s="41"/>
      <c r="F440" s="41"/>
      <c r="G440" s="41"/>
      <c r="H440" s="41"/>
      <c r="I440" s="42"/>
      <c r="J440" s="41"/>
      <c r="K440" s="41"/>
      <c r="L440" s="43"/>
    </row>
    <row r="441" spans="2:12" ht="15.75" hidden="1" outlineLevel="1" thickBot="1">
      <c r="B441" s="40" t="str">
        <f t="shared" si="16"/>
        <v/>
      </c>
      <c r="C441" s="41"/>
      <c r="D441" s="41"/>
      <c r="E441" s="41"/>
      <c r="F441" s="41"/>
      <c r="G441" s="41"/>
      <c r="H441" s="41"/>
      <c r="I441" s="42"/>
      <c r="J441" s="41"/>
      <c r="K441" s="41"/>
      <c r="L441" s="43"/>
    </row>
    <row r="442" spans="2:12" ht="15.75" hidden="1" outlineLevel="1" thickBot="1">
      <c r="B442" s="40" t="str">
        <f t="shared" si="16"/>
        <v/>
      </c>
      <c r="C442" s="41"/>
      <c r="D442" s="41"/>
      <c r="E442" s="41"/>
      <c r="F442" s="41"/>
      <c r="G442" s="41"/>
      <c r="H442" s="41"/>
      <c r="I442" s="42"/>
      <c r="J442" s="41"/>
      <c r="K442" s="41"/>
      <c r="L442" s="43"/>
    </row>
    <row r="443" spans="2:12" ht="15.75" hidden="1" outlineLevel="1" thickBot="1">
      <c r="B443" s="40" t="str">
        <f t="shared" si="16"/>
        <v/>
      </c>
      <c r="C443" s="41"/>
      <c r="D443" s="41"/>
      <c r="E443" s="41"/>
      <c r="F443" s="41"/>
      <c r="G443" s="41"/>
      <c r="H443" s="41"/>
      <c r="I443" s="42"/>
      <c r="J443" s="41"/>
      <c r="K443" s="41"/>
      <c r="L443" s="43"/>
    </row>
    <row r="444" spans="2:12" ht="15.75" hidden="1" outlineLevel="1" thickBot="1">
      <c r="B444" s="40" t="str">
        <f t="shared" si="16"/>
        <v/>
      </c>
      <c r="C444" s="41"/>
      <c r="D444" s="41"/>
      <c r="E444" s="41"/>
      <c r="F444" s="41"/>
      <c r="G444" s="41"/>
      <c r="H444" s="41"/>
      <c r="I444" s="42"/>
      <c r="J444" s="41"/>
      <c r="K444" s="41"/>
      <c r="L444" s="43"/>
    </row>
    <row r="445" spans="2:12" ht="15.75" hidden="1" outlineLevel="1" thickBot="1">
      <c r="B445" s="40" t="str">
        <f t="shared" si="16"/>
        <v/>
      </c>
      <c r="C445" s="41"/>
      <c r="D445" s="41"/>
      <c r="E445" s="41"/>
      <c r="F445" s="41"/>
      <c r="G445" s="41"/>
      <c r="H445" s="41"/>
      <c r="I445" s="42"/>
      <c r="J445" s="41"/>
      <c r="K445" s="41"/>
      <c r="L445" s="43"/>
    </row>
    <row r="446" spans="2:12" ht="15.75" hidden="1" outlineLevel="1" thickBot="1">
      <c r="B446" s="40" t="str">
        <f t="shared" si="16"/>
        <v/>
      </c>
      <c r="C446" s="41"/>
      <c r="D446" s="41"/>
      <c r="E446" s="41"/>
      <c r="F446" s="41"/>
      <c r="G446" s="41"/>
      <c r="H446" s="41"/>
      <c r="I446" s="42"/>
      <c r="J446" s="41"/>
      <c r="K446" s="41"/>
      <c r="L446" s="43"/>
    </row>
    <row r="447" spans="2:12" ht="15.75" hidden="1" outlineLevel="1" thickBot="1">
      <c r="B447" s="40" t="str">
        <f t="shared" si="16"/>
        <v/>
      </c>
      <c r="C447" s="41"/>
      <c r="D447" s="41"/>
      <c r="E447" s="41"/>
      <c r="F447" s="41"/>
      <c r="G447" s="41"/>
      <c r="H447" s="41"/>
      <c r="I447" s="42"/>
      <c r="J447" s="41"/>
      <c r="K447" s="41"/>
      <c r="L447" s="43"/>
    </row>
    <row r="448" spans="2:12" ht="15.75" hidden="1" outlineLevel="1" thickBot="1">
      <c r="B448" s="40" t="str">
        <f t="shared" si="16"/>
        <v/>
      </c>
      <c r="C448" s="41"/>
      <c r="D448" s="41"/>
      <c r="E448" s="41"/>
      <c r="F448" s="41"/>
      <c r="G448" s="41"/>
      <c r="H448" s="41"/>
      <c r="I448" s="42"/>
      <c r="J448" s="41"/>
      <c r="K448" s="41"/>
      <c r="L448" s="43"/>
    </row>
    <row r="449" spans="2:12" ht="15.75" hidden="1" outlineLevel="1" thickBot="1">
      <c r="B449" s="40" t="str">
        <f t="shared" si="16"/>
        <v/>
      </c>
      <c r="C449" s="41"/>
      <c r="D449" s="41"/>
      <c r="E449" s="41"/>
      <c r="F449" s="41"/>
      <c r="G449" s="41"/>
      <c r="H449" s="41"/>
      <c r="I449" s="42"/>
      <c r="J449" s="41"/>
      <c r="K449" s="41"/>
      <c r="L449" s="43"/>
    </row>
    <row r="450" spans="2:12" ht="15.75" hidden="1" outlineLevel="1" thickBot="1">
      <c r="B450" s="40" t="str">
        <f t="shared" si="16"/>
        <v/>
      </c>
      <c r="C450" s="41"/>
      <c r="D450" s="41"/>
      <c r="E450" s="41"/>
      <c r="F450" s="41"/>
      <c r="G450" s="41"/>
      <c r="H450" s="41"/>
      <c r="I450" s="42"/>
      <c r="J450" s="41"/>
      <c r="K450" s="41"/>
      <c r="L450" s="43"/>
    </row>
    <row r="451" spans="2:12" ht="15.75" hidden="1" outlineLevel="1" thickBot="1">
      <c r="B451" s="35" t="str">
        <f t="shared" si="16"/>
        <v/>
      </c>
      <c r="C451" s="41"/>
      <c r="D451" s="1"/>
      <c r="E451" s="1"/>
      <c r="F451" s="1"/>
      <c r="G451" s="1"/>
      <c r="H451" s="1"/>
      <c r="I451" s="36"/>
      <c r="J451" s="1"/>
      <c r="K451" s="1"/>
      <c r="L451" s="2"/>
    </row>
    <row r="452" spans="2:12" ht="15.75" hidden="1" outlineLevel="1" thickBot="1">
      <c r="B452" s="37" t="str">
        <f t="shared" si="16"/>
        <v/>
      </c>
      <c r="C452" s="38"/>
      <c r="D452" s="38"/>
      <c r="E452" s="38"/>
      <c r="F452" s="38"/>
      <c r="G452" s="38"/>
      <c r="H452" s="38"/>
      <c r="I452" s="38"/>
      <c r="J452" s="38"/>
      <c r="K452" s="38"/>
      <c r="L452" s="39"/>
    </row>
    <row r="453" spans="2:12" ht="24" customHeight="1" collapsed="1" thickBot="1">
      <c r="B453" s="320" t="s">
        <v>59</v>
      </c>
      <c r="C453" s="321"/>
      <c r="D453" s="321"/>
      <c r="E453" s="321"/>
      <c r="F453" s="321"/>
      <c r="G453" s="321"/>
      <c r="H453" s="321"/>
      <c r="I453" s="321"/>
      <c r="J453" s="321"/>
      <c r="K453" s="321"/>
      <c r="L453" s="322"/>
    </row>
    <row r="454" spans="2:12" ht="24" customHeight="1" thickBot="1">
      <c r="B454" s="26" t="s">
        <v>49</v>
      </c>
      <c r="C454" s="27" t="s">
        <v>60</v>
      </c>
      <c r="D454" s="27" t="s">
        <v>62</v>
      </c>
      <c r="E454" s="27" t="s">
        <v>63</v>
      </c>
      <c r="F454" s="27" t="s">
        <v>64</v>
      </c>
      <c r="G454" s="27" t="s">
        <v>65</v>
      </c>
      <c r="H454" s="27" t="s">
        <v>66</v>
      </c>
      <c r="I454" s="27" t="s">
        <v>67</v>
      </c>
      <c r="J454" s="27" t="s">
        <v>6</v>
      </c>
      <c r="K454" s="27" t="s">
        <v>7</v>
      </c>
      <c r="L454" s="28" t="s">
        <v>68</v>
      </c>
    </row>
    <row r="455" spans="2:12">
      <c r="B455" s="46" t="s">
        <v>8</v>
      </c>
      <c r="C455" s="41">
        <f>COUNTIFS(B353:B452,"&gt;"&amp;0,C353:C452,"="&amp;B455)</f>
        <v>0</v>
      </c>
      <c r="D455" s="41">
        <f>COUNTIFS(B353:B452,"&gt;="&amp;1,C353:C452,B455,K353:K452,"&gt;="&amp;0,K353:K452,"&lt;"&amp;50)</f>
        <v>0</v>
      </c>
      <c r="E455" s="41">
        <f>COUNTIFS(B353:B452,"&gt;="&amp;1,C353:C452,B455,K353:K452,"&gt;="&amp;50,K353:K452,"&lt;"&amp;500)</f>
        <v>0</v>
      </c>
      <c r="F455" s="41">
        <f>COUNTIFS(B353:B452,"&gt;="&amp;1,C353:C452,B455,K353:K452,"&gt;="&amp;500)</f>
        <v>0</v>
      </c>
      <c r="G455" s="41">
        <f>COUNTIFS(B353:B452,"&gt;="&amp;1,C353:C452,B455,K353:K452,"&gt;="&amp;0,I353:I452,"&gt;"&amp;DATE(2021,1,1))</f>
        <v>0</v>
      </c>
      <c r="H455" s="47" t="str">
        <f>IF(G455=0,"-",(SUM(E455,F455)/G455))</f>
        <v>-</v>
      </c>
      <c r="I455" s="41">
        <f>IF((COUNTIFS(B353:B452,"&gt;="&amp;1,C353:C452,"="&amp;B455))&gt;228,228,(COUNTIFS(B353:B452,"&gt;="&amp;1,C353:C452,"="&amp;B455)))</f>
        <v>0</v>
      </c>
      <c r="J455" s="47" t="str">
        <f>IF(I455=0,"-",(COUNTIFS(C353:C452,"="&amp;B455,I353:I452,"&lt;="&amp;DATE(2024,12,31),K353:K452,"&gt;="&amp;0)/I455))</f>
        <v>-</v>
      </c>
      <c r="K455" s="47" t="str">
        <f>IF(I455=0,"-",IF(J455=1,"-",(COUNTIFS(B353:B452,"&gt;"&amp;0,C353:C452,"="&amp;B455,I353:I452,"&gt;"&amp;DATE(2024,12,31),K353:K452,"&gt;="&amp;0)/(I455-COUNTIFS(B353:B452,"&gt;"&amp;0,C353:C452,"="&amp;B455,I353:I452,"&lt;="&amp;DATE(2024,12,31),K353:K452,"&gt;="&amp;0)))))</f>
        <v>-</v>
      </c>
      <c r="L455" s="48" t="str">
        <f>IF(I455=0,"-",G455/I455)</f>
        <v>-</v>
      </c>
    </row>
    <row r="456" spans="2:12">
      <c r="B456" s="7" t="s">
        <v>9</v>
      </c>
      <c r="C456" s="1">
        <f>COUNTIFS(B353:B452,"&gt;"&amp;0,C353:C452,"="&amp;B456)</f>
        <v>0</v>
      </c>
      <c r="D456" s="1">
        <f>COUNTIFS(B353:B452,"&gt;="&amp;1,C353:C452,B456,K353:K452,"&gt;="&amp;0,K353:K452,"&lt;"&amp;50)</f>
        <v>0</v>
      </c>
      <c r="E456" s="1">
        <f>COUNTIFS(B353:B452,"&gt;="&amp;1,C353:C452,B456,K353:K452,"&gt;="&amp;50,K353:K452,"&lt;"&amp;500)</f>
        <v>0</v>
      </c>
      <c r="F456" s="1">
        <f>COUNTIFS(B353:B452,"&gt;="&amp;1,C353:C452,B456,K353:K452,"&gt;="&amp;500)</f>
        <v>0</v>
      </c>
      <c r="G456" s="1">
        <f>COUNTIFS(B353:B452,"&gt;="&amp;1,C353:C452,B456,K353:K452,"&gt;="&amp;0,I353:I452,"&gt;"&amp;DATE(2021,1,1))</f>
        <v>0</v>
      </c>
      <c r="H456" s="44" t="str">
        <f t="shared" ref="H456:H458" si="17">IF(G456=0,"-",(SUM(E456,F456)/G456))</f>
        <v>-</v>
      </c>
      <c r="I456" s="1">
        <f>IF((COUNTIFS(B353:B452,"&gt;="&amp;1,C353:C452,"="&amp;B456))&gt;228,228,(COUNTIFS(B353:B452,"&gt;="&amp;1,C353:C452,"="&amp;B456)))</f>
        <v>0</v>
      </c>
      <c r="J456" s="44" t="str">
        <f>IF(I456=0,"-",(COUNTIFS(C353:C452,"="&amp;B456,I353:I452,"&lt;="&amp;DATE(2024,12,31),K353:K452,"&gt;="&amp;0)/I456))</f>
        <v>-</v>
      </c>
      <c r="K456" s="47" t="str">
        <f>IF(I456=0,"-",IF(J456=1,"-",(COUNTIFS(B353:B452,"&gt;"&amp;0,C353:C452,"="&amp;B456,I353:I452,"&gt;"&amp;DATE(2024,12,31),K353:K452,"&gt;="&amp;0)/(I456-COUNTIFS(B353:B452,"&gt;"&amp;0,C353:C452,"="&amp;B456,I353:I452,"&lt;="&amp;DATE(2024,12,31),K353:K452,"&gt;="&amp;0)))))</f>
        <v>-</v>
      </c>
      <c r="L456" s="45" t="str">
        <f t="shared" ref="L456:L458" si="18">IF(I456=0,"-",G456/I456)</f>
        <v>-</v>
      </c>
    </row>
    <row r="457" spans="2:12">
      <c r="B457" s="7" t="s">
        <v>69</v>
      </c>
      <c r="C457" s="1">
        <f>COUNTIFS(B353:B452,"&gt;"&amp;0,C353:C452,"="&amp;B457)</f>
        <v>0</v>
      </c>
      <c r="D457" s="1">
        <f>COUNTIFS(B353:B452,"&gt;="&amp;1,C353:C452,B457,K353:K452,"&gt;="&amp;0,K353:K452,"&lt;"&amp;50)</f>
        <v>0</v>
      </c>
      <c r="E457" s="1">
        <f>COUNTIFS(B353:B452,"&gt;="&amp;1,C353:C452,B457,K353:K452,"&gt;="&amp;50,K353:K452,"&lt;"&amp;500)</f>
        <v>0</v>
      </c>
      <c r="F457" s="1">
        <f>COUNTIFS(B353:B451,"&gt;="&amp;1,C353:C451,B457,K353:K451,"&gt;="&amp;500)</f>
        <v>0</v>
      </c>
      <c r="G457" s="1">
        <f>COUNTIFS(B353:B452,"&gt;="&amp;1,C353:C452,B457,K353:K452,"&gt;="&amp;0,I353:I452,"&gt;"&amp;DATE(2021,1,1))</f>
        <v>0</v>
      </c>
      <c r="H457" s="44" t="str">
        <f t="shared" si="17"/>
        <v>-</v>
      </c>
      <c r="I457" s="1">
        <f>IF((COUNTIFS(B353:B451,"&gt;="&amp;1,C353:C451,"="&amp;B457))&gt;228,228,(COUNTIFS(B353:B451,"&gt;="&amp;1,C353:C451,"="&amp;B457)))</f>
        <v>0</v>
      </c>
      <c r="J457" s="44" t="str">
        <f>IF(I457=0,"-",(COUNTIFS(C353:C452,"="&amp;B457,I353:I452,"&lt;="&amp;DATE(2024,12,31),K353:K452,"&gt;="&amp;0)/I457))</f>
        <v>-</v>
      </c>
      <c r="K457" s="47" t="str">
        <f>IF(I457=0,"-",IF(J457=1,"-",(COUNTIFS(B353:B452,"&gt;"&amp;0,C353:C452,"="&amp;B457,I353:I452,"&gt;"&amp;DATE(2024,12,31),K353:K452,"&gt;="&amp;0)/(I457-COUNTIFS(B353:B452,"&gt;"&amp;0,C353:C452,"="&amp;B457,I353:I452,"&lt;="&amp;DATE(2024,12,31),K353:K452,"&gt;="&amp;0)))))</f>
        <v>-</v>
      </c>
      <c r="L457" s="45" t="str">
        <f t="shared" si="18"/>
        <v>-</v>
      </c>
    </row>
    <row r="458" spans="2:12" ht="24" customHeight="1" thickBot="1">
      <c r="B458" s="49" t="s">
        <v>59</v>
      </c>
      <c r="C458" s="50">
        <f>SUM(C455:C457)</f>
        <v>0</v>
      </c>
      <c r="D458" s="50">
        <f>SUM(D455:D457)</f>
        <v>0</v>
      </c>
      <c r="E458" s="50">
        <f>SUM(E455:E457)</f>
        <v>0</v>
      </c>
      <c r="F458" s="50">
        <f>SUM(F455:F457)</f>
        <v>0</v>
      </c>
      <c r="G458" s="50">
        <f>SUM(G455:G457)</f>
        <v>0</v>
      </c>
      <c r="H458" s="51" t="str">
        <f t="shared" si="17"/>
        <v>-</v>
      </c>
      <c r="I458" s="50">
        <f>SUM(I455:I457)</f>
        <v>0</v>
      </c>
      <c r="J458" s="51" t="str">
        <f>IF(I458=0,"-",(COUNTIFS(I353:I452,"&lt;="&amp;DATE(2024,12,31),K353:K452,"&gt;="&amp;0)/I458))</f>
        <v>-</v>
      </c>
      <c r="K458" s="51" t="str">
        <f>IF(I458=0,"-",IF(J458=1,"-",(COUNTIFS(B353:B452,"&gt;"&amp;0,I353:I452,"&gt;"&amp;DATE(2024,12,31),K353:K452,"&gt;="&amp;0)/(I458-COUNTIFS(B353:B452,"&gt;"&amp;0,I353:I452,"&lt;="&amp;DATE(2024,12,31),K353:K452,"&gt;="&amp;0)))))</f>
        <v>-</v>
      </c>
      <c r="L458" s="52" t="str">
        <f t="shared" si="18"/>
        <v>-</v>
      </c>
    </row>
    <row r="460" spans="2:12" ht="15.75" thickBot="1"/>
    <row r="461" spans="2:12" ht="33" customHeight="1" thickBot="1">
      <c r="B461" s="320" t="str">
        <f>_xlfn.CONCAT("Transformadores de Distribuição - TD's",TEXT(IF(SUM(I1382:I1385)=0," ",(SUM(G1382:G1385)/SUM(I1382:I1385))), " 0,00%"))</f>
        <v>Transformadores de Distribuição - TD's 31,14%</v>
      </c>
      <c r="C461" s="321"/>
      <c r="D461" s="321"/>
      <c r="E461" s="321"/>
      <c r="F461" s="321"/>
      <c r="G461" s="321"/>
      <c r="H461" s="321"/>
      <c r="I461" s="321"/>
      <c r="J461" s="321"/>
      <c r="K461" s="321"/>
      <c r="L461" s="322"/>
    </row>
    <row r="462" spans="2:12" ht="23.25" customHeight="1" thickBot="1">
      <c r="B462" s="26" t="s">
        <v>48</v>
      </c>
      <c r="C462" s="27" t="s">
        <v>49</v>
      </c>
      <c r="D462" s="27" t="s">
        <v>50</v>
      </c>
      <c r="E462" s="27" t="s">
        <v>51</v>
      </c>
      <c r="F462" s="27" t="s">
        <v>52</v>
      </c>
      <c r="G462" s="27" t="s">
        <v>53</v>
      </c>
      <c r="H462" s="27" t="s">
        <v>54</v>
      </c>
      <c r="I462" s="27" t="s">
        <v>55</v>
      </c>
      <c r="J462" s="27" t="s">
        <v>56</v>
      </c>
      <c r="K462" s="27" t="s">
        <v>57</v>
      </c>
      <c r="L462" s="28" t="s">
        <v>58</v>
      </c>
    </row>
    <row r="463" spans="2:12" outlineLevel="2">
      <c r="B463" s="40">
        <f>ROW(A1)</f>
        <v>1</v>
      </c>
      <c r="C463" s="41" t="s">
        <v>8</v>
      </c>
      <c r="D463" s="41" t="s">
        <v>196</v>
      </c>
      <c r="E463" s="118">
        <v>8228010</v>
      </c>
      <c r="F463" s="118"/>
      <c r="G463" s="119">
        <v>1982</v>
      </c>
      <c r="H463" s="41"/>
      <c r="I463" s="212">
        <v>44860</v>
      </c>
      <c r="J463" s="41"/>
      <c r="K463" s="120">
        <v>20</v>
      </c>
      <c r="L463" s="213">
        <v>7075</v>
      </c>
    </row>
    <row r="464" spans="2:12" outlineLevel="2">
      <c r="B464" s="40">
        <f t="shared" ref="B464" si="19">ROW(A2)</f>
        <v>2</v>
      </c>
      <c r="C464" s="41" t="s">
        <v>8</v>
      </c>
      <c r="D464" s="41" t="s">
        <v>196</v>
      </c>
      <c r="E464" s="217">
        <v>8645918</v>
      </c>
      <c r="F464" s="217" t="s">
        <v>172</v>
      </c>
      <c r="G464" s="222">
        <v>31686</v>
      </c>
      <c r="H464" s="41"/>
      <c r="I464" s="211">
        <v>44918</v>
      </c>
      <c r="J464" s="41"/>
      <c r="K464" s="214">
        <v>21</v>
      </c>
      <c r="L464" s="241">
        <v>13203</v>
      </c>
    </row>
    <row r="465" spans="2:12" outlineLevel="2">
      <c r="B465" s="40">
        <f t="shared" ref="B465:B528" si="20">ROW(A3)</f>
        <v>3</v>
      </c>
      <c r="C465" s="41" t="s">
        <v>8</v>
      </c>
      <c r="D465" s="41" t="s">
        <v>196</v>
      </c>
      <c r="E465" s="263">
        <v>168348</v>
      </c>
      <c r="F465" s="231" t="s">
        <v>172</v>
      </c>
      <c r="G465" s="232">
        <v>32417</v>
      </c>
      <c r="H465" s="41"/>
      <c r="I465" s="211">
        <v>44900</v>
      </c>
      <c r="J465" s="41"/>
      <c r="K465" s="248" t="s">
        <v>197</v>
      </c>
      <c r="L465" s="241">
        <v>15220</v>
      </c>
    </row>
    <row r="466" spans="2:12" outlineLevel="2">
      <c r="B466" s="40">
        <f t="shared" si="20"/>
        <v>4</v>
      </c>
      <c r="C466" s="41" t="s">
        <v>8</v>
      </c>
      <c r="D466" s="41" t="s">
        <v>196</v>
      </c>
      <c r="E466" s="263" t="s">
        <v>198</v>
      </c>
      <c r="F466" s="231" t="s">
        <v>172</v>
      </c>
      <c r="G466" s="232">
        <v>30895</v>
      </c>
      <c r="H466" s="41"/>
      <c r="I466" s="211">
        <v>44959</v>
      </c>
      <c r="J466" s="41"/>
      <c r="K466" s="214">
        <v>31</v>
      </c>
      <c r="L466" s="241">
        <v>15223</v>
      </c>
    </row>
    <row r="467" spans="2:12" outlineLevel="2">
      <c r="B467" s="40">
        <f t="shared" si="20"/>
        <v>5</v>
      </c>
      <c r="C467" s="41" t="s">
        <v>8</v>
      </c>
      <c r="D467" s="41" t="s">
        <v>196</v>
      </c>
      <c r="E467" s="218">
        <v>88522942</v>
      </c>
      <c r="F467" s="227" t="s">
        <v>172</v>
      </c>
      <c r="G467" s="226">
        <v>32174</v>
      </c>
      <c r="H467" s="41"/>
      <c r="I467" s="212">
        <v>44889</v>
      </c>
      <c r="J467" s="41"/>
      <c r="K467" s="213">
        <v>43</v>
      </c>
      <c r="L467" s="120">
        <v>15227</v>
      </c>
    </row>
    <row r="468" spans="2:12" outlineLevel="2">
      <c r="B468" s="40">
        <f t="shared" si="20"/>
        <v>6</v>
      </c>
      <c r="C468" s="41" t="s">
        <v>8</v>
      </c>
      <c r="D468" s="41" t="s">
        <v>196</v>
      </c>
      <c r="E468" s="218">
        <v>8645586</v>
      </c>
      <c r="F468" s="227" t="s">
        <v>172</v>
      </c>
      <c r="G468" s="226">
        <v>31686</v>
      </c>
      <c r="H468" s="41"/>
      <c r="I468" s="212">
        <v>44952</v>
      </c>
      <c r="J468" s="41"/>
      <c r="K468" s="213">
        <v>48</v>
      </c>
      <c r="L468" s="120">
        <v>17310</v>
      </c>
    </row>
    <row r="469" spans="2:12" outlineLevel="2">
      <c r="B469" s="40">
        <f t="shared" si="20"/>
        <v>7</v>
      </c>
      <c r="C469" s="41" t="s">
        <v>8</v>
      </c>
      <c r="D469" s="41" t="s">
        <v>196</v>
      </c>
      <c r="E469" s="216">
        <v>8749527</v>
      </c>
      <c r="F469" s="216" t="s">
        <v>172</v>
      </c>
      <c r="G469" s="223">
        <v>31898</v>
      </c>
      <c r="H469" s="41"/>
      <c r="I469" s="212">
        <v>45019</v>
      </c>
      <c r="J469" s="41"/>
      <c r="K469" s="120">
        <v>25</v>
      </c>
      <c r="L469" s="120">
        <v>20053</v>
      </c>
    </row>
    <row r="470" spans="2:12" outlineLevel="2">
      <c r="B470" s="40">
        <f t="shared" si="20"/>
        <v>8</v>
      </c>
      <c r="C470" s="41" t="s">
        <v>8</v>
      </c>
      <c r="D470" s="41" t="s">
        <v>196</v>
      </c>
      <c r="E470" s="216">
        <v>81486</v>
      </c>
      <c r="F470" s="216" t="s">
        <v>172</v>
      </c>
      <c r="G470" s="223">
        <v>1981</v>
      </c>
      <c r="H470" s="41"/>
      <c r="I470" s="212">
        <v>45019</v>
      </c>
      <c r="J470" s="41"/>
      <c r="K470" s="120">
        <v>21</v>
      </c>
      <c r="L470" s="120">
        <v>20060</v>
      </c>
    </row>
    <row r="471" spans="2:12" outlineLevel="2">
      <c r="B471" s="40">
        <f t="shared" si="20"/>
        <v>9</v>
      </c>
      <c r="C471" s="41" t="s">
        <v>8</v>
      </c>
      <c r="D471" s="41" t="s">
        <v>196</v>
      </c>
      <c r="E471" s="216">
        <v>60991</v>
      </c>
      <c r="F471" s="216" t="s">
        <v>172</v>
      </c>
      <c r="G471" s="224">
        <v>32417</v>
      </c>
      <c r="H471" s="41"/>
      <c r="I471" s="212">
        <v>45019</v>
      </c>
      <c r="J471" s="41"/>
      <c r="K471" s="248" t="s">
        <v>197</v>
      </c>
      <c r="L471" s="120">
        <v>20063</v>
      </c>
    </row>
    <row r="472" spans="2:12" outlineLevel="2">
      <c r="B472" s="40">
        <f t="shared" si="20"/>
        <v>10</v>
      </c>
      <c r="C472" s="41" t="s">
        <v>8</v>
      </c>
      <c r="D472" s="41" t="s">
        <v>196</v>
      </c>
      <c r="E472" s="216">
        <v>8748603</v>
      </c>
      <c r="F472" s="216" t="s">
        <v>172</v>
      </c>
      <c r="G472" s="223">
        <v>31868</v>
      </c>
      <c r="H472" s="41"/>
      <c r="I472" s="212">
        <v>45064</v>
      </c>
      <c r="J472" s="41"/>
      <c r="K472" s="120">
        <v>28</v>
      </c>
      <c r="L472" s="120">
        <v>20216</v>
      </c>
    </row>
    <row r="473" spans="2:12" outlineLevel="2">
      <c r="B473" s="40">
        <f t="shared" si="20"/>
        <v>11</v>
      </c>
      <c r="C473" s="41" t="s">
        <v>8</v>
      </c>
      <c r="D473" s="41" t="s">
        <v>196</v>
      </c>
      <c r="E473" s="216">
        <v>8854076</v>
      </c>
      <c r="F473" s="216" t="s">
        <v>172</v>
      </c>
      <c r="G473" s="224">
        <v>32295</v>
      </c>
      <c r="H473" s="41"/>
      <c r="I473" s="212">
        <v>45057</v>
      </c>
      <c r="J473" s="41"/>
      <c r="K473" s="120">
        <v>27</v>
      </c>
      <c r="L473" s="120">
        <v>22096</v>
      </c>
    </row>
    <row r="474" spans="2:12" outlineLevel="2">
      <c r="B474" s="40">
        <f t="shared" si="20"/>
        <v>12</v>
      </c>
      <c r="C474" s="41" t="s">
        <v>8</v>
      </c>
      <c r="D474" s="41" t="s">
        <v>196</v>
      </c>
      <c r="E474" s="216">
        <v>8750957</v>
      </c>
      <c r="F474" s="216" t="s">
        <v>172</v>
      </c>
      <c r="G474" s="229">
        <v>32051</v>
      </c>
      <c r="H474" s="41"/>
      <c r="I474" s="212">
        <v>45075</v>
      </c>
      <c r="J474" s="41"/>
      <c r="K474" s="120">
        <v>29</v>
      </c>
      <c r="L474" s="242">
        <v>23479</v>
      </c>
    </row>
    <row r="475" spans="2:12" outlineLevel="2">
      <c r="B475" s="40">
        <f t="shared" si="20"/>
        <v>13</v>
      </c>
      <c r="C475" s="41" t="s">
        <v>8</v>
      </c>
      <c r="D475" s="41" t="s">
        <v>196</v>
      </c>
      <c r="E475" s="216">
        <v>48857</v>
      </c>
      <c r="F475" s="216" t="s">
        <v>172</v>
      </c>
      <c r="G475" s="229">
        <v>31717</v>
      </c>
      <c r="H475" s="41"/>
      <c r="I475" s="212">
        <v>45089</v>
      </c>
      <c r="J475" s="41"/>
      <c r="K475" s="120" t="s">
        <v>199</v>
      </c>
      <c r="L475" s="242">
        <v>24510</v>
      </c>
    </row>
    <row r="476" spans="2:12" outlineLevel="2">
      <c r="B476" s="40">
        <f t="shared" si="20"/>
        <v>14</v>
      </c>
      <c r="C476" s="41" t="s">
        <v>8</v>
      </c>
      <c r="D476" s="41" t="s">
        <v>196</v>
      </c>
      <c r="E476" s="216">
        <v>49255</v>
      </c>
      <c r="F476" s="216" t="s">
        <v>172</v>
      </c>
      <c r="G476" s="223">
        <v>31229</v>
      </c>
      <c r="H476" s="41"/>
      <c r="I476" s="212">
        <v>45107</v>
      </c>
      <c r="J476" s="41"/>
      <c r="K476" s="120">
        <v>31</v>
      </c>
      <c r="L476" s="243">
        <v>25315</v>
      </c>
    </row>
    <row r="477" spans="2:12" outlineLevel="2">
      <c r="B477" s="40">
        <f t="shared" si="20"/>
        <v>15</v>
      </c>
      <c r="C477" s="41" t="s">
        <v>8</v>
      </c>
      <c r="D477" s="41" t="s">
        <v>196</v>
      </c>
      <c r="E477" s="216">
        <v>61039</v>
      </c>
      <c r="F477" s="216" t="s">
        <v>172</v>
      </c>
      <c r="G477" s="223">
        <v>32417</v>
      </c>
      <c r="H477" s="41"/>
      <c r="I477" s="212">
        <v>45107</v>
      </c>
      <c r="J477" s="41"/>
      <c r="K477" s="248" t="s">
        <v>197</v>
      </c>
      <c r="L477" s="243">
        <v>25317</v>
      </c>
    </row>
    <row r="478" spans="2:12" outlineLevel="2">
      <c r="B478" s="40">
        <f t="shared" si="20"/>
        <v>16</v>
      </c>
      <c r="C478" s="41" t="s">
        <v>8</v>
      </c>
      <c r="D478" s="41" t="s">
        <v>196</v>
      </c>
      <c r="E478" s="216">
        <v>61185</v>
      </c>
      <c r="F478" s="216" t="s">
        <v>172</v>
      </c>
      <c r="G478" s="216">
        <v>32417</v>
      </c>
      <c r="H478" s="41"/>
      <c r="I478" s="212">
        <v>45107</v>
      </c>
      <c r="J478" s="41"/>
      <c r="K478" s="248" t="s">
        <v>197</v>
      </c>
      <c r="L478" s="243">
        <v>25318</v>
      </c>
    </row>
    <row r="479" spans="2:12" outlineLevel="2">
      <c r="B479" s="40">
        <f t="shared" si="20"/>
        <v>17</v>
      </c>
      <c r="C479" s="41" t="s">
        <v>8</v>
      </c>
      <c r="D479" s="41" t="s">
        <v>196</v>
      </c>
      <c r="E479" s="221" t="s">
        <v>200</v>
      </c>
      <c r="F479" s="221" t="s">
        <v>172</v>
      </c>
      <c r="G479" s="232">
        <v>32295</v>
      </c>
      <c r="H479" s="41"/>
      <c r="I479" s="240">
        <v>45315</v>
      </c>
      <c r="J479" s="41"/>
      <c r="K479" s="248">
        <v>44</v>
      </c>
      <c r="L479" s="244">
        <v>29288</v>
      </c>
    </row>
    <row r="480" spans="2:12" outlineLevel="2">
      <c r="B480" s="40">
        <f t="shared" si="20"/>
        <v>18</v>
      </c>
      <c r="C480" s="41" t="s">
        <v>8</v>
      </c>
      <c r="D480" s="41" t="s">
        <v>196</v>
      </c>
      <c r="E480" s="217">
        <v>974</v>
      </c>
      <c r="F480" s="217" t="s">
        <v>172</v>
      </c>
      <c r="G480" s="222">
        <v>1973</v>
      </c>
      <c r="H480" s="41"/>
      <c r="I480" s="240">
        <v>45359</v>
      </c>
      <c r="J480" s="41"/>
      <c r="K480" s="248">
        <v>44</v>
      </c>
      <c r="L480" s="245">
        <v>31201</v>
      </c>
    </row>
    <row r="481" spans="2:12" outlineLevel="2">
      <c r="B481" s="40">
        <f t="shared" si="20"/>
        <v>19</v>
      </c>
      <c r="C481" s="41" t="s">
        <v>8</v>
      </c>
      <c r="D481" s="41" t="s">
        <v>196</v>
      </c>
      <c r="E481" s="217">
        <v>36456</v>
      </c>
      <c r="F481" s="215" t="s">
        <v>172</v>
      </c>
      <c r="G481" s="222">
        <v>29373</v>
      </c>
      <c r="H481" s="41"/>
      <c r="I481" s="240">
        <v>45370</v>
      </c>
      <c r="J481" s="41"/>
      <c r="K481" s="248">
        <v>25</v>
      </c>
      <c r="L481" s="241">
        <v>31976</v>
      </c>
    </row>
    <row r="482" spans="2:12" outlineLevel="2">
      <c r="B482" s="40">
        <f t="shared" si="20"/>
        <v>20</v>
      </c>
      <c r="C482" s="41" t="s">
        <v>8</v>
      </c>
      <c r="D482" s="41" t="s">
        <v>196</v>
      </c>
      <c r="E482" s="217">
        <v>61117</v>
      </c>
      <c r="F482" s="217" t="s">
        <v>172</v>
      </c>
      <c r="G482" s="222">
        <v>32417</v>
      </c>
      <c r="H482" s="41"/>
      <c r="I482" s="130">
        <v>45404</v>
      </c>
      <c r="J482" s="41"/>
      <c r="K482" s="248">
        <v>21</v>
      </c>
      <c r="L482" s="241">
        <v>33692</v>
      </c>
    </row>
    <row r="483" spans="2:12" outlineLevel="2">
      <c r="B483" s="40">
        <f t="shared" si="20"/>
        <v>21</v>
      </c>
      <c r="C483" s="41" t="s">
        <v>8</v>
      </c>
      <c r="D483" s="41" t="s">
        <v>196</v>
      </c>
      <c r="E483" s="217" t="s">
        <v>201</v>
      </c>
      <c r="F483" s="217" t="s">
        <v>172</v>
      </c>
      <c r="G483" s="222">
        <v>30133</v>
      </c>
      <c r="H483" s="41"/>
      <c r="I483" s="130">
        <v>45415</v>
      </c>
      <c r="J483" s="41"/>
      <c r="K483" s="248">
        <v>44</v>
      </c>
      <c r="L483" s="241">
        <v>33884</v>
      </c>
    </row>
    <row r="484" spans="2:12" outlineLevel="2">
      <c r="B484" s="40">
        <f t="shared" si="20"/>
        <v>22</v>
      </c>
      <c r="C484" s="41" t="s">
        <v>8</v>
      </c>
      <c r="D484" s="41" t="s">
        <v>196</v>
      </c>
      <c r="E484" s="217">
        <v>61916</v>
      </c>
      <c r="F484" s="217" t="s">
        <v>172</v>
      </c>
      <c r="G484" s="222">
        <v>32448</v>
      </c>
      <c r="H484" s="41"/>
      <c r="I484" s="130">
        <v>45415</v>
      </c>
      <c r="J484" s="41"/>
      <c r="K484" s="248">
        <v>28</v>
      </c>
      <c r="L484" s="241">
        <v>33887</v>
      </c>
    </row>
    <row r="485" spans="2:12" outlineLevel="2">
      <c r="B485" s="40">
        <f t="shared" si="20"/>
        <v>23</v>
      </c>
      <c r="C485" s="41" t="s">
        <v>8</v>
      </c>
      <c r="D485" s="41" t="s">
        <v>196</v>
      </c>
      <c r="E485" s="219">
        <v>8228006</v>
      </c>
      <c r="F485" s="219" t="s">
        <v>172</v>
      </c>
      <c r="G485" s="236">
        <v>1982</v>
      </c>
      <c r="H485" s="41"/>
      <c r="I485" s="240">
        <v>45429</v>
      </c>
      <c r="J485" s="41"/>
      <c r="K485" s="248">
        <v>40</v>
      </c>
      <c r="L485" s="241">
        <v>35491</v>
      </c>
    </row>
    <row r="486" spans="2:12" outlineLevel="2">
      <c r="B486" s="40">
        <f t="shared" si="20"/>
        <v>24</v>
      </c>
      <c r="C486" s="41" t="s">
        <v>8</v>
      </c>
      <c r="D486" s="41" t="s">
        <v>196</v>
      </c>
      <c r="E486" s="219" t="s">
        <v>202</v>
      </c>
      <c r="F486" s="219" t="s">
        <v>172</v>
      </c>
      <c r="G486" s="236">
        <v>31868</v>
      </c>
      <c r="H486" s="41"/>
      <c r="I486" s="209">
        <v>45457</v>
      </c>
      <c r="J486" s="41"/>
      <c r="K486" s="248" t="s">
        <v>197</v>
      </c>
      <c r="L486" s="241">
        <v>35950</v>
      </c>
    </row>
    <row r="487" spans="2:12" outlineLevel="2">
      <c r="B487" s="40">
        <f t="shared" si="20"/>
        <v>25</v>
      </c>
      <c r="C487" s="41" t="s">
        <v>8</v>
      </c>
      <c r="D487" s="41" t="s">
        <v>196</v>
      </c>
      <c r="E487" s="219">
        <v>604030</v>
      </c>
      <c r="F487" s="237">
        <v>73396</v>
      </c>
      <c r="G487" s="219">
        <v>1983</v>
      </c>
      <c r="H487" s="41"/>
      <c r="I487" s="209">
        <v>45463</v>
      </c>
      <c r="J487" s="41"/>
      <c r="K487" s="209">
        <v>37</v>
      </c>
      <c r="L487" s="241">
        <v>36507</v>
      </c>
    </row>
    <row r="488" spans="2:12" outlineLevel="2">
      <c r="B488" s="40">
        <f t="shared" si="20"/>
        <v>26</v>
      </c>
      <c r="C488" s="41" t="s">
        <v>8</v>
      </c>
      <c r="D488" s="41" t="s">
        <v>196</v>
      </c>
      <c r="E488" s="219">
        <v>2134</v>
      </c>
      <c r="F488" s="237">
        <v>73397</v>
      </c>
      <c r="G488" s="236">
        <v>31809</v>
      </c>
      <c r="H488" s="41"/>
      <c r="I488" s="240">
        <v>45463</v>
      </c>
      <c r="J488" s="41"/>
      <c r="K488" s="248">
        <v>7</v>
      </c>
      <c r="L488" s="241">
        <v>36516</v>
      </c>
    </row>
    <row r="489" spans="2:12" outlineLevel="2">
      <c r="B489" s="40">
        <f t="shared" si="20"/>
        <v>27</v>
      </c>
      <c r="C489" s="41" t="s">
        <v>8</v>
      </c>
      <c r="D489" s="41" t="s">
        <v>196</v>
      </c>
      <c r="E489" s="92">
        <v>8645612</v>
      </c>
      <c r="F489" s="92">
        <v>76178</v>
      </c>
      <c r="G489" s="264">
        <v>29495</v>
      </c>
      <c r="H489" s="41"/>
      <c r="I489" s="265"/>
      <c r="J489" s="41"/>
      <c r="K489" s="266"/>
      <c r="L489" s="102"/>
    </row>
    <row r="490" spans="2:12" hidden="1" outlineLevel="2">
      <c r="B490" s="40">
        <f t="shared" si="20"/>
        <v>28</v>
      </c>
      <c r="C490" s="41" t="s">
        <v>8</v>
      </c>
      <c r="D490" s="41" t="s">
        <v>196</v>
      </c>
      <c r="E490" s="41"/>
      <c r="F490" s="41"/>
      <c r="G490" s="41"/>
      <c r="H490" s="41"/>
      <c r="I490" s="42"/>
      <c r="J490" s="41"/>
      <c r="K490" s="41"/>
      <c r="L490" s="43"/>
    </row>
    <row r="491" spans="2:12" hidden="1" outlineLevel="2">
      <c r="B491" s="40">
        <f t="shared" si="20"/>
        <v>29</v>
      </c>
      <c r="C491" s="41" t="s">
        <v>8</v>
      </c>
      <c r="D491" s="41" t="s">
        <v>196</v>
      </c>
      <c r="E491" s="41"/>
      <c r="F491" s="41"/>
      <c r="G491" s="41"/>
      <c r="H491" s="41"/>
      <c r="I491" s="42"/>
      <c r="J491" s="41"/>
      <c r="K491" s="41"/>
      <c r="L491" s="43"/>
    </row>
    <row r="492" spans="2:12" hidden="1" outlineLevel="2">
      <c r="B492" s="40">
        <f t="shared" si="20"/>
        <v>30</v>
      </c>
      <c r="C492" s="41" t="s">
        <v>8</v>
      </c>
      <c r="D492" s="41" t="s">
        <v>196</v>
      </c>
      <c r="E492" s="41"/>
      <c r="F492" s="41"/>
      <c r="G492" s="41"/>
      <c r="H492" s="41"/>
      <c r="I492" s="42"/>
      <c r="J492" s="41"/>
      <c r="K492" s="41"/>
      <c r="L492" s="43"/>
    </row>
    <row r="493" spans="2:12" hidden="1" outlineLevel="2">
      <c r="B493" s="40">
        <f t="shared" si="20"/>
        <v>31</v>
      </c>
      <c r="C493" s="41" t="s">
        <v>8</v>
      </c>
      <c r="D493" s="41" t="s">
        <v>196</v>
      </c>
      <c r="E493" s="41"/>
      <c r="F493" s="41"/>
      <c r="G493" s="41"/>
      <c r="H493" s="41"/>
      <c r="I493" s="42"/>
      <c r="J493" s="41"/>
      <c r="K493" s="41"/>
      <c r="L493" s="43"/>
    </row>
    <row r="494" spans="2:12" hidden="1" outlineLevel="2">
      <c r="B494" s="40">
        <f t="shared" si="20"/>
        <v>32</v>
      </c>
      <c r="C494" s="41" t="s">
        <v>8</v>
      </c>
      <c r="D494" s="41" t="s">
        <v>196</v>
      </c>
      <c r="E494" s="41"/>
      <c r="F494" s="41"/>
      <c r="G494" s="41"/>
      <c r="H494" s="41"/>
      <c r="I494" s="42"/>
      <c r="J494" s="41"/>
      <c r="K494" s="41"/>
      <c r="L494" s="43"/>
    </row>
    <row r="495" spans="2:12" hidden="1" outlineLevel="2">
      <c r="B495" s="40">
        <f t="shared" si="20"/>
        <v>33</v>
      </c>
      <c r="C495" s="41" t="s">
        <v>8</v>
      </c>
      <c r="D495" s="41" t="s">
        <v>196</v>
      </c>
      <c r="E495" s="41"/>
      <c r="F495" s="41"/>
      <c r="G495" s="41"/>
      <c r="H495" s="41"/>
      <c r="I495" s="42"/>
      <c r="J495" s="41"/>
      <c r="K495" s="41"/>
      <c r="L495" s="43"/>
    </row>
    <row r="496" spans="2:12" hidden="1" outlineLevel="2">
      <c r="B496" s="40">
        <f t="shared" si="20"/>
        <v>34</v>
      </c>
      <c r="C496" s="41" t="s">
        <v>8</v>
      </c>
      <c r="D496" s="41" t="s">
        <v>196</v>
      </c>
      <c r="E496" s="41"/>
      <c r="F496" s="41"/>
      <c r="G496" s="41"/>
      <c r="H496" s="41"/>
      <c r="I496" s="42"/>
      <c r="J496" s="41"/>
      <c r="K496" s="41"/>
      <c r="L496" s="43"/>
    </row>
    <row r="497" spans="2:12" hidden="1" outlineLevel="2">
      <c r="B497" s="40">
        <f t="shared" si="20"/>
        <v>35</v>
      </c>
      <c r="C497" s="41" t="s">
        <v>8</v>
      </c>
      <c r="D497" s="41" t="s">
        <v>196</v>
      </c>
      <c r="E497" s="41"/>
      <c r="F497" s="41"/>
      <c r="G497" s="41"/>
      <c r="H497" s="41"/>
      <c r="I497" s="42"/>
      <c r="J497" s="41"/>
      <c r="K497" s="41"/>
      <c r="L497" s="43"/>
    </row>
    <row r="498" spans="2:12" hidden="1" outlineLevel="2">
      <c r="B498" s="40">
        <f t="shared" si="20"/>
        <v>36</v>
      </c>
      <c r="C498" s="41" t="s">
        <v>8</v>
      </c>
      <c r="D498" s="41" t="s">
        <v>196</v>
      </c>
      <c r="E498" s="41"/>
      <c r="F498" s="41"/>
      <c r="G498" s="41"/>
      <c r="H498" s="41"/>
      <c r="I498" s="42"/>
      <c r="J498" s="41"/>
      <c r="K498" s="41"/>
      <c r="L498" s="43"/>
    </row>
    <row r="499" spans="2:12" hidden="1" outlineLevel="2">
      <c r="B499" s="40">
        <f t="shared" si="20"/>
        <v>37</v>
      </c>
      <c r="C499" s="41" t="s">
        <v>8</v>
      </c>
      <c r="D499" s="41" t="s">
        <v>196</v>
      </c>
      <c r="E499" s="41"/>
      <c r="F499" s="41"/>
      <c r="G499" s="41"/>
      <c r="H499" s="41"/>
      <c r="I499" s="42"/>
      <c r="J499" s="41"/>
      <c r="K499" s="41"/>
      <c r="L499" s="43"/>
    </row>
    <row r="500" spans="2:12" hidden="1" outlineLevel="2">
      <c r="B500" s="40">
        <f t="shared" si="20"/>
        <v>38</v>
      </c>
      <c r="C500" s="41" t="s">
        <v>8</v>
      </c>
      <c r="D500" s="41" t="s">
        <v>196</v>
      </c>
      <c r="E500" s="41"/>
      <c r="F500" s="41"/>
      <c r="G500" s="41"/>
      <c r="H500" s="41"/>
      <c r="I500" s="42"/>
      <c r="J500" s="41"/>
      <c r="K500" s="41"/>
      <c r="L500" s="43"/>
    </row>
    <row r="501" spans="2:12" hidden="1" outlineLevel="2">
      <c r="B501" s="40">
        <f t="shared" si="20"/>
        <v>39</v>
      </c>
      <c r="C501" s="41" t="s">
        <v>8</v>
      </c>
      <c r="D501" s="41" t="s">
        <v>196</v>
      </c>
      <c r="E501" s="41"/>
      <c r="F501" s="41"/>
      <c r="G501" s="41"/>
      <c r="H501" s="41"/>
      <c r="I501" s="42"/>
      <c r="J501" s="41"/>
      <c r="K501" s="41"/>
      <c r="L501" s="43"/>
    </row>
    <row r="502" spans="2:12" hidden="1" outlineLevel="2">
      <c r="B502" s="40">
        <f t="shared" si="20"/>
        <v>40</v>
      </c>
      <c r="C502" s="41" t="s">
        <v>8</v>
      </c>
      <c r="D502" s="41" t="s">
        <v>196</v>
      </c>
      <c r="E502" s="41"/>
      <c r="F502" s="41"/>
      <c r="G502" s="41"/>
      <c r="H502" s="41"/>
      <c r="I502" s="42"/>
      <c r="J502" s="41"/>
      <c r="K502" s="41"/>
      <c r="L502" s="43"/>
    </row>
    <row r="503" spans="2:12" hidden="1" outlineLevel="2">
      <c r="B503" s="40">
        <f t="shared" si="20"/>
        <v>41</v>
      </c>
      <c r="C503" s="41" t="s">
        <v>8</v>
      </c>
      <c r="D503" s="41" t="s">
        <v>196</v>
      </c>
      <c r="E503" s="41"/>
      <c r="F503" s="41"/>
      <c r="G503" s="41"/>
      <c r="H503" s="41"/>
      <c r="I503" s="42"/>
      <c r="J503" s="41"/>
      <c r="K503" s="41"/>
      <c r="L503" s="43"/>
    </row>
    <row r="504" spans="2:12" hidden="1" outlineLevel="2">
      <c r="B504" s="40">
        <f t="shared" si="20"/>
        <v>42</v>
      </c>
      <c r="C504" s="41" t="s">
        <v>8</v>
      </c>
      <c r="D504" s="41" t="s">
        <v>196</v>
      </c>
      <c r="E504" s="41"/>
      <c r="F504" s="41"/>
      <c r="G504" s="41"/>
      <c r="H504" s="41"/>
      <c r="I504" s="42"/>
      <c r="J504" s="41"/>
      <c r="K504" s="41"/>
      <c r="L504" s="43"/>
    </row>
    <row r="505" spans="2:12" hidden="1" outlineLevel="2">
      <c r="B505" s="40">
        <f t="shared" si="20"/>
        <v>43</v>
      </c>
      <c r="C505" s="41" t="s">
        <v>8</v>
      </c>
      <c r="D505" s="41" t="s">
        <v>196</v>
      </c>
      <c r="E505" s="41"/>
      <c r="F505" s="41"/>
      <c r="G505" s="41"/>
      <c r="H505" s="41"/>
      <c r="I505" s="42"/>
      <c r="J505" s="41"/>
      <c r="K505" s="41"/>
      <c r="L505" s="43"/>
    </row>
    <row r="506" spans="2:12" hidden="1" outlineLevel="2">
      <c r="B506" s="40">
        <f t="shared" si="20"/>
        <v>44</v>
      </c>
      <c r="C506" s="41" t="s">
        <v>8</v>
      </c>
      <c r="D506" s="41" t="s">
        <v>196</v>
      </c>
      <c r="E506" s="41"/>
      <c r="F506" s="41"/>
      <c r="G506" s="41"/>
      <c r="H506" s="41"/>
      <c r="I506" s="42"/>
      <c r="J506" s="41"/>
      <c r="K506" s="41"/>
      <c r="L506" s="43"/>
    </row>
    <row r="507" spans="2:12" hidden="1" outlineLevel="2">
      <c r="B507" s="40">
        <f t="shared" si="20"/>
        <v>45</v>
      </c>
      <c r="C507" s="41" t="s">
        <v>8</v>
      </c>
      <c r="D507" s="41" t="s">
        <v>196</v>
      </c>
      <c r="E507" s="41"/>
      <c r="F507" s="41"/>
      <c r="G507" s="41"/>
      <c r="H507" s="41"/>
      <c r="I507" s="42"/>
      <c r="J507" s="41"/>
      <c r="K507" s="41"/>
      <c r="L507" s="43"/>
    </row>
    <row r="508" spans="2:12" hidden="1" outlineLevel="2">
      <c r="B508" s="40">
        <f t="shared" si="20"/>
        <v>46</v>
      </c>
      <c r="C508" s="41" t="s">
        <v>8</v>
      </c>
      <c r="D508" s="41" t="s">
        <v>196</v>
      </c>
      <c r="E508" s="41"/>
      <c r="F508" s="41"/>
      <c r="G508" s="41"/>
      <c r="H508" s="41"/>
      <c r="I508" s="42"/>
      <c r="J508" s="41"/>
      <c r="K508" s="41"/>
      <c r="L508" s="43"/>
    </row>
    <row r="509" spans="2:12" hidden="1" outlineLevel="2">
      <c r="B509" s="40">
        <f t="shared" si="20"/>
        <v>47</v>
      </c>
      <c r="C509" s="41" t="s">
        <v>8</v>
      </c>
      <c r="D509" s="41" t="s">
        <v>196</v>
      </c>
      <c r="E509" s="41"/>
      <c r="F509" s="41"/>
      <c r="G509" s="41"/>
      <c r="H509" s="41"/>
      <c r="I509" s="42"/>
      <c r="J509" s="41"/>
      <c r="K509" s="41"/>
      <c r="L509" s="43"/>
    </row>
    <row r="510" spans="2:12" hidden="1" outlineLevel="2">
      <c r="B510" s="40">
        <f t="shared" si="20"/>
        <v>48</v>
      </c>
      <c r="C510" s="41" t="s">
        <v>8</v>
      </c>
      <c r="D510" s="41" t="s">
        <v>196</v>
      </c>
      <c r="E510" s="41"/>
      <c r="F510" s="41"/>
      <c r="G510" s="41"/>
      <c r="H510" s="41"/>
      <c r="I510" s="42"/>
      <c r="J510" s="41"/>
      <c r="K510" s="41"/>
      <c r="L510" s="43"/>
    </row>
    <row r="511" spans="2:12" hidden="1" outlineLevel="2">
      <c r="B511" s="40">
        <f t="shared" si="20"/>
        <v>49</v>
      </c>
      <c r="C511" s="41" t="s">
        <v>8</v>
      </c>
      <c r="D511" s="41" t="s">
        <v>196</v>
      </c>
      <c r="E511" s="41"/>
      <c r="F511" s="41"/>
      <c r="G511" s="41"/>
      <c r="H511" s="41"/>
      <c r="I511" s="42"/>
      <c r="J511" s="41"/>
      <c r="K511" s="41"/>
      <c r="L511" s="43"/>
    </row>
    <row r="512" spans="2:12" hidden="1" outlineLevel="2">
      <c r="B512" s="40">
        <f t="shared" si="20"/>
        <v>50</v>
      </c>
      <c r="C512" s="41" t="s">
        <v>8</v>
      </c>
      <c r="D512" s="41" t="s">
        <v>196</v>
      </c>
      <c r="E512" s="41"/>
      <c r="F512" s="41"/>
      <c r="G512" s="41"/>
      <c r="H512" s="41"/>
      <c r="I512" s="42"/>
      <c r="J512" s="41"/>
      <c r="K512" s="41"/>
      <c r="L512" s="43"/>
    </row>
    <row r="513" spans="2:12" hidden="1" outlineLevel="2">
      <c r="B513" s="40">
        <f t="shared" si="20"/>
        <v>51</v>
      </c>
      <c r="C513" s="41" t="s">
        <v>8</v>
      </c>
      <c r="D513" s="41" t="s">
        <v>196</v>
      </c>
      <c r="E513" s="41"/>
      <c r="F513" s="41"/>
      <c r="G513" s="41"/>
      <c r="H513" s="41"/>
      <c r="I513" s="42"/>
      <c r="J513" s="41"/>
      <c r="K513" s="41"/>
      <c r="L513" s="43"/>
    </row>
    <row r="514" spans="2:12" hidden="1" outlineLevel="2">
      <c r="B514" s="40">
        <f t="shared" si="20"/>
        <v>52</v>
      </c>
      <c r="C514" s="41" t="s">
        <v>8</v>
      </c>
      <c r="D514" s="41" t="s">
        <v>196</v>
      </c>
      <c r="E514" s="41"/>
      <c r="F514" s="41"/>
      <c r="G514" s="41"/>
      <c r="H514" s="41"/>
      <c r="I514" s="42"/>
      <c r="J514" s="41"/>
      <c r="K514" s="41"/>
      <c r="L514" s="43"/>
    </row>
    <row r="515" spans="2:12" hidden="1" outlineLevel="2">
      <c r="B515" s="40">
        <f t="shared" si="20"/>
        <v>53</v>
      </c>
      <c r="C515" s="41" t="s">
        <v>8</v>
      </c>
      <c r="D515" s="41" t="s">
        <v>196</v>
      </c>
      <c r="E515" s="41"/>
      <c r="F515" s="41"/>
      <c r="G515" s="41"/>
      <c r="H515" s="41"/>
      <c r="I515" s="42"/>
      <c r="J515" s="41"/>
      <c r="K515" s="41"/>
      <c r="L515" s="43"/>
    </row>
    <row r="516" spans="2:12" hidden="1" outlineLevel="2">
      <c r="B516" s="40">
        <f t="shared" si="20"/>
        <v>54</v>
      </c>
      <c r="C516" s="41" t="s">
        <v>8</v>
      </c>
      <c r="D516" s="41" t="s">
        <v>196</v>
      </c>
      <c r="E516" s="41"/>
      <c r="F516" s="41"/>
      <c r="G516" s="41"/>
      <c r="H516" s="41"/>
      <c r="I516" s="42"/>
      <c r="J516" s="41"/>
      <c r="K516" s="41"/>
      <c r="L516" s="43"/>
    </row>
    <row r="517" spans="2:12" hidden="1" outlineLevel="2">
      <c r="B517" s="40">
        <f t="shared" si="20"/>
        <v>55</v>
      </c>
      <c r="C517" s="41" t="s">
        <v>8</v>
      </c>
      <c r="D517" s="41" t="s">
        <v>196</v>
      </c>
      <c r="E517" s="41"/>
      <c r="F517" s="41"/>
      <c r="G517" s="41"/>
      <c r="H517" s="41"/>
      <c r="I517" s="42"/>
      <c r="J517" s="41"/>
      <c r="K517" s="41"/>
      <c r="L517" s="43"/>
    </row>
    <row r="518" spans="2:12" hidden="1" outlineLevel="2">
      <c r="B518" s="40">
        <f t="shared" si="20"/>
        <v>56</v>
      </c>
      <c r="C518" s="41" t="s">
        <v>8</v>
      </c>
      <c r="D518" s="41" t="s">
        <v>196</v>
      </c>
      <c r="E518" s="41"/>
      <c r="F518" s="41"/>
      <c r="G518" s="41"/>
      <c r="H518" s="41"/>
      <c r="I518" s="42"/>
      <c r="J518" s="41"/>
      <c r="K518" s="41"/>
      <c r="L518" s="43"/>
    </row>
    <row r="519" spans="2:12" hidden="1" outlineLevel="2">
      <c r="B519" s="40">
        <f t="shared" si="20"/>
        <v>57</v>
      </c>
      <c r="C519" s="41" t="s">
        <v>8</v>
      </c>
      <c r="D519" s="41" t="s">
        <v>196</v>
      </c>
      <c r="E519" s="41"/>
      <c r="F519" s="41"/>
      <c r="G519" s="41"/>
      <c r="H519" s="41"/>
      <c r="I519" s="42"/>
      <c r="J519" s="41"/>
      <c r="K519" s="41"/>
      <c r="L519" s="43"/>
    </row>
    <row r="520" spans="2:12" hidden="1" outlineLevel="2">
      <c r="B520" s="40">
        <f t="shared" si="20"/>
        <v>58</v>
      </c>
      <c r="C520" s="41" t="s">
        <v>8</v>
      </c>
      <c r="D520" s="41" t="s">
        <v>196</v>
      </c>
      <c r="E520" s="41"/>
      <c r="F520" s="41"/>
      <c r="G520" s="41"/>
      <c r="H520" s="41"/>
      <c r="I520" s="42"/>
      <c r="J520" s="41"/>
      <c r="K520" s="41"/>
      <c r="L520" s="43"/>
    </row>
    <row r="521" spans="2:12" hidden="1" outlineLevel="2">
      <c r="B521" s="40">
        <f t="shared" si="20"/>
        <v>59</v>
      </c>
      <c r="C521" s="41" t="s">
        <v>8</v>
      </c>
      <c r="D521" s="41" t="s">
        <v>196</v>
      </c>
      <c r="E521" s="41"/>
      <c r="F521" s="41"/>
      <c r="G521" s="41"/>
      <c r="H521" s="41"/>
      <c r="I521" s="42"/>
      <c r="J521" s="41"/>
      <c r="K521" s="41"/>
      <c r="L521" s="43"/>
    </row>
    <row r="522" spans="2:12" hidden="1" outlineLevel="2">
      <c r="B522" s="40">
        <f t="shared" si="20"/>
        <v>60</v>
      </c>
      <c r="C522" s="41" t="s">
        <v>8</v>
      </c>
      <c r="D522" s="41" t="s">
        <v>196</v>
      </c>
      <c r="E522" s="41"/>
      <c r="F522" s="41"/>
      <c r="G522" s="41"/>
      <c r="H522" s="41"/>
      <c r="I522" s="42"/>
      <c r="J522" s="41"/>
      <c r="K522" s="41"/>
      <c r="L522" s="43"/>
    </row>
    <row r="523" spans="2:12" hidden="1" outlineLevel="2">
      <c r="B523" s="40">
        <f t="shared" si="20"/>
        <v>61</v>
      </c>
      <c r="C523" s="41" t="s">
        <v>8</v>
      </c>
      <c r="D523" s="41" t="s">
        <v>196</v>
      </c>
      <c r="E523" s="41"/>
      <c r="F523" s="41"/>
      <c r="G523" s="41"/>
      <c r="H523" s="41"/>
      <c r="I523" s="42"/>
      <c r="J523" s="41"/>
      <c r="K523" s="41"/>
      <c r="L523" s="43"/>
    </row>
    <row r="524" spans="2:12" hidden="1" outlineLevel="2">
      <c r="B524" s="40">
        <f t="shared" si="20"/>
        <v>62</v>
      </c>
      <c r="C524" s="41" t="s">
        <v>8</v>
      </c>
      <c r="D524" s="41" t="s">
        <v>196</v>
      </c>
      <c r="E524" s="41"/>
      <c r="F524" s="41"/>
      <c r="G524" s="41"/>
      <c r="H524" s="41"/>
      <c r="I524" s="42"/>
      <c r="J524" s="41"/>
      <c r="K524" s="41"/>
      <c r="L524" s="43"/>
    </row>
    <row r="525" spans="2:12" hidden="1" outlineLevel="2">
      <c r="B525" s="40">
        <f t="shared" si="20"/>
        <v>63</v>
      </c>
      <c r="C525" s="41" t="s">
        <v>8</v>
      </c>
      <c r="D525" s="41" t="s">
        <v>196</v>
      </c>
      <c r="E525" s="41"/>
      <c r="F525" s="41"/>
      <c r="G525" s="41"/>
      <c r="H525" s="41"/>
      <c r="I525" s="42"/>
      <c r="J525" s="41"/>
      <c r="K525" s="41"/>
      <c r="L525" s="43"/>
    </row>
    <row r="526" spans="2:12" hidden="1" outlineLevel="2">
      <c r="B526" s="40">
        <f t="shared" si="20"/>
        <v>64</v>
      </c>
      <c r="C526" s="41" t="s">
        <v>8</v>
      </c>
      <c r="D526" s="41" t="s">
        <v>196</v>
      </c>
      <c r="E526" s="41"/>
      <c r="F526" s="41"/>
      <c r="G526" s="41"/>
      <c r="H526" s="41"/>
      <c r="I526" s="42"/>
      <c r="J526" s="41"/>
      <c r="K526" s="41"/>
      <c r="L526" s="43"/>
    </row>
    <row r="527" spans="2:12" hidden="1" outlineLevel="2">
      <c r="B527" s="40">
        <f t="shared" si="20"/>
        <v>65</v>
      </c>
      <c r="C527" s="41" t="s">
        <v>8</v>
      </c>
      <c r="D527" s="41" t="s">
        <v>196</v>
      </c>
      <c r="E527" s="41"/>
      <c r="F527" s="41"/>
      <c r="G527" s="41"/>
      <c r="H527" s="41"/>
      <c r="I527" s="42"/>
      <c r="J527" s="41"/>
      <c r="K527" s="41"/>
      <c r="L527" s="43"/>
    </row>
    <row r="528" spans="2:12" hidden="1" outlineLevel="2">
      <c r="B528" s="40">
        <f t="shared" si="20"/>
        <v>66</v>
      </c>
      <c r="C528" s="41" t="s">
        <v>8</v>
      </c>
      <c r="D528" s="41" t="s">
        <v>196</v>
      </c>
      <c r="E528" s="41"/>
      <c r="F528" s="41"/>
      <c r="G528" s="41"/>
      <c r="H528" s="41"/>
      <c r="I528" s="42"/>
      <c r="J528" s="41"/>
      <c r="K528" s="41"/>
      <c r="L528" s="43"/>
    </row>
    <row r="529" spans="2:12" hidden="1" outlineLevel="2">
      <c r="B529" s="40">
        <f t="shared" ref="B529:B592" si="21">ROW(A67)</f>
        <v>67</v>
      </c>
      <c r="C529" s="41" t="s">
        <v>8</v>
      </c>
      <c r="D529" s="41" t="s">
        <v>196</v>
      </c>
      <c r="E529" s="41"/>
      <c r="F529" s="41"/>
      <c r="G529" s="41"/>
      <c r="H529" s="41"/>
      <c r="I529" s="42"/>
      <c r="J529" s="41"/>
      <c r="K529" s="41"/>
      <c r="L529" s="43"/>
    </row>
    <row r="530" spans="2:12" hidden="1" outlineLevel="2">
      <c r="B530" s="40">
        <f t="shared" si="21"/>
        <v>68</v>
      </c>
      <c r="C530" s="41" t="s">
        <v>8</v>
      </c>
      <c r="D530" s="41" t="s">
        <v>196</v>
      </c>
      <c r="E530" s="41"/>
      <c r="F530" s="41"/>
      <c r="G530" s="41"/>
      <c r="H530" s="41"/>
      <c r="I530" s="42"/>
      <c r="J530" s="41"/>
      <c r="K530" s="41"/>
      <c r="L530" s="43"/>
    </row>
    <row r="531" spans="2:12" hidden="1" outlineLevel="2">
      <c r="B531" s="40">
        <f t="shared" si="21"/>
        <v>69</v>
      </c>
      <c r="C531" s="41" t="s">
        <v>8</v>
      </c>
      <c r="D531" s="41" t="s">
        <v>196</v>
      </c>
      <c r="E531" s="41"/>
      <c r="F531" s="41"/>
      <c r="G531" s="41"/>
      <c r="H531" s="41"/>
      <c r="I531" s="42"/>
      <c r="J531" s="41"/>
      <c r="K531" s="41"/>
      <c r="L531" s="43"/>
    </row>
    <row r="532" spans="2:12" hidden="1" outlineLevel="2">
      <c r="B532" s="40">
        <f t="shared" si="21"/>
        <v>70</v>
      </c>
      <c r="C532" s="41" t="s">
        <v>8</v>
      </c>
      <c r="D532" s="41" t="s">
        <v>196</v>
      </c>
      <c r="E532" s="41"/>
      <c r="F532" s="41"/>
      <c r="G532" s="41"/>
      <c r="H532" s="41"/>
      <c r="I532" s="42"/>
      <c r="J532" s="41"/>
      <c r="K532" s="41"/>
      <c r="L532" s="43"/>
    </row>
    <row r="533" spans="2:12" hidden="1" outlineLevel="2">
      <c r="B533" s="40">
        <f t="shared" si="21"/>
        <v>71</v>
      </c>
      <c r="C533" s="41" t="s">
        <v>8</v>
      </c>
      <c r="D533" s="41" t="s">
        <v>196</v>
      </c>
      <c r="E533" s="41"/>
      <c r="F533" s="41"/>
      <c r="G533" s="41"/>
      <c r="H533" s="41"/>
      <c r="I533" s="42"/>
      <c r="J533" s="41"/>
      <c r="K533" s="41"/>
      <c r="L533" s="43"/>
    </row>
    <row r="534" spans="2:12" hidden="1" outlineLevel="2">
      <c r="B534" s="40">
        <f t="shared" si="21"/>
        <v>72</v>
      </c>
      <c r="C534" s="41" t="s">
        <v>8</v>
      </c>
      <c r="D534" s="41" t="s">
        <v>196</v>
      </c>
      <c r="E534" s="41"/>
      <c r="F534" s="41"/>
      <c r="G534" s="41"/>
      <c r="H534" s="41"/>
      <c r="I534" s="42"/>
      <c r="J534" s="41"/>
      <c r="K534" s="41"/>
      <c r="L534" s="43"/>
    </row>
    <row r="535" spans="2:12" hidden="1" outlineLevel="2">
      <c r="B535" s="40">
        <f t="shared" si="21"/>
        <v>73</v>
      </c>
      <c r="C535" s="41" t="s">
        <v>8</v>
      </c>
      <c r="D535" s="41" t="s">
        <v>196</v>
      </c>
      <c r="E535" s="41"/>
      <c r="F535" s="41"/>
      <c r="G535" s="41"/>
      <c r="H535" s="41"/>
      <c r="I535" s="42"/>
      <c r="J535" s="41"/>
      <c r="K535" s="41"/>
      <c r="L535" s="43"/>
    </row>
    <row r="536" spans="2:12" hidden="1" outlineLevel="2">
      <c r="B536" s="40">
        <f t="shared" si="21"/>
        <v>74</v>
      </c>
      <c r="C536" s="41" t="s">
        <v>8</v>
      </c>
      <c r="D536" s="41" t="s">
        <v>196</v>
      </c>
      <c r="E536" s="41"/>
      <c r="F536" s="41"/>
      <c r="G536" s="41"/>
      <c r="H536" s="41"/>
      <c r="I536" s="42"/>
      <c r="J536" s="41"/>
      <c r="K536" s="41"/>
      <c r="L536" s="43"/>
    </row>
    <row r="537" spans="2:12" hidden="1" outlineLevel="2">
      <c r="B537" s="40">
        <f t="shared" si="21"/>
        <v>75</v>
      </c>
      <c r="C537" s="41" t="s">
        <v>8</v>
      </c>
      <c r="D537" s="41" t="s">
        <v>196</v>
      </c>
      <c r="E537" s="41"/>
      <c r="F537" s="41"/>
      <c r="G537" s="41"/>
      <c r="H537" s="41"/>
      <c r="I537" s="42"/>
      <c r="J537" s="41"/>
      <c r="K537" s="41"/>
      <c r="L537" s="43"/>
    </row>
    <row r="538" spans="2:12" hidden="1" outlineLevel="2">
      <c r="B538" s="40">
        <f t="shared" si="21"/>
        <v>76</v>
      </c>
      <c r="C538" s="41" t="s">
        <v>8</v>
      </c>
      <c r="D538" s="41" t="s">
        <v>196</v>
      </c>
      <c r="E538" s="41"/>
      <c r="F538" s="41"/>
      <c r="G538" s="41"/>
      <c r="H538" s="41"/>
      <c r="I538" s="42"/>
      <c r="J538" s="41"/>
      <c r="K538" s="41"/>
      <c r="L538" s="43"/>
    </row>
    <row r="539" spans="2:12" hidden="1" outlineLevel="2">
      <c r="B539" s="40">
        <f t="shared" si="21"/>
        <v>77</v>
      </c>
      <c r="C539" s="41" t="s">
        <v>8</v>
      </c>
      <c r="D539" s="41" t="s">
        <v>196</v>
      </c>
      <c r="E539" s="41"/>
      <c r="F539" s="41"/>
      <c r="G539" s="41"/>
      <c r="H539" s="41"/>
      <c r="I539" s="42"/>
      <c r="J539" s="41"/>
      <c r="K539" s="41"/>
      <c r="L539" s="43"/>
    </row>
    <row r="540" spans="2:12" hidden="1" outlineLevel="2">
      <c r="B540" s="40">
        <f t="shared" si="21"/>
        <v>78</v>
      </c>
      <c r="C540" s="41" t="s">
        <v>8</v>
      </c>
      <c r="D540" s="41" t="s">
        <v>196</v>
      </c>
      <c r="E540" s="41"/>
      <c r="F540" s="41"/>
      <c r="G540" s="41"/>
      <c r="H540" s="41"/>
      <c r="I540" s="42"/>
      <c r="J540" s="41"/>
      <c r="K540" s="41"/>
      <c r="L540" s="43"/>
    </row>
    <row r="541" spans="2:12" hidden="1" outlineLevel="2">
      <c r="B541" s="40">
        <f t="shared" si="21"/>
        <v>79</v>
      </c>
      <c r="C541" s="41" t="s">
        <v>8</v>
      </c>
      <c r="D541" s="41" t="s">
        <v>196</v>
      </c>
      <c r="E541" s="41"/>
      <c r="F541" s="41"/>
      <c r="G541" s="41"/>
      <c r="H541" s="41"/>
      <c r="I541" s="42"/>
      <c r="J541" s="41"/>
      <c r="K541" s="41"/>
      <c r="L541" s="43"/>
    </row>
    <row r="542" spans="2:12" hidden="1" outlineLevel="2">
      <c r="B542" s="40">
        <f t="shared" si="21"/>
        <v>80</v>
      </c>
      <c r="C542" s="41" t="s">
        <v>8</v>
      </c>
      <c r="D542" s="41" t="s">
        <v>196</v>
      </c>
      <c r="E542" s="41"/>
      <c r="F542" s="41"/>
      <c r="G542" s="41"/>
      <c r="H542" s="41"/>
      <c r="I542" s="42"/>
      <c r="J542" s="41"/>
      <c r="K542" s="41"/>
      <c r="L542" s="43"/>
    </row>
    <row r="543" spans="2:12" hidden="1" outlineLevel="2">
      <c r="B543" s="40">
        <f t="shared" si="21"/>
        <v>81</v>
      </c>
      <c r="C543" s="41" t="s">
        <v>8</v>
      </c>
      <c r="D543" s="41" t="s">
        <v>196</v>
      </c>
      <c r="E543" s="41"/>
      <c r="F543" s="41"/>
      <c r="G543" s="41"/>
      <c r="H543" s="41"/>
      <c r="I543" s="42"/>
      <c r="J543" s="41"/>
      <c r="K543" s="41"/>
      <c r="L543" s="43"/>
    </row>
    <row r="544" spans="2:12" hidden="1" outlineLevel="2">
      <c r="B544" s="40">
        <f t="shared" si="21"/>
        <v>82</v>
      </c>
      <c r="C544" s="41" t="s">
        <v>8</v>
      </c>
      <c r="D544" s="41" t="s">
        <v>196</v>
      </c>
      <c r="E544" s="41"/>
      <c r="F544" s="41"/>
      <c r="G544" s="41"/>
      <c r="H544" s="41"/>
      <c r="I544" s="42"/>
      <c r="J544" s="41"/>
      <c r="K544" s="41"/>
      <c r="L544" s="43"/>
    </row>
    <row r="545" spans="2:12" hidden="1" outlineLevel="2">
      <c r="B545" s="40">
        <f t="shared" si="21"/>
        <v>83</v>
      </c>
      <c r="C545" s="41" t="s">
        <v>8</v>
      </c>
      <c r="D545" s="41" t="s">
        <v>196</v>
      </c>
      <c r="E545" s="41"/>
      <c r="F545" s="41"/>
      <c r="G545" s="41"/>
      <c r="H545" s="41"/>
      <c r="I545" s="42"/>
      <c r="J545" s="41"/>
      <c r="K545" s="41"/>
      <c r="L545" s="43"/>
    </row>
    <row r="546" spans="2:12" hidden="1" outlineLevel="2">
      <c r="B546" s="40">
        <f t="shared" si="21"/>
        <v>84</v>
      </c>
      <c r="C546" s="41" t="s">
        <v>8</v>
      </c>
      <c r="D546" s="41" t="s">
        <v>196</v>
      </c>
      <c r="E546" s="41"/>
      <c r="F546" s="41"/>
      <c r="G546" s="41"/>
      <c r="H546" s="41"/>
      <c r="I546" s="42"/>
      <c r="J546" s="41"/>
      <c r="K546" s="41"/>
      <c r="L546" s="43"/>
    </row>
    <row r="547" spans="2:12" hidden="1" outlineLevel="2">
      <c r="B547" s="40">
        <f t="shared" si="21"/>
        <v>85</v>
      </c>
      <c r="C547" s="41" t="s">
        <v>8</v>
      </c>
      <c r="D547" s="41" t="s">
        <v>196</v>
      </c>
      <c r="E547" s="41"/>
      <c r="F547" s="41"/>
      <c r="G547" s="41"/>
      <c r="H547" s="41"/>
      <c r="I547" s="42"/>
      <c r="J547" s="41"/>
      <c r="K547" s="41"/>
      <c r="L547" s="43"/>
    </row>
    <row r="548" spans="2:12" hidden="1" outlineLevel="2">
      <c r="B548" s="40">
        <f t="shared" si="21"/>
        <v>86</v>
      </c>
      <c r="C548" s="41" t="s">
        <v>8</v>
      </c>
      <c r="D548" s="41" t="s">
        <v>196</v>
      </c>
      <c r="E548" s="41"/>
      <c r="F548" s="41"/>
      <c r="G548" s="41"/>
      <c r="H548" s="41"/>
      <c r="I548" s="42"/>
      <c r="J548" s="41"/>
      <c r="K548" s="41"/>
      <c r="L548" s="43"/>
    </row>
    <row r="549" spans="2:12" hidden="1" outlineLevel="2">
      <c r="B549" s="40">
        <f t="shared" si="21"/>
        <v>87</v>
      </c>
      <c r="C549" s="41" t="s">
        <v>8</v>
      </c>
      <c r="D549" s="41" t="s">
        <v>196</v>
      </c>
      <c r="E549" s="41"/>
      <c r="F549" s="41"/>
      <c r="G549" s="41"/>
      <c r="H549" s="41"/>
      <c r="I549" s="42"/>
      <c r="J549" s="41"/>
      <c r="K549" s="41"/>
      <c r="L549" s="43"/>
    </row>
    <row r="550" spans="2:12" hidden="1" outlineLevel="2">
      <c r="B550" s="40">
        <f t="shared" si="21"/>
        <v>88</v>
      </c>
      <c r="C550" s="41" t="s">
        <v>8</v>
      </c>
      <c r="D550" s="41" t="s">
        <v>196</v>
      </c>
      <c r="E550" s="41"/>
      <c r="F550" s="41"/>
      <c r="G550" s="41"/>
      <c r="H550" s="41"/>
      <c r="I550" s="42"/>
      <c r="J550" s="41"/>
      <c r="K550" s="41"/>
      <c r="L550" s="43"/>
    </row>
    <row r="551" spans="2:12" hidden="1" outlineLevel="2">
      <c r="B551" s="40">
        <f t="shared" si="21"/>
        <v>89</v>
      </c>
      <c r="C551" s="41" t="s">
        <v>8</v>
      </c>
      <c r="D551" s="41" t="s">
        <v>196</v>
      </c>
      <c r="E551" s="41"/>
      <c r="F551" s="41"/>
      <c r="G551" s="41"/>
      <c r="H551" s="41"/>
      <c r="I551" s="42"/>
      <c r="J551" s="41"/>
      <c r="K551" s="41"/>
      <c r="L551" s="43"/>
    </row>
    <row r="552" spans="2:12" hidden="1" outlineLevel="2">
      <c r="B552" s="40">
        <f t="shared" si="21"/>
        <v>90</v>
      </c>
      <c r="C552" s="41" t="s">
        <v>8</v>
      </c>
      <c r="D552" s="41" t="s">
        <v>196</v>
      </c>
      <c r="E552" s="41"/>
      <c r="F552" s="41"/>
      <c r="G552" s="41"/>
      <c r="H552" s="41"/>
      <c r="I552" s="42"/>
      <c r="J552" s="41"/>
      <c r="K552" s="41"/>
      <c r="L552" s="43"/>
    </row>
    <row r="553" spans="2:12" hidden="1" outlineLevel="2">
      <c r="B553" s="40">
        <f t="shared" si="21"/>
        <v>91</v>
      </c>
      <c r="C553" s="41" t="s">
        <v>8</v>
      </c>
      <c r="D553" s="41" t="s">
        <v>196</v>
      </c>
      <c r="E553" s="41"/>
      <c r="F553" s="41"/>
      <c r="G553" s="41"/>
      <c r="H553" s="41"/>
      <c r="I553" s="42"/>
      <c r="J553" s="41"/>
      <c r="K553" s="41"/>
      <c r="L553" s="43"/>
    </row>
    <row r="554" spans="2:12" hidden="1" outlineLevel="2">
      <c r="B554" s="40">
        <f t="shared" si="21"/>
        <v>92</v>
      </c>
      <c r="C554" s="41" t="s">
        <v>8</v>
      </c>
      <c r="D554" s="41" t="s">
        <v>196</v>
      </c>
      <c r="E554" s="41"/>
      <c r="F554" s="41"/>
      <c r="G554" s="41"/>
      <c r="H554" s="41"/>
      <c r="I554" s="42"/>
      <c r="J554" s="41"/>
      <c r="K554" s="41"/>
      <c r="L554" s="43"/>
    </row>
    <row r="555" spans="2:12" hidden="1" outlineLevel="2">
      <c r="B555" s="40">
        <f t="shared" si="21"/>
        <v>93</v>
      </c>
      <c r="C555" s="41" t="s">
        <v>8</v>
      </c>
      <c r="D555" s="41" t="s">
        <v>196</v>
      </c>
      <c r="E555" s="41"/>
      <c r="F555" s="41"/>
      <c r="G555" s="41"/>
      <c r="H555" s="41"/>
      <c r="I555" s="42"/>
      <c r="J555" s="41"/>
      <c r="K555" s="41"/>
      <c r="L555" s="43"/>
    </row>
    <row r="556" spans="2:12" hidden="1" outlineLevel="2">
      <c r="B556" s="40">
        <f t="shared" si="21"/>
        <v>94</v>
      </c>
      <c r="C556" s="41" t="s">
        <v>8</v>
      </c>
      <c r="D556" s="41" t="s">
        <v>196</v>
      </c>
      <c r="E556" s="41"/>
      <c r="F556" s="41"/>
      <c r="G556" s="41"/>
      <c r="H556" s="41"/>
      <c r="I556" s="42"/>
      <c r="J556" s="41"/>
      <c r="K556" s="41"/>
      <c r="L556" s="43"/>
    </row>
    <row r="557" spans="2:12" hidden="1" outlineLevel="2">
      <c r="B557" s="40">
        <f t="shared" si="21"/>
        <v>95</v>
      </c>
      <c r="C557" s="41" t="s">
        <v>8</v>
      </c>
      <c r="D557" s="41" t="s">
        <v>196</v>
      </c>
      <c r="E557" s="41"/>
      <c r="F557" s="41"/>
      <c r="G557" s="41"/>
      <c r="H557" s="41"/>
      <c r="I557" s="42"/>
      <c r="J557" s="41"/>
      <c r="K557" s="41"/>
      <c r="L557" s="43"/>
    </row>
    <row r="558" spans="2:12" hidden="1" outlineLevel="2">
      <c r="B558" s="40">
        <f t="shared" si="21"/>
        <v>96</v>
      </c>
      <c r="C558" s="41" t="s">
        <v>8</v>
      </c>
      <c r="D558" s="41" t="s">
        <v>196</v>
      </c>
      <c r="E558" s="41"/>
      <c r="F558" s="41"/>
      <c r="G558" s="41"/>
      <c r="H558" s="41"/>
      <c r="I558" s="42"/>
      <c r="J558" s="41"/>
      <c r="K558" s="41"/>
      <c r="L558" s="43"/>
    </row>
    <row r="559" spans="2:12" hidden="1" outlineLevel="2">
      <c r="B559" s="40">
        <f t="shared" si="21"/>
        <v>97</v>
      </c>
      <c r="C559" s="41" t="s">
        <v>8</v>
      </c>
      <c r="D559" s="41" t="s">
        <v>196</v>
      </c>
      <c r="E559" s="41"/>
      <c r="F559" s="41"/>
      <c r="G559" s="41"/>
      <c r="H559" s="41"/>
      <c r="I559" s="42"/>
      <c r="J559" s="41"/>
      <c r="K559" s="41"/>
      <c r="L559" s="43"/>
    </row>
    <row r="560" spans="2:12" hidden="1" outlineLevel="2">
      <c r="B560" s="40">
        <f t="shared" si="21"/>
        <v>98</v>
      </c>
      <c r="C560" s="41" t="s">
        <v>8</v>
      </c>
      <c r="D560" s="41" t="s">
        <v>196</v>
      </c>
      <c r="E560" s="41"/>
      <c r="F560" s="41"/>
      <c r="G560" s="41"/>
      <c r="H560" s="41"/>
      <c r="I560" s="42"/>
      <c r="J560" s="41"/>
      <c r="K560" s="41"/>
      <c r="L560" s="43"/>
    </row>
    <row r="561" spans="2:12" hidden="1" outlineLevel="2">
      <c r="B561" s="40">
        <f t="shared" si="21"/>
        <v>99</v>
      </c>
      <c r="C561" s="41" t="s">
        <v>8</v>
      </c>
      <c r="D561" s="41" t="s">
        <v>196</v>
      </c>
      <c r="E561" s="41"/>
      <c r="F561" s="41"/>
      <c r="G561" s="41"/>
      <c r="H561" s="41"/>
      <c r="I561" s="42"/>
      <c r="J561" s="41"/>
      <c r="K561" s="41"/>
      <c r="L561" s="43"/>
    </row>
    <row r="562" spans="2:12" hidden="1" outlineLevel="2">
      <c r="B562" s="40">
        <f t="shared" si="21"/>
        <v>100</v>
      </c>
      <c r="C562" s="41" t="s">
        <v>8</v>
      </c>
      <c r="D562" s="41" t="s">
        <v>196</v>
      </c>
      <c r="E562" s="41"/>
      <c r="F562" s="41"/>
      <c r="G562" s="41"/>
      <c r="H562" s="41"/>
      <c r="I562" s="42"/>
      <c r="J562" s="41"/>
      <c r="K562" s="41"/>
      <c r="L562" s="43"/>
    </row>
    <row r="563" spans="2:12" hidden="1" outlineLevel="2">
      <c r="B563" s="40">
        <f t="shared" si="21"/>
        <v>101</v>
      </c>
      <c r="C563" s="41" t="s">
        <v>8</v>
      </c>
      <c r="D563" s="41" t="s">
        <v>196</v>
      </c>
      <c r="E563" s="41"/>
      <c r="F563" s="41"/>
      <c r="G563" s="41"/>
      <c r="H563" s="41"/>
      <c r="I563" s="42"/>
      <c r="J563" s="41"/>
      <c r="K563" s="41"/>
      <c r="L563" s="43"/>
    </row>
    <row r="564" spans="2:12" hidden="1" outlineLevel="2">
      <c r="B564" s="40">
        <f t="shared" si="21"/>
        <v>102</v>
      </c>
      <c r="C564" s="41" t="s">
        <v>8</v>
      </c>
      <c r="D564" s="41" t="s">
        <v>196</v>
      </c>
      <c r="E564" s="41"/>
      <c r="F564" s="41"/>
      <c r="G564" s="41"/>
      <c r="H564" s="41"/>
      <c r="I564" s="42"/>
      <c r="J564" s="41"/>
      <c r="K564" s="41"/>
      <c r="L564" s="43"/>
    </row>
    <row r="565" spans="2:12" hidden="1" outlineLevel="2">
      <c r="B565" s="40">
        <f t="shared" si="21"/>
        <v>103</v>
      </c>
      <c r="C565" s="41" t="s">
        <v>8</v>
      </c>
      <c r="D565" s="41" t="s">
        <v>196</v>
      </c>
      <c r="E565" s="41"/>
      <c r="F565" s="41"/>
      <c r="G565" s="41"/>
      <c r="H565" s="41"/>
      <c r="I565" s="42"/>
      <c r="J565" s="41"/>
      <c r="K565" s="41"/>
      <c r="L565" s="43"/>
    </row>
    <row r="566" spans="2:12" hidden="1" outlineLevel="2">
      <c r="B566" s="40">
        <f t="shared" si="21"/>
        <v>104</v>
      </c>
      <c r="C566" s="41" t="s">
        <v>8</v>
      </c>
      <c r="D566" s="41" t="s">
        <v>196</v>
      </c>
      <c r="E566" s="41"/>
      <c r="F566" s="41"/>
      <c r="G566" s="41"/>
      <c r="H566" s="41"/>
      <c r="I566" s="42"/>
      <c r="J566" s="41"/>
      <c r="K566" s="41"/>
      <c r="L566" s="43"/>
    </row>
    <row r="567" spans="2:12" hidden="1" outlineLevel="2">
      <c r="B567" s="40">
        <f t="shared" si="21"/>
        <v>105</v>
      </c>
      <c r="C567" s="41" t="s">
        <v>8</v>
      </c>
      <c r="D567" s="41" t="s">
        <v>196</v>
      </c>
      <c r="E567" s="41"/>
      <c r="F567" s="41"/>
      <c r="G567" s="41"/>
      <c r="H567" s="41"/>
      <c r="I567" s="42"/>
      <c r="J567" s="41"/>
      <c r="K567" s="41"/>
      <c r="L567" s="43"/>
    </row>
    <row r="568" spans="2:12" hidden="1" outlineLevel="2">
      <c r="B568" s="40">
        <f t="shared" si="21"/>
        <v>106</v>
      </c>
      <c r="C568" s="41" t="s">
        <v>8</v>
      </c>
      <c r="D568" s="41" t="s">
        <v>196</v>
      </c>
      <c r="E568" s="41"/>
      <c r="F568" s="41"/>
      <c r="G568" s="41"/>
      <c r="H568" s="41"/>
      <c r="I568" s="42"/>
      <c r="J568" s="41"/>
      <c r="K568" s="41"/>
      <c r="L568" s="43"/>
    </row>
    <row r="569" spans="2:12" hidden="1" outlineLevel="2">
      <c r="B569" s="40">
        <f t="shared" si="21"/>
        <v>107</v>
      </c>
      <c r="C569" s="41" t="s">
        <v>8</v>
      </c>
      <c r="D569" s="41" t="s">
        <v>196</v>
      </c>
      <c r="E569" s="41"/>
      <c r="F569" s="41"/>
      <c r="G569" s="41"/>
      <c r="H569" s="41"/>
      <c r="I569" s="42"/>
      <c r="J569" s="41"/>
      <c r="K569" s="41"/>
      <c r="L569" s="43"/>
    </row>
    <row r="570" spans="2:12" hidden="1" outlineLevel="2">
      <c r="B570" s="40">
        <f t="shared" si="21"/>
        <v>108</v>
      </c>
      <c r="C570" s="41" t="s">
        <v>8</v>
      </c>
      <c r="D570" s="41" t="s">
        <v>196</v>
      </c>
      <c r="E570" s="41"/>
      <c r="F570" s="41"/>
      <c r="G570" s="41"/>
      <c r="H570" s="41"/>
      <c r="I570" s="42"/>
      <c r="J570" s="41"/>
      <c r="K570" s="41"/>
      <c r="L570" s="43"/>
    </row>
    <row r="571" spans="2:12" hidden="1" outlineLevel="2">
      <c r="B571" s="40">
        <f t="shared" si="21"/>
        <v>109</v>
      </c>
      <c r="C571" s="41" t="s">
        <v>8</v>
      </c>
      <c r="D571" s="41" t="s">
        <v>196</v>
      </c>
      <c r="E571" s="41"/>
      <c r="F571" s="41"/>
      <c r="G571" s="41"/>
      <c r="H571" s="41"/>
      <c r="I571" s="42"/>
      <c r="J571" s="41"/>
      <c r="K571" s="41"/>
      <c r="L571" s="43"/>
    </row>
    <row r="572" spans="2:12" hidden="1" outlineLevel="2">
      <c r="B572" s="40">
        <f t="shared" si="21"/>
        <v>110</v>
      </c>
      <c r="C572" s="41" t="s">
        <v>8</v>
      </c>
      <c r="D572" s="41" t="s">
        <v>196</v>
      </c>
      <c r="E572" s="41"/>
      <c r="F572" s="41"/>
      <c r="G572" s="41"/>
      <c r="H572" s="41"/>
      <c r="I572" s="42"/>
      <c r="J572" s="41"/>
      <c r="K572" s="41"/>
      <c r="L572" s="43"/>
    </row>
    <row r="573" spans="2:12" hidden="1" outlineLevel="2">
      <c r="B573" s="40">
        <f t="shared" si="21"/>
        <v>111</v>
      </c>
      <c r="C573" s="41" t="s">
        <v>8</v>
      </c>
      <c r="D573" s="41" t="s">
        <v>196</v>
      </c>
      <c r="E573" s="41"/>
      <c r="F573" s="41"/>
      <c r="G573" s="41"/>
      <c r="H573" s="41"/>
      <c r="I573" s="42"/>
      <c r="J573" s="41"/>
      <c r="K573" s="41"/>
      <c r="L573" s="43"/>
    </row>
    <row r="574" spans="2:12" hidden="1" outlineLevel="2">
      <c r="B574" s="40">
        <f t="shared" si="21"/>
        <v>112</v>
      </c>
      <c r="C574" s="41" t="s">
        <v>8</v>
      </c>
      <c r="D574" s="41" t="s">
        <v>196</v>
      </c>
      <c r="E574" s="41"/>
      <c r="F574" s="41"/>
      <c r="G574" s="41"/>
      <c r="H574" s="41"/>
      <c r="I574" s="42"/>
      <c r="J574" s="41"/>
      <c r="K574" s="41"/>
      <c r="L574" s="43"/>
    </row>
    <row r="575" spans="2:12" hidden="1" outlineLevel="2">
      <c r="B575" s="40">
        <f t="shared" si="21"/>
        <v>113</v>
      </c>
      <c r="C575" s="41" t="s">
        <v>8</v>
      </c>
      <c r="D575" s="41" t="s">
        <v>196</v>
      </c>
      <c r="E575" s="41"/>
      <c r="F575" s="41"/>
      <c r="G575" s="41"/>
      <c r="H575" s="41"/>
      <c r="I575" s="42"/>
      <c r="J575" s="41"/>
      <c r="K575" s="41"/>
      <c r="L575" s="43"/>
    </row>
    <row r="576" spans="2:12" hidden="1" outlineLevel="2">
      <c r="B576" s="40">
        <f t="shared" si="21"/>
        <v>114</v>
      </c>
      <c r="C576" s="41" t="s">
        <v>8</v>
      </c>
      <c r="D576" s="41" t="s">
        <v>196</v>
      </c>
      <c r="E576" s="41"/>
      <c r="F576" s="41"/>
      <c r="G576" s="41"/>
      <c r="H576" s="41"/>
      <c r="I576" s="42"/>
      <c r="J576" s="41"/>
      <c r="K576" s="41"/>
      <c r="L576" s="43"/>
    </row>
    <row r="577" spans="2:12" hidden="1" outlineLevel="2">
      <c r="B577" s="40">
        <f t="shared" si="21"/>
        <v>115</v>
      </c>
      <c r="C577" s="41" t="s">
        <v>8</v>
      </c>
      <c r="D577" s="41" t="s">
        <v>196</v>
      </c>
      <c r="E577" s="41"/>
      <c r="F577" s="41"/>
      <c r="G577" s="41"/>
      <c r="H577" s="41"/>
      <c r="I577" s="42"/>
      <c r="J577" s="41"/>
      <c r="K577" s="41"/>
      <c r="L577" s="43"/>
    </row>
    <row r="578" spans="2:12" hidden="1" outlineLevel="2">
      <c r="B578" s="40">
        <f t="shared" si="21"/>
        <v>116</v>
      </c>
      <c r="C578" s="41" t="s">
        <v>8</v>
      </c>
      <c r="D578" s="41" t="s">
        <v>196</v>
      </c>
      <c r="E578" s="41"/>
      <c r="F578" s="41"/>
      <c r="G578" s="41"/>
      <c r="H578" s="41"/>
      <c r="I578" s="42"/>
      <c r="J578" s="41"/>
      <c r="K578" s="41"/>
      <c r="L578" s="43"/>
    </row>
    <row r="579" spans="2:12" hidden="1" outlineLevel="2">
      <c r="B579" s="40">
        <f t="shared" si="21"/>
        <v>117</v>
      </c>
      <c r="C579" s="41" t="s">
        <v>8</v>
      </c>
      <c r="D579" s="41" t="s">
        <v>196</v>
      </c>
      <c r="E579" s="41"/>
      <c r="F579" s="41"/>
      <c r="G579" s="41"/>
      <c r="H579" s="41"/>
      <c r="I579" s="42"/>
      <c r="J579" s="41"/>
      <c r="K579" s="41"/>
      <c r="L579" s="43"/>
    </row>
    <row r="580" spans="2:12" hidden="1" outlineLevel="2">
      <c r="B580" s="40">
        <f t="shared" si="21"/>
        <v>118</v>
      </c>
      <c r="C580" s="41" t="s">
        <v>8</v>
      </c>
      <c r="D580" s="41" t="s">
        <v>196</v>
      </c>
      <c r="E580" s="41"/>
      <c r="F580" s="41"/>
      <c r="G580" s="41"/>
      <c r="H580" s="41"/>
      <c r="I580" s="42"/>
      <c r="J580" s="41"/>
      <c r="K580" s="41"/>
      <c r="L580" s="43"/>
    </row>
    <row r="581" spans="2:12" hidden="1" outlineLevel="2">
      <c r="B581" s="40">
        <f t="shared" si="21"/>
        <v>119</v>
      </c>
      <c r="C581" s="41" t="s">
        <v>8</v>
      </c>
      <c r="D581" s="41" t="s">
        <v>196</v>
      </c>
      <c r="E581" s="41"/>
      <c r="F581" s="41"/>
      <c r="G581" s="41"/>
      <c r="H581" s="41"/>
      <c r="I581" s="42"/>
      <c r="J581" s="41"/>
      <c r="K581" s="41"/>
      <c r="L581" s="43"/>
    </row>
    <row r="582" spans="2:12" hidden="1" outlineLevel="2">
      <c r="B582" s="40">
        <f t="shared" si="21"/>
        <v>120</v>
      </c>
      <c r="C582" s="41" t="s">
        <v>8</v>
      </c>
      <c r="D582" s="41" t="s">
        <v>196</v>
      </c>
      <c r="E582" s="41"/>
      <c r="F582" s="41"/>
      <c r="G582" s="41"/>
      <c r="H582" s="41"/>
      <c r="I582" s="42"/>
      <c r="J582" s="41"/>
      <c r="K582" s="41"/>
      <c r="L582" s="43"/>
    </row>
    <row r="583" spans="2:12" hidden="1" outlineLevel="2">
      <c r="B583" s="40">
        <f t="shared" si="21"/>
        <v>121</v>
      </c>
      <c r="C583" s="41" t="s">
        <v>8</v>
      </c>
      <c r="D583" s="41" t="s">
        <v>196</v>
      </c>
      <c r="E583" s="41"/>
      <c r="F583" s="41"/>
      <c r="G583" s="41"/>
      <c r="H583" s="41"/>
      <c r="I583" s="42"/>
      <c r="J583" s="41"/>
      <c r="K583" s="41"/>
      <c r="L583" s="43"/>
    </row>
    <row r="584" spans="2:12" hidden="1" outlineLevel="2">
      <c r="B584" s="40">
        <f t="shared" si="21"/>
        <v>122</v>
      </c>
      <c r="C584" s="41" t="s">
        <v>8</v>
      </c>
      <c r="D584" s="41" t="s">
        <v>196</v>
      </c>
      <c r="E584" s="41"/>
      <c r="F584" s="41"/>
      <c r="G584" s="41"/>
      <c r="H584" s="41"/>
      <c r="I584" s="42"/>
      <c r="J584" s="41"/>
      <c r="K584" s="41"/>
      <c r="L584" s="43"/>
    </row>
    <row r="585" spans="2:12" hidden="1" outlineLevel="2">
      <c r="B585" s="40">
        <f t="shared" si="21"/>
        <v>123</v>
      </c>
      <c r="C585" s="41" t="s">
        <v>8</v>
      </c>
      <c r="D585" s="41" t="s">
        <v>196</v>
      </c>
      <c r="E585" s="41"/>
      <c r="F585" s="41"/>
      <c r="G585" s="41"/>
      <c r="H585" s="41"/>
      <c r="I585" s="42"/>
      <c r="J585" s="41"/>
      <c r="K585" s="41"/>
      <c r="L585" s="43"/>
    </row>
    <row r="586" spans="2:12" hidden="1" outlineLevel="2">
      <c r="B586" s="40">
        <f t="shared" si="21"/>
        <v>124</v>
      </c>
      <c r="C586" s="41" t="s">
        <v>8</v>
      </c>
      <c r="D586" s="41" t="s">
        <v>196</v>
      </c>
      <c r="E586" s="41"/>
      <c r="F586" s="41"/>
      <c r="G586" s="41"/>
      <c r="H586" s="41"/>
      <c r="I586" s="42"/>
      <c r="J586" s="41"/>
      <c r="K586" s="41"/>
      <c r="L586" s="43"/>
    </row>
    <row r="587" spans="2:12" hidden="1" outlineLevel="2">
      <c r="B587" s="40">
        <f t="shared" si="21"/>
        <v>125</v>
      </c>
      <c r="C587" s="41" t="s">
        <v>8</v>
      </c>
      <c r="D587" s="41" t="s">
        <v>196</v>
      </c>
      <c r="E587" s="41"/>
      <c r="F587" s="41"/>
      <c r="G587" s="41"/>
      <c r="H587" s="41"/>
      <c r="I587" s="42"/>
      <c r="J587" s="41"/>
      <c r="K587" s="41"/>
      <c r="L587" s="43"/>
    </row>
    <row r="588" spans="2:12" hidden="1" outlineLevel="2">
      <c r="B588" s="40">
        <f t="shared" si="21"/>
        <v>126</v>
      </c>
      <c r="C588" s="41" t="s">
        <v>8</v>
      </c>
      <c r="D588" s="41" t="s">
        <v>196</v>
      </c>
      <c r="E588" s="41"/>
      <c r="F588" s="41"/>
      <c r="G588" s="41"/>
      <c r="H588" s="41"/>
      <c r="I588" s="42"/>
      <c r="J588" s="41"/>
      <c r="K588" s="41"/>
      <c r="L588" s="43"/>
    </row>
    <row r="589" spans="2:12" hidden="1" outlineLevel="2">
      <c r="B589" s="40">
        <f t="shared" si="21"/>
        <v>127</v>
      </c>
      <c r="C589" s="41" t="s">
        <v>8</v>
      </c>
      <c r="D589" s="41" t="s">
        <v>196</v>
      </c>
      <c r="E589" s="41"/>
      <c r="F589" s="41"/>
      <c r="G589" s="41"/>
      <c r="H589" s="41"/>
      <c r="I589" s="42"/>
      <c r="J589" s="41"/>
      <c r="K589" s="41"/>
      <c r="L589" s="43"/>
    </row>
    <row r="590" spans="2:12" hidden="1" outlineLevel="2">
      <c r="B590" s="40">
        <f t="shared" si="21"/>
        <v>128</v>
      </c>
      <c r="C590" s="41" t="s">
        <v>8</v>
      </c>
      <c r="D590" s="41" t="s">
        <v>196</v>
      </c>
      <c r="E590" s="41"/>
      <c r="F590" s="41"/>
      <c r="G590" s="41"/>
      <c r="H590" s="41"/>
      <c r="I590" s="42"/>
      <c r="J590" s="41"/>
      <c r="K590" s="41"/>
      <c r="L590" s="43"/>
    </row>
    <row r="591" spans="2:12" hidden="1" outlineLevel="2">
      <c r="B591" s="40">
        <f t="shared" si="21"/>
        <v>129</v>
      </c>
      <c r="C591" s="41" t="s">
        <v>8</v>
      </c>
      <c r="D591" s="41" t="s">
        <v>196</v>
      </c>
      <c r="E591" s="41"/>
      <c r="F591" s="41"/>
      <c r="G591" s="41"/>
      <c r="H591" s="41"/>
      <c r="I591" s="42"/>
      <c r="J591" s="41"/>
      <c r="K591" s="41"/>
      <c r="L591" s="43"/>
    </row>
    <row r="592" spans="2:12" hidden="1" outlineLevel="2">
      <c r="B592" s="40">
        <f t="shared" si="21"/>
        <v>130</v>
      </c>
      <c r="C592" s="41" t="s">
        <v>8</v>
      </c>
      <c r="D592" s="41" t="s">
        <v>196</v>
      </c>
      <c r="E592" s="41"/>
      <c r="F592" s="41"/>
      <c r="G592" s="41"/>
      <c r="H592" s="41"/>
      <c r="I592" s="42"/>
      <c r="J592" s="41"/>
      <c r="K592" s="41"/>
      <c r="L592" s="43"/>
    </row>
    <row r="593" spans="2:12" hidden="1" outlineLevel="2">
      <c r="B593" s="40">
        <f t="shared" ref="B593:B656" si="22">ROW(A131)</f>
        <v>131</v>
      </c>
      <c r="C593" s="41" t="s">
        <v>8</v>
      </c>
      <c r="D593" s="41" t="s">
        <v>196</v>
      </c>
      <c r="E593" s="41"/>
      <c r="F593" s="41"/>
      <c r="G593" s="41"/>
      <c r="H593" s="41"/>
      <c r="I593" s="42"/>
      <c r="J593" s="41"/>
      <c r="K593" s="41"/>
      <c r="L593" s="43"/>
    </row>
    <row r="594" spans="2:12" hidden="1" outlineLevel="2">
      <c r="B594" s="40">
        <f t="shared" si="22"/>
        <v>132</v>
      </c>
      <c r="C594" s="41" t="s">
        <v>8</v>
      </c>
      <c r="D594" s="41" t="s">
        <v>196</v>
      </c>
      <c r="E594" s="41"/>
      <c r="F594" s="41"/>
      <c r="G594" s="41"/>
      <c r="H594" s="41"/>
      <c r="I594" s="42"/>
      <c r="J594" s="41"/>
      <c r="K594" s="41"/>
      <c r="L594" s="43"/>
    </row>
    <row r="595" spans="2:12" hidden="1" outlineLevel="2">
      <c r="B595" s="40">
        <f t="shared" si="22"/>
        <v>133</v>
      </c>
      <c r="C595" s="41" t="s">
        <v>8</v>
      </c>
      <c r="D595" s="41" t="s">
        <v>196</v>
      </c>
      <c r="E595" s="41"/>
      <c r="F595" s="41"/>
      <c r="G595" s="41"/>
      <c r="H595" s="41"/>
      <c r="I595" s="42"/>
      <c r="J595" s="41"/>
      <c r="K595" s="41"/>
      <c r="L595" s="43"/>
    </row>
    <row r="596" spans="2:12" hidden="1" outlineLevel="2">
      <c r="B596" s="40">
        <f t="shared" si="22"/>
        <v>134</v>
      </c>
      <c r="C596" s="41" t="s">
        <v>8</v>
      </c>
      <c r="D596" s="41" t="s">
        <v>196</v>
      </c>
      <c r="E596" s="41"/>
      <c r="F596" s="41"/>
      <c r="G596" s="41"/>
      <c r="H596" s="41"/>
      <c r="I596" s="42"/>
      <c r="J596" s="41"/>
      <c r="K596" s="41"/>
      <c r="L596" s="43"/>
    </row>
    <row r="597" spans="2:12" hidden="1" outlineLevel="2">
      <c r="B597" s="40">
        <f t="shared" si="22"/>
        <v>135</v>
      </c>
      <c r="C597" s="41" t="s">
        <v>8</v>
      </c>
      <c r="D597" s="41" t="s">
        <v>196</v>
      </c>
      <c r="E597" s="41"/>
      <c r="F597" s="41"/>
      <c r="G597" s="41"/>
      <c r="H597" s="41"/>
      <c r="I597" s="42"/>
      <c r="J597" s="41"/>
      <c r="K597" s="41"/>
      <c r="L597" s="43"/>
    </row>
    <row r="598" spans="2:12" hidden="1" outlineLevel="2">
      <c r="B598" s="40">
        <f t="shared" si="22"/>
        <v>136</v>
      </c>
      <c r="C598" s="41" t="s">
        <v>8</v>
      </c>
      <c r="D598" s="41" t="s">
        <v>196</v>
      </c>
      <c r="E598" s="41"/>
      <c r="F598" s="41"/>
      <c r="G598" s="41"/>
      <c r="H598" s="41"/>
      <c r="I598" s="42"/>
      <c r="J598" s="41"/>
      <c r="K598" s="41"/>
      <c r="L598" s="43"/>
    </row>
    <row r="599" spans="2:12" hidden="1" outlineLevel="2">
      <c r="B599" s="40">
        <f t="shared" si="22"/>
        <v>137</v>
      </c>
      <c r="C599" s="41" t="s">
        <v>8</v>
      </c>
      <c r="D599" s="41" t="s">
        <v>196</v>
      </c>
      <c r="E599" s="41"/>
      <c r="F599" s="41"/>
      <c r="G599" s="41"/>
      <c r="H599" s="41"/>
      <c r="I599" s="42"/>
      <c r="J599" s="41"/>
      <c r="K599" s="41"/>
      <c r="L599" s="43"/>
    </row>
    <row r="600" spans="2:12" hidden="1" outlineLevel="2">
      <c r="B600" s="40">
        <f t="shared" si="22"/>
        <v>138</v>
      </c>
      <c r="C600" s="41" t="s">
        <v>8</v>
      </c>
      <c r="D600" s="41" t="s">
        <v>196</v>
      </c>
      <c r="E600" s="41"/>
      <c r="F600" s="41"/>
      <c r="G600" s="41"/>
      <c r="H600" s="41"/>
      <c r="I600" s="42"/>
      <c r="J600" s="41"/>
      <c r="K600" s="41"/>
      <c r="L600" s="43"/>
    </row>
    <row r="601" spans="2:12" hidden="1" outlineLevel="2">
      <c r="B601" s="40">
        <f t="shared" si="22"/>
        <v>139</v>
      </c>
      <c r="C601" s="41" t="s">
        <v>8</v>
      </c>
      <c r="D601" s="41" t="s">
        <v>196</v>
      </c>
      <c r="E601" s="41"/>
      <c r="F601" s="41"/>
      <c r="G601" s="41"/>
      <c r="H601" s="41"/>
      <c r="I601" s="42"/>
      <c r="J601" s="41"/>
      <c r="K601" s="41"/>
      <c r="L601" s="43"/>
    </row>
    <row r="602" spans="2:12" hidden="1" outlineLevel="2">
      <c r="B602" s="40">
        <f t="shared" si="22"/>
        <v>140</v>
      </c>
      <c r="C602" s="41" t="s">
        <v>8</v>
      </c>
      <c r="D602" s="41" t="s">
        <v>196</v>
      </c>
      <c r="E602" s="41"/>
      <c r="F602" s="41"/>
      <c r="G602" s="41"/>
      <c r="H602" s="41"/>
      <c r="I602" s="42"/>
      <c r="J602" s="41"/>
      <c r="K602" s="41"/>
      <c r="L602" s="43"/>
    </row>
    <row r="603" spans="2:12" hidden="1" outlineLevel="2">
      <c r="B603" s="40">
        <f t="shared" si="22"/>
        <v>141</v>
      </c>
      <c r="C603" s="41" t="s">
        <v>8</v>
      </c>
      <c r="D603" s="41" t="s">
        <v>196</v>
      </c>
      <c r="E603" s="41"/>
      <c r="F603" s="41"/>
      <c r="G603" s="41"/>
      <c r="H603" s="41"/>
      <c r="I603" s="42"/>
      <c r="J603" s="41"/>
      <c r="K603" s="41"/>
      <c r="L603" s="43"/>
    </row>
    <row r="604" spans="2:12" hidden="1" outlineLevel="2">
      <c r="B604" s="40">
        <f t="shared" si="22"/>
        <v>142</v>
      </c>
      <c r="C604" s="41" t="s">
        <v>8</v>
      </c>
      <c r="D604" s="41" t="s">
        <v>196</v>
      </c>
      <c r="E604" s="41"/>
      <c r="F604" s="41"/>
      <c r="G604" s="41"/>
      <c r="H604" s="41"/>
      <c r="I604" s="42"/>
      <c r="J604" s="41"/>
      <c r="K604" s="41"/>
      <c r="L604" s="43"/>
    </row>
    <row r="605" spans="2:12" hidden="1" outlineLevel="2">
      <c r="B605" s="40">
        <f t="shared" si="22"/>
        <v>143</v>
      </c>
      <c r="C605" s="41" t="s">
        <v>8</v>
      </c>
      <c r="D605" s="41" t="s">
        <v>196</v>
      </c>
      <c r="E605" s="41"/>
      <c r="F605" s="41"/>
      <c r="G605" s="41"/>
      <c r="H605" s="41"/>
      <c r="I605" s="42"/>
      <c r="J605" s="41"/>
      <c r="K605" s="41"/>
      <c r="L605" s="43"/>
    </row>
    <row r="606" spans="2:12" hidden="1" outlineLevel="2">
      <c r="B606" s="40">
        <f t="shared" si="22"/>
        <v>144</v>
      </c>
      <c r="C606" s="41" t="s">
        <v>8</v>
      </c>
      <c r="D606" s="41" t="s">
        <v>196</v>
      </c>
      <c r="E606" s="41"/>
      <c r="F606" s="41"/>
      <c r="G606" s="41"/>
      <c r="H606" s="41"/>
      <c r="I606" s="42"/>
      <c r="J606" s="41"/>
      <c r="K606" s="41"/>
      <c r="L606" s="43"/>
    </row>
    <row r="607" spans="2:12" hidden="1" outlineLevel="2">
      <c r="B607" s="40">
        <f t="shared" si="22"/>
        <v>145</v>
      </c>
      <c r="C607" s="41" t="s">
        <v>8</v>
      </c>
      <c r="D607" s="41" t="s">
        <v>196</v>
      </c>
      <c r="E607" s="41"/>
      <c r="F607" s="41"/>
      <c r="G607" s="41"/>
      <c r="H607" s="41"/>
      <c r="I607" s="42"/>
      <c r="J607" s="41"/>
      <c r="K607" s="41"/>
      <c r="L607" s="43"/>
    </row>
    <row r="608" spans="2:12" hidden="1" outlineLevel="2">
      <c r="B608" s="40">
        <f t="shared" si="22"/>
        <v>146</v>
      </c>
      <c r="C608" s="41" t="s">
        <v>8</v>
      </c>
      <c r="D608" s="41" t="s">
        <v>196</v>
      </c>
      <c r="E608" s="41"/>
      <c r="F608" s="41"/>
      <c r="G608" s="41"/>
      <c r="H608" s="41"/>
      <c r="I608" s="42"/>
      <c r="J608" s="41"/>
      <c r="K608" s="41"/>
      <c r="L608" s="43"/>
    </row>
    <row r="609" spans="2:12" hidden="1" outlineLevel="2">
      <c r="B609" s="40">
        <f t="shared" si="22"/>
        <v>147</v>
      </c>
      <c r="C609" s="41" t="s">
        <v>8</v>
      </c>
      <c r="D609" s="41" t="s">
        <v>196</v>
      </c>
      <c r="E609" s="41"/>
      <c r="F609" s="41"/>
      <c r="G609" s="41"/>
      <c r="H609" s="41"/>
      <c r="I609" s="42"/>
      <c r="J609" s="41"/>
      <c r="K609" s="41"/>
      <c r="L609" s="43"/>
    </row>
    <row r="610" spans="2:12" hidden="1" outlineLevel="2">
      <c r="B610" s="40">
        <f t="shared" si="22"/>
        <v>148</v>
      </c>
      <c r="C610" s="41" t="s">
        <v>8</v>
      </c>
      <c r="D610" s="41" t="s">
        <v>196</v>
      </c>
      <c r="E610" s="41"/>
      <c r="F610" s="41"/>
      <c r="G610" s="41"/>
      <c r="H610" s="41"/>
      <c r="I610" s="42"/>
      <c r="J610" s="41"/>
      <c r="K610" s="41"/>
      <c r="L610" s="43"/>
    </row>
    <row r="611" spans="2:12" hidden="1" outlineLevel="2">
      <c r="B611" s="40">
        <f t="shared" si="22"/>
        <v>149</v>
      </c>
      <c r="C611" s="41" t="s">
        <v>8</v>
      </c>
      <c r="D611" s="41" t="s">
        <v>196</v>
      </c>
      <c r="E611" s="41"/>
      <c r="F611" s="41"/>
      <c r="G611" s="41"/>
      <c r="H611" s="41"/>
      <c r="I611" s="42"/>
      <c r="J611" s="41"/>
      <c r="K611" s="41"/>
      <c r="L611" s="43"/>
    </row>
    <row r="612" spans="2:12" hidden="1" outlineLevel="2">
      <c r="B612" s="40">
        <f t="shared" si="22"/>
        <v>150</v>
      </c>
      <c r="C612" s="41" t="s">
        <v>8</v>
      </c>
      <c r="D612" s="41" t="s">
        <v>196</v>
      </c>
      <c r="E612" s="41"/>
      <c r="F612" s="41"/>
      <c r="G612" s="41"/>
      <c r="H612" s="41"/>
      <c r="I612" s="42"/>
      <c r="J612" s="41"/>
      <c r="K612" s="41"/>
      <c r="L612" s="43"/>
    </row>
    <row r="613" spans="2:12" hidden="1" outlineLevel="2">
      <c r="B613" s="40">
        <f t="shared" si="22"/>
        <v>151</v>
      </c>
      <c r="C613" s="41" t="s">
        <v>8</v>
      </c>
      <c r="D613" s="41" t="s">
        <v>196</v>
      </c>
      <c r="E613" s="41"/>
      <c r="F613" s="41"/>
      <c r="G613" s="41"/>
      <c r="H613" s="41"/>
      <c r="I613" s="42"/>
      <c r="J613" s="41"/>
      <c r="K613" s="41"/>
      <c r="L613" s="43"/>
    </row>
    <row r="614" spans="2:12" hidden="1" outlineLevel="2">
      <c r="B614" s="40">
        <f t="shared" si="22"/>
        <v>152</v>
      </c>
      <c r="C614" s="41" t="s">
        <v>8</v>
      </c>
      <c r="D614" s="41" t="s">
        <v>196</v>
      </c>
      <c r="E614" s="41"/>
      <c r="F614" s="41"/>
      <c r="G614" s="41"/>
      <c r="H614" s="41"/>
      <c r="I614" s="42"/>
      <c r="J614" s="41"/>
      <c r="K614" s="41"/>
      <c r="L614" s="43"/>
    </row>
    <row r="615" spans="2:12" hidden="1" outlineLevel="2">
      <c r="B615" s="40">
        <f t="shared" si="22"/>
        <v>153</v>
      </c>
      <c r="C615" s="41" t="s">
        <v>8</v>
      </c>
      <c r="D615" s="41" t="s">
        <v>196</v>
      </c>
      <c r="E615" s="41"/>
      <c r="F615" s="41"/>
      <c r="G615" s="41"/>
      <c r="H615" s="41"/>
      <c r="I615" s="42"/>
      <c r="J615" s="41"/>
      <c r="K615" s="41"/>
      <c r="L615" s="43"/>
    </row>
    <row r="616" spans="2:12" hidden="1" outlineLevel="2">
      <c r="B616" s="40">
        <f t="shared" si="22"/>
        <v>154</v>
      </c>
      <c r="C616" s="41" t="s">
        <v>8</v>
      </c>
      <c r="D616" s="41" t="s">
        <v>196</v>
      </c>
      <c r="E616" s="41"/>
      <c r="F616" s="41"/>
      <c r="G616" s="41"/>
      <c r="H616" s="41"/>
      <c r="I616" s="42"/>
      <c r="J616" s="41"/>
      <c r="K616" s="41"/>
      <c r="L616" s="43"/>
    </row>
    <row r="617" spans="2:12" hidden="1" outlineLevel="2">
      <c r="B617" s="40">
        <f t="shared" si="22"/>
        <v>155</v>
      </c>
      <c r="C617" s="41" t="s">
        <v>8</v>
      </c>
      <c r="D617" s="41" t="s">
        <v>196</v>
      </c>
      <c r="E617" s="41"/>
      <c r="F617" s="41"/>
      <c r="G617" s="41"/>
      <c r="H617" s="41"/>
      <c r="I617" s="42"/>
      <c r="J617" s="41"/>
      <c r="K617" s="41"/>
      <c r="L617" s="43"/>
    </row>
    <row r="618" spans="2:12" hidden="1" outlineLevel="2">
      <c r="B618" s="40">
        <f t="shared" si="22"/>
        <v>156</v>
      </c>
      <c r="C618" s="41" t="s">
        <v>8</v>
      </c>
      <c r="D618" s="41" t="s">
        <v>196</v>
      </c>
      <c r="E618" s="41"/>
      <c r="F618" s="41"/>
      <c r="G618" s="41"/>
      <c r="H618" s="41"/>
      <c r="I618" s="42"/>
      <c r="J618" s="41"/>
      <c r="K618" s="41"/>
      <c r="L618" s="43"/>
    </row>
    <row r="619" spans="2:12" hidden="1" outlineLevel="2">
      <c r="B619" s="40">
        <f t="shared" si="22"/>
        <v>157</v>
      </c>
      <c r="C619" s="41" t="s">
        <v>8</v>
      </c>
      <c r="D619" s="41" t="s">
        <v>196</v>
      </c>
      <c r="E619" s="41"/>
      <c r="F619" s="41"/>
      <c r="G619" s="41"/>
      <c r="H619" s="41"/>
      <c r="I619" s="42"/>
      <c r="J619" s="41"/>
      <c r="K619" s="41"/>
      <c r="L619" s="43"/>
    </row>
    <row r="620" spans="2:12" hidden="1" outlineLevel="2">
      <c r="B620" s="40">
        <f t="shared" si="22"/>
        <v>158</v>
      </c>
      <c r="C620" s="41" t="s">
        <v>8</v>
      </c>
      <c r="D620" s="41" t="s">
        <v>196</v>
      </c>
      <c r="E620" s="41"/>
      <c r="F620" s="41"/>
      <c r="G620" s="41"/>
      <c r="H620" s="41"/>
      <c r="I620" s="42"/>
      <c r="J620" s="41"/>
      <c r="K620" s="41"/>
      <c r="L620" s="43"/>
    </row>
    <row r="621" spans="2:12" hidden="1" outlineLevel="2">
      <c r="B621" s="40">
        <f t="shared" si="22"/>
        <v>159</v>
      </c>
      <c r="C621" s="41" t="s">
        <v>8</v>
      </c>
      <c r="D621" s="41" t="s">
        <v>196</v>
      </c>
      <c r="E621" s="41"/>
      <c r="F621" s="41"/>
      <c r="G621" s="41"/>
      <c r="H621" s="41"/>
      <c r="I621" s="42"/>
      <c r="J621" s="41"/>
      <c r="K621" s="41"/>
      <c r="L621" s="43"/>
    </row>
    <row r="622" spans="2:12" hidden="1" outlineLevel="2">
      <c r="B622" s="40">
        <f t="shared" si="22"/>
        <v>160</v>
      </c>
      <c r="C622" s="41" t="s">
        <v>8</v>
      </c>
      <c r="D622" s="41" t="s">
        <v>196</v>
      </c>
      <c r="E622" s="41"/>
      <c r="F622" s="41"/>
      <c r="G622" s="41"/>
      <c r="H622" s="41"/>
      <c r="I622" s="42"/>
      <c r="J622" s="41"/>
      <c r="K622" s="41"/>
      <c r="L622" s="43"/>
    </row>
    <row r="623" spans="2:12" hidden="1" outlineLevel="2">
      <c r="B623" s="40">
        <f t="shared" si="22"/>
        <v>161</v>
      </c>
      <c r="C623" s="41" t="s">
        <v>8</v>
      </c>
      <c r="D623" s="41" t="s">
        <v>196</v>
      </c>
      <c r="E623" s="41"/>
      <c r="F623" s="41"/>
      <c r="G623" s="41"/>
      <c r="H623" s="41"/>
      <c r="I623" s="42"/>
      <c r="J623" s="41"/>
      <c r="K623" s="41"/>
      <c r="L623" s="43"/>
    </row>
    <row r="624" spans="2:12" hidden="1" outlineLevel="2">
      <c r="B624" s="40">
        <f t="shared" si="22"/>
        <v>162</v>
      </c>
      <c r="C624" s="41" t="s">
        <v>8</v>
      </c>
      <c r="D624" s="41" t="s">
        <v>196</v>
      </c>
      <c r="E624" s="41"/>
      <c r="F624" s="41"/>
      <c r="G624" s="41"/>
      <c r="H624" s="41"/>
      <c r="I624" s="42"/>
      <c r="J624" s="41"/>
      <c r="K624" s="41"/>
      <c r="L624" s="43"/>
    </row>
    <row r="625" spans="2:12" hidden="1" outlineLevel="2">
      <c r="B625" s="40">
        <f t="shared" si="22"/>
        <v>163</v>
      </c>
      <c r="C625" s="41" t="s">
        <v>8</v>
      </c>
      <c r="D625" s="41" t="s">
        <v>196</v>
      </c>
      <c r="E625" s="41"/>
      <c r="F625" s="41"/>
      <c r="G625" s="41"/>
      <c r="H625" s="41"/>
      <c r="I625" s="42"/>
      <c r="J625" s="41"/>
      <c r="K625" s="41"/>
      <c r="L625" s="43"/>
    </row>
    <row r="626" spans="2:12" hidden="1" outlineLevel="2">
      <c r="B626" s="40">
        <f t="shared" si="22"/>
        <v>164</v>
      </c>
      <c r="C626" s="41" t="s">
        <v>8</v>
      </c>
      <c r="D626" s="41" t="s">
        <v>196</v>
      </c>
      <c r="E626" s="41"/>
      <c r="F626" s="41"/>
      <c r="G626" s="41"/>
      <c r="H626" s="41"/>
      <c r="I626" s="42"/>
      <c r="J626" s="41"/>
      <c r="K626" s="41"/>
      <c r="L626" s="43"/>
    </row>
    <row r="627" spans="2:12" hidden="1" outlineLevel="2">
      <c r="B627" s="40">
        <f t="shared" si="22"/>
        <v>165</v>
      </c>
      <c r="C627" s="41" t="s">
        <v>8</v>
      </c>
      <c r="D627" s="41" t="s">
        <v>196</v>
      </c>
      <c r="E627" s="41"/>
      <c r="F627" s="41"/>
      <c r="G627" s="41"/>
      <c r="H627" s="41"/>
      <c r="I627" s="42"/>
      <c r="J627" s="41"/>
      <c r="K627" s="41"/>
      <c r="L627" s="43"/>
    </row>
    <row r="628" spans="2:12" hidden="1" outlineLevel="2">
      <c r="B628" s="40">
        <f t="shared" si="22"/>
        <v>166</v>
      </c>
      <c r="C628" s="41" t="s">
        <v>8</v>
      </c>
      <c r="D628" s="41" t="s">
        <v>196</v>
      </c>
      <c r="E628" s="41"/>
      <c r="F628" s="41"/>
      <c r="G628" s="41"/>
      <c r="H628" s="41"/>
      <c r="I628" s="42"/>
      <c r="J628" s="41"/>
      <c r="K628" s="41"/>
      <c r="L628" s="43"/>
    </row>
    <row r="629" spans="2:12" hidden="1" outlineLevel="2">
      <c r="B629" s="40">
        <f t="shared" si="22"/>
        <v>167</v>
      </c>
      <c r="C629" s="41" t="s">
        <v>8</v>
      </c>
      <c r="D629" s="41" t="s">
        <v>196</v>
      </c>
      <c r="E629" s="41"/>
      <c r="F629" s="41"/>
      <c r="G629" s="41"/>
      <c r="H629" s="41"/>
      <c r="I629" s="42"/>
      <c r="J629" s="41"/>
      <c r="K629" s="41"/>
      <c r="L629" s="43"/>
    </row>
    <row r="630" spans="2:12" hidden="1" outlineLevel="2">
      <c r="B630" s="40">
        <f t="shared" si="22"/>
        <v>168</v>
      </c>
      <c r="C630" s="41" t="s">
        <v>8</v>
      </c>
      <c r="D630" s="41" t="s">
        <v>196</v>
      </c>
      <c r="E630" s="41"/>
      <c r="F630" s="41"/>
      <c r="G630" s="41"/>
      <c r="H630" s="41"/>
      <c r="I630" s="42"/>
      <c r="J630" s="41"/>
      <c r="K630" s="41"/>
      <c r="L630" s="43"/>
    </row>
    <row r="631" spans="2:12" hidden="1" outlineLevel="2">
      <c r="B631" s="40">
        <f t="shared" si="22"/>
        <v>169</v>
      </c>
      <c r="C631" s="41" t="s">
        <v>8</v>
      </c>
      <c r="D631" s="41" t="s">
        <v>196</v>
      </c>
      <c r="E631" s="41"/>
      <c r="F631" s="41"/>
      <c r="G631" s="41"/>
      <c r="H631" s="41"/>
      <c r="I631" s="42"/>
      <c r="J631" s="41"/>
      <c r="K631" s="41"/>
      <c r="L631" s="43"/>
    </row>
    <row r="632" spans="2:12" hidden="1" outlineLevel="2">
      <c r="B632" s="40">
        <f t="shared" si="22"/>
        <v>170</v>
      </c>
      <c r="C632" s="41" t="s">
        <v>8</v>
      </c>
      <c r="D632" s="41" t="s">
        <v>196</v>
      </c>
      <c r="E632" s="41"/>
      <c r="F632" s="41"/>
      <c r="G632" s="41"/>
      <c r="H632" s="41"/>
      <c r="I632" s="42"/>
      <c r="J632" s="41"/>
      <c r="K632" s="41"/>
      <c r="L632" s="43"/>
    </row>
    <row r="633" spans="2:12" hidden="1" outlineLevel="2">
      <c r="B633" s="40">
        <f t="shared" si="22"/>
        <v>171</v>
      </c>
      <c r="C633" s="41" t="s">
        <v>8</v>
      </c>
      <c r="D633" s="41" t="s">
        <v>196</v>
      </c>
      <c r="E633" s="41"/>
      <c r="F633" s="41"/>
      <c r="G633" s="41"/>
      <c r="H633" s="41"/>
      <c r="I633" s="42"/>
      <c r="J633" s="41"/>
      <c r="K633" s="41"/>
      <c r="L633" s="43"/>
    </row>
    <row r="634" spans="2:12" hidden="1" outlineLevel="2">
      <c r="B634" s="40">
        <f t="shared" si="22"/>
        <v>172</v>
      </c>
      <c r="C634" s="41" t="s">
        <v>8</v>
      </c>
      <c r="D634" s="41" t="s">
        <v>196</v>
      </c>
      <c r="E634" s="41"/>
      <c r="F634" s="41"/>
      <c r="G634" s="41"/>
      <c r="H634" s="41"/>
      <c r="I634" s="42"/>
      <c r="J634" s="41"/>
      <c r="K634" s="41"/>
      <c r="L634" s="43"/>
    </row>
    <row r="635" spans="2:12" hidden="1" outlineLevel="2">
      <c r="B635" s="40">
        <f t="shared" si="22"/>
        <v>173</v>
      </c>
      <c r="C635" s="41" t="s">
        <v>8</v>
      </c>
      <c r="D635" s="41" t="s">
        <v>196</v>
      </c>
      <c r="E635" s="41"/>
      <c r="F635" s="41"/>
      <c r="G635" s="41"/>
      <c r="H635" s="41"/>
      <c r="I635" s="42"/>
      <c r="J635" s="41"/>
      <c r="K635" s="41"/>
      <c r="L635" s="43"/>
    </row>
    <row r="636" spans="2:12" hidden="1" outlineLevel="2">
      <c r="B636" s="40">
        <f t="shared" si="22"/>
        <v>174</v>
      </c>
      <c r="C636" s="41" t="s">
        <v>8</v>
      </c>
      <c r="D636" s="41" t="s">
        <v>196</v>
      </c>
      <c r="E636" s="41"/>
      <c r="F636" s="41"/>
      <c r="G636" s="41"/>
      <c r="H636" s="41"/>
      <c r="I636" s="42"/>
      <c r="J636" s="41"/>
      <c r="K636" s="41"/>
      <c r="L636" s="43"/>
    </row>
    <row r="637" spans="2:12" hidden="1" outlineLevel="2">
      <c r="B637" s="40">
        <f t="shared" si="22"/>
        <v>175</v>
      </c>
      <c r="C637" s="41" t="s">
        <v>8</v>
      </c>
      <c r="D637" s="41" t="s">
        <v>196</v>
      </c>
      <c r="E637" s="41"/>
      <c r="F637" s="41"/>
      <c r="G637" s="41"/>
      <c r="H637" s="41"/>
      <c r="I637" s="42"/>
      <c r="J637" s="41"/>
      <c r="K637" s="41"/>
      <c r="L637" s="43"/>
    </row>
    <row r="638" spans="2:12" hidden="1" outlineLevel="2">
      <c r="B638" s="40">
        <f t="shared" si="22"/>
        <v>176</v>
      </c>
      <c r="C638" s="41" t="s">
        <v>8</v>
      </c>
      <c r="D638" s="41" t="s">
        <v>196</v>
      </c>
      <c r="E638" s="41"/>
      <c r="F638" s="41"/>
      <c r="G638" s="41"/>
      <c r="H638" s="41"/>
      <c r="I638" s="42"/>
      <c r="J638" s="41"/>
      <c r="K638" s="41"/>
      <c r="L638" s="43"/>
    </row>
    <row r="639" spans="2:12" hidden="1" outlineLevel="2">
      <c r="B639" s="40">
        <f t="shared" si="22"/>
        <v>177</v>
      </c>
      <c r="C639" s="41" t="s">
        <v>8</v>
      </c>
      <c r="D639" s="41" t="s">
        <v>196</v>
      </c>
      <c r="E639" s="41"/>
      <c r="F639" s="41"/>
      <c r="G639" s="41"/>
      <c r="H639" s="41"/>
      <c r="I639" s="42"/>
      <c r="J639" s="41"/>
      <c r="K639" s="41"/>
      <c r="L639" s="43"/>
    </row>
    <row r="640" spans="2:12" hidden="1" outlineLevel="2">
      <c r="B640" s="40">
        <f t="shared" si="22"/>
        <v>178</v>
      </c>
      <c r="C640" s="41" t="s">
        <v>8</v>
      </c>
      <c r="D640" s="41" t="s">
        <v>196</v>
      </c>
      <c r="E640" s="41"/>
      <c r="F640" s="41"/>
      <c r="G640" s="41"/>
      <c r="H640" s="41"/>
      <c r="I640" s="42"/>
      <c r="J640" s="41"/>
      <c r="K640" s="41"/>
      <c r="L640" s="43"/>
    </row>
    <row r="641" spans="2:12" hidden="1" outlineLevel="2">
      <c r="B641" s="40">
        <f t="shared" si="22"/>
        <v>179</v>
      </c>
      <c r="C641" s="41" t="s">
        <v>8</v>
      </c>
      <c r="D641" s="41" t="s">
        <v>196</v>
      </c>
      <c r="E641" s="41"/>
      <c r="F641" s="41"/>
      <c r="G641" s="41"/>
      <c r="H641" s="41"/>
      <c r="I641" s="42"/>
      <c r="J641" s="41"/>
      <c r="K641" s="41"/>
      <c r="L641" s="43"/>
    </row>
    <row r="642" spans="2:12" hidden="1" outlineLevel="2">
      <c r="B642" s="40">
        <f t="shared" si="22"/>
        <v>180</v>
      </c>
      <c r="C642" s="41" t="s">
        <v>8</v>
      </c>
      <c r="D642" s="41" t="s">
        <v>196</v>
      </c>
      <c r="E642" s="41"/>
      <c r="F642" s="41"/>
      <c r="G642" s="41"/>
      <c r="H642" s="41"/>
      <c r="I642" s="42"/>
      <c r="J642" s="41"/>
      <c r="K642" s="41"/>
      <c r="L642" s="43"/>
    </row>
    <row r="643" spans="2:12" hidden="1" outlineLevel="2">
      <c r="B643" s="40">
        <f t="shared" si="22"/>
        <v>181</v>
      </c>
      <c r="C643" s="41" t="s">
        <v>8</v>
      </c>
      <c r="D643" s="41" t="s">
        <v>196</v>
      </c>
      <c r="E643" s="41"/>
      <c r="F643" s="41"/>
      <c r="G643" s="41"/>
      <c r="H643" s="41"/>
      <c r="I643" s="42"/>
      <c r="J643" s="41"/>
      <c r="K643" s="41"/>
      <c r="L643" s="43"/>
    </row>
    <row r="644" spans="2:12" hidden="1" outlineLevel="2">
      <c r="B644" s="40">
        <f t="shared" si="22"/>
        <v>182</v>
      </c>
      <c r="C644" s="41" t="s">
        <v>8</v>
      </c>
      <c r="D644" s="41" t="s">
        <v>196</v>
      </c>
      <c r="E644" s="41"/>
      <c r="F644" s="41"/>
      <c r="G644" s="41"/>
      <c r="H644" s="41"/>
      <c r="I644" s="42"/>
      <c r="J644" s="41"/>
      <c r="K644" s="41"/>
      <c r="L644" s="43"/>
    </row>
    <row r="645" spans="2:12" hidden="1" outlineLevel="2">
      <c r="B645" s="40">
        <f t="shared" si="22"/>
        <v>183</v>
      </c>
      <c r="C645" s="41" t="s">
        <v>8</v>
      </c>
      <c r="D645" s="41" t="s">
        <v>196</v>
      </c>
      <c r="E645" s="41"/>
      <c r="F645" s="41"/>
      <c r="G645" s="41"/>
      <c r="H645" s="41"/>
      <c r="I645" s="42"/>
      <c r="J645" s="41"/>
      <c r="K645" s="41"/>
      <c r="L645" s="43"/>
    </row>
    <row r="646" spans="2:12" hidden="1" outlineLevel="2">
      <c r="B646" s="40">
        <f t="shared" si="22"/>
        <v>184</v>
      </c>
      <c r="C646" s="41" t="s">
        <v>8</v>
      </c>
      <c r="D646" s="41" t="s">
        <v>196</v>
      </c>
      <c r="E646" s="41"/>
      <c r="F646" s="41"/>
      <c r="G646" s="41"/>
      <c r="H646" s="41"/>
      <c r="I646" s="42"/>
      <c r="J646" s="41"/>
      <c r="K646" s="41"/>
      <c r="L646" s="43"/>
    </row>
    <row r="647" spans="2:12" hidden="1" outlineLevel="2">
      <c r="B647" s="40">
        <f t="shared" si="22"/>
        <v>185</v>
      </c>
      <c r="C647" s="41" t="s">
        <v>8</v>
      </c>
      <c r="D647" s="41" t="s">
        <v>196</v>
      </c>
      <c r="E647" s="41"/>
      <c r="F647" s="41"/>
      <c r="G647" s="41"/>
      <c r="H647" s="41"/>
      <c r="I647" s="42"/>
      <c r="J647" s="41"/>
      <c r="K647" s="41"/>
      <c r="L647" s="43"/>
    </row>
    <row r="648" spans="2:12" hidden="1" outlineLevel="2">
      <c r="B648" s="40">
        <f t="shared" si="22"/>
        <v>186</v>
      </c>
      <c r="C648" s="41" t="s">
        <v>8</v>
      </c>
      <c r="D648" s="41" t="s">
        <v>196</v>
      </c>
      <c r="E648" s="41"/>
      <c r="F648" s="41"/>
      <c r="G648" s="41"/>
      <c r="H648" s="41"/>
      <c r="I648" s="42"/>
      <c r="J648" s="41"/>
      <c r="K648" s="41"/>
      <c r="L648" s="43"/>
    </row>
    <row r="649" spans="2:12" hidden="1" outlineLevel="2">
      <c r="B649" s="40">
        <f t="shared" si="22"/>
        <v>187</v>
      </c>
      <c r="C649" s="41" t="s">
        <v>8</v>
      </c>
      <c r="D649" s="41" t="s">
        <v>196</v>
      </c>
      <c r="E649" s="41"/>
      <c r="F649" s="41"/>
      <c r="G649" s="41"/>
      <c r="H649" s="41"/>
      <c r="I649" s="42"/>
      <c r="J649" s="41"/>
      <c r="K649" s="41"/>
      <c r="L649" s="43"/>
    </row>
    <row r="650" spans="2:12" hidden="1" outlineLevel="2">
      <c r="B650" s="40">
        <f t="shared" si="22"/>
        <v>188</v>
      </c>
      <c r="C650" s="41" t="s">
        <v>8</v>
      </c>
      <c r="D650" s="41" t="s">
        <v>196</v>
      </c>
      <c r="E650" s="41"/>
      <c r="F650" s="41"/>
      <c r="G650" s="41"/>
      <c r="H650" s="41"/>
      <c r="I650" s="42"/>
      <c r="J650" s="41"/>
      <c r="K650" s="41"/>
      <c r="L650" s="43"/>
    </row>
    <row r="651" spans="2:12" hidden="1" outlineLevel="2">
      <c r="B651" s="40">
        <f t="shared" si="22"/>
        <v>189</v>
      </c>
      <c r="C651" s="41" t="s">
        <v>8</v>
      </c>
      <c r="D651" s="41" t="s">
        <v>196</v>
      </c>
      <c r="E651" s="41"/>
      <c r="F651" s="41"/>
      <c r="G651" s="41"/>
      <c r="H651" s="41"/>
      <c r="I651" s="42"/>
      <c r="J651" s="41"/>
      <c r="K651" s="41"/>
      <c r="L651" s="43"/>
    </row>
    <row r="652" spans="2:12" hidden="1" outlineLevel="2">
      <c r="B652" s="40">
        <f t="shared" si="22"/>
        <v>190</v>
      </c>
      <c r="C652" s="41" t="s">
        <v>8</v>
      </c>
      <c r="D652" s="41" t="s">
        <v>196</v>
      </c>
      <c r="E652" s="41"/>
      <c r="F652" s="41"/>
      <c r="G652" s="41"/>
      <c r="H652" s="41"/>
      <c r="I652" s="42"/>
      <c r="J652" s="41"/>
      <c r="K652" s="41"/>
      <c r="L652" s="43"/>
    </row>
    <row r="653" spans="2:12" hidden="1" outlineLevel="2">
      <c r="B653" s="40">
        <f t="shared" si="22"/>
        <v>191</v>
      </c>
      <c r="C653" s="41" t="s">
        <v>8</v>
      </c>
      <c r="D653" s="41" t="s">
        <v>196</v>
      </c>
      <c r="E653" s="41"/>
      <c r="F653" s="41"/>
      <c r="G653" s="41"/>
      <c r="H653" s="41"/>
      <c r="I653" s="42"/>
      <c r="J653" s="41"/>
      <c r="K653" s="41"/>
      <c r="L653" s="43"/>
    </row>
    <row r="654" spans="2:12" hidden="1" outlineLevel="2">
      <c r="B654" s="40">
        <f t="shared" si="22"/>
        <v>192</v>
      </c>
      <c r="C654" s="41" t="s">
        <v>8</v>
      </c>
      <c r="D654" s="41" t="s">
        <v>196</v>
      </c>
      <c r="E654" s="41"/>
      <c r="F654" s="41"/>
      <c r="G654" s="41"/>
      <c r="H654" s="41"/>
      <c r="I654" s="42"/>
      <c r="J654" s="41"/>
      <c r="K654" s="41"/>
      <c r="L654" s="43"/>
    </row>
    <row r="655" spans="2:12" hidden="1" outlineLevel="2">
      <c r="B655" s="40">
        <f t="shared" si="22"/>
        <v>193</v>
      </c>
      <c r="C655" s="41" t="s">
        <v>8</v>
      </c>
      <c r="D655" s="41" t="s">
        <v>196</v>
      </c>
      <c r="E655" s="41"/>
      <c r="F655" s="41"/>
      <c r="G655" s="41"/>
      <c r="H655" s="41"/>
      <c r="I655" s="42"/>
      <c r="J655" s="41"/>
      <c r="K655" s="41"/>
      <c r="L655" s="43"/>
    </row>
    <row r="656" spans="2:12" hidden="1" outlineLevel="2">
      <c r="B656" s="40">
        <f t="shared" si="22"/>
        <v>194</v>
      </c>
      <c r="C656" s="41" t="s">
        <v>8</v>
      </c>
      <c r="D656" s="41" t="s">
        <v>196</v>
      </c>
      <c r="E656" s="41"/>
      <c r="F656" s="41"/>
      <c r="G656" s="41"/>
      <c r="H656" s="41"/>
      <c r="I656" s="42"/>
      <c r="J656" s="41"/>
      <c r="K656" s="41"/>
      <c r="L656" s="43"/>
    </row>
    <row r="657" spans="2:12" hidden="1" outlineLevel="2">
      <c r="B657" s="40">
        <f t="shared" ref="B657:B690" si="23">ROW(A195)</f>
        <v>195</v>
      </c>
      <c r="C657" s="41" t="s">
        <v>8</v>
      </c>
      <c r="D657" s="41" t="s">
        <v>196</v>
      </c>
      <c r="E657" s="41"/>
      <c r="F657" s="41"/>
      <c r="G657" s="41"/>
      <c r="H657" s="41"/>
      <c r="I657" s="42"/>
      <c r="J657" s="41"/>
      <c r="K657" s="41"/>
      <c r="L657" s="43"/>
    </row>
    <row r="658" spans="2:12" hidden="1" outlineLevel="2">
      <c r="B658" s="40">
        <f t="shared" si="23"/>
        <v>196</v>
      </c>
      <c r="C658" s="41" t="s">
        <v>8</v>
      </c>
      <c r="D658" s="41" t="s">
        <v>196</v>
      </c>
      <c r="E658" s="41"/>
      <c r="F658" s="41"/>
      <c r="G658" s="41"/>
      <c r="H658" s="41"/>
      <c r="I658" s="42"/>
      <c r="J658" s="41"/>
      <c r="K658" s="41"/>
      <c r="L658" s="43"/>
    </row>
    <row r="659" spans="2:12" hidden="1" outlineLevel="2">
      <c r="B659" s="40">
        <f t="shared" si="23"/>
        <v>197</v>
      </c>
      <c r="C659" s="41" t="s">
        <v>8</v>
      </c>
      <c r="D659" s="41" t="s">
        <v>196</v>
      </c>
      <c r="E659" s="41"/>
      <c r="F659" s="41"/>
      <c r="G659" s="41"/>
      <c r="H659" s="41"/>
      <c r="I659" s="42"/>
      <c r="J659" s="41"/>
      <c r="K659" s="41"/>
      <c r="L659" s="43"/>
    </row>
    <row r="660" spans="2:12" hidden="1" outlineLevel="2">
      <c r="B660" s="40">
        <f t="shared" si="23"/>
        <v>198</v>
      </c>
      <c r="C660" s="41" t="s">
        <v>8</v>
      </c>
      <c r="D660" s="41" t="s">
        <v>196</v>
      </c>
      <c r="E660" s="41"/>
      <c r="F660" s="41"/>
      <c r="G660" s="41"/>
      <c r="H660" s="41"/>
      <c r="I660" s="42"/>
      <c r="J660" s="41"/>
      <c r="K660" s="41"/>
      <c r="L660" s="43"/>
    </row>
    <row r="661" spans="2:12" hidden="1" outlineLevel="2">
      <c r="B661" s="40">
        <f t="shared" si="23"/>
        <v>199</v>
      </c>
      <c r="C661" s="41" t="s">
        <v>8</v>
      </c>
      <c r="D661" s="41" t="s">
        <v>196</v>
      </c>
      <c r="E661" s="41"/>
      <c r="F661" s="41"/>
      <c r="G661" s="41"/>
      <c r="H661" s="41"/>
      <c r="I661" s="42"/>
      <c r="J661" s="41"/>
      <c r="K661" s="41"/>
      <c r="L661" s="43"/>
    </row>
    <row r="662" spans="2:12" hidden="1" outlineLevel="2">
      <c r="B662" s="40">
        <f t="shared" si="23"/>
        <v>200</v>
      </c>
      <c r="C662" s="41" t="s">
        <v>8</v>
      </c>
      <c r="D662" s="41" t="s">
        <v>196</v>
      </c>
      <c r="E662" s="41"/>
      <c r="F662" s="41"/>
      <c r="G662" s="41"/>
      <c r="H662" s="41"/>
      <c r="I662" s="42"/>
      <c r="J662" s="41"/>
      <c r="K662" s="41"/>
      <c r="L662" s="43"/>
    </row>
    <row r="663" spans="2:12" hidden="1" outlineLevel="2">
      <c r="B663" s="40">
        <f t="shared" si="23"/>
        <v>201</v>
      </c>
      <c r="C663" s="41" t="s">
        <v>8</v>
      </c>
      <c r="D663" s="41" t="s">
        <v>196</v>
      </c>
      <c r="E663" s="41"/>
      <c r="F663" s="41"/>
      <c r="G663" s="41"/>
      <c r="H663" s="41"/>
      <c r="I663" s="42"/>
      <c r="J663" s="41"/>
      <c r="K663" s="41"/>
      <c r="L663" s="43"/>
    </row>
    <row r="664" spans="2:12" hidden="1" outlineLevel="2">
      <c r="B664" s="40">
        <f t="shared" si="23"/>
        <v>202</v>
      </c>
      <c r="C664" s="41" t="s">
        <v>8</v>
      </c>
      <c r="D664" s="41" t="s">
        <v>196</v>
      </c>
      <c r="E664" s="41"/>
      <c r="F664" s="41"/>
      <c r="G664" s="41"/>
      <c r="H664" s="41"/>
      <c r="I664" s="42"/>
      <c r="J664" s="41"/>
      <c r="K664" s="41"/>
      <c r="L664" s="43"/>
    </row>
    <row r="665" spans="2:12" hidden="1" outlineLevel="2">
      <c r="B665" s="40">
        <f t="shared" si="23"/>
        <v>203</v>
      </c>
      <c r="C665" s="41" t="s">
        <v>8</v>
      </c>
      <c r="D665" s="41" t="s">
        <v>196</v>
      </c>
      <c r="E665" s="41"/>
      <c r="F665" s="41"/>
      <c r="G665" s="41"/>
      <c r="H665" s="41"/>
      <c r="I665" s="42"/>
      <c r="J665" s="41"/>
      <c r="K665" s="41"/>
      <c r="L665" s="43"/>
    </row>
    <row r="666" spans="2:12" hidden="1" outlineLevel="2">
      <c r="B666" s="40">
        <f t="shared" si="23"/>
        <v>204</v>
      </c>
      <c r="C666" s="41" t="s">
        <v>8</v>
      </c>
      <c r="D666" s="41" t="s">
        <v>196</v>
      </c>
      <c r="E666" s="41"/>
      <c r="F666" s="41"/>
      <c r="G666" s="41"/>
      <c r="H666" s="41"/>
      <c r="I666" s="42"/>
      <c r="J666" s="41"/>
      <c r="K666" s="41"/>
      <c r="L666" s="43"/>
    </row>
    <row r="667" spans="2:12" hidden="1" outlineLevel="2">
      <c r="B667" s="40">
        <f t="shared" si="23"/>
        <v>205</v>
      </c>
      <c r="C667" s="41" t="s">
        <v>8</v>
      </c>
      <c r="D667" s="41" t="s">
        <v>196</v>
      </c>
      <c r="E667" s="41"/>
      <c r="F667" s="41"/>
      <c r="G667" s="41"/>
      <c r="H667" s="41"/>
      <c r="I667" s="42"/>
      <c r="J667" s="41"/>
      <c r="K667" s="41"/>
      <c r="L667" s="43"/>
    </row>
    <row r="668" spans="2:12" hidden="1" outlineLevel="2">
      <c r="B668" s="40">
        <f t="shared" si="23"/>
        <v>206</v>
      </c>
      <c r="C668" s="41" t="s">
        <v>8</v>
      </c>
      <c r="D668" s="41" t="s">
        <v>196</v>
      </c>
      <c r="E668" s="41"/>
      <c r="F668" s="41"/>
      <c r="G668" s="41"/>
      <c r="H668" s="41"/>
      <c r="I668" s="42"/>
      <c r="J668" s="41"/>
      <c r="K668" s="41"/>
      <c r="L668" s="43"/>
    </row>
    <row r="669" spans="2:12" hidden="1" outlineLevel="2">
      <c r="B669" s="40">
        <f t="shared" si="23"/>
        <v>207</v>
      </c>
      <c r="C669" s="41" t="s">
        <v>8</v>
      </c>
      <c r="D669" s="41" t="s">
        <v>196</v>
      </c>
      <c r="E669" s="41"/>
      <c r="F669" s="41"/>
      <c r="G669" s="41"/>
      <c r="H669" s="41"/>
      <c r="I669" s="42"/>
      <c r="J669" s="41"/>
      <c r="K669" s="41"/>
      <c r="L669" s="43"/>
    </row>
    <row r="670" spans="2:12" hidden="1" outlineLevel="2">
      <c r="B670" s="40">
        <f t="shared" si="23"/>
        <v>208</v>
      </c>
      <c r="C670" s="41" t="s">
        <v>8</v>
      </c>
      <c r="D670" s="41" t="s">
        <v>196</v>
      </c>
      <c r="E670" s="41"/>
      <c r="F670" s="41"/>
      <c r="G670" s="41"/>
      <c r="H670" s="41"/>
      <c r="I670" s="42"/>
      <c r="J670" s="41"/>
      <c r="K670" s="41"/>
      <c r="L670" s="43"/>
    </row>
    <row r="671" spans="2:12" hidden="1" outlineLevel="2">
      <c r="B671" s="40">
        <f t="shared" si="23"/>
        <v>209</v>
      </c>
      <c r="C671" s="41" t="s">
        <v>8</v>
      </c>
      <c r="D671" s="41" t="s">
        <v>196</v>
      </c>
      <c r="E671" s="41"/>
      <c r="F671" s="41"/>
      <c r="G671" s="41"/>
      <c r="H671" s="41"/>
      <c r="I671" s="42"/>
      <c r="J671" s="41"/>
      <c r="K671" s="41"/>
      <c r="L671" s="43"/>
    </row>
    <row r="672" spans="2:12" hidden="1" outlineLevel="2">
      <c r="B672" s="40">
        <f t="shared" si="23"/>
        <v>210</v>
      </c>
      <c r="C672" s="41" t="s">
        <v>8</v>
      </c>
      <c r="D672" s="41" t="s">
        <v>196</v>
      </c>
      <c r="E672" s="41"/>
      <c r="F672" s="41"/>
      <c r="G672" s="41"/>
      <c r="H672" s="41"/>
      <c r="I672" s="42"/>
      <c r="J672" s="41"/>
      <c r="K672" s="41"/>
      <c r="L672" s="43"/>
    </row>
    <row r="673" spans="2:12" hidden="1" outlineLevel="2">
      <c r="B673" s="40">
        <f t="shared" si="23"/>
        <v>211</v>
      </c>
      <c r="C673" s="41" t="s">
        <v>8</v>
      </c>
      <c r="D673" s="41" t="s">
        <v>196</v>
      </c>
      <c r="E673" s="41"/>
      <c r="F673" s="41"/>
      <c r="G673" s="41"/>
      <c r="H673" s="41"/>
      <c r="I673" s="42"/>
      <c r="J673" s="41"/>
      <c r="K673" s="41"/>
      <c r="L673" s="43"/>
    </row>
    <row r="674" spans="2:12" hidden="1" outlineLevel="2">
      <c r="B674" s="40">
        <f t="shared" si="23"/>
        <v>212</v>
      </c>
      <c r="C674" s="41" t="s">
        <v>8</v>
      </c>
      <c r="D674" s="41" t="s">
        <v>196</v>
      </c>
      <c r="E674" s="41"/>
      <c r="F674" s="41"/>
      <c r="G674" s="41"/>
      <c r="H674" s="41"/>
      <c r="I674" s="42"/>
      <c r="J674" s="41"/>
      <c r="K674" s="41"/>
      <c r="L674" s="43"/>
    </row>
    <row r="675" spans="2:12" hidden="1" outlineLevel="2">
      <c r="B675" s="40">
        <f t="shared" si="23"/>
        <v>213</v>
      </c>
      <c r="C675" s="41" t="s">
        <v>8</v>
      </c>
      <c r="D675" s="41" t="s">
        <v>196</v>
      </c>
      <c r="E675" s="41"/>
      <c r="F675" s="41"/>
      <c r="G675" s="41"/>
      <c r="H675" s="41"/>
      <c r="I675" s="42"/>
      <c r="J675" s="41"/>
      <c r="K675" s="41"/>
      <c r="L675" s="43"/>
    </row>
    <row r="676" spans="2:12" hidden="1" outlineLevel="2">
      <c r="B676" s="40">
        <f t="shared" si="23"/>
        <v>214</v>
      </c>
      <c r="C676" s="41" t="s">
        <v>8</v>
      </c>
      <c r="D676" s="41" t="s">
        <v>196</v>
      </c>
      <c r="E676" s="41"/>
      <c r="F676" s="41"/>
      <c r="G676" s="41"/>
      <c r="H676" s="41"/>
      <c r="I676" s="42"/>
      <c r="J676" s="41"/>
      <c r="K676" s="41"/>
      <c r="L676" s="43"/>
    </row>
    <row r="677" spans="2:12" hidden="1" outlineLevel="2">
      <c r="B677" s="40">
        <f t="shared" si="23"/>
        <v>215</v>
      </c>
      <c r="C677" s="41" t="s">
        <v>8</v>
      </c>
      <c r="D677" s="41" t="s">
        <v>196</v>
      </c>
      <c r="E677" s="41"/>
      <c r="F677" s="41"/>
      <c r="G677" s="41"/>
      <c r="H677" s="41"/>
      <c r="I677" s="42"/>
      <c r="J677" s="41"/>
      <c r="K677" s="41"/>
      <c r="L677" s="43"/>
    </row>
    <row r="678" spans="2:12" hidden="1" outlineLevel="2">
      <c r="B678" s="40">
        <f t="shared" si="23"/>
        <v>216</v>
      </c>
      <c r="C678" s="41" t="s">
        <v>8</v>
      </c>
      <c r="D678" s="41" t="s">
        <v>196</v>
      </c>
      <c r="E678" s="41"/>
      <c r="F678" s="41"/>
      <c r="G678" s="41"/>
      <c r="H678" s="41"/>
      <c r="I678" s="42"/>
      <c r="J678" s="41"/>
      <c r="K678" s="41"/>
      <c r="L678" s="43"/>
    </row>
    <row r="679" spans="2:12" hidden="1" outlineLevel="2">
      <c r="B679" s="40">
        <f t="shared" si="23"/>
        <v>217</v>
      </c>
      <c r="C679" s="41" t="s">
        <v>8</v>
      </c>
      <c r="D679" s="41" t="s">
        <v>196</v>
      </c>
      <c r="E679" s="41"/>
      <c r="F679" s="41"/>
      <c r="G679" s="41"/>
      <c r="H679" s="41"/>
      <c r="I679" s="42"/>
      <c r="J679" s="41"/>
      <c r="K679" s="41"/>
      <c r="L679" s="43"/>
    </row>
    <row r="680" spans="2:12" hidden="1" outlineLevel="2">
      <c r="B680" s="40">
        <f t="shared" si="23"/>
        <v>218</v>
      </c>
      <c r="C680" s="41" t="s">
        <v>8</v>
      </c>
      <c r="D680" s="41" t="s">
        <v>196</v>
      </c>
      <c r="E680" s="41"/>
      <c r="F680" s="41"/>
      <c r="G680" s="41"/>
      <c r="H680" s="41"/>
      <c r="I680" s="42"/>
      <c r="J680" s="41"/>
      <c r="K680" s="41"/>
      <c r="L680" s="43"/>
    </row>
    <row r="681" spans="2:12" hidden="1" outlineLevel="2">
      <c r="B681" s="40">
        <f t="shared" si="23"/>
        <v>219</v>
      </c>
      <c r="C681" s="41" t="s">
        <v>8</v>
      </c>
      <c r="D681" s="41" t="s">
        <v>196</v>
      </c>
      <c r="E681" s="41"/>
      <c r="F681" s="41"/>
      <c r="G681" s="41"/>
      <c r="H681" s="41"/>
      <c r="I681" s="42"/>
      <c r="J681" s="41"/>
      <c r="K681" s="41"/>
      <c r="L681" s="43"/>
    </row>
    <row r="682" spans="2:12" hidden="1" outlineLevel="2">
      <c r="B682" s="40">
        <f t="shared" si="23"/>
        <v>220</v>
      </c>
      <c r="C682" s="41" t="s">
        <v>8</v>
      </c>
      <c r="D682" s="41" t="s">
        <v>196</v>
      </c>
      <c r="E682" s="41"/>
      <c r="F682" s="41"/>
      <c r="G682" s="41"/>
      <c r="H682" s="41"/>
      <c r="I682" s="42"/>
      <c r="J682" s="41"/>
      <c r="K682" s="41"/>
      <c r="L682" s="43"/>
    </row>
    <row r="683" spans="2:12" hidden="1" outlineLevel="2">
      <c r="B683" s="40">
        <f t="shared" si="23"/>
        <v>221</v>
      </c>
      <c r="C683" s="41" t="s">
        <v>8</v>
      </c>
      <c r="D683" s="41" t="s">
        <v>196</v>
      </c>
      <c r="E683" s="41"/>
      <c r="F683" s="41"/>
      <c r="G683" s="41"/>
      <c r="H683" s="41"/>
      <c r="I683" s="42"/>
      <c r="J683" s="41"/>
      <c r="K683" s="41"/>
      <c r="L683" s="43"/>
    </row>
    <row r="684" spans="2:12" hidden="1" outlineLevel="2">
      <c r="B684" s="40">
        <f t="shared" si="23"/>
        <v>222</v>
      </c>
      <c r="C684" s="41" t="s">
        <v>8</v>
      </c>
      <c r="D684" s="41" t="s">
        <v>196</v>
      </c>
      <c r="E684" s="41"/>
      <c r="F684" s="41"/>
      <c r="G684" s="41"/>
      <c r="H684" s="41"/>
      <c r="I684" s="42"/>
      <c r="J684" s="41"/>
      <c r="K684" s="41"/>
      <c r="L684" s="43"/>
    </row>
    <row r="685" spans="2:12" hidden="1" outlineLevel="2">
      <c r="B685" s="40">
        <f t="shared" si="23"/>
        <v>223</v>
      </c>
      <c r="C685" s="41" t="s">
        <v>8</v>
      </c>
      <c r="D685" s="41" t="s">
        <v>196</v>
      </c>
      <c r="E685" s="41"/>
      <c r="F685" s="41"/>
      <c r="G685" s="41"/>
      <c r="H685" s="41"/>
      <c r="I685" s="42"/>
      <c r="J685" s="41"/>
      <c r="K685" s="41"/>
      <c r="L685" s="43"/>
    </row>
    <row r="686" spans="2:12" hidden="1" outlineLevel="2">
      <c r="B686" s="40">
        <f t="shared" si="23"/>
        <v>224</v>
      </c>
      <c r="C686" s="41" t="s">
        <v>8</v>
      </c>
      <c r="D686" s="41" t="s">
        <v>196</v>
      </c>
      <c r="E686" s="41"/>
      <c r="F686" s="41"/>
      <c r="G686" s="41"/>
      <c r="H686" s="41"/>
      <c r="I686" s="42"/>
      <c r="J686" s="41"/>
      <c r="K686" s="41"/>
      <c r="L686" s="43"/>
    </row>
    <row r="687" spans="2:12" hidden="1" outlineLevel="2">
      <c r="B687" s="40">
        <f t="shared" si="23"/>
        <v>225</v>
      </c>
      <c r="C687" s="41" t="s">
        <v>8</v>
      </c>
      <c r="D687" s="41" t="s">
        <v>196</v>
      </c>
      <c r="E687" s="41"/>
      <c r="F687" s="41"/>
      <c r="G687" s="41"/>
      <c r="H687" s="41"/>
      <c r="I687" s="42"/>
      <c r="J687" s="41"/>
      <c r="K687" s="41"/>
      <c r="L687" s="43"/>
    </row>
    <row r="688" spans="2:12" hidden="1" outlineLevel="2">
      <c r="B688" s="40">
        <f t="shared" si="23"/>
        <v>226</v>
      </c>
      <c r="C688" s="41" t="s">
        <v>8</v>
      </c>
      <c r="D688" s="41" t="s">
        <v>196</v>
      </c>
      <c r="E688" s="41"/>
      <c r="F688" s="41"/>
      <c r="G688" s="41"/>
      <c r="H688" s="41"/>
      <c r="I688" s="42"/>
      <c r="J688" s="41"/>
      <c r="K688" s="41"/>
      <c r="L688" s="43"/>
    </row>
    <row r="689" spans="2:12" hidden="1" outlineLevel="2">
      <c r="B689" s="40">
        <f t="shared" si="23"/>
        <v>227</v>
      </c>
      <c r="C689" s="41" t="s">
        <v>8</v>
      </c>
      <c r="D689" s="41" t="s">
        <v>196</v>
      </c>
      <c r="E689" s="41"/>
      <c r="F689" s="41"/>
      <c r="G689" s="41"/>
      <c r="H689" s="41"/>
      <c r="I689" s="42"/>
      <c r="J689" s="41"/>
      <c r="K689" s="41"/>
      <c r="L689" s="43"/>
    </row>
    <row r="690" spans="2:12" hidden="1" outlineLevel="2">
      <c r="B690" s="40">
        <f t="shared" si="23"/>
        <v>228</v>
      </c>
      <c r="C690" s="41" t="s">
        <v>8</v>
      </c>
      <c r="D690" s="41" t="s">
        <v>196</v>
      </c>
      <c r="E690" s="41"/>
      <c r="F690" s="41"/>
      <c r="G690" s="41"/>
      <c r="H690" s="41"/>
      <c r="I690" s="42"/>
      <c r="J690" s="41"/>
      <c r="K690" s="41"/>
      <c r="L690" s="43"/>
    </row>
    <row r="691" spans="2:12" outlineLevel="1">
      <c r="B691" s="59" t="s">
        <v>203</v>
      </c>
      <c r="C691" s="41">
        <f>SUBTOTAL(3,C463:C690)</f>
        <v>228</v>
      </c>
      <c r="D691" s="41">
        <f>COUNTA(D463:D489)</f>
        <v>27</v>
      </c>
      <c r="F691" s="41"/>
      <c r="G691" s="41"/>
      <c r="H691" s="41"/>
      <c r="I691" s="42"/>
      <c r="J691" s="41"/>
      <c r="K691" s="41"/>
      <c r="L691" s="43"/>
    </row>
    <row r="692" spans="2:12" outlineLevel="2">
      <c r="B692" s="40">
        <f t="shared" ref="B692:B755" si="24">ROW(A229)</f>
        <v>229</v>
      </c>
      <c r="C692" s="41" t="s">
        <v>9</v>
      </c>
      <c r="D692" s="41" t="s">
        <v>196</v>
      </c>
      <c r="E692" s="118">
        <v>38286</v>
      </c>
      <c r="F692" s="41"/>
      <c r="G692" s="164">
        <v>38018</v>
      </c>
      <c r="H692" s="41"/>
      <c r="I692" s="211">
        <v>44740</v>
      </c>
      <c r="J692" s="41"/>
      <c r="K692" s="248" t="s">
        <v>197</v>
      </c>
      <c r="L692" s="213">
        <v>1459</v>
      </c>
    </row>
    <row r="693" spans="2:12" outlineLevel="2">
      <c r="B693" s="40">
        <f t="shared" si="24"/>
        <v>230</v>
      </c>
      <c r="C693" s="41" t="s">
        <v>9</v>
      </c>
      <c r="D693" s="41" t="s">
        <v>196</v>
      </c>
      <c r="E693" s="118">
        <v>30485</v>
      </c>
      <c r="F693" s="41"/>
      <c r="G693" s="164">
        <v>40238</v>
      </c>
      <c r="H693" s="41"/>
      <c r="I693" s="211">
        <v>44776</v>
      </c>
      <c r="J693" s="41"/>
      <c r="K693" s="214">
        <v>25</v>
      </c>
      <c r="L693" s="213">
        <v>1460</v>
      </c>
    </row>
    <row r="694" spans="2:12" outlineLevel="2">
      <c r="B694" s="40">
        <f t="shared" si="24"/>
        <v>231</v>
      </c>
      <c r="C694" s="41" t="s">
        <v>9</v>
      </c>
      <c r="D694" s="41" t="s">
        <v>196</v>
      </c>
      <c r="E694" s="118">
        <v>50312</v>
      </c>
      <c r="F694" s="41"/>
      <c r="G694" s="164">
        <v>37773</v>
      </c>
      <c r="H694" s="41"/>
      <c r="I694" s="211">
        <v>44740</v>
      </c>
      <c r="J694" s="41"/>
      <c r="K694" s="214" t="s">
        <v>199</v>
      </c>
      <c r="L694" s="213">
        <v>1461</v>
      </c>
    </row>
    <row r="695" spans="2:12" outlineLevel="2">
      <c r="B695" s="40">
        <f t="shared" si="24"/>
        <v>232</v>
      </c>
      <c r="C695" s="41" t="s">
        <v>9</v>
      </c>
      <c r="D695" s="41" t="s">
        <v>196</v>
      </c>
      <c r="E695" s="118">
        <v>352885</v>
      </c>
      <c r="F695" s="41"/>
      <c r="G695" s="164">
        <v>42186</v>
      </c>
      <c r="H695" s="41"/>
      <c r="I695" s="211">
        <v>44740</v>
      </c>
      <c r="J695" s="41"/>
      <c r="K695" s="248" t="s">
        <v>197</v>
      </c>
      <c r="L695" s="213">
        <v>1462</v>
      </c>
    </row>
    <row r="696" spans="2:12" outlineLevel="2">
      <c r="B696" s="40">
        <f t="shared" si="24"/>
        <v>233</v>
      </c>
      <c r="C696" s="41" t="s">
        <v>9</v>
      </c>
      <c r="D696" s="41" t="s">
        <v>196</v>
      </c>
      <c r="E696" s="118">
        <v>30482</v>
      </c>
      <c r="F696" s="41"/>
      <c r="G696" s="164">
        <v>40238</v>
      </c>
      <c r="H696" s="41"/>
      <c r="I696" s="211">
        <v>44776</v>
      </c>
      <c r="J696" s="41"/>
      <c r="K696" s="214">
        <v>28</v>
      </c>
      <c r="L696" s="213">
        <v>1463</v>
      </c>
    </row>
    <row r="697" spans="2:12" outlineLevel="2">
      <c r="B697" s="40">
        <f t="shared" si="24"/>
        <v>234</v>
      </c>
      <c r="C697" s="41" t="s">
        <v>9</v>
      </c>
      <c r="D697" s="41" t="s">
        <v>196</v>
      </c>
      <c r="E697" s="118">
        <v>13643</v>
      </c>
      <c r="F697" s="41"/>
      <c r="G697" s="164">
        <v>40422</v>
      </c>
      <c r="H697" s="41"/>
      <c r="I697" s="211">
        <v>44776</v>
      </c>
      <c r="J697" s="41"/>
      <c r="K697" s="214">
        <v>30</v>
      </c>
      <c r="L697" s="213">
        <v>1464</v>
      </c>
    </row>
    <row r="698" spans="2:12" outlineLevel="2">
      <c r="B698" s="40">
        <f t="shared" si="24"/>
        <v>235</v>
      </c>
      <c r="C698" s="41" t="s">
        <v>9</v>
      </c>
      <c r="D698" s="41" t="s">
        <v>196</v>
      </c>
      <c r="E698" s="118">
        <v>40188</v>
      </c>
      <c r="F698" s="41"/>
      <c r="G698" s="164">
        <v>39814</v>
      </c>
      <c r="H698" s="41"/>
      <c r="I698" s="211">
        <v>44776</v>
      </c>
      <c r="J698" s="41"/>
      <c r="K698" s="214">
        <v>5</v>
      </c>
      <c r="L698" s="213">
        <v>1465</v>
      </c>
    </row>
    <row r="699" spans="2:12" outlineLevel="2">
      <c r="B699" s="40">
        <f t="shared" si="24"/>
        <v>236</v>
      </c>
      <c r="C699" s="41" t="s">
        <v>9</v>
      </c>
      <c r="D699" s="41" t="s">
        <v>196</v>
      </c>
      <c r="E699" s="118">
        <v>135656</v>
      </c>
      <c r="F699" s="41"/>
      <c r="G699" s="164">
        <v>42401</v>
      </c>
      <c r="H699" s="41"/>
      <c r="I699" s="211">
        <v>44795</v>
      </c>
      <c r="J699" s="41"/>
      <c r="K699" s="248" t="s">
        <v>197</v>
      </c>
      <c r="L699" s="213">
        <v>1466</v>
      </c>
    </row>
    <row r="700" spans="2:12" outlineLevel="2">
      <c r="B700" s="40">
        <f t="shared" si="24"/>
        <v>237</v>
      </c>
      <c r="C700" s="41" t="s">
        <v>9</v>
      </c>
      <c r="D700" s="41" t="s">
        <v>196</v>
      </c>
      <c r="E700" s="118">
        <v>272731</v>
      </c>
      <c r="F700" s="41"/>
      <c r="G700" s="164">
        <v>36373</v>
      </c>
      <c r="H700" s="41"/>
      <c r="I700" s="211">
        <v>44740</v>
      </c>
      <c r="J700" s="41"/>
      <c r="K700" s="248" t="s">
        <v>197</v>
      </c>
      <c r="L700" s="213">
        <v>1467</v>
      </c>
    </row>
    <row r="701" spans="2:12" outlineLevel="2">
      <c r="B701" s="40">
        <f t="shared" si="24"/>
        <v>238</v>
      </c>
      <c r="C701" s="41" t="s">
        <v>9</v>
      </c>
      <c r="D701" s="41" t="s">
        <v>196</v>
      </c>
      <c r="E701" s="118">
        <v>150856</v>
      </c>
      <c r="F701" s="41"/>
      <c r="G701" s="164">
        <v>39083</v>
      </c>
      <c r="H701" s="41"/>
      <c r="I701" s="211">
        <v>44776</v>
      </c>
      <c r="J701" s="41"/>
      <c r="K701" s="214">
        <v>8</v>
      </c>
      <c r="L701" s="213">
        <v>1468</v>
      </c>
    </row>
    <row r="702" spans="2:12" outlineLevel="2">
      <c r="B702" s="40">
        <f t="shared" si="24"/>
        <v>239</v>
      </c>
      <c r="C702" s="41" t="s">
        <v>9</v>
      </c>
      <c r="D702" s="41" t="s">
        <v>196</v>
      </c>
      <c r="E702" s="118">
        <v>1250260</v>
      </c>
      <c r="F702" s="41"/>
      <c r="G702" s="164">
        <v>43739</v>
      </c>
      <c r="H702" s="41"/>
      <c r="I702" s="211">
        <v>44740</v>
      </c>
      <c r="J702" s="41"/>
      <c r="K702" s="248" t="s">
        <v>197</v>
      </c>
      <c r="L702" s="213">
        <v>1469</v>
      </c>
    </row>
    <row r="703" spans="2:12" outlineLevel="2">
      <c r="B703" s="40">
        <f t="shared" si="24"/>
        <v>240</v>
      </c>
      <c r="C703" s="41" t="s">
        <v>9</v>
      </c>
      <c r="D703" s="41" t="s">
        <v>196</v>
      </c>
      <c r="E703" s="118">
        <v>504289</v>
      </c>
      <c r="F703" s="41"/>
      <c r="G703" s="164">
        <v>36647</v>
      </c>
      <c r="H703" s="41"/>
      <c r="I703" s="211">
        <v>44740</v>
      </c>
      <c r="J703" s="41"/>
      <c r="K703" s="248" t="s">
        <v>197</v>
      </c>
      <c r="L703" s="213">
        <v>1470</v>
      </c>
    </row>
    <row r="704" spans="2:12" outlineLevel="2">
      <c r="B704" s="40">
        <f t="shared" si="24"/>
        <v>241</v>
      </c>
      <c r="C704" s="41" t="s">
        <v>9</v>
      </c>
      <c r="D704" s="41" t="s">
        <v>196</v>
      </c>
      <c r="E704" s="118">
        <v>25308</v>
      </c>
      <c r="F704" s="41"/>
      <c r="G704" s="164">
        <v>36557</v>
      </c>
      <c r="H704" s="41"/>
      <c r="I704" s="211">
        <v>44776</v>
      </c>
      <c r="J704" s="41"/>
      <c r="K704" s="214">
        <v>7</v>
      </c>
      <c r="L704" s="213">
        <v>1471</v>
      </c>
    </row>
    <row r="705" spans="2:12" outlineLevel="2">
      <c r="B705" s="40">
        <f t="shared" si="24"/>
        <v>242</v>
      </c>
      <c r="C705" s="41" t="s">
        <v>9</v>
      </c>
      <c r="D705" s="41" t="s">
        <v>196</v>
      </c>
      <c r="E705" s="118">
        <v>46201</v>
      </c>
      <c r="F705" s="41"/>
      <c r="G705" s="164">
        <v>36923</v>
      </c>
      <c r="H705" s="41"/>
      <c r="I705" s="211">
        <v>44776</v>
      </c>
      <c r="J705" s="41"/>
      <c r="K705" s="214">
        <v>15</v>
      </c>
      <c r="L705" s="213">
        <v>1472</v>
      </c>
    </row>
    <row r="706" spans="2:12" outlineLevel="2">
      <c r="B706" s="40">
        <f t="shared" si="24"/>
        <v>243</v>
      </c>
      <c r="C706" s="41" t="s">
        <v>9</v>
      </c>
      <c r="D706" s="41" t="s">
        <v>196</v>
      </c>
      <c r="E706" s="118">
        <v>21564</v>
      </c>
      <c r="F706" s="41"/>
      <c r="G706" s="164">
        <v>39022</v>
      </c>
      <c r="H706" s="41"/>
      <c r="I706" s="211">
        <v>44776</v>
      </c>
      <c r="J706" s="41"/>
      <c r="K706" s="214">
        <v>12</v>
      </c>
      <c r="L706" s="213">
        <v>1473</v>
      </c>
    </row>
    <row r="707" spans="2:12" outlineLevel="2">
      <c r="B707" s="40">
        <f t="shared" si="24"/>
        <v>244</v>
      </c>
      <c r="C707" s="41" t="s">
        <v>9</v>
      </c>
      <c r="D707" s="41" t="s">
        <v>196</v>
      </c>
      <c r="E707" s="118">
        <v>690463</v>
      </c>
      <c r="F707" s="41"/>
      <c r="G707" s="164">
        <v>40422</v>
      </c>
      <c r="H707" s="41"/>
      <c r="I707" s="211">
        <v>44740</v>
      </c>
      <c r="J707" s="41"/>
      <c r="K707" s="248" t="s">
        <v>197</v>
      </c>
      <c r="L707" s="213">
        <v>1474</v>
      </c>
    </row>
    <row r="708" spans="2:12" outlineLevel="2">
      <c r="B708" s="40">
        <f t="shared" si="24"/>
        <v>245</v>
      </c>
      <c r="C708" s="41" t="s">
        <v>9</v>
      </c>
      <c r="D708" s="41" t="s">
        <v>196</v>
      </c>
      <c r="E708" s="118">
        <v>43008</v>
      </c>
      <c r="F708" s="41"/>
      <c r="G708" s="164">
        <v>39356</v>
      </c>
      <c r="H708" s="41"/>
      <c r="I708" s="211">
        <v>44776</v>
      </c>
      <c r="J708" s="41"/>
      <c r="K708" s="241">
        <v>32</v>
      </c>
      <c r="L708" s="213">
        <v>1475</v>
      </c>
    </row>
    <row r="709" spans="2:12" outlineLevel="2">
      <c r="B709" s="40">
        <f t="shared" si="24"/>
        <v>246</v>
      </c>
      <c r="C709" s="41" t="s">
        <v>9</v>
      </c>
      <c r="D709" s="41" t="s">
        <v>196</v>
      </c>
      <c r="E709" s="118">
        <v>40088</v>
      </c>
      <c r="F709" s="41"/>
      <c r="G709" s="164">
        <v>39814</v>
      </c>
      <c r="H709" s="41"/>
      <c r="I709" s="211">
        <v>44776</v>
      </c>
      <c r="J709" s="41"/>
      <c r="K709" s="214">
        <v>25</v>
      </c>
      <c r="L709" s="213">
        <v>1476</v>
      </c>
    </row>
    <row r="710" spans="2:12" outlineLevel="2">
      <c r="B710" s="40">
        <f t="shared" si="24"/>
        <v>247</v>
      </c>
      <c r="C710" s="41" t="s">
        <v>9</v>
      </c>
      <c r="D710" s="41" t="s">
        <v>196</v>
      </c>
      <c r="E710" s="118">
        <v>184865</v>
      </c>
      <c r="F710" s="41"/>
      <c r="G710" s="164">
        <v>43313</v>
      </c>
      <c r="H710" s="41"/>
      <c r="I710" s="211">
        <v>44740</v>
      </c>
      <c r="J710" s="41"/>
      <c r="K710" s="248" t="s">
        <v>197</v>
      </c>
      <c r="L710" s="213">
        <v>1477</v>
      </c>
    </row>
    <row r="711" spans="2:12" outlineLevel="2">
      <c r="B711" s="40">
        <f t="shared" si="24"/>
        <v>248</v>
      </c>
      <c r="C711" s="41" t="s">
        <v>9</v>
      </c>
      <c r="D711" s="41" t="s">
        <v>196</v>
      </c>
      <c r="E711" s="118">
        <v>88346</v>
      </c>
      <c r="F711" s="41"/>
      <c r="G711" s="164">
        <v>41091</v>
      </c>
      <c r="H711" s="41"/>
      <c r="I711" s="211">
        <v>44777</v>
      </c>
      <c r="J711" s="41"/>
      <c r="K711" s="214">
        <v>5</v>
      </c>
      <c r="L711" s="213">
        <v>1478</v>
      </c>
    </row>
    <row r="712" spans="2:12" outlineLevel="2">
      <c r="B712" s="40">
        <f t="shared" si="24"/>
        <v>249</v>
      </c>
      <c r="C712" s="41" t="s">
        <v>9</v>
      </c>
      <c r="D712" s="41" t="s">
        <v>196</v>
      </c>
      <c r="E712" s="118">
        <v>2153266</v>
      </c>
      <c r="F712" s="41"/>
      <c r="G712" s="164">
        <v>42795</v>
      </c>
      <c r="H712" s="41"/>
      <c r="I712" s="211">
        <v>44793</v>
      </c>
      <c r="J712" s="41"/>
      <c r="K712" s="248" t="s">
        <v>197</v>
      </c>
      <c r="L712" s="213">
        <v>1479</v>
      </c>
    </row>
    <row r="713" spans="2:12" outlineLevel="2">
      <c r="B713" s="40">
        <f t="shared" si="24"/>
        <v>250</v>
      </c>
      <c r="C713" s="41" t="s">
        <v>9</v>
      </c>
      <c r="D713" s="41" t="s">
        <v>196</v>
      </c>
      <c r="E713" s="118">
        <v>49829</v>
      </c>
      <c r="F713" s="41"/>
      <c r="G713" s="119">
        <v>38322</v>
      </c>
      <c r="H713" s="41"/>
      <c r="I713" s="212">
        <v>44764</v>
      </c>
      <c r="J713" s="41"/>
      <c r="K713" s="248" t="s">
        <v>197</v>
      </c>
      <c r="L713" s="213">
        <v>4349</v>
      </c>
    </row>
    <row r="714" spans="2:12" outlineLevel="2">
      <c r="B714" s="40">
        <f t="shared" si="24"/>
        <v>251</v>
      </c>
      <c r="C714" s="41" t="s">
        <v>9</v>
      </c>
      <c r="D714" s="41" t="s">
        <v>196</v>
      </c>
      <c r="E714" s="118" t="s">
        <v>204</v>
      </c>
      <c r="F714" s="41"/>
      <c r="G714" s="119">
        <v>41091</v>
      </c>
      <c r="H714" s="41"/>
      <c r="I714" s="212">
        <v>44863</v>
      </c>
      <c r="J714" s="41"/>
      <c r="K714" s="248" t="s">
        <v>197</v>
      </c>
      <c r="L714" s="213">
        <v>4350</v>
      </c>
    </row>
    <row r="715" spans="2:12" outlineLevel="2">
      <c r="B715" s="40">
        <f t="shared" si="24"/>
        <v>252</v>
      </c>
      <c r="C715" s="41" t="s">
        <v>9</v>
      </c>
      <c r="D715" s="41" t="s">
        <v>196</v>
      </c>
      <c r="E715" s="118">
        <v>507414</v>
      </c>
      <c r="F715" s="41"/>
      <c r="G715" s="119">
        <v>43647</v>
      </c>
      <c r="H715" s="41"/>
      <c r="I715" s="212">
        <v>44764</v>
      </c>
      <c r="J715" s="41"/>
      <c r="K715" s="248" t="s">
        <v>197</v>
      </c>
      <c r="L715" s="213">
        <v>4351</v>
      </c>
    </row>
    <row r="716" spans="2:12" outlineLevel="2">
      <c r="B716" s="40">
        <f t="shared" si="24"/>
        <v>253</v>
      </c>
      <c r="C716" s="41" t="s">
        <v>9</v>
      </c>
      <c r="D716" s="41" t="s">
        <v>196</v>
      </c>
      <c r="E716" s="118" t="s">
        <v>205</v>
      </c>
      <c r="F716" s="41"/>
      <c r="G716" s="119">
        <v>2006</v>
      </c>
      <c r="H716" s="41"/>
      <c r="I716" s="212">
        <v>44764</v>
      </c>
      <c r="J716" s="41"/>
      <c r="K716" s="248" t="s">
        <v>197</v>
      </c>
      <c r="L716" s="213">
        <v>4352</v>
      </c>
    </row>
    <row r="717" spans="2:12" outlineLevel="2">
      <c r="B717" s="40">
        <f t="shared" si="24"/>
        <v>254</v>
      </c>
      <c r="C717" s="41" t="s">
        <v>9</v>
      </c>
      <c r="D717" s="41" t="s">
        <v>196</v>
      </c>
      <c r="E717" s="118" t="s">
        <v>206</v>
      </c>
      <c r="F717" s="41"/>
      <c r="G717" s="119">
        <v>40695</v>
      </c>
      <c r="H717" s="41"/>
      <c r="I717" s="212">
        <v>44863</v>
      </c>
      <c r="J717" s="41"/>
      <c r="K717" s="248" t="s">
        <v>197</v>
      </c>
      <c r="L717" s="213">
        <v>4353</v>
      </c>
    </row>
    <row r="718" spans="2:12" outlineLevel="2">
      <c r="B718" s="40">
        <f t="shared" si="24"/>
        <v>255</v>
      </c>
      <c r="C718" s="41" t="s">
        <v>9</v>
      </c>
      <c r="D718" s="41" t="s">
        <v>196</v>
      </c>
      <c r="E718" s="118">
        <v>723139</v>
      </c>
      <c r="F718" s="41"/>
      <c r="G718" s="119">
        <v>39052</v>
      </c>
      <c r="H718" s="41"/>
      <c r="I718" s="212">
        <v>44863</v>
      </c>
      <c r="J718" s="41"/>
      <c r="K718" s="120">
        <v>8</v>
      </c>
      <c r="L718" s="213">
        <v>4354</v>
      </c>
    </row>
    <row r="719" spans="2:12" outlineLevel="2">
      <c r="B719" s="40">
        <f t="shared" si="24"/>
        <v>256</v>
      </c>
      <c r="C719" s="41" t="s">
        <v>9</v>
      </c>
      <c r="D719" s="41" t="s">
        <v>196</v>
      </c>
      <c r="E719" s="118" t="s">
        <v>207</v>
      </c>
      <c r="F719" s="41"/>
      <c r="G719" s="119">
        <v>42795</v>
      </c>
      <c r="H719" s="41"/>
      <c r="I719" s="212">
        <v>44863</v>
      </c>
      <c r="J719" s="41"/>
      <c r="K719" s="248" t="s">
        <v>197</v>
      </c>
      <c r="L719" s="213">
        <v>4355</v>
      </c>
    </row>
    <row r="720" spans="2:12" outlineLevel="2">
      <c r="B720" s="40">
        <f t="shared" si="24"/>
        <v>257</v>
      </c>
      <c r="C720" s="41" t="s">
        <v>9</v>
      </c>
      <c r="D720" s="41" t="s">
        <v>196</v>
      </c>
      <c r="E720" s="118">
        <v>72180</v>
      </c>
      <c r="F720" s="41"/>
      <c r="G720" s="119">
        <v>38687</v>
      </c>
      <c r="H720" s="41"/>
      <c r="I720" s="212">
        <v>44764</v>
      </c>
      <c r="J720" s="41"/>
      <c r="K720" s="248" t="s">
        <v>197</v>
      </c>
      <c r="L720" s="213">
        <v>4356</v>
      </c>
    </row>
    <row r="721" spans="2:12" outlineLevel="2">
      <c r="B721" s="40">
        <f t="shared" si="24"/>
        <v>258</v>
      </c>
      <c r="C721" s="41" t="s">
        <v>9</v>
      </c>
      <c r="D721" s="41" t="s">
        <v>196</v>
      </c>
      <c r="E721" s="118">
        <v>289253</v>
      </c>
      <c r="F721" s="41"/>
      <c r="G721" s="119">
        <v>38961</v>
      </c>
      <c r="H721" s="41"/>
      <c r="I721" s="212">
        <v>44863</v>
      </c>
      <c r="J721" s="41"/>
      <c r="K721" s="120">
        <v>26</v>
      </c>
      <c r="L721" s="213">
        <v>4357</v>
      </c>
    </row>
    <row r="722" spans="2:12" outlineLevel="2">
      <c r="B722" s="40">
        <f t="shared" si="24"/>
        <v>259</v>
      </c>
      <c r="C722" s="41" t="s">
        <v>9</v>
      </c>
      <c r="D722" s="41" t="s">
        <v>196</v>
      </c>
      <c r="E722" s="118">
        <v>43341</v>
      </c>
      <c r="F722" s="41"/>
      <c r="G722" s="119">
        <v>40179</v>
      </c>
      <c r="H722" s="41"/>
      <c r="I722" s="212">
        <v>44863</v>
      </c>
      <c r="J722" s="41"/>
      <c r="K722" s="120">
        <v>11</v>
      </c>
      <c r="L722" s="213">
        <v>4358</v>
      </c>
    </row>
    <row r="723" spans="2:12" outlineLevel="2">
      <c r="B723" s="40">
        <f t="shared" si="24"/>
        <v>260</v>
      </c>
      <c r="C723" s="41" t="s">
        <v>9</v>
      </c>
      <c r="D723" s="41" t="s">
        <v>196</v>
      </c>
      <c r="E723" s="118">
        <v>16465</v>
      </c>
      <c r="F723" s="41"/>
      <c r="G723" s="119">
        <v>37043</v>
      </c>
      <c r="H723" s="41"/>
      <c r="I723" s="212">
        <v>44863</v>
      </c>
      <c r="J723" s="41"/>
      <c r="K723" s="120">
        <v>30</v>
      </c>
      <c r="L723" s="213">
        <v>4359</v>
      </c>
    </row>
    <row r="724" spans="2:12" outlineLevel="2">
      <c r="B724" s="40">
        <f t="shared" si="24"/>
        <v>261</v>
      </c>
      <c r="C724" s="41" t="s">
        <v>9</v>
      </c>
      <c r="D724" s="41" t="s">
        <v>196</v>
      </c>
      <c r="E724" s="118" t="s">
        <v>208</v>
      </c>
      <c r="F724" s="41"/>
      <c r="G724" s="119">
        <v>2006</v>
      </c>
      <c r="H724" s="41"/>
      <c r="I724" s="212">
        <v>44863</v>
      </c>
      <c r="J724" s="41"/>
      <c r="K724" s="248" t="s">
        <v>197</v>
      </c>
      <c r="L724" s="213">
        <v>4360</v>
      </c>
    </row>
    <row r="725" spans="2:12" outlineLevel="2">
      <c r="B725" s="40">
        <f t="shared" si="24"/>
        <v>262</v>
      </c>
      <c r="C725" s="41" t="s">
        <v>9</v>
      </c>
      <c r="D725" s="41" t="s">
        <v>196</v>
      </c>
      <c r="E725" s="118" t="s">
        <v>209</v>
      </c>
      <c r="F725" s="41"/>
      <c r="G725" s="164">
        <v>41091</v>
      </c>
      <c r="H725" s="41"/>
      <c r="I725" s="212">
        <v>44863</v>
      </c>
      <c r="J725" s="41"/>
      <c r="K725" s="248" t="s">
        <v>197</v>
      </c>
      <c r="L725" s="213">
        <v>4372</v>
      </c>
    </row>
    <row r="726" spans="2:12" outlineLevel="2">
      <c r="B726" s="40">
        <f t="shared" si="24"/>
        <v>263</v>
      </c>
      <c r="C726" s="41" t="s">
        <v>9</v>
      </c>
      <c r="D726" s="41" t="s">
        <v>196</v>
      </c>
      <c r="E726" s="118">
        <v>60540</v>
      </c>
      <c r="F726" s="41"/>
      <c r="G726" s="164">
        <v>38534</v>
      </c>
      <c r="H726" s="41"/>
      <c r="I726" s="212">
        <v>44764</v>
      </c>
      <c r="J726" s="41"/>
      <c r="K726" s="248" t="s">
        <v>197</v>
      </c>
      <c r="L726" s="213">
        <v>4373</v>
      </c>
    </row>
    <row r="727" spans="2:12" outlineLevel="2">
      <c r="B727" s="40">
        <f t="shared" si="24"/>
        <v>264</v>
      </c>
      <c r="C727" s="41" t="s">
        <v>9</v>
      </c>
      <c r="D727" s="41" t="s">
        <v>196</v>
      </c>
      <c r="E727" s="118" t="s">
        <v>210</v>
      </c>
      <c r="F727" s="41"/>
      <c r="G727" s="164">
        <v>39052</v>
      </c>
      <c r="H727" s="41"/>
      <c r="I727" s="212">
        <v>44863</v>
      </c>
      <c r="J727" s="41"/>
      <c r="K727" s="120">
        <v>25</v>
      </c>
      <c r="L727" s="213">
        <v>4374</v>
      </c>
    </row>
    <row r="728" spans="2:12" outlineLevel="2">
      <c r="B728" s="40">
        <f t="shared" si="24"/>
        <v>265</v>
      </c>
      <c r="C728" s="41" t="s">
        <v>9</v>
      </c>
      <c r="D728" s="41" t="s">
        <v>196</v>
      </c>
      <c r="E728" s="118">
        <v>42428</v>
      </c>
      <c r="F728" s="41"/>
      <c r="G728" s="164">
        <v>40118</v>
      </c>
      <c r="H728" s="41"/>
      <c r="I728" s="212">
        <v>44863</v>
      </c>
      <c r="J728" s="41"/>
      <c r="K728" s="120">
        <v>4</v>
      </c>
      <c r="L728" s="213">
        <v>4375</v>
      </c>
    </row>
    <row r="729" spans="2:12" outlineLevel="2">
      <c r="B729" s="40">
        <f t="shared" si="24"/>
        <v>266</v>
      </c>
      <c r="C729" s="41" t="s">
        <v>9</v>
      </c>
      <c r="D729" s="41" t="s">
        <v>196</v>
      </c>
      <c r="E729" s="118">
        <v>73093</v>
      </c>
      <c r="F729" s="41"/>
      <c r="G729" s="164">
        <v>38718</v>
      </c>
      <c r="H729" s="41"/>
      <c r="I729" s="212">
        <v>44767</v>
      </c>
      <c r="J729" s="41"/>
      <c r="K729" s="248" t="s">
        <v>197</v>
      </c>
      <c r="L729" s="213">
        <v>4376</v>
      </c>
    </row>
    <row r="730" spans="2:12" outlineLevel="2">
      <c r="B730" s="40">
        <f t="shared" si="24"/>
        <v>267</v>
      </c>
      <c r="C730" s="41" t="s">
        <v>9</v>
      </c>
      <c r="D730" s="41" t="s">
        <v>196</v>
      </c>
      <c r="E730" s="118" t="s">
        <v>211</v>
      </c>
      <c r="F730" s="41"/>
      <c r="G730" s="164">
        <v>39083</v>
      </c>
      <c r="H730" s="41"/>
      <c r="I730" s="212">
        <v>44863</v>
      </c>
      <c r="J730" s="41"/>
      <c r="K730" s="248" t="s">
        <v>197</v>
      </c>
      <c r="L730" s="213">
        <v>4377</v>
      </c>
    </row>
    <row r="731" spans="2:12" outlineLevel="2">
      <c r="B731" s="40">
        <f t="shared" si="24"/>
        <v>268</v>
      </c>
      <c r="C731" s="41" t="s">
        <v>9</v>
      </c>
      <c r="D731" s="41" t="s">
        <v>196</v>
      </c>
      <c r="E731" s="118" t="s">
        <v>212</v>
      </c>
      <c r="F731" s="41"/>
      <c r="G731" s="164">
        <v>41091</v>
      </c>
      <c r="H731" s="41"/>
      <c r="I731" s="212">
        <v>44796</v>
      </c>
      <c r="J731" s="41"/>
      <c r="K731" s="248" t="s">
        <v>197</v>
      </c>
      <c r="L731" s="213">
        <v>4378</v>
      </c>
    </row>
    <row r="732" spans="2:12" outlineLevel="2">
      <c r="B732" s="40">
        <f t="shared" si="24"/>
        <v>269</v>
      </c>
      <c r="C732" s="41" t="s">
        <v>9</v>
      </c>
      <c r="D732" s="41" t="s">
        <v>196</v>
      </c>
      <c r="E732" s="118">
        <v>192279</v>
      </c>
      <c r="F732" s="41"/>
      <c r="G732" s="164">
        <v>40483</v>
      </c>
      <c r="H732" s="41"/>
      <c r="I732" s="212">
        <v>44767</v>
      </c>
      <c r="J732" s="41"/>
      <c r="K732" s="248" t="s">
        <v>197</v>
      </c>
      <c r="L732" s="213">
        <v>4380</v>
      </c>
    </row>
    <row r="733" spans="2:12" outlineLevel="2">
      <c r="B733" s="40">
        <f t="shared" si="24"/>
        <v>270</v>
      </c>
      <c r="C733" s="41" t="s">
        <v>9</v>
      </c>
      <c r="D733" s="41" t="s">
        <v>196</v>
      </c>
      <c r="E733" s="118">
        <v>43329</v>
      </c>
      <c r="F733" s="41"/>
      <c r="G733" s="164">
        <v>40118</v>
      </c>
      <c r="H733" s="41"/>
      <c r="I733" s="212">
        <v>44863</v>
      </c>
      <c r="J733" s="41"/>
      <c r="K733" s="120">
        <v>12</v>
      </c>
      <c r="L733" s="213">
        <v>4381</v>
      </c>
    </row>
    <row r="734" spans="2:12" outlineLevel="2">
      <c r="B734" s="40">
        <f t="shared" si="24"/>
        <v>271</v>
      </c>
      <c r="C734" s="41" t="s">
        <v>9</v>
      </c>
      <c r="D734" s="41" t="s">
        <v>196</v>
      </c>
      <c r="E734" s="118" t="s">
        <v>213</v>
      </c>
      <c r="F734" s="41"/>
      <c r="G734" s="164">
        <v>39814</v>
      </c>
      <c r="H734" s="41"/>
      <c r="I734" s="212">
        <v>44863</v>
      </c>
      <c r="J734" s="41"/>
      <c r="K734" s="248" t="s">
        <v>197</v>
      </c>
      <c r="L734" s="213">
        <v>4382</v>
      </c>
    </row>
    <row r="735" spans="2:12" outlineLevel="2">
      <c r="B735" s="40">
        <f t="shared" si="24"/>
        <v>272</v>
      </c>
      <c r="C735" s="41" t="s">
        <v>9</v>
      </c>
      <c r="D735" s="41" t="s">
        <v>196</v>
      </c>
      <c r="E735" s="118">
        <v>272720</v>
      </c>
      <c r="F735" s="41"/>
      <c r="G735" s="164">
        <v>36373</v>
      </c>
      <c r="H735" s="41"/>
      <c r="I735" s="212">
        <v>44767</v>
      </c>
      <c r="J735" s="41"/>
      <c r="K735" s="248" t="s">
        <v>197</v>
      </c>
      <c r="L735" s="213">
        <v>4383</v>
      </c>
    </row>
    <row r="736" spans="2:12" outlineLevel="2">
      <c r="B736" s="40">
        <f t="shared" si="24"/>
        <v>273</v>
      </c>
      <c r="C736" s="41" t="s">
        <v>9</v>
      </c>
      <c r="D736" s="41" t="s">
        <v>196</v>
      </c>
      <c r="E736" s="118" t="s">
        <v>214</v>
      </c>
      <c r="F736" s="41"/>
      <c r="G736" s="164">
        <v>39142</v>
      </c>
      <c r="H736" s="41"/>
      <c r="I736" s="212">
        <v>44863</v>
      </c>
      <c r="J736" s="41"/>
      <c r="K736" s="248" t="s">
        <v>197</v>
      </c>
      <c r="L736" s="213">
        <v>4385</v>
      </c>
    </row>
    <row r="737" spans="2:12" outlineLevel="2">
      <c r="B737" s="40">
        <f t="shared" si="24"/>
        <v>274</v>
      </c>
      <c r="C737" s="41" t="s">
        <v>9</v>
      </c>
      <c r="D737" s="41" t="s">
        <v>196</v>
      </c>
      <c r="E737" s="118">
        <v>80866</v>
      </c>
      <c r="F737" s="41"/>
      <c r="G737" s="164">
        <v>42614</v>
      </c>
      <c r="H737" s="41"/>
      <c r="I737" s="212">
        <v>44863</v>
      </c>
      <c r="J737" s="41"/>
      <c r="K737" s="120">
        <v>26</v>
      </c>
      <c r="L737" s="213">
        <v>4386</v>
      </c>
    </row>
    <row r="738" spans="2:12" outlineLevel="2">
      <c r="B738" s="40">
        <f t="shared" si="24"/>
        <v>275</v>
      </c>
      <c r="C738" s="41" t="s">
        <v>9</v>
      </c>
      <c r="D738" s="41" t="s">
        <v>196</v>
      </c>
      <c r="E738" s="118" t="s">
        <v>215</v>
      </c>
      <c r="F738" s="41"/>
      <c r="G738" s="164">
        <v>40391</v>
      </c>
      <c r="H738" s="41"/>
      <c r="I738" s="212">
        <v>44863</v>
      </c>
      <c r="J738" s="41"/>
      <c r="K738" s="248" t="s">
        <v>197</v>
      </c>
      <c r="L738" s="213">
        <v>4387</v>
      </c>
    </row>
    <row r="739" spans="2:12" outlineLevel="2">
      <c r="B739" s="40">
        <f t="shared" si="24"/>
        <v>276</v>
      </c>
      <c r="C739" s="41" t="s">
        <v>9</v>
      </c>
      <c r="D739" s="41" t="s">
        <v>196</v>
      </c>
      <c r="E739" s="118">
        <v>72055</v>
      </c>
      <c r="F739" s="41"/>
      <c r="G739" s="164">
        <v>38687</v>
      </c>
      <c r="H739" s="41"/>
      <c r="I739" s="212">
        <v>44767</v>
      </c>
      <c r="J739" s="41"/>
      <c r="K739" s="248" t="s">
        <v>197</v>
      </c>
      <c r="L739" s="213">
        <v>4388</v>
      </c>
    </row>
    <row r="740" spans="2:12" outlineLevel="2">
      <c r="B740" s="40">
        <f t="shared" si="24"/>
        <v>277</v>
      </c>
      <c r="C740" s="41" t="s">
        <v>9</v>
      </c>
      <c r="D740" s="41" t="s">
        <v>196</v>
      </c>
      <c r="E740" s="118">
        <v>50051</v>
      </c>
      <c r="F740" s="41"/>
      <c r="G740" s="164">
        <v>38322</v>
      </c>
      <c r="H740" s="41"/>
      <c r="I740" s="212">
        <v>44767</v>
      </c>
      <c r="J740" s="41"/>
      <c r="K740" s="248" t="s">
        <v>197</v>
      </c>
      <c r="L740" s="213">
        <v>4389</v>
      </c>
    </row>
    <row r="741" spans="2:12" outlineLevel="2">
      <c r="B741" s="40">
        <f t="shared" si="24"/>
        <v>278</v>
      </c>
      <c r="C741" s="41" t="s">
        <v>9</v>
      </c>
      <c r="D741" s="41" t="s">
        <v>196</v>
      </c>
      <c r="E741" s="118" t="s">
        <v>216</v>
      </c>
      <c r="F741" s="41"/>
      <c r="G741" s="164">
        <v>39022</v>
      </c>
      <c r="H741" s="41"/>
      <c r="I741" s="212">
        <v>44863</v>
      </c>
      <c r="J741" s="41"/>
      <c r="K741" s="248" t="s">
        <v>197</v>
      </c>
      <c r="L741" s="213">
        <v>4390</v>
      </c>
    </row>
    <row r="742" spans="2:12" outlineLevel="2">
      <c r="B742" s="40">
        <f t="shared" si="24"/>
        <v>279</v>
      </c>
      <c r="C742" s="41" t="s">
        <v>9</v>
      </c>
      <c r="D742" s="41" t="s">
        <v>196</v>
      </c>
      <c r="E742" s="118" t="s">
        <v>217</v>
      </c>
      <c r="F742" s="41"/>
      <c r="G742" s="164">
        <v>40026</v>
      </c>
      <c r="H742" s="41"/>
      <c r="I742" s="212">
        <v>44863</v>
      </c>
      <c r="J742" s="41"/>
      <c r="K742" s="248" t="s">
        <v>197</v>
      </c>
      <c r="L742" s="213">
        <v>4391</v>
      </c>
    </row>
    <row r="743" spans="2:12" outlineLevel="2">
      <c r="B743" s="40">
        <f t="shared" si="24"/>
        <v>280</v>
      </c>
      <c r="C743" s="41" t="s">
        <v>9</v>
      </c>
      <c r="D743" s="41" t="s">
        <v>196</v>
      </c>
      <c r="E743" s="118">
        <v>49738</v>
      </c>
      <c r="F743" s="41"/>
      <c r="G743" s="164">
        <v>38322</v>
      </c>
      <c r="H743" s="41"/>
      <c r="I743" s="212">
        <v>44767</v>
      </c>
      <c r="J743" s="41"/>
      <c r="K743" s="248" t="s">
        <v>197</v>
      </c>
      <c r="L743" s="213">
        <v>4392</v>
      </c>
    </row>
    <row r="744" spans="2:12" outlineLevel="2">
      <c r="B744" s="40">
        <f t="shared" si="24"/>
        <v>281</v>
      </c>
      <c r="C744" s="41" t="s">
        <v>9</v>
      </c>
      <c r="D744" s="41" t="s">
        <v>196</v>
      </c>
      <c r="E744" s="118" t="s">
        <v>218</v>
      </c>
      <c r="F744" s="41"/>
      <c r="G744" s="164">
        <v>41974</v>
      </c>
      <c r="H744" s="41"/>
      <c r="I744" s="212">
        <v>44795</v>
      </c>
      <c r="J744" s="41"/>
      <c r="K744" s="120">
        <v>13</v>
      </c>
      <c r="L744" s="213">
        <v>4394</v>
      </c>
    </row>
    <row r="745" spans="2:12" outlineLevel="2">
      <c r="B745" s="40">
        <f t="shared" si="24"/>
        <v>282</v>
      </c>
      <c r="C745" s="41" t="s">
        <v>9</v>
      </c>
      <c r="D745" s="41" t="s">
        <v>196</v>
      </c>
      <c r="E745" s="118" t="s">
        <v>219</v>
      </c>
      <c r="F745" s="41"/>
      <c r="G745" s="164">
        <v>39052</v>
      </c>
      <c r="H745" s="41"/>
      <c r="I745" s="212">
        <v>44865</v>
      </c>
      <c r="J745" s="41"/>
      <c r="K745" s="248" t="s">
        <v>197</v>
      </c>
      <c r="L745" s="213">
        <v>4395</v>
      </c>
    </row>
    <row r="746" spans="2:12" outlineLevel="2">
      <c r="B746" s="40">
        <f t="shared" si="24"/>
        <v>283</v>
      </c>
      <c r="C746" s="41" t="s">
        <v>9</v>
      </c>
      <c r="D746" s="41" t="s">
        <v>196</v>
      </c>
      <c r="E746" s="118">
        <v>1207961</v>
      </c>
      <c r="F746" s="41"/>
      <c r="G746" s="164">
        <v>43556</v>
      </c>
      <c r="H746" s="41"/>
      <c r="I746" s="212">
        <v>44767</v>
      </c>
      <c r="J746" s="41"/>
      <c r="K746" s="248" t="s">
        <v>197</v>
      </c>
      <c r="L746" s="213">
        <v>4396</v>
      </c>
    </row>
    <row r="747" spans="2:12" outlineLevel="2">
      <c r="B747" s="40">
        <f t="shared" si="24"/>
        <v>284</v>
      </c>
      <c r="C747" s="41" t="s">
        <v>9</v>
      </c>
      <c r="D747" s="41" t="s">
        <v>196</v>
      </c>
      <c r="E747" s="118">
        <v>529227</v>
      </c>
      <c r="F747" s="41"/>
      <c r="G747" s="164">
        <v>43862</v>
      </c>
      <c r="H747" s="41"/>
      <c r="I747" s="212">
        <v>44767</v>
      </c>
      <c r="J747" s="41"/>
      <c r="K747" s="248" t="s">
        <v>197</v>
      </c>
      <c r="L747" s="213">
        <v>4397</v>
      </c>
    </row>
    <row r="748" spans="2:12" outlineLevel="2">
      <c r="B748" s="40">
        <f t="shared" si="24"/>
        <v>285</v>
      </c>
      <c r="C748" s="41" t="s">
        <v>9</v>
      </c>
      <c r="D748" s="41" t="s">
        <v>196</v>
      </c>
      <c r="E748" s="118">
        <v>1205270</v>
      </c>
      <c r="F748" s="41"/>
      <c r="G748" s="164">
        <v>43556</v>
      </c>
      <c r="H748" s="41"/>
      <c r="I748" s="212">
        <v>44767</v>
      </c>
      <c r="J748" s="41"/>
      <c r="K748" s="248" t="s">
        <v>197</v>
      </c>
      <c r="L748" s="213">
        <v>4398</v>
      </c>
    </row>
    <row r="749" spans="2:12" outlineLevel="2">
      <c r="B749" s="40">
        <f t="shared" si="24"/>
        <v>286</v>
      </c>
      <c r="C749" s="41" t="s">
        <v>9</v>
      </c>
      <c r="D749" s="41" t="s">
        <v>196</v>
      </c>
      <c r="E749" s="118">
        <v>1182346</v>
      </c>
      <c r="F749" s="41"/>
      <c r="G749" s="164">
        <v>43405</v>
      </c>
      <c r="H749" s="41"/>
      <c r="I749" s="212">
        <v>44767</v>
      </c>
      <c r="J749" s="41"/>
      <c r="K749" s="248" t="s">
        <v>197</v>
      </c>
      <c r="L749" s="213">
        <v>4399</v>
      </c>
    </row>
    <row r="750" spans="2:12" outlineLevel="2">
      <c r="B750" s="40">
        <f t="shared" si="24"/>
        <v>287</v>
      </c>
      <c r="C750" s="41" t="s">
        <v>9</v>
      </c>
      <c r="D750" s="41" t="s">
        <v>196</v>
      </c>
      <c r="E750" s="118" t="s">
        <v>220</v>
      </c>
      <c r="F750" s="41"/>
      <c r="G750" s="164">
        <v>40695</v>
      </c>
      <c r="H750" s="41"/>
      <c r="I750" s="212">
        <v>44865</v>
      </c>
      <c r="J750" s="41"/>
      <c r="K750" s="248" t="s">
        <v>197</v>
      </c>
      <c r="L750" s="213">
        <v>4400</v>
      </c>
    </row>
    <row r="751" spans="2:12" outlineLevel="2">
      <c r="B751" s="40">
        <f t="shared" si="24"/>
        <v>288</v>
      </c>
      <c r="C751" s="41" t="s">
        <v>9</v>
      </c>
      <c r="D751" s="41" t="s">
        <v>196</v>
      </c>
      <c r="E751" s="118">
        <v>50049</v>
      </c>
      <c r="F751" s="41"/>
      <c r="G751" s="164">
        <v>38322</v>
      </c>
      <c r="H751" s="41"/>
      <c r="I751" s="212">
        <v>44767</v>
      </c>
      <c r="J751" s="41"/>
      <c r="K751" s="248" t="s">
        <v>197</v>
      </c>
      <c r="L751" s="213">
        <v>4401</v>
      </c>
    </row>
    <row r="752" spans="2:12" outlineLevel="2">
      <c r="B752" s="40">
        <f t="shared" si="24"/>
        <v>289</v>
      </c>
      <c r="C752" s="41" t="s">
        <v>9</v>
      </c>
      <c r="D752" s="41" t="s">
        <v>196</v>
      </c>
      <c r="E752" s="118" t="s">
        <v>221</v>
      </c>
      <c r="F752" s="41"/>
      <c r="G752" s="164">
        <v>39114</v>
      </c>
      <c r="H752" s="41"/>
      <c r="I752" s="212">
        <v>44865</v>
      </c>
      <c r="J752" s="41"/>
      <c r="K752" s="248" t="s">
        <v>197</v>
      </c>
      <c r="L752" s="213">
        <v>4402</v>
      </c>
    </row>
    <row r="753" spans="2:12" outlineLevel="2">
      <c r="B753" s="40">
        <f t="shared" si="24"/>
        <v>290</v>
      </c>
      <c r="C753" s="41" t="s">
        <v>9</v>
      </c>
      <c r="D753" s="41" t="s">
        <v>196</v>
      </c>
      <c r="E753" s="118" t="s">
        <v>222</v>
      </c>
      <c r="F753" s="41"/>
      <c r="G753" s="164">
        <v>39083</v>
      </c>
      <c r="H753" s="41"/>
      <c r="I753" s="212">
        <v>44865</v>
      </c>
      <c r="J753" s="41"/>
      <c r="K753" s="120">
        <v>7</v>
      </c>
      <c r="L753" s="213">
        <v>4403</v>
      </c>
    </row>
    <row r="754" spans="2:12" outlineLevel="2">
      <c r="B754" s="40">
        <f t="shared" si="24"/>
        <v>291</v>
      </c>
      <c r="C754" s="41" t="s">
        <v>9</v>
      </c>
      <c r="D754" s="41" t="s">
        <v>196</v>
      </c>
      <c r="E754" s="118">
        <v>687683</v>
      </c>
      <c r="F754" s="41"/>
      <c r="G754" s="164">
        <v>39783</v>
      </c>
      <c r="H754" s="41"/>
      <c r="I754" s="212">
        <v>44767</v>
      </c>
      <c r="J754" s="41"/>
      <c r="K754" s="248" t="s">
        <v>197</v>
      </c>
      <c r="L754" s="213">
        <v>4404</v>
      </c>
    </row>
    <row r="755" spans="2:12" outlineLevel="2">
      <c r="B755" s="40">
        <f t="shared" si="24"/>
        <v>292</v>
      </c>
      <c r="C755" s="41" t="s">
        <v>9</v>
      </c>
      <c r="D755" s="41" t="s">
        <v>196</v>
      </c>
      <c r="E755" s="118" t="s">
        <v>223</v>
      </c>
      <c r="F755" s="41"/>
      <c r="G755" s="164">
        <v>39692</v>
      </c>
      <c r="H755" s="41"/>
      <c r="I755" s="212">
        <v>44865</v>
      </c>
      <c r="J755" s="41"/>
      <c r="K755" s="120">
        <v>17</v>
      </c>
      <c r="L755" s="213">
        <v>4405</v>
      </c>
    </row>
    <row r="756" spans="2:12" outlineLevel="2">
      <c r="B756" s="40">
        <f t="shared" ref="B756:B819" si="25">ROW(A293)</f>
        <v>293</v>
      </c>
      <c r="C756" s="41" t="s">
        <v>9</v>
      </c>
      <c r="D756" s="41" t="s">
        <v>196</v>
      </c>
      <c r="E756" s="118">
        <v>745771</v>
      </c>
      <c r="F756" s="41"/>
      <c r="G756" s="164">
        <v>42125</v>
      </c>
      <c r="H756" s="41"/>
      <c r="I756" s="212">
        <v>44865</v>
      </c>
      <c r="J756" s="41"/>
      <c r="K756" s="120">
        <v>45</v>
      </c>
      <c r="L756" s="213">
        <v>4406</v>
      </c>
    </row>
    <row r="757" spans="2:12" outlineLevel="2">
      <c r="B757" s="40">
        <f t="shared" si="25"/>
        <v>294</v>
      </c>
      <c r="C757" s="41" t="s">
        <v>9</v>
      </c>
      <c r="D757" s="41" t="s">
        <v>196</v>
      </c>
      <c r="E757" s="118" t="s">
        <v>224</v>
      </c>
      <c r="F757" s="41"/>
      <c r="G757" s="164">
        <v>38961</v>
      </c>
      <c r="H757" s="41"/>
      <c r="I757" s="212">
        <v>44865</v>
      </c>
      <c r="J757" s="41"/>
      <c r="K757" s="248" t="s">
        <v>197</v>
      </c>
      <c r="L757" s="213">
        <v>4407</v>
      </c>
    </row>
    <row r="758" spans="2:12" outlineLevel="2">
      <c r="B758" s="40">
        <f t="shared" si="25"/>
        <v>295</v>
      </c>
      <c r="C758" s="41" t="s">
        <v>9</v>
      </c>
      <c r="D758" s="41" t="s">
        <v>196</v>
      </c>
      <c r="E758" s="217">
        <v>51852</v>
      </c>
      <c r="F758" s="41"/>
      <c r="G758" s="222">
        <v>38353</v>
      </c>
      <c r="H758" s="41"/>
      <c r="I758" s="211">
        <v>44770</v>
      </c>
      <c r="J758" s="41"/>
      <c r="K758" s="248" t="s">
        <v>197</v>
      </c>
      <c r="L758" s="241">
        <v>12017</v>
      </c>
    </row>
    <row r="759" spans="2:12" outlineLevel="2">
      <c r="B759" s="40">
        <f t="shared" si="25"/>
        <v>296</v>
      </c>
      <c r="C759" s="41" t="s">
        <v>9</v>
      </c>
      <c r="D759" s="41" t="s">
        <v>196</v>
      </c>
      <c r="E759" s="217">
        <v>75077</v>
      </c>
      <c r="F759" s="41"/>
      <c r="G759" s="222">
        <v>40817</v>
      </c>
      <c r="H759" s="41"/>
      <c r="I759" s="211">
        <v>44895</v>
      </c>
      <c r="J759" s="41"/>
      <c r="K759" s="214">
        <v>13</v>
      </c>
      <c r="L759" s="241">
        <v>12018</v>
      </c>
    </row>
    <row r="760" spans="2:12" outlineLevel="2">
      <c r="B760" s="40">
        <f t="shared" si="25"/>
        <v>297</v>
      </c>
      <c r="C760" s="41" t="s">
        <v>9</v>
      </c>
      <c r="D760" s="41" t="s">
        <v>196</v>
      </c>
      <c r="E760" s="217">
        <v>81839</v>
      </c>
      <c r="F760" s="41"/>
      <c r="G760" s="222">
        <v>43344</v>
      </c>
      <c r="H760" s="41"/>
      <c r="I760" s="211">
        <v>44895</v>
      </c>
      <c r="J760" s="41"/>
      <c r="K760" s="214">
        <v>17</v>
      </c>
      <c r="L760" s="241">
        <v>12019</v>
      </c>
    </row>
    <row r="761" spans="2:12" outlineLevel="2">
      <c r="B761" s="40">
        <f t="shared" si="25"/>
        <v>298</v>
      </c>
      <c r="C761" s="41" t="s">
        <v>9</v>
      </c>
      <c r="D761" s="41" t="s">
        <v>196</v>
      </c>
      <c r="E761" s="217">
        <v>10033</v>
      </c>
      <c r="F761" s="41"/>
      <c r="G761" s="222">
        <v>2006</v>
      </c>
      <c r="H761" s="41"/>
      <c r="I761" s="211">
        <v>44895</v>
      </c>
      <c r="J761" s="41"/>
      <c r="K761" s="214">
        <v>8</v>
      </c>
      <c r="L761" s="241">
        <v>12020</v>
      </c>
    </row>
    <row r="762" spans="2:12" outlineLevel="2">
      <c r="B762" s="40">
        <f t="shared" si="25"/>
        <v>299</v>
      </c>
      <c r="C762" s="41" t="s">
        <v>9</v>
      </c>
      <c r="D762" s="41" t="s">
        <v>196</v>
      </c>
      <c r="E762" s="217">
        <v>13398</v>
      </c>
      <c r="F762" s="41"/>
      <c r="G762" s="222">
        <v>40360</v>
      </c>
      <c r="H762" s="41"/>
      <c r="I762" s="211">
        <v>44895</v>
      </c>
      <c r="J762" s="41"/>
      <c r="K762" s="214">
        <v>16</v>
      </c>
      <c r="L762" s="241">
        <v>12022</v>
      </c>
    </row>
    <row r="763" spans="2:12" outlineLevel="2">
      <c r="B763" s="40">
        <f t="shared" si="25"/>
        <v>300</v>
      </c>
      <c r="C763" s="41" t="s">
        <v>9</v>
      </c>
      <c r="D763" s="41" t="s">
        <v>196</v>
      </c>
      <c r="E763" s="217">
        <v>43740</v>
      </c>
      <c r="F763" s="41"/>
      <c r="G763" s="222">
        <v>40391</v>
      </c>
      <c r="H763" s="41"/>
      <c r="I763" s="211">
        <v>44895</v>
      </c>
      <c r="J763" s="41"/>
      <c r="K763" s="214">
        <v>29</v>
      </c>
      <c r="L763" s="241">
        <v>12023</v>
      </c>
    </row>
    <row r="764" spans="2:12" outlineLevel="2">
      <c r="B764" s="40">
        <f t="shared" si="25"/>
        <v>301</v>
      </c>
      <c r="C764" s="41" t="s">
        <v>9</v>
      </c>
      <c r="D764" s="41" t="s">
        <v>196</v>
      </c>
      <c r="E764" s="217">
        <v>461749</v>
      </c>
      <c r="F764" s="41"/>
      <c r="G764" s="222">
        <v>43191</v>
      </c>
      <c r="H764" s="41"/>
      <c r="I764" s="211">
        <v>44770</v>
      </c>
      <c r="J764" s="41"/>
      <c r="K764" s="248" t="s">
        <v>197</v>
      </c>
      <c r="L764" s="241">
        <v>12024</v>
      </c>
    </row>
    <row r="765" spans="2:12" outlineLevel="2">
      <c r="B765" s="40">
        <f t="shared" si="25"/>
        <v>302</v>
      </c>
      <c r="C765" s="41" t="s">
        <v>9</v>
      </c>
      <c r="D765" s="41" t="s">
        <v>196</v>
      </c>
      <c r="E765" s="217">
        <v>74177</v>
      </c>
      <c r="F765" s="41"/>
      <c r="G765" s="222">
        <v>40603</v>
      </c>
      <c r="H765" s="41"/>
      <c r="I765" s="211">
        <v>44895</v>
      </c>
      <c r="J765" s="41"/>
      <c r="K765" s="214">
        <v>4</v>
      </c>
      <c r="L765" s="241">
        <v>12025</v>
      </c>
    </row>
    <row r="766" spans="2:12" outlineLevel="2">
      <c r="B766" s="40">
        <f t="shared" si="25"/>
        <v>303</v>
      </c>
      <c r="C766" s="41" t="s">
        <v>9</v>
      </c>
      <c r="D766" s="41" t="s">
        <v>196</v>
      </c>
      <c r="E766" s="217">
        <v>1140647</v>
      </c>
      <c r="F766" s="41"/>
      <c r="G766" s="222">
        <v>43191</v>
      </c>
      <c r="H766" s="41"/>
      <c r="I766" s="211">
        <v>44770</v>
      </c>
      <c r="J766" s="41"/>
      <c r="K766" s="248" t="s">
        <v>197</v>
      </c>
      <c r="L766" s="241">
        <v>12026</v>
      </c>
    </row>
    <row r="767" spans="2:12" outlineLevel="2">
      <c r="B767" s="40">
        <f t="shared" si="25"/>
        <v>304</v>
      </c>
      <c r="C767" s="41" t="s">
        <v>9</v>
      </c>
      <c r="D767" s="41" t="s">
        <v>196</v>
      </c>
      <c r="E767" s="217">
        <v>82259</v>
      </c>
      <c r="F767" s="41"/>
      <c r="G767" s="222">
        <v>43191</v>
      </c>
      <c r="H767" s="41"/>
      <c r="I767" s="211">
        <v>44895</v>
      </c>
      <c r="J767" s="41"/>
      <c r="K767" s="248" t="s">
        <v>197</v>
      </c>
      <c r="L767" s="241">
        <v>12027</v>
      </c>
    </row>
    <row r="768" spans="2:12" outlineLevel="2">
      <c r="B768" s="40">
        <f t="shared" si="25"/>
        <v>305</v>
      </c>
      <c r="C768" s="41" t="s">
        <v>9</v>
      </c>
      <c r="D768" s="41" t="s">
        <v>196</v>
      </c>
      <c r="E768" s="217">
        <v>1235379</v>
      </c>
      <c r="F768" s="41"/>
      <c r="G768" s="222">
        <v>43647</v>
      </c>
      <c r="H768" s="41"/>
      <c r="I768" s="211">
        <v>44770</v>
      </c>
      <c r="J768" s="41"/>
      <c r="K768" s="248" t="s">
        <v>197</v>
      </c>
      <c r="L768" s="241">
        <v>12028</v>
      </c>
    </row>
    <row r="769" spans="2:12" outlineLevel="2">
      <c r="B769" s="40">
        <f t="shared" si="25"/>
        <v>306</v>
      </c>
      <c r="C769" s="41" t="s">
        <v>9</v>
      </c>
      <c r="D769" s="41" t="s">
        <v>196</v>
      </c>
      <c r="E769" s="216">
        <v>347042</v>
      </c>
      <c r="F769" s="41"/>
      <c r="G769" s="223">
        <v>42125</v>
      </c>
      <c r="H769" s="41"/>
      <c r="I769" s="212">
        <v>44917</v>
      </c>
      <c r="J769" s="41"/>
      <c r="K769" s="248" t="s">
        <v>197</v>
      </c>
      <c r="L769" s="120">
        <v>13056</v>
      </c>
    </row>
    <row r="770" spans="2:12" outlineLevel="2">
      <c r="B770" s="40">
        <f t="shared" si="25"/>
        <v>307</v>
      </c>
      <c r="C770" s="41" t="s">
        <v>9</v>
      </c>
      <c r="D770" s="41" t="s">
        <v>196</v>
      </c>
      <c r="E770" s="216">
        <v>12876</v>
      </c>
      <c r="F770" s="41"/>
      <c r="G770" s="223">
        <v>39479</v>
      </c>
      <c r="H770" s="41"/>
      <c r="I770" s="212">
        <v>44917</v>
      </c>
      <c r="J770" s="41"/>
      <c r="K770" s="120">
        <v>12</v>
      </c>
      <c r="L770" s="120">
        <v>13057</v>
      </c>
    </row>
    <row r="771" spans="2:12" outlineLevel="2">
      <c r="B771" s="40">
        <f t="shared" si="25"/>
        <v>308</v>
      </c>
      <c r="C771" s="41" t="s">
        <v>9</v>
      </c>
      <c r="D771" s="41" t="s">
        <v>196</v>
      </c>
      <c r="E771" s="216" t="s">
        <v>225</v>
      </c>
      <c r="F771" s="41"/>
      <c r="G771" s="223">
        <v>42736</v>
      </c>
      <c r="H771" s="41"/>
      <c r="I771" s="212">
        <v>44917</v>
      </c>
      <c r="J771" s="41"/>
      <c r="K771" s="248" t="s">
        <v>197</v>
      </c>
      <c r="L771" s="120">
        <v>13058</v>
      </c>
    </row>
    <row r="772" spans="2:12" outlineLevel="2">
      <c r="B772" s="40">
        <f t="shared" si="25"/>
        <v>309</v>
      </c>
      <c r="C772" s="41" t="s">
        <v>9</v>
      </c>
      <c r="D772" s="41" t="s">
        <v>196</v>
      </c>
      <c r="E772" s="216">
        <v>81167</v>
      </c>
      <c r="F772" s="41"/>
      <c r="G772" s="223">
        <v>42856</v>
      </c>
      <c r="H772" s="41"/>
      <c r="I772" s="212">
        <v>44917</v>
      </c>
      <c r="J772" s="41"/>
      <c r="K772" s="248" t="s">
        <v>197</v>
      </c>
      <c r="L772" s="120">
        <v>13060</v>
      </c>
    </row>
    <row r="773" spans="2:12" outlineLevel="2">
      <c r="B773" s="40">
        <f t="shared" si="25"/>
        <v>310</v>
      </c>
      <c r="C773" s="41" t="s">
        <v>9</v>
      </c>
      <c r="D773" s="41" t="s">
        <v>196</v>
      </c>
      <c r="E773" s="216">
        <v>484031</v>
      </c>
      <c r="F773" s="41"/>
      <c r="G773" s="223">
        <v>43344</v>
      </c>
      <c r="H773" s="41"/>
      <c r="I773" s="212">
        <v>44917</v>
      </c>
      <c r="J773" s="41"/>
      <c r="K773" s="248" t="s">
        <v>197</v>
      </c>
      <c r="L773" s="120">
        <v>13061</v>
      </c>
    </row>
    <row r="774" spans="2:12" outlineLevel="2">
      <c r="B774" s="40">
        <f t="shared" si="25"/>
        <v>311</v>
      </c>
      <c r="C774" s="41" t="s">
        <v>9</v>
      </c>
      <c r="D774" s="41" t="s">
        <v>196</v>
      </c>
      <c r="E774" s="216">
        <v>10464</v>
      </c>
      <c r="F774" s="41"/>
      <c r="G774" s="223">
        <v>38869</v>
      </c>
      <c r="H774" s="41"/>
      <c r="I774" s="212">
        <v>44917</v>
      </c>
      <c r="J774" s="41"/>
      <c r="K774" s="120">
        <v>22</v>
      </c>
      <c r="L774" s="120">
        <v>13062</v>
      </c>
    </row>
    <row r="775" spans="2:12" outlineLevel="2">
      <c r="B775" s="40">
        <f t="shared" si="25"/>
        <v>312</v>
      </c>
      <c r="C775" s="41" t="s">
        <v>9</v>
      </c>
      <c r="D775" s="41" t="s">
        <v>196</v>
      </c>
      <c r="E775" s="216">
        <v>10005</v>
      </c>
      <c r="F775" s="41"/>
      <c r="G775" s="223">
        <v>2005</v>
      </c>
      <c r="H775" s="41"/>
      <c r="I775" s="212">
        <v>44917</v>
      </c>
      <c r="J775" s="41"/>
      <c r="K775" s="120">
        <v>13</v>
      </c>
      <c r="L775" s="120">
        <v>13063</v>
      </c>
    </row>
    <row r="776" spans="2:12" outlineLevel="2">
      <c r="B776" s="40">
        <f t="shared" si="25"/>
        <v>313</v>
      </c>
      <c r="C776" s="41" t="s">
        <v>9</v>
      </c>
      <c r="D776" s="41" t="s">
        <v>196</v>
      </c>
      <c r="E776" s="216">
        <v>128099</v>
      </c>
      <c r="F776" s="41"/>
      <c r="G776" s="223">
        <v>38443</v>
      </c>
      <c r="H776" s="41"/>
      <c r="I776" s="212">
        <v>44917</v>
      </c>
      <c r="J776" s="41"/>
      <c r="K776" s="248" t="s">
        <v>197</v>
      </c>
      <c r="L776" s="120">
        <v>13064</v>
      </c>
    </row>
    <row r="777" spans="2:12" outlineLevel="2">
      <c r="B777" s="40">
        <f t="shared" si="25"/>
        <v>314</v>
      </c>
      <c r="C777" s="41" t="s">
        <v>9</v>
      </c>
      <c r="D777" s="41" t="s">
        <v>196</v>
      </c>
      <c r="E777" s="216" t="s">
        <v>226</v>
      </c>
      <c r="F777" s="41"/>
      <c r="G777" s="223">
        <v>39814</v>
      </c>
      <c r="H777" s="41"/>
      <c r="I777" s="212">
        <v>44917</v>
      </c>
      <c r="J777" s="41"/>
      <c r="K777" s="248" t="s">
        <v>197</v>
      </c>
      <c r="L777" s="120">
        <v>13065</v>
      </c>
    </row>
    <row r="778" spans="2:12" outlineLevel="2">
      <c r="B778" s="40">
        <f t="shared" si="25"/>
        <v>315</v>
      </c>
      <c r="C778" s="41" t="s">
        <v>9</v>
      </c>
      <c r="D778" s="41" t="s">
        <v>196</v>
      </c>
      <c r="E778" s="216">
        <v>35471</v>
      </c>
      <c r="F778" s="41"/>
      <c r="G778" s="223">
        <v>37865</v>
      </c>
      <c r="H778" s="41"/>
      <c r="I778" s="212">
        <v>44917</v>
      </c>
      <c r="J778" s="41"/>
      <c r="K778" s="248" t="s">
        <v>197</v>
      </c>
      <c r="L778" s="120">
        <v>13066</v>
      </c>
    </row>
    <row r="779" spans="2:12" outlineLevel="2">
      <c r="B779" s="40">
        <f t="shared" si="25"/>
        <v>316</v>
      </c>
      <c r="C779" s="41" t="s">
        <v>9</v>
      </c>
      <c r="D779" s="41" t="s">
        <v>196</v>
      </c>
      <c r="E779" s="216" t="s">
        <v>227</v>
      </c>
      <c r="F779" s="41"/>
      <c r="G779" s="223">
        <v>42005</v>
      </c>
      <c r="H779" s="41"/>
      <c r="I779" s="212">
        <v>44917</v>
      </c>
      <c r="J779" s="41"/>
      <c r="K779" s="248" t="s">
        <v>197</v>
      </c>
      <c r="L779" s="120">
        <v>13067</v>
      </c>
    </row>
    <row r="780" spans="2:12" outlineLevel="2">
      <c r="B780" s="40">
        <f t="shared" si="25"/>
        <v>317</v>
      </c>
      <c r="C780" s="41" t="s">
        <v>9</v>
      </c>
      <c r="D780" s="41" t="s">
        <v>196</v>
      </c>
      <c r="E780" s="216">
        <v>15409</v>
      </c>
      <c r="F780" s="41"/>
      <c r="G780" s="223">
        <v>39814</v>
      </c>
      <c r="H780" s="41"/>
      <c r="I780" s="212">
        <v>44917</v>
      </c>
      <c r="J780" s="41"/>
      <c r="K780" s="213">
        <v>4</v>
      </c>
      <c r="L780" s="120">
        <v>13068</v>
      </c>
    </row>
    <row r="781" spans="2:12" outlineLevel="2">
      <c r="B781" s="40">
        <f t="shared" si="25"/>
        <v>318</v>
      </c>
      <c r="C781" s="41" t="s">
        <v>9</v>
      </c>
      <c r="D781" s="41" t="s">
        <v>196</v>
      </c>
      <c r="E781" s="216">
        <v>1250272</v>
      </c>
      <c r="F781" s="41"/>
      <c r="G781" s="223">
        <v>43739</v>
      </c>
      <c r="H781" s="41"/>
      <c r="I781" s="212">
        <v>44917</v>
      </c>
      <c r="J781" s="41"/>
      <c r="K781" s="248" t="s">
        <v>197</v>
      </c>
      <c r="L781" s="120">
        <v>13070</v>
      </c>
    </row>
    <row r="782" spans="2:12" outlineLevel="2">
      <c r="B782" s="40">
        <f t="shared" si="25"/>
        <v>319</v>
      </c>
      <c r="C782" s="41" t="s">
        <v>9</v>
      </c>
      <c r="D782" s="41" t="s">
        <v>196</v>
      </c>
      <c r="E782" s="216">
        <v>81052</v>
      </c>
      <c r="F782" s="41"/>
      <c r="G782" s="223">
        <v>42767</v>
      </c>
      <c r="H782" s="41"/>
      <c r="I782" s="212">
        <v>44917</v>
      </c>
      <c r="J782" s="41"/>
      <c r="K782" s="248" t="s">
        <v>197</v>
      </c>
      <c r="L782" s="120">
        <v>13071</v>
      </c>
    </row>
    <row r="783" spans="2:12" outlineLevel="2">
      <c r="B783" s="40">
        <f t="shared" si="25"/>
        <v>320</v>
      </c>
      <c r="C783" s="41" t="s">
        <v>9</v>
      </c>
      <c r="D783" s="41" t="s">
        <v>196</v>
      </c>
      <c r="E783" s="216" t="s">
        <v>228</v>
      </c>
      <c r="F783" s="41"/>
      <c r="G783" s="223">
        <v>39722</v>
      </c>
      <c r="H783" s="41"/>
      <c r="I783" s="212">
        <v>44917</v>
      </c>
      <c r="J783" s="41"/>
      <c r="K783" s="213">
        <v>12</v>
      </c>
      <c r="L783" s="120">
        <v>13072</v>
      </c>
    </row>
    <row r="784" spans="2:12" outlineLevel="2">
      <c r="B784" s="40">
        <f t="shared" si="25"/>
        <v>321</v>
      </c>
      <c r="C784" s="41" t="s">
        <v>9</v>
      </c>
      <c r="D784" s="41" t="s">
        <v>196</v>
      </c>
      <c r="E784" s="216">
        <v>30415</v>
      </c>
      <c r="F784" s="41"/>
      <c r="G784" s="223">
        <v>2006</v>
      </c>
      <c r="H784" s="41"/>
      <c r="I784" s="212">
        <v>44917</v>
      </c>
      <c r="J784" s="41"/>
      <c r="K784" s="213">
        <v>14</v>
      </c>
      <c r="L784" s="120">
        <v>13073</v>
      </c>
    </row>
    <row r="785" spans="2:12" outlineLevel="2">
      <c r="B785" s="40">
        <f t="shared" si="25"/>
        <v>322</v>
      </c>
      <c r="C785" s="41" t="s">
        <v>9</v>
      </c>
      <c r="D785" s="41" t="s">
        <v>196</v>
      </c>
      <c r="E785" s="216">
        <v>40802</v>
      </c>
      <c r="F785" s="41"/>
      <c r="G785" s="223">
        <v>39264</v>
      </c>
      <c r="H785" s="41"/>
      <c r="I785" s="212">
        <v>44917</v>
      </c>
      <c r="J785" s="41"/>
      <c r="K785" s="213">
        <v>20</v>
      </c>
      <c r="L785" s="120">
        <v>13074</v>
      </c>
    </row>
    <row r="786" spans="2:12" outlineLevel="2">
      <c r="B786" s="40">
        <f t="shared" si="25"/>
        <v>323</v>
      </c>
      <c r="C786" s="41" t="s">
        <v>9</v>
      </c>
      <c r="D786" s="41" t="s">
        <v>196</v>
      </c>
      <c r="E786" s="216" t="s">
        <v>229</v>
      </c>
      <c r="F786" s="41"/>
      <c r="G786" s="223">
        <v>39417</v>
      </c>
      <c r="H786" s="41"/>
      <c r="I786" s="212">
        <v>44917</v>
      </c>
      <c r="J786" s="41"/>
      <c r="K786" s="120">
        <v>28</v>
      </c>
      <c r="L786" s="120">
        <v>13075</v>
      </c>
    </row>
    <row r="787" spans="2:12" outlineLevel="2">
      <c r="B787" s="40">
        <f t="shared" si="25"/>
        <v>324</v>
      </c>
      <c r="C787" s="41" t="s">
        <v>9</v>
      </c>
      <c r="D787" s="41" t="s">
        <v>196</v>
      </c>
      <c r="E787" s="216">
        <v>73057</v>
      </c>
      <c r="F787" s="41"/>
      <c r="G787" s="224">
        <v>40452</v>
      </c>
      <c r="H787" s="41"/>
      <c r="I787" s="212">
        <v>44917</v>
      </c>
      <c r="J787" s="41"/>
      <c r="K787" s="248" t="s">
        <v>197</v>
      </c>
      <c r="L787" s="120">
        <v>13076</v>
      </c>
    </row>
    <row r="788" spans="2:12" outlineLevel="2">
      <c r="B788" s="40">
        <f t="shared" si="25"/>
        <v>325</v>
      </c>
      <c r="C788" s="41" t="s">
        <v>9</v>
      </c>
      <c r="D788" s="41" t="s">
        <v>196</v>
      </c>
      <c r="E788" s="216">
        <v>81968</v>
      </c>
      <c r="F788" s="41"/>
      <c r="G788" s="224">
        <v>43374</v>
      </c>
      <c r="H788" s="41"/>
      <c r="I788" s="212">
        <v>44917</v>
      </c>
      <c r="J788" s="41"/>
      <c r="K788" s="248" t="s">
        <v>197</v>
      </c>
      <c r="L788" s="120">
        <v>13077</v>
      </c>
    </row>
    <row r="789" spans="2:12" outlineLevel="2">
      <c r="B789" s="40">
        <f t="shared" si="25"/>
        <v>326</v>
      </c>
      <c r="C789" s="41" t="s">
        <v>9</v>
      </c>
      <c r="D789" s="41" t="s">
        <v>196</v>
      </c>
      <c r="E789" s="216" t="s">
        <v>230</v>
      </c>
      <c r="F789" s="41"/>
      <c r="G789" s="224">
        <v>40695</v>
      </c>
      <c r="H789" s="41"/>
      <c r="I789" s="212">
        <v>44917</v>
      </c>
      <c r="J789" s="41"/>
      <c r="K789" s="248" t="s">
        <v>197</v>
      </c>
      <c r="L789" s="120">
        <v>13078</v>
      </c>
    </row>
    <row r="790" spans="2:12" outlineLevel="2">
      <c r="B790" s="40">
        <f t="shared" si="25"/>
        <v>327</v>
      </c>
      <c r="C790" s="41" t="s">
        <v>9</v>
      </c>
      <c r="D790" s="41" t="s">
        <v>196</v>
      </c>
      <c r="E790" s="216" t="s">
        <v>231</v>
      </c>
      <c r="F790" s="41"/>
      <c r="G790" s="224">
        <v>2009</v>
      </c>
      <c r="H790" s="41"/>
      <c r="I790" s="212">
        <v>44917</v>
      </c>
      <c r="J790" s="41"/>
      <c r="K790" s="213">
        <v>20</v>
      </c>
      <c r="L790" s="120">
        <v>13079</v>
      </c>
    </row>
    <row r="791" spans="2:12" outlineLevel="2">
      <c r="B791" s="40">
        <f t="shared" si="25"/>
        <v>328</v>
      </c>
      <c r="C791" s="41" t="s">
        <v>9</v>
      </c>
      <c r="D791" s="41" t="s">
        <v>196</v>
      </c>
      <c r="E791" s="216">
        <v>770707</v>
      </c>
      <c r="F791" s="41"/>
      <c r="G791" s="224">
        <v>43282</v>
      </c>
      <c r="H791" s="41"/>
      <c r="I791" s="212">
        <v>44918</v>
      </c>
      <c r="J791" s="41"/>
      <c r="K791" s="248" t="s">
        <v>197</v>
      </c>
      <c r="L791" s="120">
        <v>13166</v>
      </c>
    </row>
    <row r="792" spans="2:12" outlineLevel="2">
      <c r="B792" s="40">
        <f t="shared" si="25"/>
        <v>329</v>
      </c>
      <c r="C792" s="41" t="s">
        <v>9</v>
      </c>
      <c r="D792" s="41" t="s">
        <v>196</v>
      </c>
      <c r="E792" s="216">
        <v>1200316</v>
      </c>
      <c r="F792" s="41"/>
      <c r="G792" s="224">
        <v>43556</v>
      </c>
      <c r="H792" s="41"/>
      <c r="I792" s="212">
        <v>44918</v>
      </c>
      <c r="J792" s="41"/>
      <c r="K792" s="248" t="s">
        <v>197</v>
      </c>
      <c r="L792" s="120">
        <v>13167</v>
      </c>
    </row>
    <row r="793" spans="2:12" outlineLevel="2">
      <c r="B793" s="40">
        <f t="shared" si="25"/>
        <v>330</v>
      </c>
      <c r="C793" s="41" t="s">
        <v>9</v>
      </c>
      <c r="D793" s="41" t="s">
        <v>196</v>
      </c>
      <c r="E793" s="216">
        <v>11886</v>
      </c>
      <c r="F793" s="41"/>
      <c r="G793" s="224">
        <v>40330</v>
      </c>
      <c r="H793" s="41"/>
      <c r="I793" s="212">
        <v>44918</v>
      </c>
      <c r="J793" s="41"/>
      <c r="K793" s="120">
        <v>8</v>
      </c>
      <c r="L793" s="120">
        <v>13168</v>
      </c>
    </row>
    <row r="794" spans="2:12" outlineLevel="2">
      <c r="B794" s="40">
        <f t="shared" si="25"/>
        <v>331</v>
      </c>
      <c r="C794" s="41" t="s">
        <v>9</v>
      </c>
      <c r="D794" s="41" t="s">
        <v>196</v>
      </c>
      <c r="E794" s="216" t="s">
        <v>232</v>
      </c>
      <c r="F794" s="41"/>
      <c r="G794" s="224">
        <v>39326</v>
      </c>
      <c r="H794" s="41"/>
      <c r="I794" s="212">
        <v>44918</v>
      </c>
      <c r="J794" s="41"/>
      <c r="K794" s="120">
        <v>18</v>
      </c>
      <c r="L794" s="120">
        <v>13170</v>
      </c>
    </row>
    <row r="795" spans="2:12" outlineLevel="2">
      <c r="B795" s="40">
        <f t="shared" si="25"/>
        <v>332</v>
      </c>
      <c r="C795" s="41" t="s">
        <v>9</v>
      </c>
      <c r="D795" s="41" t="s">
        <v>196</v>
      </c>
      <c r="E795" s="216">
        <v>1117243</v>
      </c>
      <c r="F795" s="41"/>
      <c r="G795" s="224">
        <v>43040</v>
      </c>
      <c r="H795" s="41"/>
      <c r="I795" s="212">
        <v>44918</v>
      </c>
      <c r="J795" s="41"/>
      <c r="K795" s="248" t="s">
        <v>197</v>
      </c>
      <c r="L795" s="120">
        <v>13171</v>
      </c>
    </row>
    <row r="796" spans="2:12" outlineLevel="2">
      <c r="B796" s="40">
        <f t="shared" si="25"/>
        <v>333</v>
      </c>
      <c r="C796" s="41" t="s">
        <v>9</v>
      </c>
      <c r="D796" s="41" t="s">
        <v>196</v>
      </c>
      <c r="E796" s="216">
        <v>1110434</v>
      </c>
      <c r="F796" s="41"/>
      <c r="G796" s="224">
        <v>42979</v>
      </c>
      <c r="H796" s="41"/>
      <c r="I796" s="212">
        <v>44918</v>
      </c>
      <c r="J796" s="41"/>
      <c r="K796" s="248" t="s">
        <v>197</v>
      </c>
      <c r="L796" s="120">
        <v>13172</v>
      </c>
    </row>
    <row r="797" spans="2:12" outlineLevel="2">
      <c r="B797" s="40">
        <f t="shared" si="25"/>
        <v>334</v>
      </c>
      <c r="C797" s="41" t="s">
        <v>9</v>
      </c>
      <c r="D797" s="41" t="s">
        <v>196</v>
      </c>
      <c r="E797" s="216" t="s">
        <v>233</v>
      </c>
      <c r="F797" s="41"/>
      <c r="G797" s="224">
        <v>40695</v>
      </c>
      <c r="H797" s="41"/>
      <c r="I797" s="212">
        <v>44918</v>
      </c>
      <c r="J797" s="41"/>
      <c r="K797" s="120">
        <v>17</v>
      </c>
      <c r="L797" s="120">
        <v>13173</v>
      </c>
    </row>
    <row r="798" spans="2:12" outlineLevel="2">
      <c r="B798" s="40">
        <f t="shared" si="25"/>
        <v>335</v>
      </c>
      <c r="C798" s="41" t="s">
        <v>9</v>
      </c>
      <c r="D798" s="41" t="s">
        <v>196</v>
      </c>
      <c r="E798" s="216">
        <v>769054</v>
      </c>
      <c r="F798" s="41"/>
      <c r="G798" s="224">
        <v>42767</v>
      </c>
      <c r="H798" s="41"/>
      <c r="I798" s="212">
        <v>44918</v>
      </c>
      <c r="J798" s="41"/>
      <c r="K798" s="248" t="s">
        <v>197</v>
      </c>
      <c r="L798" s="120">
        <v>13174</v>
      </c>
    </row>
    <row r="799" spans="2:12" outlineLevel="2">
      <c r="B799" s="40">
        <f t="shared" si="25"/>
        <v>336</v>
      </c>
      <c r="C799" s="41" t="s">
        <v>9</v>
      </c>
      <c r="D799" s="41" t="s">
        <v>196</v>
      </c>
      <c r="E799" s="216">
        <v>15367</v>
      </c>
      <c r="F799" s="41"/>
      <c r="G799" s="224">
        <v>39783</v>
      </c>
      <c r="H799" s="41"/>
      <c r="I799" s="212">
        <v>44918</v>
      </c>
      <c r="J799" s="41"/>
      <c r="K799" s="248" t="s">
        <v>197</v>
      </c>
      <c r="L799" s="120">
        <v>13175</v>
      </c>
    </row>
    <row r="800" spans="2:12" outlineLevel="2">
      <c r="B800" s="40">
        <f t="shared" si="25"/>
        <v>337</v>
      </c>
      <c r="C800" s="41" t="s">
        <v>9</v>
      </c>
      <c r="D800" s="41" t="s">
        <v>196</v>
      </c>
      <c r="E800" s="216">
        <v>764024</v>
      </c>
      <c r="F800" s="41"/>
      <c r="G800" s="224">
        <v>42401</v>
      </c>
      <c r="H800" s="41"/>
      <c r="I800" s="212">
        <v>44918</v>
      </c>
      <c r="J800" s="41"/>
      <c r="K800" s="248" t="s">
        <v>197</v>
      </c>
      <c r="L800" s="120">
        <v>13176</v>
      </c>
    </row>
    <row r="801" spans="2:12" outlineLevel="2">
      <c r="B801" s="40">
        <f t="shared" si="25"/>
        <v>338</v>
      </c>
      <c r="C801" s="41" t="s">
        <v>9</v>
      </c>
      <c r="D801" s="41" t="s">
        <v>196</v>
      </c>
      <c r="E801" s="216">
        <v>30835</v>
      </c>
      <c r="F801" s="41"/>
      <c r="G801" s="224">
        <v>39264</v>
      </c>
      <c r="H801" s="41"/>
      <c r="I801" s="212">
        <v>44918</v>
      </c>
      <c r="J801" s="41"/>
      <c r="K801" s="120">
        <v>12</v>
      </c>
      <c r="L801" s="120">
        <v>13177</v>
      </c>
    </row>
    <row r="802" spans="2:12" outlineLevel="2">
      <c r="B802" s="40">
        <f t="shared" si="25"/>
        <v>339</v>
      </c>
      <c r="C802" s="41" t="s">
        <v>9</v>
      </c>
      <c r="D802" s="41" t="s">
        <v>196</v>
      </c>
      <c r="E802" s="216">
        <v>82167</v>
      </c>
      <c r="F802" s="41"/>
      <c r="G802" s="224">
        <v>43497</v>
      </c>
      <c r="H802" s="41"/>
      <c r="I802" s="212">
        <v>44918</v>
      </c>
      <c r="J802" s="41"/>
      <c r="K802" s="248" t="s">
        <v>197</v>
      </c>
      <c r="L802" s="120">
        <v>13178</v>
      </c>
    </row>
    <row r="803" spans="2:12" outlineLevel="2">
      <c r="B803" s="40">
        <f t="shared" si="25"/>
        <v>340</v>
      </c>
      <c r="C803" s="41" t="s">
        <v>9</v>
      </c>
      <c r="D803" s="41" t="s">
        <v>196</v>
      </c>
      <c r="E803" s="216" t="s">
        <v>234</v>
      </c>
      <c r="F803" s="41"/>
      <c r="G803" s="224">
        <v>40695</v>
      </c>
      <c r="H803" s="41"/>
      <c r="I803" s="212">
        <v>44918</v>
      </c>
      <c r="J803" s="41"/>
      <c r="K803" s="248" t="s">
        <v>197</v>
      </c>
      <c r="L803" s="120">
        <v>13179</v>
      </c>
    </row>
    <row r="804" spans="2:12" outlineLevel="2">
      <c r="B804" s="40">
        <f t="shared" si="25"/>
        <v>341</v>
      </c>
      <c r="C804" s="41" t="s">
        <v>9</v>
      </c>
      <c r="D804" s="41" t="s">
        <v>196</v>
      </c>
      <c r="E804" s="216" t="s">
        <v>235</v>
      </c>
      <c r="F804" s="41"/>
      <c r="G804" s="224">
        <v>39539</v>
      </c>
      <c r="H804" s="41"/>
      <c r="I804" s="212">
        <v>44918</v>
      </c>
      <c r="J804" s="41"/>
      <c r="K804" s="120">
        <v>7</v>
      </c>
      <c r="L804" s="120">
        <v>13180</v>
      </c>
    </row>
    <row r="805" spans="2:12" outlineLevel="2">
      <c r="B805" s="40">
        <f t="shared" si="25"/>
        <v>342</v>
      </c>
      <c r="C805" s="41" t="s">
        <v>9</v>
      </c>
      <c r="D805" s="41" t="s">
        <v>196</v>
      </c>
      <c r="E805" s="216">
        <v>41605</v>
      </c>
      <c r="F805" s="41"/>
      <c r="G805" s="224">
        <v>39326</v>
      </c>
      <c r="H805" s="41"/>
      <c r="I805" s="212">
        <v>44918</v>
      </c>
      <c r="J805" s="41"/>
      <c r="K805" s="120">
        <v>5</v>
      </c>
      <c r="L805" s="120">
        <v>13181</v>
      </c>
    </row>
    <row r="806" spans="2:12" outlineLevel="2">
      <c r="B806" s="40">
        <f t="shared" si="25"/>
        <v>343</v>
      </c>
      <c r="C806" s="41" t="s">
        <v>9</v>
      </c>
      <c r="D806" s="41" t="s">
        <v>196</v>
      </c>
      <c r="E806" s="216">
        <v>44166</v>
      </c>
      <c r="F806" s="41"/>
      <c r="G806" s="224">
        <v>40210</v>
      </c>
      <c r="H806" s="41"/>
      <c r="I806" s="212">
        <v>44918</v>
      </c>
      <c r="J806" s="41"/>
      <c r="K806" s="248" t="s">
        <v>197</v>
      </c>
      <c r="L806" s="120">
        <v>13182</v>
      </c>
    </row>
    <row r="807" spans="2:12" outlineLevel="2">
      <c r="B807" s="40">
        <f t="shared" si="25"/>
        <v>344</v>
      </c>
      <c r="C807" s="41" t="s">
        <v>9</v>
      </c>
      <c r="D807" s="41" t="s">
        <v>196</v>
      </c>
      <c r="E807" s="216">
        <v>336373</v>
      </c>
      <c r="F807" s="41"/>
      <c r="G807" s="224">
        <v>42005</v>
      </c>
      <c r="H807" s="41"/>
      <c r="I807" s="212">
        <v>44918</v>
      </c>
      <c r="J807" s="41"/>
      <c r="K807" s="248" t="s">
        <v>197</v>
      </c>
      <c r="L807" s="120">
        <v>13183</v>
      </c>
    </row>
    <row r="808" spans="2:12" outlineLevel="2">
      <c r="B808" s="40">
        <f t="shared" si="25"/>
        <v>345</v>
      </c>
      <c r="C808" s="41" t="s">
        <v>9</v>
      </c>
      <c r="D808" s="41" t="s">
        <v>196</v>
      </c>
      <c r="E808" s="216">
        <v>114553</v>
      </c>
      <c r="F808" s="41"/>
      <c r="G808" s="224">
        <v>39264</v>
      </c>
      <c r="H808" s="41"/>
      <c r="I808" s="212">
        <v>44918</v>
      </c>
      <c r="J808" s="41"/>
      <c r="K808" s="248" t="s">
        <v>197</v>
      </c>
      <c r="L808" s="120">
        <v>13184</v>
      </c>
    </row>
    <row r="809" spans="2:12" outlineLevel="2">
      <c r="B809" s="40">
        <f t="shared" si="25"/>
        <v>346</v>
      </c>
      <c r="C809" s="41" t="s">
        <v>9</v>
      </c>
      <c r="D809" s="41" t="s">
        <v>196</v>
      </c>
      <c r="E809" s="216">
        <v>52170</v>
      </c>
      <c r="F809" s="41"/>
      <c r="G809" s="224">
        <v>38384</v>
      </c>
      <c r="H809" s="41"/>
      <c r="I809" s="212">
        <v>44918</v>
      </c>
      <c r="J809" s="41"/>
      <c r="K809" s="248" t="s">
        <v>197</v>
      </c>
      <c r="L809" s="120">
        <v>13185</v>
      </c>
    </row>
    <row r="810" spans="2:12" outlineLevel="2">
      <c r="B810" s="40">
        <f t="shared" si="25"/>
        <v>347</v>
      </c>
      <c r="C810" s="41" t="s">
        <v>9</v>
      </c>
      <c r="D810" s="41" t="s">
        <v>196</v>
      </c>
      <c r="E810" s="216">
        <v>14160</v>
      </c>
      <c r="F810" s="41"/>
      <c r="G810" s="224">
        <v>39934</v>
      </c>
      <c r="H810" s="41"/>
      <c r="I810" s="212">
        <v>44918</v>
      </c>
      <c r="J810" s="41"/>
      <c r="K810" s="120">
        <v>12</v>
      </c>
      <c r="L810" s="120">
        <v>13186</v>
      </c>
    </row>
    <row r="811" spans="2:12" outlineLevel="2">
      <c r="B811" s="40">
        <f t="shared" si="25"/>
        <v>348</v>
      </c>
      <c r="C811" s="41" t="s">
        <v>9</v>
      </c>
      <c r="D811" s="41" t="s">
        <v>196</v>
      </c>
      <c r="E811" s="216" t="s">
        <v>236</v>
      </c>
      <c r="F811" s="41"/>
      <c r="G811" s="224">
        <v>41944</v>
      </c>
      <c r="H811" s="41"/>
      <c r="I811" s="212">
        <v>44918</v>
      </c>
      <c r="J811" s="41"/>
      <c r="K811" s="248" t="s">
        <v>197</v>
      </c>
      <c r="L811" s="120">
        <v>13187</v>
      </c>
    </row>
    <row r="812" spans="2:12" outlineLevel="2">
      <c r="B812" s="40">
        <f t="shared" si="25"/>
        <v>349</v>
      </c>
      <c r="C812" s="41" t="s">
        <v>9</v>
      </c>
      <c r="D812" s="41" t="s">
        <v>196</v>
      </c>
      <c r="E812" s="216">
        <v>118551</v>
      </c>
      <c r="F812" s="41"/>
      <c r="G812" s="224">
        <v>39356</v>
      </c>
      <c r="H812" s="41"/>
      <c r="I812" s="212">
        <v>44918</v>
      </c>
      <c r="J812" s="41"/>
      <c r="K812" s="248" t="s">
        <v>197</v>
      </c>
      <c r="L812" s="120">
        <v>13188</v>
      </c>
    </row>
    <row r="813" spans="2:12" outlineLevel="2">
      <c r="B813" s="40">
        <f t="shared" si="25"/>
        <v>350</v>
      </c>
      <c r="C813" s="41" t="s">
        <v>9</v>
      </c>
      <c r="D813" s="41" t="s">
        <v>196</v>
      </c>
      <c r="E813" s="216">
        <v>10676</v>
      </c>
      <c r="F813" s="41"/>
      <c r="G813" s="224">
        <v>38991</v>
      </c>
      <c r="H813" s="41"/>
      <c r="I813" s="212">
        <v>44918</v>
      </c>
      <c r="J813" s="41"/>
      <c r="K813" s="213">
        <v>9</v>
      </c>
      <c r="L813" s="120">
        <v>13189</v>
      </c>
    </row>
    <row r="814" spans="2:12" outlineLevel="2">
      <c r="B814" s="40">
        <f t="shared" si="25"/>
        <v>351</v>
      </c>
      <c r="C814" s="41" t="s">
        <v>9</v>
      </c>
      <c r="D814" s="41" t="s">
        <v>196</v>
      </c>
      <c r="E814" s="216" t="s">
        <v>237</v>
      </c>
      <c r="F814" s="41"/>
      <c r="G814" s="223">
        <v>2006</v>
      </c>
      <c r="H814" s="41"/>
      <c r="I814" s="212">
        <v>44918</v>
      </c>
      <c r="J814" s="41"/>
      <c r="K814" s="213">
        <v>7</v>
      </c>
      <c r="L814" s="120">
        <v>13191</v>
      </c>
    </row>
    <row r="815" spans="2:12" outlineLevel="2">
      <c r="B815" s="40">
        <f t="shared" si="25"/>
        <v>352</v>
      </c>
      <c r="C815" s="41" t="s">
        <v>9</v>
      </c>
      <c r="D815" s="41" t="s">
        <v>196</v>
      </c>
      <c r="E815" s="216">
        <v>171644</v>
      </c>
      <c r="F815" s="41"/>
      <c r="G815" s="223">
        <v>40118</v>
      </c>
      <c r="H815" s="41"/>
      <c r="I815" s="212">
        <v>44918</v>
      </c>
      <c r="J815" s="41"/>
      <c r="K815" s="248" t="s">
        <v>197</v>
      </c>
      <c r="L815" s="120">
        <v>13192</v>
      </c>
    </row>
    <row r="816" spans="2:12" outlineLevel="2">
      <c r="B816" s="40">
        <f t="shared" si="25"/>
        <v>353</v>
      </c>
      <c r="C816" s="41" t="s">
        <v>9</v>
      </c>
      <c r="D816" s="41" t="s">
        <v>196</v>
      </c>
      <c r="E816" s="216">
        <v>440839</v>
      </c>
      <c r="F816" s="41"/>
      <c r="G816" s="223">
        <v>39845</v>
      </c>
      <c r="H816" s="41"/>
      <c r="I816" s="212">
        <v>44918</v>
      </c>
      <c r="J816" s="41"/>
      <c r="K816" s="248" t="s">
        <v>197</v>
      </c>
      <c r="L816" s="120">
        <v>13193</v>
      </c>
    </row>
    <row r="817" spans="2:12" outlineLevel="2">
      <c r="B817" s="40">
        <f t="shared" si="25"/>
        <v>354</v>
      </c>
      <c r="C817" s="41" t="s">
        <v>9</v>
      </c>
      <c r="D817" s="41" t="s">
        <v>196</v>
      </c>
      <c r="E817" s="217">
        <v>116442</v>
      </c>
      <c r="F817" s="41"/>
      <c r="G817" s="222">
        <v>39326</v>
      </c>
      <c r="H817" s="41"/>
      <c r="I817" s="211">
        <v>44918</v>
      </c>
      <c r="J817" s="41"/>
      <c r="K817" s="248" t="s">
        <v>197</v>
      </c>
      <c r="L817" s="241">
        <v>13194</v>
      </c>
    </row>
    <row r="818" spans="2:12" outlineLevel="2">
      <c r="B818" s="40">
        <f t="shared" si="25"/>
        <v>355</v>
      </c>
      <c r="C818" s="41" t="s">
        <v>9</v>
      </c>
      <c r="D818" s="41" t="s">
        <v>196</v>
      </c>
      <c r="E818" s="216">
        <v>2001163</v>
      </c>
      <c r="F818" s="41"/>
      <c r="G818" s="223">
        <v>37226</v>
      </c>
      <c r="H818" s="41"/>
      <c r="I818" s="212">
        <v>44918</v>
      </c>
      <c r="J818" s="41"/>
      <c r="K818" s="213">
        <v>29</v>
      </c>
      <c r="L818" s="120">
        <v>13195</v>
      </c>
    </row>
    <row r="819" spans="2:12" outlineLevel="2">
      <c r="B819" s="40">
        <f t="shared" si="25"/>
        <v>356</v>
      </c>
      <c r="C819" s="41" t="s">
        <v>9</v>
      </c>
      <c r="D819" s="41" t="s">
        <v>196</v>
      </c>
      <c r="E819" s="217" t="s">
        <v>238</v>
      </c>
      <c r="F819" s="41"/>
      <c r="G819" s="222">
        <v>39722</v>
      </c>
      <c r="H819" s="41"/>
      <c r="I819" s="211">
        <v>44918</v>
      </c>
      <c r="J819" s="41"/>
      <c r="K819" s="248" t="s">
        <v>197</v>
      </c>
      <c r="L819" s="241">
        <v>13197</v>
      </c>
    </row>
    <row r="820" spans="2:12" outlineLevel="2">
      <c r="B820" s="40">
        <f t="shared" ref="B820:B883" si="26">ROW(A357)</f>
        <v>357</v>
      </c>
      <c r="C820" s="41" t="s">
        <v>9</v>
      </c>
      <c r="D820" s="41" t="s">
        <v>196</v>
      </c>
      <c r="E820" s="217">
        <v>15322</v>
      </c>
      <c r="F820" s="41"/>
      <c r="G820" s="222">
        <v>39783</v>
      </c>
      <c r="H820" s="41"/>
      <c r="I820" s="211">
        <v>44918</v>
      </c>
      <c r="J820" s="41"/>
      <c r="K820" s="241">
        <v>10</v>
      </c>
      <c r="L820" s="241">
        <v>13198</v>
      </c>
    </row>
    <row r="821" spans="2:12" outlineLevel="2">
      <c r="B821" s="40">
        <f t="shared" si="26"/>
        <v>358</v>
      </c>
      <c r="C821" s="41" t="s">
        <v>9</v>
      </c>
      <c r="D821" s="41" t="s">
        <v>196</v>
      </c>
      <c r="E821" s="217">
        <v>49949</v>
      </c>
      <c r="F821" s="41"/>
      <c r="G821" s="222">
        <v>38322</v>
      </c>
      <c r="H821" s="41"/>
      <c r="I821" s="211">
        <v>44918</v>
      </c>
      <c r="J821" s="41"/>
      <c r="K821" s="248" t="s">
        <v>197</v>
      </c>
      <c r="L821" s="241">
        <v>13199</v>
      </c>
    </row>
    <row r="822" spans="2:12" outlineLevel="2">
      <c r="B822" s="40">
        <f t="shared" si="26"/>
        <v>359</v>
      </c>
      <c r="C822" s="41" t="s">
        <v>9</v>
      </c>
      <c r="D822" s="41" t="s">
        <v>196</v>
      </c>
      <c r="E822" s="217">
        <v>41118</v>
      </c>
      <c r="F822" s="41"/>
      <c r="G822" s="222">
        <v>2005</v>
      </c>
      <c r="H822" s="41"/>
      <c r="I822" s="211">
        <v>44918</v>
      </c>
      <c r="J822" s="41"/>
      <c r="K822" s="248" t="s">
        <v>197</v>
      </c>
      <c r="L822" s="241">
        <v>13200</v>
      </c>
    </row>
    <row r="823" spans="2:12" outlineLevel="2">
      <c r="B823" s="40">
        <f t="shared" si="26"/>
        <v>360</v>
      </c>
      <c r="C823" s="41" t="s">
        <v>9</v>
      </c>
      <c r="D823" s="41" t="s">
        <v>196</v>
      </c>
      <c r="E823" s="217">
        <v>10673</v>
      </c>
      <c r="F823" s="41"/>
      <c r="G823" s="222">
        <v>38991</v>
      </c>
      <c r="H823" s="41"/>
      <c r="I823" s="211">
        <v>44918</v>
      </c>
      <c r="J823" s="41"/>
      <c r="K823" s="214">
        <v>15</v>
      </c>
      <c r="L823" s="241">
        <v>13201</v>
      </c>
    </row>
    <row r="824" spans="2:12" outlineLevel="2">
      <c r="B824" s="40">
        <f t="shared" si="26"/>
        <v>361</v>
      </c>
      <c r="C824" s="41" t="s">
        <v>9</v>
      </c>
      <c r="D824" s="41" t="s">
        <v>196</v>
      </c>
      <c r="E824" s="216">
        <v>1216320</v>
      </c>
      <c r="F824" s="41"/>
      <c r="G824" s="223">
        <v>43586</v>
      </c>
      <c r="H824" s="41"/>
      <c r="I824" s="212">
        <v>44942</v>
      </c>
      <c r="J824" s="41"/>
      <c r="K824" s="248" t="s">
        <v>197</v>
      </c>
      <c r="L824" s="120">
        <v>13643</v>
      </c>
    </row>
    <row r="825" spans="2:12" outlineLevel="2">
      <c r="B825" s="40">
        <f t="shared" si="26"/>
        <v>362</v>
      </c>
      <c r="C825" s="41" t="s">
        <v>9</v>
      </c>
      <c r="D825" s="41" t="s">
        <v>196</v>
      </c>
      <c r="E825" s="216">
        <v>276594</v>
      </c>
      <c r="F825" s="41"/>
      <c r="G825" s="223">
        <v>36465</v>
      </c>
      <c r="H825" s="41"/>
      <c r="I825" s="212">
        <v>44942</v>
      </c>
      <c r="J825" s="41"/>
      <c r="K825" s="248" t="s">
        <v>197</v>
      </c>
      <c r="L825" s="120">
        <v>13644</v>
      </c>
    </row>
    <row r="826" spans="2:12" outlineLevel="2">
      <c r="B826" s="40">
        <f t="shared" si="26"/>
        <v>363</v>
      </c>
      <c r="C826" s="41" t="s">
        <v>9</v>
      </c>
      <c r="D826" s="41" t="s">
        <v>196</v>
      </c>
      <c r="E826" s="216">
        <v>36124</v>
      </c>
      <c r="F826" s="41"/>
      <c r="G826" s="223">
        <v>37895</v>
      </c>
      <c r="H826" s="41"/>
      <c r="I826" s="212">
        <v>44942</v>
      </c>
      <c r="J826" s="41"/>
      <c r="K826" s="248" t="s">
        <v>197</v>
      </c>
      <c r="L826" s="120">
        <v>13645</v>
      </c>
    </row>
    <row r="827" spans="2:12" outlineLevel="2">
      <c r="B827" s="40">
        <f t="shared" si="26"/>
        <v>364</v>
      </c>
      <c r="C827" s="41" t="s">
        <v>9</v>
      </c>
      <c r="D827" s="41" t="s">
        <v>196</v>
      </c>
      <c r="E827" s="216" t="s">
        <v>239</v>
      </c>
      <c r="F827" s="41"/>
      <c r="G827" s="223">
        <v>39083</v>
      </c>
      <c r="H827" s="41"/>
      <c r="I827" s="212">
        <v>44942</v>
      </c>
      <c r="J827" s="41"/>
      <c r="K827" s="248" t="s">
        <v>197</v>
      </c>
      <c r="L827" s="120">
        <v>13646</v>
      </c>
    </row>
    <row r="828" spans="2:12" outlineLevel="2">
      <c r="B828" s="40">
        <f t="shared" si="26"/>
        <v>365</v>
      </c>
      <c r="C828" s="41" t="s">
        <v>9</v>
      </c>
      <c r="D828" s="41" t="s">
        <v>196</v>
      </c>
      <c r="E828" s="216">
        <v>30719</v>
      </c>
      <c r="F828" s="41"/>
      <c r="G828" s="223">
        <v>38961</v>
      </c>
      <c r="H828" s="41"/>
      <c r="I828" s="212">
        <v>44942</v>
      </c>
      <c r="J828" s="41"/>
      <c r="K828" s="120">
        <v>8</v>
      </c>
      <c r="L828" s="120">
        <v>13648</v>
      </c>
    </row>
    <row r="829" spans="2:12" outlineLevel="2">
      <c r="B829" s="40">
        <f t="shared" si="26"/>
        <v>366</v>
      </c>
      <c r="C829" s="41" t="s">
        <v>9</v>
      </c>
      <c r="D829" s="41" t="s">
        <v>196</v>
      </c>
      <c r="E829" s="216" t="s">
        <v>240</v>
      </c>
      <c r="F829" s="41"/>
      <c r="G829" s="223">
        <v>39753</v>
      </c>
      <c r="H829" s="41"/>
      <c r="I829" s="212">
        <v>44942</v>
      </c>
      <c r="J829" s="41"/>
      <c r="K829" s="248" t="s">
        <v>197</v>
      </c>
      <c r="L829" s="120">
        <v>13649</v>
      </c>
    </row>
    <row r="830" spans="2:12" outlineLevel="2">
      <c r="B830" s="40">
        <f t="shared" si="26"/>
        <v>367</v>
      </c>
      <c r="C830" s="41" t="s">
        <v>9</v>
      </c>
      <c r="D830" s="41" t="s">
        <v>196</v>
      </c>
      <c r="E830" s="216">
        <v>14208</v>
      </c>
      <c r="F830" s="41"/>
      <c r="G830" s="223">
        <v>40087</v>
      </c>
      <c r="H830" s="41"/>
      <c r="I830" s="212">
        <v>44942</v>
      </c>
      <c r="J830" s="41"/>
      <c r="K830" s="213">
        <v>21</v>
      </c>
      <c r="L830" s="120">
        <v>13650</v>
      </c>
    </row>
    <row r="831" spans="2:12" outlineLevel="2">
      <c r="B831" s="40">
        <f t="shared" si="26"/>
        <v>368</v>
      </c>
      <c r="C831" s="41" t="s">
        <v>9</v>
      </c>
      <c r="D831" s="41" t="s">
        <v>196</v>
      </c>
      <c r="E831" s="216">
        <v>81478</v>
      </c>
      <c r="F831" s="41"/>
      <c r="G831" s="223">
        <v>43070</v>
      </c>
      <c r="H831" s="41"/>
      <c r="I831" s="212">
        <v>44942</v>
      </c>
      <c r="J831" s="41"/>
      <c r="K831" s="248" t="s">
        <v>197</v>
      </c>
      <c r="L831" s="120">
        <v>13651</v>
      </c>
    </row>
    <row r="832" spans="2:12" outlineLevel="2">
      <c r="B832" s="40">
        <f t="shared" si="26"/>
        <v>369</v>
      </c>
      <c r="C832" s="41" t="s">
        <v>9</v>
      </c>
      <c r="D832" s="41" t="s">
        <v>196</v>
      </c>
      <c r="E832" s="216">
        <v>504150</v>
      </c>
      <c r="F832" s="41"/>
      <c r="G832" s="223">
        <v>43586</v>
      </c>
      <c r="H832" s="41"/>
      <c r="I832" s="212">
        <v>44942</v>
      </c>
      <c r="J832" s="41"/>
      <c r="K832" s="248" t="s">
        <v>197</v>
      </c>
      <c r="L832" s="120">
        <v>13652</v>
      </c>
    </row>
    <row r="833" spans="2:12" outlineLevel="2">
      <c r="B833" s="40">
        <f t="shared" si="26"/>
        <v>370</v>
      </c>
      <c r="C833" s="41" t="s">
        <v>9</v>
      </c>
      <c r="D833" s="41" t="s">
        <v>196</v>
      </c>
      <c r="E833" s="216" t="s">
        <v>241</v>
      </c>
      <c r="F833" s="41"/>
      <c r="G833" s="223">
        <v>39022</v>
      </c>
      <c r="H833" s="41"/>
      <c r="I833" s="212">
        <v>44942</v>
      </c>
      <c r="J833" s="41"/>
      <c r="K833" s="248" t="s">
        <v>197</v>
      </c>
      <c r="L833" s="120">
        <v>13653</v>
      </c>
    </row>
    <row r="834" spans="2:12" outlineLevel="2">
      <c r="B834" s="40">
        <f t="shared" si="26"/>
        <v>371</v>
      </c>
      <c r="C834" s="41" t="s">
        <v>9</v>
      </c>
      <c r="D834" s="41" t="s">
        <v>196</v>
      </c>
      <c r="E834" s="216">
        <v>9474602</v>
      </c>
      <c r="F834" s="41"/>
      <c r="G834" s="223">
        <v>34425</v>
      </c>
      <c r="H834" s="41"/>
      <c r="I834" s="212">
        <v>44942</v>
      </c>
      <c r="J834" s="41"/>
      <c r="K834" s="213">
        <v>17</v>
      </c>
      <c r="L834" s="120">
        <v>13654</v>
      </c>
    </row>
    <row r="835" spans="2:12" outlineLevel="2">
      <c r="B835" s="40">
        <f t="shared" si="26"/>
        <v>372</v>
      </c>
      <c r="C835" s="41" t="s">
        <v>9</v>
      </c>
      <c r="D835" s="41" t="s">
        <v>196</v>
      </c>
      <c r="E835" s="216">
        <v>15649</v>
      </c>
      <c r="F835" s="41"/>
      <c r="G835" s="223">
        <v>38718</v>
      </c>
      <c r="H835" s="41"/>
      <c r="I835" s="212">
        <v>44942</v>
      </c>
      <c r="J835" s="41"/>
      <c r="K835" s="120">
        <v>27</v>
      </c>
      <c r="L835" s="120">
        <v>13655</v>
      </c>
    </row>
    <row r="836" spans="2:12" outlineLevel="2">
      <c r="B836" s="40">
        <f t="shared" si="26"/>
        <v>373</v>
      </c>
      <c r="C836" s="41" t="s">
        <v>9</v>
      </c>
      <c r="D836" s="41" t="s">
        <v>196</v>
      </c>
      <c r="E836" s="216">
        <v>529353</v>
      </c>
      <c r="F836" s="41"/>
      <c r="G836" s="223">
        <v>43862</v>
      </c>
      <c r="H836" s="41"/>
      <c r="I836" s="212">
        <v>44942</v>
      </c>
      <c r="J836" s="41"/>
      <c r="K836" s="248" t="s">
        <v>197</v>
      </c>
      <c r="L836" s="120">
        <v>13656</v>
      </c>
    </row>
    <row r="837" spans="2:12" outlineLevel="2">
      <c r="B837" s="40">
        <f t="shared" si="26"/>
        <v>374</v>
      </c>
      <c r="C837" s="41" t="s">
        <v>9</v>
      </c>
      <c r="D837" s="41" t="s">
        <v>196</v>
      </c>
      <c r="E837" s="216">
        <v>2001119</v>
      </c>
      <c r="F837" s="41"/>
      <c r="G837" s="216">
        <v>37226</v>
      </c>
      <c r="H837" s="41"/>
      <c r="I837" s="212">
        <v>44942</v>
      </c>
      <c r="J837" s="41"/>
      <c r="K837" s="120">
        <v>28</v>
      </c>
      <c r="L837" s="120">
        <v>13657</v>
      </c>
    </row>
    <row r="838" spans="2:12" outlineLevel="2">
      <c r="B838" s="40">
        <f t="shared" si="26"/>
        <v>375</v>
      </c>
      <c r="C838" s="41" t="s">
        <v>9</v>
      </c>
      <c r="D838" s="41" t="s">
        <v>196</v>
      </c>
      <c r="E838" s="216">
        <v>14214</v>
      </c>
      <c r="F838" s="41"/>
      <c r="G838" s="223">
        <v>38991</v>
      </c>
      <c r="H838" s="41"/>
      <c r="I838" s="212">
        <v>44942</v>
      </c>
      <c r="J838" s="41"/>
      <c r="K838" s="120">
        <v>17</v>
      </c>
      <c r="L838" s="120">
        <v>13659</v>
      </c>
    </row>
    <row r="839" spans="2:12" outlineLevel="2">
      <c r="B839" s="40">
        <f t="shared" si="26"/>
        <v>376</v>
      </c>
      <c r="C839" s="41" t="s">
        <v>9</v>
      </c>
      <c r="D839" s="41" t="s">
        <v>196</v>
      </c>
      <c r="E839" s="216">
        <v>60554</v>
      </c>
      <c r="F839" s="41"/>
      <c r="G839" s="223">
        <v>38534</v>
      </c>
      <c r="H839" s="41"/>
      <c r="I839" s="212">
        <v>44942</v>
      </c>
      <c r="J839" s="41"/>
      <c r="K839" s="248" t="s">
        <v>197</v>
      </c>
      <c r="L839" s="120">
        <v>13660</v>
      </c>
    </row>
    <row r="840" spans="2:12" outlineLevel="2">
      <c r="B840" s="40">
        <f t="shared" si="26"/>
        <v>377</v>
      </c>
      <c r="C840" s="41" t="s">
        <v>9</v>
      </c>
      <c r="D840" s="41" t="s">
        <v>196</v>
      </c>
      <c r="E840" s="216">
        <v>33483</v>
      </c>
      <c r="F840" s="41"/>
      <c r="G840" s="223">
        <v>37773</v>
      </c>
      <c r="H840" s="41"/>
      <c r="I840" s="212">
        <v>44942</v>
      </c>
      <c r="J840" s="41"/>
      <c r="K840" s="120">
        <v>11</v>
      </c>
      <c r="L840" s="120">
        <v>13661</v>
      </c>
    </row>
    <row r="841" spans="2:12" outlineLevel="2">
      <c r="B841" s="40">
        <f t="shared" si="26"/>
        <v>378</v>
      </c>
      <c r="C841" s="41" t="s">
        <v>9</v>
      </c>
      <c r="D841" s="41" t="s">
        <v>196</v>
      </c>
      <c r="E841" s="216">
        <v>434660</v>
      </c>
      <c r="F841" s="41"/>
      <c r="G841" s="223">
        <v>40238</v>
      </c>
      <c r="H841" s="41"/>
      <c r="I841" s="212">
        <v>44942</v>
      </c>
      <c r="J841" s="41"/>
      <c r="K841" s="120">
        <v>4</v>
      </c>
      <c r="L841" s="120">
        <v>13662</v>
      </c>
    </row>
    <row r="842" spans="2:12" outlineLevel="2">
      <c r="B842" s="40">
        <f t="shared" si="26"/>
        <v>379</v>
      </c>
      <c r="C842" s="41" t="s">
        <v>9</v>
      </c>
      <c r="D842" s="41" t="s">
        <v>196</v>
      </c>
      <c r="E842" s="216" t="s">
        <v>242</v>
      </c>
      <c r="F842" s="41"/>
      <c r="G842" s="223">
        <v>39539</v>
      </c>
      <c r="H842" s="41"/>
      <c r="I842" s="212">
        <v>44942</v>
      </c>
      <c r="J842" s="41"/>
      <c r="K842" s="120">
        <v>12</v>
      </c>
      <c r="L842" s="120">
        <v>13663</v>
      </c>
    </row>
    <row r="843" spans="2:12" outlineLevel="2">
      <c r="B843" s="40">
        <f t="shared" si="26"/>
        <v>380</v>
      </c>
      <c r="C843" s="41" t="s">
        <v>9</v>
      </c>
      <c r="D843" s="41" t="s">
        <v>196</v>
      </c>
      <c r="E843" s="216">
        <v>2001099</v>
      </c>
      <c r="F843" s="41"/>
      <c r="G843" s="216">
        <v>37196</v>
      </c>
      <c r="H843" s="41"/>
      <c r="I843" s="212">
        <v>44942</v>
      </c>
      <c r="J843" s="41"/>
      <c r="K843" s="120">
        <v>27</v>
      </c>
      <c r="L843" s="120">
        <v>13664</v>
      </c>
    </row>
    <row r="844" spans="2:12" outlineLevel="2">
      <c r="B844" s="40">
        <f t="shared" si="26"/>
        <v>381</v>
      </c>
      <c r="C844" s="41" t="s">
        <v>9</v>
      </c>
      <c r="D844" s="41" t="s">
        <v>196</v>
      </c>
      <c r="E844" s="216">
        <v>765597</v>
      </c>
      <c r="F844" s="41"/>
      <c r="G844" s="223">
        <v>42614</v>
      </c>
      <c r="H844" s="41"/>
      <c r="I844" s="212">
        <v>44942</v>
      </c>
      <c r="J844" s="41"/>
      <c r="K844" s="120">
        <v>29</v>
      </c>
      <c r="L844" s="120">
        <v>13665</v>
      </c>
    </row>
    <row r="845" spans="2:12" outlineLevel="2">
      <c r="B845" s="40">
        <f t="shared" si="26"/>
        <v>382</v>
      </c>
      <c r="C845" s="41" t="s">
        <v>9</v>
      </c>
      <c r="D845" s="41" t="s">
        <v>196</v>
      </c>
      <c r="E845" s="216">
        <v>42479</v>
      </c>
      <c r="F845" s="41"/>
      <c r="G845" s="223">
        <v>40148</v>
      </c>
      <c r="H845" s="41"/>
      <c r="I845" s="212">
        <v>44942</v>
      </c>
      <c r="J845" s="41"/>
      <c r="K845" s="120">
        <v>18</v>
      </c>
      <c r="L845" s="120">
        <v>13666</v>
      </c>
    </row>
    <row r="846" spans="2:12" outlineLevel="2">
      <c r="B846" s="40">
        <f t="shared" si="26"/>
        <v>383</v>
      </c>
      <c r="C846" s="41" t="s">
        <v>9</v>
      </c>
      <c r="D846" s="41" t="s">
        <v>196</v>
      </c>
      <c r="E846" s="216">
        <v>2001250</v>
      </c>
      <c r="F846" s="41"/>
      <c r="G846" s="223">
        <v>37226</v>
      </c>
      <c r="H846" s="41"/>
      <c r="I846" s="212">
        <v>44942</v>
      </c>
      <c r="J846" s="41"/>
      <c r="K846" s="213">
        <v>35</v>
      </c>
      <c r="L846" s="120">
        <v>13667</v>
      </c>
    </row>
    <row r="847" spans="2:12" outlineLevel="2">
      <c r="B847" s="40">
        <f t="shared" si="26"/>
        <v>384</v>
      </c>
      <c r="C847" s="41" t="s">
        <v>9</v>
      </c>
      <c r="D847" s="41" t="s">
        <v>196</v>
      </c>
      <c r="E847" s="216">
        <v>9581287</v>
      </c>
      <c r="F847" s="41"/>
      <c r="G847" s="223">
        <v>34943</v>
      </c>
      <c r="H847" s="41"/>
      <c r="I847" s="212">
        <v>44942</v>
      </c>
      <c r="J847" s="41"/>
      <c r="K847" s="213">
        <v>26</v>
      </c>
      <c r="L847" s="120">
        <v>13668</v>
      </c>
    </row>
    <row r="848" spans="2:12" outlineLevel="2">
      <c r="B848" s="40">
        <f t="shared" si="26"/>
        <v>385</v>
      </c>
      <c r="C848" s="41" t="s">
        <v>9</v>
      </c>
      <c r="D848" s="41" t="s">
        <v>196</v>
      </c>
      <c r="E848" s="216">
        <v>52490</v>
      </c>
      <c r="F848" s="41"/>
      <c r="G848" s="223">
        <v>38384</v>
      </c>
      <c r="H848" s="41"/>
      <c r="I848" s="212">
        <v>44942</v>
      </c>
      <c r="J848" s="41"/>
      <c r="K848" s="248" t="s">
        <v>197</v>
      </c>
      <c r="L848" s="120">
        <v>13669</v>
      </c>
    </row>
    <row r="849" spans="2:12" outlineLevel="2">
      <c r="B849" s="40">
        <f t="shared" si="26"/>
        <v>386</v>
      </c>
      <c r="C849" s="41" t="s">
        <v>9</v>
      </c>
      <c r="D849" s="41" t="s">
        <v>196</v>
      </c>
      <c r="E849" s="216">
        <v>503868</v>
      </c>
      <c r="F849" s="41"/>
      <c r="G849" s="223">
        <v>43586</v>
      </c>
      <c r="H849" s="41"/>
      <c r="I849" s="212">
        <v>44942</v>
      </c>
      <c r="J849" s="41"/>
      <c r="K849" s="248" t="s">
        <v>197</v>
      </c>
      <c r="L849" s="120">
        <v>13671</v>
      </c>
    </row>
    <row r="850" spans="2:12" outlineLevel="2">
      <c r="B850" s="40">
        <f t="shared" si="26"/>
        <v>387</v>
      </c>
      <c r="C850" s="41" t="s">
        <v>9</v>
      </c>
      <c r="D850" s="41" t="s">
        <v>196</v>
      </c>
      <c r="E850" s="216">
        <v>770041</v>
      </c>
      <c r="F850" s="41"/>
      <c r="G850" s="223">
        <v>43070</v>
      </c>
      <c r="H850" s="41"/>
      <c r="I850" s="212">
        <v>44942</v>
      </c>
      <c r="J850" s="41"/>
      <c r="K850" s="120">
        <v>31</v>
      </c>
      <c r="L850" s="120">
        <v>13672</v>
      </c>
    </row>
    <row r="851" spans="2:12" outlineLevel="2">
      <c r="B851" s="40">
        <f t="shared" si="26"/>
        <v>388</v>
      </c>
      <c r="C851" s="41" t="s">
        <v>9</v>
      </c>
      <c r="D851" s="41" t="s">
        <v>196</v>
      </c>
      <c r="E851" s="258">
        <v>19340</v>
      </c>
      <c r="F851" s="41"/>
      <c r="G851" s="267">
        <v>37135</v>
      </c>
      <c r="H851" s="41"/>
      <c r="I851" s="259">
        <v>44942</v>
      </c>
      <c r="J851" s="41"/>
      <c r="K851" s="260">
        <v>19</v>
      </c>
      <c r="L851" s="260">
        <v>13673</v>
      </c>
    </row>
    <row r="852" spans="2:12" outlineLevel="2">
      <c r="B852" s="40">
        <f t="shared" si="26"/>
        <v>389</v>
      </c>
      <c r="C852" s="41" t="s">
        <v>9</v>
      </c>
      <c r="D852" s="41" t="s">
        <v>196</v>
      </c>
      <c r="E852" s="216">
        <v>272725</v>
      </c>
      <c r="F852" s="41"/>
      <c r="G852" s="223">
        <v>36373</v>
      </c>
      <c r="H852" s="41"/>
      <c r="I852" s="212">
        <v>44942</v>
      </c>
      <c r="J852" s="41"/>
      <c r="K852" s="248" t="s">
        <v>197</v>
      </c>
      <c r="L852" s="120">
        <v>13674</v>
      </c>
    </row>
    <row r="853" spans="2:12" outlineLevel="2">
      <c r="B853" s="40">
        <f t="shared" si="26"/>
        <v>390</v>
      </c>
      <c r="C853" s="41" t="s">
        <v>9</v>
      </c>
      <c r="D853" s="41" t="s">
        <v>196</v>
      </c>
      <c r="E853" s="216">
        <v>52313</v>
      </c>
      <c r="F853" s="41"/>
      <c r="G853" s="223">
        <v>38384</v>
      </c>
      <c r="H853" s="41"/>
      <c r="I853" s="212">
        <v>44942</v>
      </c>
      <c r="J853" s="41"/>
      <c r="K853" s="248" t="s">
        <v>197</v>
      </c>
      <c r="L853" s="120">
        <v>13675</v>
      </c>
    </row>
    <row r="854" spans="2:12" outlineLevel="2">
      <c r="B854" s="40">
        <f t="shared" si="26"/>
        <v>391</v>
      </c>
      <c r="C854" s="41" t="s">
        <v>9</v>
      </c>
      <c r="D854" s="41" t="s">
        <v>196</v>
      </c>
      <c r="E854" s="258">
        <v>9474603</v>
      </c>
      <c r="F854" s="41"/>
      <c r="G854" s="267">
        <v>34425</v>
      </c>
      <c r="H854" s="41"/>
      <c r="I854" s="259">
        <v>44942</v>
      </c>
      <c r="J854" s="41"/>
      <c r="K854" s="260">
        <v>25</v>
      </c>
      <c r="L854" s="260">
        <v>13676</v>
      </c>
    </row>
    <row r="855" spans="2:12" outlineLevel="2">
      <c r="B855" s="40">
        <f t="shared" si="26"/>
        <v>392</v>
      </c>
      <c r="C855" s="41" t="s">
        <v>9</v>
      </c>
      <c r="D855" s="41" t="s">
        <v>196</v>
      </c>
      <c r="E855" s="216">
        <v>676626</v>
      </c>
      <c r="F855" s="41"/>
      <c r="G855" s="223">
        <v>36465</v>
      </c>
      <c r="H855" s="41"/>
      <c r="I855" s="212">
        <v>44942</v>
      </c>
      <c r="J855" s="41"/>
      <c r="K855" s="248" t="s">
        <v>197</v>
      </c>
      <c r="L855" s="120">
        <v>13677</v>
      </c>
    </row>
    <row r="856" spans="2:12" outlineLevel="2">
      <c r="B856" s="40">
        <f t="shared" si="26"/>
        <v>393</v>
      </c>
      <c r="C856" s="41" t="s">
        <v>9</v>
      </c>
      <c r="D856" s="41" t="s">
        <v>196</v>
      </c>
      <c r="E856" s="216" t="s">
        <v>243</v>
      </c>
      <c r="F856" s="41"/>
      <c r="G856" s="223">
        <v>39995</v>
      </c>
      <c r="H856" s="41"/>
      <c r="I856" s="212">
        <v>44942</v>
      </c>
      <c r="J856" s="41"/>
      <c r="K856" s="248" t="s">
        <v>197</v>
      </c>
      <c r="L856" s="120">
        <v>13678</v>
      </c>
    </row>
    <row r="857" spans="2:12" outlineLevel="2">
      <c r="B857" s="40">
        <f t="shared" si="26"/>
        <v>394</v>
      </c>
      <c r="C857" s="41" t="s">
        <v>9</v>
      </c>
      <c r="D857" s="41" t="s">
        <v>196</v>
      </c>
      <c r="E857" s="263" t="s">
        <v>244</v>
      </c>
      <c r="F857" s="231">
        <v>35292</v>
      </c>
      <c r="G857" s="232">
        <v>40483</v>
      </c>
      <c r="H857" s="41"/>
      <c r="I857" s="211">
        <v>44874</v>
      </c>
      <c r="J857" s="41"/>
      <c r="K857" s="248" t="s">
        <v>197</v>
      </c>
      <c r="L857" s="241">
        <v>15096</v>
      </c>
    </row>
    <row r="858" spans="2:12" outlineLevel="2">
      <c r="B858" s="40">
        <f t="shared" si="26"/>
        <v>395</v>
      </c>
      <c r="C858" s="41" t="s">
        <v>9</v>
      </c>
      <c r="D858" s="41" t="s">
        <v>196</v>
      </c>
      <c r="E858" s="263">
        <v>1116147</v>
      </c>
      <c r="F858" s="231">
        <v>49882</v>
      </c>
      <c r="G858" s="232">
        <v>43040</v>
      </c>
      <c r="H858" s="41"/>
      <c r="I858" s="211">
        <v>44874</v>
      </c>
      <c r="J858" s="41"/>
      <c r="K858" s="248" t="s">
        <v>197</v>
      </c>
      <c r="L858" s="241">
        <v>15097</v>
      </c>
    </row>
    <row r="859" spans="2:12" outlineLevel="2">
      <c r="B859" s="40">
        <f t="shared" si="26"/>
        <v>396</v>
      </c>
      <c r="C859" s="41" t="s">
        <v>9</v>
      </c>
      <c r="D859" s="41" t="s">
        <v>196</v>
      </c>
      <c r="E859" s="263">
        <v>1181779</v>
      </c>
      <c r="F859" s="231">
        <v>68406</v>
      </c>
      <c r="G859" s="232">
        <v>43405</v>
      </c>
      <c r="H859" s="41"/>
      <c r="I859" s="211">
        <v>44874</v>
      </c>
      <c r="J859" s="41"/>
      <c r="K859" s="248" t="s">
        <v>197</v>
      </c>
      <c r="L859" s="241">
        <v>15099</v>
      </c>
    </row>
    <row r="860" spans="2:12" outlineLevel="2">
      <c r="B860" s="40">
        <f t="shared" si="26"/>
        <v>397</v>
      </c>
      <c r="C860" s="41" t="s">
        <v>9</v>
      </c>
      <c r="D860" s="41" t="s">
        <v>196</v>
      </c>
      <c r="E860" s="263" t="s">
        <v>245</v>
      </c>
      <c r="F860" s="231">
        <v>42223</v>
      </c>
      <c r="G860" s="232">
        <v>41791</v>
      </c>
      <c r="H860" s="41"/>
      <c r="I860" s="211">
        <v>44874</v>
      </c>
      <c r="J860" s="41"/>
      <c r="K860" s="248" t="s">
        <v>197</v>
      </c>
      <c r="L860" s="241">
        <v>15100</v>
      </c>
    </row>
    <row r="861" spans="2:12" outlineLevel="2">
      <c r="B861" s="40">
        <f t="shared" si="26"/>
        <v>398</v>
      </c>
      <c r="C861" s="41" t="s">
        <v>9</v>
      </c>
      <c r="D861" s="41" t="s">
        <v>196</v>
      </c>
      <c r="E861" s="263" t="s">
        <v>246</v>
      </c>
      <c r="F861" s="231">
        <v>68405</v>
      </c>
      <c r="G861" s="232">
        <v>41306</v>
      </c>
      <c r="H861" s="41"/>
      <c r="I861" s="211">
        <v>44874</v>
      </c>
      <c r="J861" s="41"/>
      <c r="K861" s="214">
        <v>3</v>
      </c>
      <c r="L861" s="241">
        <v>15101</v>
      </c>
    </row>
    <row r="862" spans="2:12" outlineLevel="2">
      <c r="B862" s="40">
        <f t="shared" si="26"/>
        <v>399</v>
      </c>
      <c r="C862" s="41" t="s">
        <v>9</v>
      </c>
      <c r="D862" s="41" t="s">
        <v>196</v>
      </c>
      <c r="E862" s="263">
        <v>1118761</v>
      </c>
      <c r="F862" s="231">
        <v>50093</v>
      </c>
      <c r="G862" s="232">
        <v>43040</v>
      </c>
      <c r="H862" s="41"/>
      <c r="I862" s="211">
        <v>44874</v>
      </c>
      <c r="J862" s="41"/>
      <c r="K862" s="248" t="s">
        <v>197</v>
      </c>
      <c r="L862" s="241">
        <v>15102</v>
      </c>
    </row>
    <row r="863" spans="2:12" outlineLevel="2">
      <c r="B863" s="40">
        <f t="shared" si="26"/>
        <v>400</v>
      </c>
      <c r="C863" s="41" t="s">
        <v>9</v>
      </c>
      <c r="D863" s="41" t="s">
        <v>196</v>
      </c>
      <c r="E863" s="218">
        <v>1436831</v>
      </c>
      <c r="F863" s="227">
        <v>66477</v>
      </c>
      <c r="G863" s="226">
        <v>44682</v>
      </c>
      <c r="H863" s="41"/>
      <c r="I863" s="212">
        <v>44874</v>
      </c>
      <c r="J863" s="41"/>
      <c r="K863" s="248" t="s">
        <v>197</v>
      </c>
      <c r="L863" s="120">
        <v>15103</v>
      </c>
    </row>
    <row r="864" spans="2:12" outlineLevel="2">
      <c r="B864" s="40">
        <f t="shared" si="26"/>
        <v>401</v>
      </c>
      <c r="C864" s="41" t="s">
        <v>9</v>
      </c>
      <c r="D864" s="41" t="s">
        <v>196</v>
      </c>
      <c r="E864" s="263">
        <v>19357</v>
      </c>
      <c r="F864" s="231">
        <v>5129</v>
      </c>
      <c r="G864" s="232">
        <v>37135</v>
      </c>
      <c r="H864" s="41"/>
      <c r="I864" s="211">
        <v>44874</v>
      </c>
      <c r="J864" s="41"/>
      <c r="K864" s="214">
        <v>4</v>
      </c>
      <c r="L864" s="241">
        <v>15104</v>
      </c>
    </row>
    <row r="865" spans="2:12" outlineLevel="2">
      <c r="B865" s="40">
        <f t="shared" si="26"/>
        <v>402</v>
      </c>
      <c r="C865" s="41" t="s">
        <v>9</v>
      </c>
      <c r="D865" s="41" t="s">
        <v>196</v>
      </c>
      <c r="E865" s="263">
        <v>33529</v>
      </c>
      <c r="F865" s="231">
        <v>68450</v>
      </c>
      <c r="G865" s="232">
        <v>37773</v>
      </c>
      <c r="H865" s="41"/>
      <c r="I865" s="211">
        <v>44874</v>
      </c>
      <c r="J865" s="41"/>
      <c r="K865" s="248" t="s">
        <v>197</v>
      </c>
      <c r="L865" s="241">
        <v>15105</v>
      </c>
    </row>
    <row r="866" spans="2:12" outlineLevel="2">
      <c r="B866" s="40">
        <f t="shared" si="26"/>
        <v>403</v>
      </c>
      <c r="C866" s="41" t="s">
        <v>9</v>
      </c>
      <c r="D866" s="41" t="s">
        <v>196</v>
      </c>
      <c r="E866" s="218">
        <v>60612</v>
      </c>
      <c r="F866" s="227">
        <v>68446</v>
      </c>
      <c r="G866" s="226">
        <v>38534</v>
      </c>
      <c r="H866" s="41"/>
      <c r="I866" s="212">
        <v>44874</v>
      </c>
      <c r="J866" s="41"/>
      <c r="K866" s="248" t="s">
        <v>197</v>
      </c>
      <c r="L866" s="120">
        <v>15106</v>
      </c>
    </row>
    <row r="867" spans="2:12" outlineLevel="2">
      <c r="B867" s="40">
        <f t="shared" si="26"/>
        <v>404</v>
      </c>
      <c r="C867" s="41" t="s">
        <v>9</v>
      </c>
      <c r="D867" s="41" t="s">
        <v>196</v>
      </c>
      <c r="E867" s="218">
        <v>98497</v>
      </c>
      <c r="F867" s="227">
        <v>68451</v>
      </c>
      <c r="G867" s="226">
        <v>39417</v>
      </c>
      <c r="H867" s="41"/>
      <c r="I867" s="212">
        <v>44874</v>
      </c>
      <c r="J867" s="41"/>
      <c r="K867" s="248" t="s">
        <v>197</v>
      </c>
      <c r="L867" s="120">
        <v>15107</v>
      </c>
    </row>
    <row r="868" spans="2:12" outlineLevel="2">
      <c r="B868" s="40">
        <f t="shared" si="26"/>
        <v>405</v>
      </c>
      <c r="C868" s="41" t="s">
        <v>9</v>
      </c>
      <c r="D868" s="41" t="s">
        <v>196</v>
      </c>
      <c r="E868" s="263">
        <v>98506</v>
      </c>
      <c r="F868" s="231">
        <v>18632</v>
      </c>
      <c r="G868" s="232">
        <v>39417</v>
      </c>
      <c r="H868" s="41"/>
      <c r="I868" s="211">
        <v>44874</v>
      </c>
      <c r="J868" s="41"/>
      <c r="K868" s="248" t="s">
        <v>197</v>
      </c>
      <c r="L868" s="241">
        <v>15108</v>
      </c>
    </row>
    <row r="869" spans="2:12" outlineLevel="2">
      <c r="B869" s="40">
        <f t="shared" si="26"/>
        <v>406</v>
      </c>
      <c r="C869" s="41" t="s">
        <v>9</v>
      </c>
      <c r="D869" s="41" t="s">
        <v>196</v>
      </c>
      <c r="E869" s="263">
        <v>158615</v>
      </c>
      <c r="F869" s="231">
        <v>68452</v>
      </c>
      <c r="G869" s="232">
        <v>40603</v>
      </c>
      <c r="H869" s="41"/>
      <c r="I869" s="211">
        <v>44874</v>
      </c>
      <c r="J869" s="41"/>
      <c r="K869" s="248" t="s">
        <v>197</v>
      </c>
      <c r="L869" s="241">
        <v>15109</v>
      </c>
    </row>
    <row r="870" spans="2:12" outlineLevel="2">
      <c r="B870" s="40">
        <f t="shared" si="26"/>
        <v>407</v>
      </c>
      <c r="C870" s="41" t="s">
        <v>9</v>
      </c>
      <c r="D870" s="41" t="s">
        <v>196</v>
      </c>
      <c r="E870" s="263">
        <v>177293</v>
      </c>
      <c r="F870" s="231">
        <v>37815</v>
      </c>
      <c r="G870" s="232">
        <v>40909</v>
      </c>
      <c r="H870" s="41"/>
      <c r="I870" s="211">
        <v>44874</v>
      </c>
      <c r="J870" s="41"/>
      <c r="K870" s="248" t="s">
        <v>197</v>
      </c>
      <c r="L870" s="241">
        <v>15110</v>
      </c>
    </row>
    <row r="871" spans="2:12" outlineLevel="2">
      <c r="B871" s="40">
        <f t="shared" si="26"/>
        <v>408</v>
      </c>
      <c r="C871" s="41" t="s">
        <v>9</v>
      </c>
      <c r="D871" s="41" t="s">
        <v>196</v>
      </c>
      <c r="E871" s="263">
        <v>177333</v>
      </c>
      <c r="F871" s="231">
        <v>37855</v>
      </c>
      <c r="G871" s="232">
        <v>40909</v>
      </c>
      <c r="H871" s="41"/>
      <c r="I871" s="211">
        <v>44874</v>
      </c>
      <c r="J871" s="41"/>
      <c r="K871" s="248" t="s">
        <v>197</v>
      </c>
      <c r="L871" s="241">
        <v>15111</v>
      </c>
    </row>
    <row r="872" spans="2:12" outlineLevel="2">
      <c r="B872" s="40">
        <f t="shared" si="26"/>
        <v>409</v>
      </c>
      <c r="C872" s="41" t="s">
        <v>9</v>
      </c>
      <c r="D872" s="41" t="s">
        <v>196</v>
      </c>
      <c r="E872" s="263">
        <v>355682</v>
      </c>
      <c r="F872" s="231">
        <v>68443</v>
      </c>
      <c r="G872" s="232">
        <v>40513</v>
      </c>
      <c r="H872" s="41"/>
      <c r="I872" s="211">
        <v>44874</v>
      </c>
      <c r="J872" s="41"/>
      <c r="K872" s="248" t="s">
        <v>197</v>
      </c>
      <c r="L872" s="241">
        <v>15112</v>
      </c>
    </row>
    <row r="873" spans="2:12" outlineLevel="2">
      <c r="B873" s="40">
        <f t="shared" si="26"/>
        <v>410</v>
      </c>
      <c r="C873" s="41" t="s">
        <v>9</v>
      </c>
      <c r="D873" s="41" t="s">
        <v>196</v>
      </c>
      <c r="E873" s="263">
        <v>364611</v>
      </c>
      <c r="F873" s="231">
        <v>68449</v>
      </c>
      <c r="G873" s="232">
        <v>40725</v>
      </c>
      <c r="H873" s="41"/>
      <c r="I873" s="211">
        <v>44874</v>
      </c>
      <c r="J873" s="41"/>
      <c r="K873" s="248" t="s">
        <v>197</v>
      </c>
      <c r="L873" s="241">
        <v>15113</v>
      </c>
    </row>
    <row r="874" spans="2:12" outlineLevel="2">
      <c r="B874" s="40">
        <f t="shared" si="26"/>
        <v>411</v>
      </c>
      <c r="C874" s="41" t="s">
        <v>9</v>
      </c>
      <c r="D874" s="41" t="s">
        <v>196</v>
      </c>
      <c r="E874" s="263">
        <v>372718</v>
      </c>
      <c r="F874" s="231">
        <v>58455</v>
      </c>
      <c r="G874" s="232">
        <v>43678</v>
      </c>
      <c r="H874" s="41"/>
      <c r="I874" s="211">
        <v>44874</v>
      </c>
      <c r="J874" s="41"/>
      <c r="K874" s="248" t="s">
        <v>197</v>
      </c>
      <c r="L874" s="241">
        <v>15115</v>
      </c>
    </row>
    <row r="875" spans="2:12" outlineLevel="2">
      <c r="B875" s="40">
        <f t="shared" si="26"/>
        <v>412</v>
      </c>
      <c r="C875" s="41" t="s">
        <v>9</v>
      </c>
      <c r="D875" s="41" t="s">
        <v>196</v>
      </c>
      <c r="E875" s="218">
        <v>372776</v>
      </c>
      <c r="F875" s="227">
        <v>58513</v>
      </c>
      <c r="G875" s="226">
        <v>43678</v>
      </c>
      <c r="H875" s="41"/>
      <c r="I875" s="212">
        <v>44874</v>
      </c>
      <c r="J875" s="41"/>
      <c r="K875" s="248" t="s">
        <v>197</v>
      </c>
      <c r="L875" s="120">
        <v>15116</v>
      </c>
    </row>
    <row r="876" spans="2:12" outlineLevel="2">
      <c r="B876" s="40">
        <f t="shared" si="26"/>
        <v>413</v>
      </c>
      <c r="C876" s="41" t="s">
        <v>9</v>
      </c>
      <c r="D876" s="41" t="s">
        <v>196</v>
      </c>
      <c r="E876" s="263">
        <v>516721</v>
      </c>
      <c r="F876" s="231">
        <v>58896</v>
      </c>
      <c r="G876" s="232">
        <v>43739</v>
      </c>
      <c r="H876" s="41"/>
      <c r="I876" s="211">
        <v>44874</v>
      </c>
      <c r="J876" s="41"/>
      <c r="K876" s="248" t="s">
        <v>197</v>
      </c>
      <c r="L876" s="241">
        <v>15117</v>
      </c>
    </row>
    <row r="877" spans="2:12" outlineLevel="2">
      <c r="B877" s="40">
        <f t="shared" si="26"/>
        <v>414</v>
      </c>
      <c r="C877" s="41" t="s">
        <v>9</v>
      </c>
      <c r="D877" s="41" t="s">
        <v>196</v>
      </c>
      <c r="E877" s="263">
        <v>606908</v>
      </c>
      <c r="F877" s="231">
        <v>26100</v>
      </c>
      <c r="G877" s="232">
        <v>39326</v>
      </c>
      <c r="H877" s="41"/>
      <c r="I877" s="211">
        <v>44874</v>
      </c>
      <c r="J877" s="41"/>
      <c r="K877" s="248" t="s">
        <v>197</v>
      </c>
      <c r="L877" s="241">
        <v>15118</v>
      </c>
    </row>
    <row r="878" spans="2:12" outlineLevel="2">
      <c r="B878" s="40">
        <f t="shared" si="26"/>
        <v>415</v>
      </c>
      <c r="C878" s="41" t="s">
        <v>9</v>
      </c>
      <c r="D878" s="41" t="s">
        <v>196</v>
      </c>
      <c r="E878" s="263">
        <v>690510</v>
      </c>
      <c r="F878" s="231">
        <v>32818</v>
      </c>
      <c r="G878" s="232">
        <v>40422</v>
      </c>
      <c r="H878" s="41"/>
      <c r="I878" s="211">
        <v>44874</v>
      </c>
      <c r="J878" s="41"/>
      <c r="K878" s="248" t="s">
        <v>197</v>
      </c>
      <c r="L878" s="241">
        <v>15119</v>
      </c>
    </row>
    <row r="879" spans="2:12" outlineLevel="2">
      <c r="B879" s="40">
        <f t="shared" si="26"/>
        <v>416</v>
      </c>
      <c r="C879" s="41" t="s">
        <v>9</v>
      </c>
      <c r="D879" s="41" t="s">
        <v>196</v>
      </c>
      <c r="E879" s="263">
        <v>1181743</v>
      </c>
      <c r="F879" s="231">
        <v>68444</v>
      </c>
      <c r="G879" s="232">
        <v>43405</v>
      </c>
      <c r="H879" s="41"/>
      <c r="I879" s="211">
        <v>44874</v>
      </c>
      <c r="J879" s="41"/>
      <c r="K879" s="248" t="s">
        <v>197</v>
      </c>
      <c r="L879" s="241">
        <v>15120</v>
      </c>
    </row>
    <row r="880" spans="2:12" outlineLevel="2">
      <c r="B880" s="40">
        <f t="shared" si="26"/>
        <v>417</v>
      </c>
      <c r="C880" s="41" t="s">
        <v>9</v>
      </c>
      <c r="D880" s="41" t="s">
        <v>196</v>
      </c>
      <c r="E880" s="263">
        <v>1205139</v>
      </c>
      <c r="F880" s="231">
        <v>68448</v>
      </c>
      <c r="G880" s="232">
        <v>44409</v>
      </c>
      <c r="H880" s="41"/>
      <c r="I880" s="211">
        <v>44874</v>
      </c>
      <c r="J880" s="41"/>
      <c r="K880" s="248" t="s">
        <v>197</v>
      </c>
      <c r="L880" s="241">
        <v>15121</v>
      </c>
    </row>
    <row r="881" spans="2:12" outlineLevel="2">
      <c r="B881" s="40">
        <f t="shared" si="26"/>
        <v>418</v>
      </c>
      <c r="C881" s="41" t="s">
        <v>9</v>
      </c>
      <c r="D881" s="41" t="s">
        <v>196</v>
      </c>
      <c r="E881" s="263">
        <v>1222106</v>
      </c>
      <c r="F881" s="231">
        <v>60246</v>
      </c>
      <c r="G881" s="232">
        <v>43891</v>
      </c>
      <c r="H881" s="41"/>
      <c r="I881" s="211">
        <v>44874</v>
      </c>
      <c r="J881" s="41"/>
      <c r="K881" s="248" t="s">
        <v>197</v>
      </c>
      <c r="L881" s="241">
        <v>15122</v>
      </c>
    </row>
    <row r="882" spans="2:12" outlineLevel="2">
      <c r="B882" s="40">
        <f t="shared" si="26"/>
        <v>419</v>
      </c>
      <c r="C882" s="41" t="s">
        <v>9</v>
      </c>
      <c r="D882" s="41" t="s">
        <v>196</v>
      </c>
      <c r="E882" s="263">
        <v>1286539</v>
      </c>
      <c r="F882" s="231">
        <v>62310</v>
      </c>
      <c r="G882" s="232">
        <v>43922</v>
      </c>
      <c r="H882" s="41"/>
      <c r="I882" s="211">
        <v>44874</v>
      </c>
      <c r="J882" s="41"/>
      <c r="K882" s="248" t="s">
        <v>197</v>
      </c>
      <c r="L882" s="241">
        <v>15123</v>
      </c>
    </row>
    <row r="883" spans="2:12" outlineLevel="2">
      <c r="B883" s="40">
        <f t="shared" si="26"/>
        <v>420</v>
      </c>
      <c r="C883" s="41" t="s">
        <v>9</v>
      </c>
      <c r="D883" s="41" t="s">
        <v>196</v>
      </c>
      <c r="E883" s="263">
        <v>1286590</v>
      </c>
      <c r="F883" s="231">
        <v>6236</v>
      </c>
      <c r="G883" s="232">
        <v>44166</v>
      </c>
      <c r="H883" s="41"/>
      <c r="I883" s="211">
        <v>44874</v>
      </c>
      <c r="J883" s="41"/>
      <c r="K883" s="248" t="s">
        <v>197</v>
      </c>
      <c r="L883" s="241">
        <v>15124</v>
      </c>
    </row>
    <row r="884" spans="2:12" outlineLevel="2">
      <c r="B884" s="40">
        <f t="shared" ref="B884:B919" si="27">ROW(A421)</f>
        <v>421</v>
      </c>
      <c r="C884" s="41" t="s">
        <v>9</v>
      </c>
      <c r="D884" s="41" t="s">
        <v>196</v>
      </c>
      <c r="E884" s="218">
        <v>1290019</v>
      </c>
      <c r="F884" s="227">
        <v>62987</v>
      </c>
      <c r="G884" s="226">
        <v>44317</v>
      </c>
      <c r="H884" s="41"/>
      <c r="I884" s="212">
        <v>44874</v>
      </c>
      <c r="J884" s="41"/>
      <c r="K884" s="248" t="s">
        <v>197</v>
      </c>
      <c r="L884" s="120">
        <v>15125</v>
      </c>
    </row>
    <row r="885" spans="2:12" outlineLevel="2">
      <c r="B885" s="40">
        <f t="shared" si="27"/>
        <v>422</v>
      </c>
      <c r="C885" s="41" t="s">
        <v>9</v>
      </c>
      <c r="D885" s="41" t="s">
        <v>196</v>
      </c>
      <c r="E885" s="263">
        <v>1332695</v>
      </c>
      <c r="F885" s="231">
        <v>62707</v>
      </c>
      <c r="G885" s="232">
        <v>40422</v>
      </c>
      <c r="H885" s="41"/>
      <c r="I885" s="211">
        <v>44874</v>
      </c>
      <c r="J885" s="41"/>
      <c r="K885" s="248" t="s">
        <v>197</v>
      </c>
      <c r="L885" s="241">
        <v>15126</v>
      </c>
    </row>
    <row r="886" spans="2:12" outlineLevel="2">
      <c r="B886" s="40">
        <f t="shared" si="27"/>
        <v>423</v>
      </c>
      <c r="C886" s="41" t="s">
        <v>9</v>
      </c>
      <c r="D886" s="41" t="s">
        <v>196</v>
      </c>
      <c r="E886" s="268">
        <v>1332701</v>
      </c>
      <c r="F886" s="227">
        <v>62713</v>
      </c>
      <c r="G886" s="226">
        <v>43922</v>
      </c>
      <c r="H886" s="41"/>
      <c r="I886" s="212">
        <v>44874</v>
      </c>
      <c r="J886" s="41"/>
      <c r="K886" s="248" t="s">
        <v>197</v>
      </c>
      <c r="L886" s="120">
        <v>15127</v>
      </c>
    </row>
    <row r="887" spans="2:12" outlineLevel="2">
      <c r="B887" s="40">
        <f t="shared" si="27"/>
        <v>424</v>
      </c>
      <c r="C887" s="41" t="s">
        <v>9</v>
      </c>
      <c r="D887" s="41" t="s">
        <v>196</v>
      </c>
      <c r="E887" s="263">
        <v>1377680</v>
      </c>
      <c r="F887" s="231">
        <v>63785</v>
      </c>
      <c r="G887" s="232">
        <v>44166</v>
      </c>
      <c r="H887" s="41"/>
      <c r="I887" s="211">
        <v>44874</v>
      </c>
      <c r="J887" s="41"/>
      <c r="K887" s="248" t="s">
        <v>197</v>
      </c>
      <c r="L887" s="241">
        <v>15128</v>
      </c>
    </row>
    <row r="888" spans="2:12" outlineLevel="2">
      <c r="B888" s="40">
        <f t="shared" si="27"/>
        <v>425</v>
      </c>
      <c r="C888" s="41" t="s">
        <v>9</v>
      </c>
      <c r="D888" s="41" t="s">
        <v>196</v>
      </c>
      <c r="E888" s="218">
        <v>82235</v>
      </c>
      <c r="F888" s="231"/>
      <c r="G888" s="226">
        <v>43556</v>
      </c>
      <c r="H888" s="41"/>
      <c r="I888" s="212">
        <v>44980</v>
      </c>
      <c r="J888" s="41"/>
      <c r="K888" s="248" t="s">
        <v>197</v>
      </c>
      <c r="L888" s="120">
        <v>17285</v>
      </c>
    </row>
    <row r="889" spans="2:12" outlineLevel="2">
      <c r="B889" s="40">
        <f t="shared" si="27"/>
        <v>426</v>
      </c>
      <c r="C889" s="41" t="s">
        <v>9</v>
      </c>
      <c r="D889" s="41" t="s">
        <v>196</v>
      </c>
      <c r="E889" s="218" t="s">
        <v>247</v>
      </c>
      <c r="F889" s="227"/>
      <c r="G889" s="226">
        <v>42736</v>
      </c>
      <c r="H889" s="41"/>
      <c r="I889" s="212">
        <v>44980</v>
      </c>
      <c r="J889" s="41"/>
      <c r="K889" s="248" t="s">
        <v>197</v>
      </c>
      <c r="L889" s="120">
        <v>17286</v>
      </c>
    </row>
    <row r="890" spans="2:12" outlineLevel="2">
      <c r="B890" s="40">
        <f t="shared" si="27"/>
        <v>427</v>
      </c>
      <c r="C890" s="41" t="s">
        <v>9</v>
      </c>
      <c r="D890" s="41" t="s">
        <v>196</v>
      </c>
      <c r="E890" s="218">
        <v>40809</v>
      </c>
      <c r="F890" s="227"/>
      <c r="G890" s="226">
        <v>39264</v>
      </c>
      <c r="H890" s="41"/>
      <c r="I890" s="212">
        <v>44980</v>
      </c>
      <c r="J890" s="41"/>
      <c r="K890" s="213">
        <v>17</v>
      </c>
      <c r="L890" s="120">
        <v>17288</v>
      </c>
    </row>
    <row r="891" spans="2:12" outlineLevel="2">
      <c r="B891" s="40">
        <f t="shared" si="27"/>
        <v>428</v>
      </c>
      <c r="C891" s="41" t="s">
        <v>9</v>
      </c>
      <c r="D891" s="41" t="s">
        <v>196</v>
      </c>
      <c r="E891" s="218">
        <v>1205208</v>
      </c>
      <c r="F891" s="41"/>
      <c r="G891" s="226">
        <v>43556</v>
      </c>
      <c r="H891" s="41"/>
      <c r="I891" s="212">
        <v>44980</v>
      </c>
      <c r="J891" s="41"/>
      <c r="K891" s="248" t="s">
        <v>197</v>
      </c>
      <c r="L891" s="120">
        <v>17289</v>
      </c>
    </row>
    <row r="892" spans="2:12" outlineLevel="2">
      <c r="B892" s="40">
        <f t="shared" si="27"/>
        <v>429</v>
      </c>
      <c r="C892" s="41" t="s">
        <v>9</v>
      </c>
      <c r="D892" s="41" t="s">
        <v>196</v>
      </c>
      <c r="E892" s="218" t="s">
        <v>248</v>
      </c>
      <c r="F892" s="41"/>
      <c r="G892" s="226">
        <v>40695</v>
      </c>
      <c r="H892" s="41"/>
      <c r="I892" s="212">
        <v>44980</v>
      </c>
      <c r="J892" s="41"/>
      <c r="K892" s="213">
        <v>10</v>
      </c>
      <c r="L892" s="120">
        <v>17290</v>
      </c>
    </row>
    <row r="893" spans="2:12" outlineLevel="2">
      <c r="B893" s="40">
        <f t="shared" si="27"/>
        <v>430</v>
      </c>
      <c r="C893" s="41" t="s">
        <v>9</v>
      </c>
      <c r="D893" s="41" t="s">
        <v>196</v>
      </c>
      <c r="E893" s="218">
        <v>71980</v>
      </c>
      <c r="F893" s="41"/>
      <c r="G893" s="226">
        <v>38687</v>
      </c>
      <c r="H893" s="41"/>
      <c r="I893" s="212">
        <v>44980</v>
      </c>
      <c r="J893" s="41"/>
      <c r="K893" s="248" t="s">
        <v>197</v>
      </c>
      <c r="L893" s="120">
        <v>17292</v>
      </c>
    </row>
    <row r="894" spans="2:12" outlineLevel="2">
      <c r="B894" s="40">
        <f t="shared" si="27"/>
        <v>431</v>
      </c>
      <c r="C894" s="41" t="s">
        <v>9</v>
      </c>
      <c r="D894" s="41" t="s">
        <v>196</v>
      </c>
      <c r="E894" s="218">
        <v>763256</v>
      </c>
      <c r="F894" s="41"/>
      <c r="G894" s="226">
        <v>42370</v>
      </c>
      <c r="H894" s="41"/>
      <c r="I894" s="212">
        <v>44980</v>
      </c>
      <c r="J894" s="41"/>
      <c r="K894" s="213">
        <v>28</v>
      </c>
      <c r="L894" s="120">
        <v>17293</v>
      </c>
    </row>
    <row r="895" spans="2:12" outlineLevel="2">
      <c r="B895" s="40">
        <f t="shared" si="27"/>
        <v>432</v>
      </c>
      <c r="C895" s="41" t="s">
        <v>9</v>
      </c>
      <c r="D895" s="41" t="s">
        <v>196</v>
      </c>
      <c r="E895" s="218">
        <v>15660</v>
      </c>
      <c r="F895" s="41"/>
      <c r="G895" s="226">
        <v>36892</v>
      </c>
      <c r="H895" s="41"/>
      <c r="I895" s="212">
        <v>44980</v>
      </c>
      <c r="J895" s="41"/>
      <c r="K895" s="213">
        <v>31</v>
      </c>
      <c r="L895" s="120">
        <v>17294</v>
      </c>
    </row>
    <row r="896" spans="2:12" outlineLevel="2">
      <c r="B896" s="40">
        <f t="shared" si="27"/>
        <v>433</v>
      </c>
      <c r="C896" s="41" t="s">
        <v>9</v>
      </c>
      <c r="D896" s="41" t="s">
        <v>196</v>
      </c>
      <c r="E896" s="218">
        <v>12662</v>
      </c>
      <c r="F896" s="41"/>
      <c r="G896" s="226">
        <v>39387</v>
      </c>
      <c r="H896" s="41"/>
      <c r="I896" s="212">
        <v>44980</v>
      </c>
      <c r="J896" s="41"/>
      <c r="K896" s="213">
        <v>25</v>
      </c>
      <c r="L896" s="120">
        <v>17296</v>
      </c>
    </row>
    <row r="897" spans="2:12" outlineLevel="2">
      <c r="B897" s="40">
        <f t="shared" si="27"/>
        <v>434</v>
      </c>
      <c r="C897" s="41" t="s">
        <v>9</v>
      </c>
      <c r="D897" s="41" t="s">
        <v>196</v>
      </c>
      <c r="E897" s="218" t="s">
        <v>249</v>
      </c>
      <c r="F897" s="41"/>
      <c r="G897" s="209">
        <v>41487</v>
      </c>
      <c r="H897" s="41"/>
      <c r="I897" s="212">
        <v>44980</v>
      </c>
      <c r="J897" s="41"/>
      <c r="K897" s="120">
        <v>13</v>
      </c>
      <c r="L897" s="120">
        <v>17297</v>
      </c>
    </row>
    <row r="898" spans="2:12" outlineLevel="2">
      <c r="B898" s="40">
        <f t="shared" si="27"/>
        <v>435</v>
      </c>
      <c r="C898" s="41" t="s">
        <v>9</v>
      </c>
      <c r="D898" s="41" t="s">
        <v>196</v>
      </c>
      <c r="E898" s="218" t="s">
        <v>250</v>
      </c>
      <c r="F898" s="41"/>
      <c r="G898" s="226">
        <v>39387</v>
      </c>
      <c r="H898" s="41"/>
      <c r="I898" s="212">
        <v>44980</v>
      </c>
      <c r="J898" s="41"/>
      <c r="K898" s="213">
        <v>21</v>
      </c>
      <c r="L898" s="120">
        <v>17298</v>
      </c>
    </row>
    <row r="899" spans="2:12" outlineLevel="2">
      <c r="B899" s="40">
        <f t="shared" si="27"/>
        <v>436</v>
      </c>
      <c r="C899" s="41" t="s">
        <v>9</v>
      </c>
      <c r="D899" s="41" t="s">
        <v>196</v>
      </c>
      <c r="E899" s="218">
        <v>51819</v>
      </c>
      <c r="F899" s="41"/>
      <c r="G899" s="226">
        <v>38353</v>
      </c>
      <c r="H899" s="41"/>
      <c r="I899" s="212">
        <v>44980</v>
      </c>
      <c r="J899" s="41"/>
      <c r="K899" s="248" t="s">
        <v>197</v>
      </c>
      <c r="L899" s="120">
        <v>17299</v>
      </c>
    </row>
    <row r="900" spans="2:12" outlineLevel="2">
      <c r="B900" s="40">
        <f t="shared" si="27"/>
        <v>437</v>
      </c>
      <c r="C900" s="41" t="s">
        <v>9</v>
      </c>
      <c r="D900" s="41" t="s">
        <v>196</v>
      </c>
      <c r="E900" s="218">
        <v>82537</v>
      </c>
      <c r="F900" s="41"/>
      <c r="G900" s="226">
        <v>43739</v>
      </c>
      <c r="H900" s="41"/>
      <c r="I900" s="212">
        <v>44980</v>
      </c>
      <c r="J900" s="41"/>
      <c r="K900" s="248" t="s">
        <v>197</v>
      </c>
      <c r="L900" s="120">
        <v>17300</v>
      </c>
    </row>
    <row r="901" spans="2:12" outlineLevel="2">
      <c r="B901" s="40">
        <f t="shared" si="27"/>
        <v>438</v>
      </c>
      <c r="C901" s="41" t="s">
        <v>9</v>
      </c>
      <c r="D901" s="41" t="s">
        <v>196</v>
      </c>
      <c r="E901" s="218">
        <v>13469</v>
      </c>
      <c r="F901" s="41"/>
      <c r="G901" s="226">
        <v>40391</v>
      </c>
      <c r="H901" s="41"/>
      <c r="I901" s="212">
        <v>44980</v>
      </c>
      <c r="J901" s="41"/>
      <c r="K901" s="213">
        <v>18</v>
      </c>
      <c r="L901" s="120">
        <v>17301</v>
      </c>
    </row>
    <row r="902" spans="2:12" outlineLevel="2">
      <c r="B902" s="40">
        <f t="shared" si="27"/>
        <v>439</v>
      </c>
      <c r="C902" s="41" t="s">
        <v>9</v>
      </c>
      <c r="D902" s="41" t="s">
        <v>196</v>
      </c>
      <c r="E902" s="218">
        <v>14035</v>
      </c>
      <c r="F902" s="41"/>
      <c r="G902" s="226">
        <v>39661</v>
      </c>
      <c r="H902" s="41"/>
      <c r="I902" s="212">
        <v>44981</v>
      </c>
      <c r="J902" s="41"/>
      <c r="K902" s="213">
        <v>12</v>
      </c>
      <c r="L902" s="120">
        <v>17302</v>
      </c>
    </row>
    <row r="903" spans="2:12" outlineLevel="2">
      <c r="B903" s="40">
        <f t="shared" si="27"/>
        <v>440</v>
      </c>
      <c r="C903" s="41" t="s">
        <v>9</v>
      </c>
      <c r="D903" s="41" t="s">
        <v>196</v>
      </c>
      <c r="E903" s="218">
        <v>82375</v>
      </c>
      <c r="F903" s="41"/>
      <c r="G903" s="226">
        <v>43617</v>
      </c>
      <c r="H903" s="41"/>
      <c r="I903" s="212">
        <v>44981</v>
      </c>
      <c r="J903" s="41"/>
      <c r="K903" s="248" t="s">
        <v>197</v>
      </c>
      <c r="L903" s="120">
        <v>17303</v>
      </c>
    </row>
    <row r="904" spans="2:12" outlineLevel="2">
      <c r="B904" s="40">
        <f t="shared" si="27"/>
        <v>441</v>
      </c>
      <c r="C904" s="41" t="s">
        <v>9</v>
      </c>
      <c r="D904" s="41" t="s">
        <v>196</v>
      </c>
      <c r="E904" s="218">
        <v>40672</v>
      </c>
      <c r="F904" s="41"/>
      <c r="G904" s="226">
        <v>2005</v>
      </c>
      <c r="H904" s="41"/>
      <c r="I904" s="212">
        <v>44981</v>
      </c>
      <c r="J904" s="41"/>
      <c r="K904" s="248" t="s">
        <v>197</v>
      </c>
      <c r="L904" s="120">
        <v>17304</v>
      </c>
    </row>
    <row r="905" spans="2:12" outlineLevel="2">
      <c r="B905" s="40">
        <f t="shared" si="27"/>
        <v>442</v>
      </c>
      <c r="C905" s="41" t="s">
        <v>9</v>
      </c>
      <c r="D905" s="41" t="s">
        <v>196</v>
      </c>
      <c r="E905" s="218" t="s">
        <v>251</v>
      </c>
      <c r="F905" s="41"/>
      <c r="G905" s="226">
        <v>38838</v>
      </c>
      <c r="H905" s="41"/>
      <c r="I905" s="212">
        <v>44981</v>
      </c>
      <c r="J905" s="41"/>
      <c r="K905" s="248" t="s">
        <v>197</v>
      </c>
      <c r="L905" s="120">
        <v>17305</v>
      </c>
    </row>
    <row r="906" spans="2:12" outlineLevel="2">
      <c r="B906" s="40">
        <f t="shared" si="27"/>
        <v>443</v>
      </c>
      <c r="C906" s="41" t="s">
        <v>9</v>
      </c>
      <c r="D906" s="41" t="s">
        <v>196</v>
      </c>
      <c r="E906" s="218">
        <v>1182379</v>
      </c>
      <c r="F906" s="41"/>
      <c r="G906" s="226">
        <v>43405</v>
      </c>
      <c r="H906" s="41"/>
      <c r="I906" s="212">
        <v>44981</v>
      </c>
      <c r="J906" s="41"/>
      <c r="K906" s="248" t="s">
        <v>197</v>
      </c>
      <c r="L906" s="120">
        <v>17306</v>
      </c>
    </row>
    <row r="907" spans="2:12" outlineLevel="2">
      <c r="B907" s="40">
        <f t="shared" si="27"/>
        <v>444</v>
      </c>
      <c r="C907" s="41" t="s">
        <v>9</v>
      </c>
      <c r="D907" s="41" t="s">
        <v>196</v>
      </c>
      <c r="E907" s="218">
        <v>8645326</v>
      </c>
      <c r="F907" s="41"/>
      <c r="G907" s="226">
        <v>1989</v>
      </c>
      <c r="H907" s="41"/>
      <c r="I907" s="212">
        <v>44981</v>
      </c>
      <c r="J907" s="41"/>
      <c r="K907" s="213">
        <v>31</v>
      </c>
      <c r="L907" s="120">
        <v>17307</v>
      </c>
    </row>
    <row r="908" spans="2:12" outlineLevel="2">
      <c r="B908" s="40">
        <f t="shared" si="27"/>
        <v>445</v>
      </c>
      <c r="C908" s="41" t="s">
        <v>9</v>
      </c>
      <c r="D908" s="41" t="s">
        <v>196</v>
      </c>
      <c r="E908" s="218">
        <v>12050</v>
      </c>
      <c r="F908" s="41"/>
      <c r="G908" s="226">
        <v>40391</v>
      </c>
      <c r="H908" s="41"/>
      <c r="I908" s="212">
        <v>44981</v>
      </c>
      <c r="J908" s="41"/>
      <c r="K908" s="248" t="s">
        <v>197</v>
      </c>
      <c r="L908" s="120">
        <v>17308</v>
      </c>
    </row>
    <row r="909" spans="2:12" outlineLevel="2">
      <c r="B909" s="40">
        <f t="shared" si="27"/>
        <v>446</v>
      </c>
      <c r="C909" s="41" t="s">
        <v>9</v>
      </c>
      <c r="D909" s="41" t="s">
        <v>196</v>
      </c>
      <c r="E909" s="218">
        <v>1159692</v>
      </c>
      <c r="F909" s="41"/>
      <c r="G909" s="226">
        <v>43282</v>
      </c>
      <c r="H909" s="41"/>
      <c r="I909" s="212">
        <v>44981</v>
      </c>
      <c r="J909" s="41"/>
      <c r="K909" s="248" t="s">
        <v>197</v>
      </c>
      <c r="L909" s="120">
        <v>17309</v>
      </c>
    </row>
    <row r="910" spans="2:12" outlineLevel="2">
      <c r="B910" s="40">
        <f t="shared" si="27"/>
        <v>447</v>
      </c>
      <c r="C910" s="41" t="s">
        <v>9</v>
      </c>
      <c r="D910" s="41" t="s">
        <v>196</v>
      </c>
      <c r="E910" s="218">
        <v>370464</v>
      </c>
      <c r="F910" s="41"/>
      <c r="G910" s="226">
        <v>40848</v>
      </c>
      <c r="H910" s="41"/>
      <c r="I910" s="212">
        <v>44952</v>
      </c>
      <c r="J910" s="41"/>
      <c r="K910" s="248" t="s">
        <v>197</v>
      </c>
      <c r="L910" s="120">
        <v>17311</v>
      </c>
    </row>
    <row r="911" spans="2:12" outlineLevel="2">
      <c r="B911" s="40">
        <f t="shared" si="27"/>
        <v>448</v>
      </c>
      <c r="C911" s="41" t="s">
        <v>9</v>
      </c>
      <c r="D911" s="41" t="s">
        <v>196</v>
      </c>
      <c r="E911" s="218">
        <v>248848</v>
      </c>
      <c r="F911" s="41"/>
      <c r="G911" s="226">
        <v>41000</v>
      </c>
      <c r="H911" s="41"/>
      <c r="I911" s="212">
        <v>44981</v>
      </c>
      <c r="J911" s="41"/>
      <c r="K911" s="248" t="s">
        <v>197</v>
      </c>
      <c r="L911" s="120">
        <v>17312</v>
      </c>
    </row>
    <row r="912" spans="2:12" outlineLevel="2">
      <c r="B912" s="40">
        <f t="shared" si="27"/>
        <v>449</v>
      </c>
      <c r="C912" s="41" t="s">
        <v>9</v>
      </c>
      <c r="D912" s="41" t="s">
        <v>196</v>
      </c>
      <c r="E912" s="218" t="s">
        <v>252</v>
      </c>
      <c r="F912" s="41"/>
      <c r="G912" s="226">
        <v>41974</v>
      </c>
      <c r="H912" s="41"/>
      <c r="I912" s="212">
        <v>44981</v>
      </c>
      <c r="J912" s="41"/>
      <c r="K912" s="248" t="s">
        <v>197</v>
      </c>
      <c r="L912" s="120">
        <v>17313</v>
      </c>
    </row>
    <row r="913" spans="2:12" outlineLevel="2">
      <c r="B913" s="40">
        <f t="shared" si="27"/>
        <v>450</v>
      </c>
      <c r="C913" s="41" t="s">
        <v>9</v>
      </c>
      <c r="D913" s="41" t="s">
        <v>196</v>
      </c>
      <c r="E913" s="218">
        <v>12673</v>
      </c>
      <c r="F913" s="41"/>
      <c r="G913" s="226">
        <v>39387</v>
      </c>
      <c r="H913" s="41"/>
      <c r="I913" s="212">
        <v>44981</v>
      </c>
      <c r="J913" s="41"/>
      <c r="K913" s="213">
        <v>18</v>
      </c>
      <c r="L913" s="120">
        <v>17314</v>
      </c>
    </row>
    <row r="914" spans="2:12" outlineLevel="2">
      <c r="B914" s="40">
        <f t="shared" si="27"/>
        <v>451</v>
      </c>
      <c r="C914" s="41" t="s">
        <v>9</v>
      </c>
      <c r="D914" s="41" t="s">
        <v>196</v>
      </c>
      <c r="E914" s="218" t="s">
        <v>253</v>
      </c>
      <c r="F914" s="41"/>
      <c r="G914" s="226">
        <v>40026</v>
      </c>
      <c r="H914" s="41"/>
      <c r="I914" s="212">
        <v>44981</v>
      </c>
      <c r="J914" s="41"/>
      <c r="K914" s="213">
        <v>21</v>
      </c>
      <c r="L914" s="120">
        <v>17315</v>
      </c>
    </row>
    <row r="915" spans="2:12" outlineLevel="2">
      <c r="B915" s="40">
        <f t="shared" si="27"/>
        <v>452</v>
      </c>
      <c r="C915" s="41" t="s">
        <v>9</v>
      </c>
      <c r="D915" s="41" t="s">
        <v>196</v>
      </c>
      <c r="E915" s="218">
        <v>12721</v>
      </c>
      <c r="F915" s="41"/>
      <c r="G915" s="226">
        <v>39387</v>
      </c>
      <c r="H915" s="41"/>
      <c r="I915" s="212">
        <v>44981</v>
      </c>
      <c r="J915" s="41"/>
      <c r="K915" s="213">
        <v>25</v>
      </c>
      <c r="L915" s="120">
        <v>17316</v>
      </c>
    </row>
    <row r="916" spans="2:12" outlineLevel="2">
      <c r="B916" s="40">
        <f t="shared" si="27"/>
        <v>453</v>
      </c>
      <c r="C916" s="41" t="s">
        <v>9</v>
      </c>
      <c r="D916" s="41" t="s">
        <v>196</v>
      </c>
      <c r="E916" s="218" t="s">
        <v>254</v>
      </c>
      <c r="F916" s="41"/>
      <c r="G916" s="226">
        <v>39022</v>
      </c>
      <c r="H916" s="41"/>
      <c r="I916" s="212">
        <v>44981</v>
      </c>
      <c r="J916" s="41"/>
      <c r="K916" s="213">
        <v>10</v>
      </c>
      <c r="L916" s="120">
        <v>17317</v>
      </c>
    </row>
    <row r="917" spans="2:12" outlineLevel="2">
      <c r="B917" s="40">
        <f t="shared" si="27"/>
        <v>454</v>
      </c>
      <c r="C917" s="41" t="s">
        <v>9</v>
      </c>
      <c r="D917" s="41" t="s">
        <v>196</v>
      </c>
      <c r="E917" s="218">
        <v>12923</v>
      </c>
      <c r="F917" s="41"/>
      <c r="G917" s="226">
        <v>39569</v>
      </c>
      <c r="H917" s="41"/>
      <c r="I917" s="212">
        <v>44981</v>
      </c>
      <c r="J917" s="41"/>
      <c r="K917" s="213">
        <v>22</v>
      </c>
      <c r="L917" s="120">
        <v>17318</v>
      </c>
    </row>
    <row r="918" spans="2:12" outlineLevel="2">
      <c r="B918" s="40">
        <f t="shared" si="27"/>
        <v>455</v>
      </c>
      <c r="C918" s="41" t="s">
        <v>9</v>
      </c>
      <c r="D918" s="41" t="s">
        <v>196</v>
      </c>
      <c r="E918" s="218">
        <v>44144</v>
      </c>
      <c r="F918" s="41"/>
      <c r="G918" s="209">
        <v>40148</v>
      </c>
      <c r="H918" s="41"/>
      <c r="I918" s="212">
        <v>44981</v>
      </c>
      <c r="J918" s="41"/>
      <c r="K918" s="248" t="s">
        <v>197</v>
      </c>
      <c r="L918" s="120">
        <v>17319</v>
      </c>
    </row>
    <row r="919" spans="2:12" outlineLevel="2">
      <c r="B919" s="40">
        <f t="shared" si="27"/>
        <v>456</v>
      </c>
      <c r="C919" s="41" t="s">
        <v>9</v>
      </c>
      <c r="D919" s="41" t="s">
        <v>196</v>
      </c>
      <c r="E919" s="218">
        <v>36378</v>
      </c>
      <c r="F919" s="41"/>
      <c r="G919" s="226">
        <v>37895</v>
      </c>
      <c r="H919" s="41"/>
      <c r="I919" s="212">
        <v>44981</v>
      </c>
      <c r="J919" s="41"/>
      <c r="K919" s="248" t="s">
        <v>197</v>
      </c>
      <c r="L919" s="120">
        <v>17320</v>
      </c>
    </row>
    <row r="920" spans="2:12" outlineLevel="1">
      <c r="B920" s="59" t="s">
        <v>255</v>
      </c>
      <c r="C920" s="41">
        <f>SUBTOTAL(3,C692:C919)</f>
        <v>228</v>
      </c>
      <c r="D920" s="41">
        <f>COUNTA(D692:D919)</f>
        <v>228</v>
      </c>
      <c r="E920" s="218"/>
      <c r="F920" s="41"/>
      <c r="G920" s="226"/>
      <c r="H920" s="41"/>
      <c r="I920" s="212"/>
      <c r="J920" s="41"/>
      <c r="K920" s="248"/>
      <c r="L920" s="120"/>
    </row>
    <row r="921" spans="2:12" outlineLevel="2">
      <c r="B921" s="40">
        <f t="shared" ref="B921:B952" si="28">ROW(A457)</f>
        <v>457</v>
      </c>
      <c r="C921" s="41" t="s">
        <v>175</v>
      </c>
      <c r="D921" s="41" t="s">
        <v>196</v>
      </c>
      <c r="E921" s="215">
        <v>429678</v>
      </c>
      <c r="F921" s="215"/>
      <c r="G921" s="222">
        <v>39417</v>
      </c>
      <c r="H921" s="41"/>
      <c r="I921" s="211">
        <v>44893</v>
      </c>
      <c r="J921" s="41"/>
      <c r="K921" s="214">
        <v>28</v>
      </c>
      <c r="L921" s="241">
        <v>11916</v>
      </c>
    </row>
    <row r="922" spans="2:12" outlineLevel="2">
      <c r="B922" s="40">
        <f t="shared" si="28"/>
        <v>458</v>
      </c>
      <c r="C922" s="41" t="s">
        <v>175</v>
      </c>
      <c r="D922" s="41" t="s">
        <v>196</v>
      </c>
      <c r="E922" s="217">
        <v>8503700</v>
      </c>
      <c r="F922" s="215"/>
      <c r="G922" s="222"/>
      <c r="H922" s="41"/>
      <c r="I922" s="211">
        <v>44893</v>
      </c>
      <c r="J922" s="41"/>
      <c r="K922" s="214">
        <v>25</v>
      </c>
      <c r="L922" s="241">
        <v>11919</v>
      </c>
    </row>
    <row r="923" spans="2:12" outlineLevel="2">
      <c r="B923" s="40">
        <f t="shared" si="28"/>
        <v>459</v>
      </c>
      <c r="C923" s="41" t="s">
        <v>175</v>
      </c>
      <c r="D923" s="41" t="s">
        <v>196</v>
      </c>
      <c r="E923" s="217" t="s">
        <v>256</v>
      </c>
      <c r="F923" s="215"/>
      <c r="G923" s="222">
        <v>39904</v>
      </c>
      <c r="H923" s="41"/>
      <c r="I923" s="211">
        <v>44894</v>
      </c>
      <c r="J923" s="41"/>
      <c r="K923" s="214">
        <v>10</v>
      </c>
      <c r="L923" s="241">
        <v>11927</v>
      </c>
    </row>
    <row r="924" spans="2:12" outlineLevel="2">
      <c r="B924" s="40">
        <f t="shared" si="28"/>
        <v>460</v>
      </c>
      <c r="C924" s="41" t="s">
        <v>175</v>
      </c>
      <c r="D924" s="41" t="s">
        <v>196</v>
      </c>
      <c r="E924" s="217">
        <v>40552</v>
      </c>
      <c r="F924" s="215"/>
      <c r="G924" s="222">
        <v>2005</v>
      </c>
      <c r="H924" s="41"/>
      <c r="I924" s="211">
        <v>44894</v>
      </c>
      <c r="J924" s="41"/>
      <c r="K924" s="214">
        <v>18</v>
      </c>
      <c r="L924" s="241">
        <v>11940</v>
      </c>
    </row>
    <row r="925" spans="2:12" outlineLevel="2">
      <c r="B925" s="40">
        <f t="shared" si="28"/>
        <v>461</v>
      </c>
      <c r="C925" s="41" t="s">
        <v>175</v>
      </c>
      <c r="D925" s="41" t="s">
        <v>196</v>
      </c>
      <c r="E925" s="217">
        <v>5450</v>
      </c>
      <c r="F925" s="215"/>
      <c r="G925" s="222">
        <v>38534</v>
      </c>
      <c r="H925" s="41"/>
      <c r="I925" s="211">
        <v>44895</v>
      </c>
      <c r="J925" s="41"/>
      <c r="K925" s="214">
        <v>25</v>
      </c>
      <c r="L925" s="241">
        <v>12009</v>
      </c>
    </row>
    <row r="926" spans="2:12" outlineLevel="2">
      <c r="B926" s="40">
        <f t="shared" si="28"/>
        <v>462</v>
      </c>
      <c r="C926" s="41" t="s">
        <v>175</v>
      </c>
      <c r="D926" s="41" t="s">
        <v>196</v>
      </c>
      <c r="E926" s="217">
        <v>12803</v>
      </c>
      <c r="F926" s="215"/>
      <c r="G926" s="222">
        <v>39417</v>
      </c>
      <c r="H926" s="41"/>
      <c r="I926" s="211">
        <v>44895</v>
      </c>
      <c r="J926" s="41"/>
      <c r="K926" s="214">
        <v>6</v>
      </c>
      <c r="L926" s="241">
        <v>12012</v>
      </c>
    </row>
    <row r="927" spans="2:12" outlineLevel="2">
      <c r="B927" s="40">
        <f t="shared" si="28"/>
        <v>463</v>
      </c>
      <c r="C927" s="41" t="s">
        <v>175</v>
      </c>
      <c r="D927" s="41" t="s">
        <v>196</v>
      </c>
      <c r="E927" s="216" t="s">
        <v>257</v>
      </c>
      <c r="F927" s="228"/>
      <c r="G927" s="223">
        <v>38777</v>
      </c>
      <c r="H927" s="41"/>
      <c r="I927" s="212">
        <v>44895</v>
      </c>
      <c r="J927" s="41"/>
      <c r="K927" s="213">
        <v>31</v>
      </c>
      <c r="L927" s="120">
        <v>12021</v>
      </c>
    </row>
    <row r="928" spans="2:12" outlineLevel="2">
      <c r="B928" s="40">
        <f t="shared" si="28"/>
        <v>464</v>
      </c>
      <c r="C928" s="41" t="s">
        <v>175</v>
      </c>
      <c r="D928" s="41" t="s">
        <v>196</v>
      </c>
      <c r="E928" s="216">
        <v>72173</v>
      </c>
      <c r="F928" s="216" t="s">
        <v>172</v>
      </c>
      <c r="G928" s="223">
        <v>38687</v>
      </c>
      <c r="H928" s="41"/>
      <c r="I928" s="212">
        <v>44917</v>
      </c>
      <c r="J928" s="41"/>
      <c r="K928" s="213">
        <v>17</v>
      </c>
      <c r="L928" s="120">
        <v>13059</v>
      </c>
    </row>
    <row r="929" spans="2:12" outlineLevel="2">
      <c r="B929" s="40">
        <f t="shared" si="28"/>
        <v>465</v>
      </c>
      <c r="C929" s="41" t="s">
        <v>175</v>
      </c>
      <c r="D929" s="41" t="s">
        <v>196</v>
      </c>
      <c r="E929" s="216">
        <v>16966</v>
      </c>
      <c r="F929" s="216" t="s">
        <v>172</v>
      </c>
      <c r="G929" s="224">
        <v>37073</v>
      </c>
      <c r="H929" s="41"/>
      <c r="I929" s="212">
        <v>44917</v>
      </c>
      <c r="J929" s="41"/>
      <c r="K929" s="120">
        <v>12</v>
      </c>
      <c r="L929" s="120">
        <v>13096</v>
      </c>
    </row>
    <row r="930" spans="2:12" outlineLevel="2">
      <c r="B930" s="40">
        <f t="shared" si="28"/>
        <v>466</v>
      </c>
      <c r="C930" s="41" t="s">
        <v>175</v>
      </c>
      <c r="D930" s="41" t="s">
        <v>196</v>
      </c>
      <c r="E930" s="216" t="s">
        <v>258</v>
      </c>
      <c r="F930" s="216" t="s">
        <v>172</v>
      </c>
      <c r="G930" s="224">
        <v>38961</v>
      </c>
      <c r="H930" s="41"/>
      <c r="I930" s="212">
        <v>44917</v>
      </c>
      <c r="J930" s="41"/>
      <c r="K930" s="213">
        <v>22</v>
      </c>
      <c r="L930" s="120">
        <v>13119</v>
      </c>
    </row>
    <row r="931" spans="2:12" outlineLevel="2">
      <c r="B931" s="40">
        <f t="shared" si="28"/>
        <v>467</v>
      </c>
      <c r="C931" s="41" t="s">
        <v>175</v>
      </c>
      <c r="D931" s="41" t="s">
        <v>196</v>
      </c>
      <c r="E931" s="216">
        <v>72148</v>
      </c>
      <c r="F931" s="216" t="s">
        <v>172</v>
      </c>
      <c r="G931" s="224">
        <v>38687</v>
      </c>
      <c r="H931" s="41"/>
      <c r="I931" s="212">
        <v>44918</v>
      </c>
      <c r="J931" s="41"/>
      <c r="K931" s="120">
        <v>8</v>
      </c>
      <c r="L931" s="120">
        <v>13134</v>
      </c>
    </row>
    <row r="932" spans="2:12" outlineLevel="2">
      <c r="B932" s="40">
        <f t="shared" si="28"/>
        <v>468</v>
      </c>
      <c r="C932" s="41" t="s">
        <v>175</v>
      </c>
      <c r="D932" s="41" t="s">
        <v>196</v>
      </c>
      <c r="E932" s="216" t="s">
        <v>259</v>
      </c>
      <c r="F932" s="216" t="s">
        <v>172</v>
      </c>
      <c r="G932" s="224">
        <v>38322</v>
      </c>
      <c r="H932" s="41"/>
      <c r="I932" s="212">
        <v>44918</v>
      </c>
      <c r="J932" s="41"/>
      <c r="K932" s="213">
        <v>27</v>
      </c>
      <c r="L932" s="120">
        <v>13157</v>
      </c>
    </row>
    <row r="933" spans="2:12" outlineLevel="2">
      <c r="B933" s="40">
        <f t="shared" si="28"/>
        <v>469</v>
      </c>
      <c r="C933" s="41" t="s">
        <v>175</v>
      </c>
      <c r="D933" s="41" t="s">
        <v>196</v>
      </c>
      <c r="E933" s="216">
        <v>71966</v>
      </c>
      <c r="F933" s="216" t="s">
        <v>172</v>
      </c>
      <c r="G933" s="224">
        <v>38687</v>
      </c>
      <c r="H933" s="41"/>
      <c r="I933" s="212">
        <v>44918</v>
      </c>
      <c r="J933" s="41"/>
      <c r="K933" s="120">
        <v>12</v>
      </c>
      <c r="L933" s="120">
        <v>13169</v>
      </c>
    </row>
    <row r="934" spans="2:12" outlineLevel="2">
      <c r="B934" s="40">
        <f t="shared" si="28"/>
        <v>470</v>
      </c>
      <c r="C934" s="41" t="s">
        <v>175</v>
      </c>
      <c r="D934" s="41" t="s">
        <v>196</v>
      </c>
      <c r="E934" s="216" t="s">
        <v>260</v>
      </c>
      <c r="F934" s="216" t="s">
        <v>172</v>
      </c>
      <c r="G934" s="223">
        <v>40575</v>
      </c>
      <c r="H934" s="41"/>
      <c r="I934" s="212">
        <v>44918</v>
      </c>
      <c r="J934" s="41"/>
      <c r="K934" s="213">
        <v>12</v>
      </c>
      <c r="L934" s="120">
        <v>13190</v>
      </c>
    </row>
    <row r="935" spans="2:12" outlineLevel="2">
      <c r="B935" s="40">
        <f t="shared" si="28"/>
        <v>471</v>
      </c>
      <c r="C935" s="41" t="s">
        <v>175</v>
      </c>
      <c r="D935" s="41" t="s">
        <v>196</v>
      </c>
      <c r="E935" s="216" t="s">
        <v>261</v>
      </c>
      <c r="F935" s="118" t="s">
        <v>172</v>
      </c>
      <c r="G935" s="223">
        <v>40969</v>
      </c>
      <c r="H935" s="41"/>
      <c r="I935" s="212">
        <v>44942</v>
      </c>
      <c r="J935" s="41"/>
      <c r="K935" s="120">
        <v>14</v>
      </c>
      <c r="L935" s="120">
        <v>13658</v>
      </c>
    </row>
    <row r="936" spans="2:12" outlineLevel="2">
      <c r="B936" s="40">
        <f t="shared" si="28"/>
        <v>472</v>
      </c>
      <c r="C936" s="41" t="s">
        <v>175</v>
      </c>
      <c r="D936" s="41" t="s">
        <v>196</v>
      </c>
      <c r="E936" s="216" t="s">
        <v>262</v>
      </c>
      <c r="F936" s="118" t="s">
        <v>172</v>
      </c>
      <c r="G936" s="223"/>
      <c r="H936" s="41"/>
      <c r="I936" s="212">
        <v>44942</v>
      </c>
      <c r="J936" s="41"/>
      <c r="K936" s="120">
        <v>10</v>
      </c>
      <c r="L936" s="120">
        <v>13679</v>
      </c>
    </row>
    <row r="937" spans="2:12" outlineLevel="2">
      <c r="B937" s="40">
        <f t="shared" si="28"/>
        <v>473</v>
      </c>
      <c r="C937" s="41" t="s">
        <v>175</v>
      </c>
      <c r="D937" s="41" t="s">
        <v>196</v>
      </c>
      <c r="E937" s="216">
        <v>1238584</v>
      </c>
      <c r="F937" s="118" t="s">
        <v>172</v>
      </c>
      <c r="G937" s="223">
        <v>43678</v>
      </c>
      <c r="H937" s="41"/>
      <c r="I937" s="212">
        <v>44942</v>
      </c>
      <c r="J937" s="41"/>
      <c r="K937" s="213">
        <v>12</v>
      </c>
      <c r="L937" s="120">
        <v>13685</v>
      </c>
    </row>
    <row r="938" spans="2:12" outlineLevel="2">
      <c r="B938" s="40">
        <f t="shared" si="28"/>
        <v>474</v>
      </c>
      <c r="C938" s="41" t="s">
        <v>175</v>
      </c>
      <c r="D938" s="41" t="s">
        <v>196</v>
      </c>
      <c r="E938" s="216">
        <v>96101334</v>
      </c>
      <c r="F938" s="118" t="s">
        <v>172</v>
      </c>
      <c r="G938" s="223">
        <v>35339</v>
      </c>
      <c r="H938" s="41"/>
      <c r="I938" s="212">
        <v>44942</v>
      </c>
      <c r="J938" s="41"/>
      <c r="K938" s="120">
        <v>32</v>
      </c>
      <c r="L938" s="120">
        <v>13694</v>
      </c>
    </row>
    <row r="939" spans="2:12" outlineLevel="2">
      <c r="B939" s="40">
        <f t="shared" si="28"/>
        <v>475</v>
      </c>
      <c r="C939" s="41" t="s">
        <v>175</v>
      </c>
      <c r="D939" s="41" t="s">
        <v>196</v>
      </c>
      <c r="E939" s="216">
        <v>114288</v>
      </c>
      <c r="F939" s="118" t="s">
        <v>172</v>
      </c>
      <c r="G939" s="223">
        <v>36008</v>
      </c>
      <c r="H939" s="41"/>
      <c r="I939" s="212">
        <v>44942</v>
      </c>
      <c r="J939" s="41"/>
      <c r="K939" s="213">
        <v>21</v>
      </c>
      <c r="L939" s="120">
        <v>13705</v>
      </c>
    </row>
    <row r="940" spans="2:12" outlineLevel="2">
      <c r="B940" s="40">
        <f t="shared" si="28"/>
        <v>476</v>
      </c>
      <c r="C940" s="41" t="s">
        <v>175</v>
      </c>
      <c r="D940" s="41" t="s">
        <v>196</v>
      </c>
      <c r="E940" s="216">
        <v>36371</v>
      </c>
      <c r="F940" s="118" t="s">
        <v>172</v>
      </c>
      <c r="G940" s="223">
        <v>37895</v>
      </c>
      <c r="H940" s="41"/>
      <c r="I940" s="212">
        <v>44942</v>
      </c>
      <c r="J940" s="41"/>
      <c r="K940" s="213">
        <v>25</v>
      </c>
      <c r="L940" s="120">
        <v>13710</v>
      </c>
    </row>
    <row r="941" spans="2:12" outlineLevel="2">
      <c r="B941" s="40">
        <f t="shared" si="28"/>
        <v>477</v>
      </c>
      <c r="C941" s="41" t="s">
        <v>175</v>
      </c>
      <c r="D941" s="41" t="s">
        <v>196</v>
      </c>
      <c r="E941" s="263" t="s">
        <v>263</v>
      </c>
      <c r="F941" s="221">
        <v>31341</v>
      </c>
      <c r="G941" s="232">
        <v>40179</v>
      </c>
      <c r="H941" s="41"/>
      <c r="I941" s="211">
        <v>44894</v>
      </c>
      <c r="J941" s="41"/>
      <c r="K941" s="248" t="s">
        <v>197</v>
      </c>
      <c r="L941" s="241">
        <v>15078</v>
      </c>
    </row>
    <row r="942" spans="2:12" outlineLevel="2">
      <c r="B942" s="40">
        <f t="shared" si="28"/>
        <v>478</v>
      </c>
      <c r="C942" s="41" t="s">
        <v>175</v>
      </c>
      <c r="D942" s="41" t="s">
        <v>196</v>
      </c>
      <c r="E942" s="263">
        <v>4059</v>
      </c>
      <c r="F942" s="231">
        <v>68407</v>
      </c>
      <c r="G942" s="232"/>
      <c r="H942" s="41"/>
      <c r="I942" s="211">
        <v>44874</v>
      </c>
      <c r="J942" s="41"/>
      <c r="K942" s="214">
        <v>36</v>
      </c>
      <c r="L942" s="241">
        <v>15098</v>
      </c>
    </row>
    <row r="943" spans="2:12" outlineLevel="2">
      <c r="B943" s="40">
        <f t="shared" si="28"/>
        <v>479</v>
      </c>
      <c r="C943" s="41" t="s">
        <v>175</v>
      </c>
      <c r="D943" s="41" t="s">
        <v>196</v>
      </c>
      <c r="E943" s="263">
        <v>370513</v>
      </c>
      <c r="F943" s="231">
        <v>3779</v>
      </c>
      <c r="G943" s="232">
        <v>40848</v>
      </c>
      <c r="H943" s="41"/>
      <c r="I943" s="211">
        <v>44874</v>
      </c>
      <c r="J943" s="41"/>
      <c r="K943" s="214">
        <v>18</v>
      </c>
      <c r="L943" s="241">
        <v>15114</v>
      </c>
    </row>
    <row r="944" spans="2:12" outlineLevel="2">
      <c r="B944" s="40">
        <f t="shared" si="28"/>
        <v>480</v>
      </c>
      <c r="C944" s="41" t="s">
        <v>175</v>
      </c>
      <c r="D944" s="41" t="s">
        <v>196</v>
      </c>
      <c r="E944" s="263">
        <v>71422</v>
      </c>
      <c r="F944" s="231">
        <v>34420</v>
      </c>
      <c r="G944" s="232">
        <v>40483</v>
      </c>
      <c r="H944" s="41"/>
      <c r="I944" s="211">
        <v>44881</v>
      </c>
      <c r="J944" s="41"/>
      <c r="K944" s="214">
        <v>15</v>
      </c>
      <c r="L944" s="241">
        <v>15337</v>
      </c>
    </row>
    <row r="945" spans="2:12" outlineLevel="2">
      <c r="B945" s="40">
        <f t="shared" si="28"/>
        <v>481</v>
      </c>
      <c r="C945" s="41" t="s">
        <v>175</v>
      </c>
      <c r="D945" s="41" t="s">
        <v>196</v>
      </c>
      <c r="E945" s="218" t="s">
        <v>264</v>
      </c>
      <c r="F945" s="227">
        <v>68479</v>
      </c>
      <c r="G945" s="225">
        <v>40299</v>
      </c>
      <c r="H945" s="41"/>
      <c r="I945" s="212">
        <v>44881</v>
      </c>
      <c r="J945" s="41"/>
      <c r="K945" s="213">
        <v>10</v>
      </c>
      <c r="L945" s="120">
        <v>15351</v>
      </c>
    </row>
    <row r="946" spans="2:12" outlineLevel="2">
      <c r="B946" s="40">
        <f t="shared" si="28"/>
        <v>482</v>
      </c>
      <c r="C946" s="41" t="s">
        <v>175</v>
      </c>
      <c r="D946" s="41" t="s">
        <v>196</v>
      </c>
      <c r="E946" s="218">
        <v>128924</v>
      </c>
      <c r="F946" s="209" t="s">
        <v>172</v>
      </c>
      <c r="G946" s="226">
        <v>32905</v>
      </c>
      <c r="H946" s="41"/>
      <c r="I946" s="212">
        <v>44902</v>
      </c>
      <c r="J946" s="41"/>
      <c r="K946" s="213">
        <v>3</v>
      </c>
      <c r="L946" s="120">
        <v>15572</v>
      </c>
    </row>
    <row r="947" spans="2:12" outlineLevel="2">
      <c r="B947" s="40">
        <f t="shared" si="28"/>
        <v>483</v>
      </c>
      <c r="C947" s="41" t="s">
        <v>175</v>
      </c>
      <c r="D947" s="41" t="s">
        <v>196</v>
      </c>
      <c r="E947" s="218">
        <v>1282207</v>
      </c>
      <c r="F947" s="227">
        <v>62040</v>
      </c>
      <c r="G947" s="226">
        <v>43891</v>
      </c>
      <c r="H947" s="41"/>
      <c r="I947" s="212">
        <v>44901</v>
      </c>
      <c r="J947" s="41"/>
      <c r="K947" s="213">
        <v>18</v>
      </c>
      <c r="L947" s="120">
        <v>16957</v>
      </c>
    </row>
    <row r="948" spans="2:12" outlineLevel="2">
      <c r="B948" s="40">
        <f t="shared" si="28"/>
        <v>484</v>
      </c>
      <c r="C948" s="41" t="s">
        <v>175</v>
      </c>
      <c r="D948" s="41" t="s">
        <v>196</v>
      </c>
      <c r="E948" s="218">
        <v>1234697</v>
      </c>
      <c r="F948" s="227">
        <v>57661</v>
      </c>
      <c r="G948" s="226">
        <v>43647</v>
      </c>
      <c r="H948" s="41"/>
      <c r="I948" s="212">
        <v>44901</v>
      </c>
      <c r="J948" s="41"/>
      <c r="K948" s="248" t="s">
        <v>197</v>
      </c>
      <c r="L948" s="120">
        <v>16963</v>
      </c>
    </row>
    <row r="949" spans="2:12" outlineLevel="2">
      <c r="B949" s="40">
        <f t="shared" si="28"/>
        <v>485</v>
      </c>
      <c r="C949" s="41" t="s">
        <v>175</v>
      </c>
      <c r="D949" s="41" t="s">
        <v>196</v>
      </c>
      <c r="E949" s="218">
        <v>711379</v>
      </c>
      <c r="F949" s="227">
        <v>34377</v>
      </c>
      <c r="G949" s="226">
        <v>40483</v>
      </c>
      <c r="H949" s="41"/>
      <c r="I949" s="212">
        <v>44902</v>
      </c>
      <c r="J949" s="41"/>
      <c r="K949" s="248" t="s">
        <v>197</v>
      </c>
      <c r="L949" s="120">
        <v>17002</v>
      </c>
    </row>
    <row r="950" spans="2:12" outlineLevel="2">
      <c r="B950" s="40">
        <f t="shared" si="28"/>
        <v>486</v>
      </c>
      <c r="C950" s="41" t="s">
        <v>175</v>
      </c>
      <c r="D950" s="41" t="s">
        <v>196</v>
      </c>
      <c r="E950" s="218">
        <v>12775</v>
      </c>
      <c r="F950" s="227" t="s">
        <v>172</v>
      </c>
      <c r="G950" s="226">
        <v>39417</v>
      </c>
      <c r="H950" s="41"/>
      <c r="I950" s="212">
        <v>44980</v>
      </c>
      <c r="J950" s="41"/>
      <c r="K950" s="120">
        <v>18</v>
      </c>
      <c r="L950" s="120">
        <v>17249</v>
      </c>
    </row>
    <row r="951" spans="2:12" outlineLevel="2">
      <c r="B951" s="40">
        <f t="shared" si="28"/>
        <v>487</v>
      </c>
      <c r="C951" s="41" t="s">
        <v>175</v>
      </c>
      <c r="D951" s="41" t="s">
        <v>196</v>
      </c>
      <c r="E951" s="218">
        <v>41757</v>
      </c>
      <c r="F951" s="227" t="s">
        <v>172</v>
      </c>
      <c r="G951" s="226">
        <v>39417</v>
      </c>
      <c r="H951" s="41"/>
      <c r="I951" s="212">
        <v>44980</v>
      </c>
      <c r="J951" s="41"/>
      <c r="K951" s="213">
        <v>21</v>
      </c>
      <c r="L951" s="120">
        <v>17256</v>
      </c>
    </row>
    <row r="952" spans="2:12" outlineLevel="2">
      <c r="B952" s="40">
        <f t="shared" si="28"/>
        <v>488</v>
      </c>
      <c r="C952" s="41" t="s">
        <v>175</v>
      </c>
      <c r="D952" s="41" t="s">
        <v>196</v>
      </c>
      <c r="E952" s="218">
        <v>17125</v>
      </c>
      <c r="F952" s="227" t="s">
        <v>172</v>
      </c>
      <c r="G952" s="226">
        <v>37104</v>
      </c>
      <c r="H952" s="41"/>
      <c r="I952" s="212">
        <v>44980</v>
      </c>
      <c r="J952" s="41"/>
      <c r="K952" s="213">
        <v>33</v>
      </c>
      <c r="L952" s="120">
        <v>17265</v>
      </c>
    </row>
    <row r="953" spans="2:12" outlineLevel="2">
      <c r="B953" s="40">
        <f t="shared" ref="B953:B984" si="29">ROW(A489)</f>
        <v>489</v>
      </c>
      <c r="C953" s="41" t="s">
        <v>175</v>
      </c>
      <c r="D953" s="41" t="s">
        <v>196</v>
      </c>
      <c r="E953" s="218">
        <v>41278</v>
      </c>
      <c r="F953" s="227" t="s">
        <v>172</v>
      </c>
      <c r="G953" s="226">
        <v>38169</v>
      </c>
      <c r="H953" s="41"/>
      <c r="I953" s="212">
        <v>44980</v>
      </c>
      <c r="J953" s="41"/>
      <c r="K953" s="213">
        <v>12</v>
      </c>
      <c r="L953" s="120">
        <v>17287</v>
      </c>
    </row>
    <row r="954" spans="2:12" outlineLevel="2">
      <c r="B954" s="40">
        <f t="shared" si="29"/>
        <v>490</v>
      </c>
      <c r="C954" s="41" t="s">
        <v>175</v>
      </c>
      <c r="D954" s="41" t="s">
        <v>196</v>
      </c>
      <c r="E954" s="218">
        <v>150735</v>
      </c>
      <c r="F954" s="227" t="s">
        <v>172</v>
      </c>
      <c r="G954" s="226">
        <v>36465</v>
      </c>
      <c r="H954" s="41"/>
      <c r="I954" s="212">
        <v>44980</v>
      </c>
      <c r="J954" s="41"/>
      <c r="K954" s="213">
        <v>13</v>
      </c>
      <c r="L954" s="120">
        <v>17291</v>
      </c>
    </row>
    <row r="955" spans="2:12" outlineLevel="2">
      <c r="B955" s="40">
        <f t="shared" si="29"/>
        <v>491</v>
      </c>
      <c r="C955" s="41" t="s">
        <v>175</v>
      </c>
      <c r="D955" s="41" t="s">
        <v>196</v>
      </c>
      <c r="E955" s="216">
        <v>43250</v>
      </c>
      <c r="F955" s="216">
        <v>5531</v>
      </c>
      <c r="G955" s="223">
        <v>37377</v>
      </c>
      <c r="H955" s="41"/>
      <c r="I955" s="212">
        <v>44953</v>
      </c>
      <c r="J955" s="41"/>
      <c r="K955" s="120">
        <v>34</v>
      </c>
      <c r="L955" s="120">
        <v>17709</v>
      </c>
    </row>
    <row r="956" spans="2:12" outlineLevel="2">
      <c r="B956" s="40">
        <f t="shared" si="29"/>
        <v>492</v>
      </c>
      <c r="C956" s="41" t="s">
        <v>175</v>
      </c>
      <c r="D956" s="41" t="s">
        <v>196</v>
      </c>
      <c r="E956" s="216">
        <v>50783</v>
      </c>
      <c r="F956" s="216">
        <v>6649</v>
      </c>
      <c r="G956" s="223">
        <v>37803</v>
      </c>
      <c r="H956" s="41"/>
      <c r="I956" s="212">
        <v>44953</v>
      </c>
      <c r="J956" s="41"/>
      <c r="K956" s="120">
        <v>14</v>
      </c>
      <c r="L956" s="120">
        <v>17711</v>
      </c>
    </row>
    <row r="957" spans="2:12" outlineLevel="2">
      <c r="B957" s="40">
        <f t="shared" si="29"/>
        <v>493</v>
      </c>
      <c r="C957" s="41" t="s">
        <v>175</v>
      </c>
      <c r="D957" s="41" t="s">
        <v>196</v>
      </c>
      <c r="E957" s="216">
        <v>51749</v>
      </c>
      <c r="F957" s="216" t="s">
        <v>172</v>
      </c>
      <c r="G957" s="223">
        <v>38353</v>
      </c>
      <c r="H957" s="41"/>
      <c r="I957" s="212">
        <v>44984</v>
      </c>
      <c r="J957" s="41"/>
      <c r="K957" s="120">
        <v>11</v>
      </c>
      <c r="L957" s="120">
        <v>17953</v>
      </c>
    </row>
    <row r="958" spans="2:12" outlineLevel="2">
      <c r="B958" s="40">
        <f t="shared" si="29"/>
        <v>494</v>
      </c>
      <c r="C958" s="41" t="s">
        <v>175</v>
      </c>
      <c r="D958" s="41" t="s">
        <v>196</v>
      </c>
      <c r="E958" s="216">
        <v>12810</v>
      </c>
      <c r="F958" s="216" t="s">
        <v>172</v>
      </c>
      <c r="G958" s="223">
        <v>39417</v>
      </c>
      <c r="H958" s="41"/>
      <c r="I958" s="212">
        <v>44984</v>
      </c>
      <c r="J958" s="41"/>
      <c r="K958" s="120">
        <v>25</v>
      </c>
      <c r="L958" s="120">
        <v>17958</v>
      </c>
    </row>
    <row r="959" spans="2:12" outlineLevel="2">
      <c r="B959" s="40">
        <f t="shared" si="29"/>
        <v>495</v>
      </c>
      <c r="C959" s="41" t="s">
        <v>175</v>
      </c>
      <c r="D959" s="41" t="s">
        <v>196</v>
      </c>
      <c r="E959" s="216">
        <v>51798</v>
      </c>
      <c r="F959" s="216" t="s">
        <v>172</v>
      </c>
      <c r="G959" s="223">
        <v>38353</v>
      </c>
      <c r="H959" s="41"/>
      <c r="I959" s="212">
        <v>44984</v>
      </c>
      <c r="J959" s="41"/>
      <c r="K959" s="120">
        <v>20</v>
      </c>
      <c r="L959" s="120">
        <v>17962</v>
      </c>
    </row>
    <row r="960" spans="2:12" outlineLevel="2">
      <c r="B960" s="40">
        <f t="shared" si="29"/>
        <v>496</v>
      </c>
      <c r="C960" s="41" t="s">
        <v>175</v>
      </c>
      <c r="D960" s="41" t="s">
        <v>196</v>
      </c>
      <c r="E960" s="216">
        <v>30018</v>
      </c>
      <c r="F960" s="216" t="s">
        <v>172</v>
      </c>
      <c r="G960" s="216">
        <v>37591</v>
      </c>
      <c r="H960" s="41"/>
      <c r="I960" s="212">
        <v>44984</v>
      </c>
      <c r="J960" s="41"/>
      <c r="K960" s="120">
        <v>29</v>
      </c>
      <c r="L960" s="120">
        <v>17976</v>
      </c>
    </row>
    <row r="961" spans="2:12" outlineLevel="2">
      <c r="B961" s="40">
        <f t="shared" si="29"/>
        <v>497</v>
      </c>
      <c r="C961" s="41" t="s">
        <v>175</v>
      </c>
      <c r="D961" s="41" t="s">
        <v>196</v>
      </c>
      <c r="E961" s="216">
        <v>247503</v>
      </c>
      <c r="F961" s="216" t="s">
        <v>172</v>
      </c>
      <c r="G961" s="223">
        <v>41000</v>
      </c>
      <c r="H961" s="41"/>
      <c r="I961" s="212">
        <v>44984</v>
      </c>
      <c r="J961" s="41"/>
      <c r="K961" s="120">
        <v>15</v>
      </c>
      <c r="L961" s="120">
        <v>17985</v>
      </c>
    </row>
    <row r="962" spans="2:12" outlineLevel="2">
      <c r="B962" s="40">
        <f t="shared" si="29"/>
        <v>498</v>
      </c>
      <c r="C962" s="41" t="s">
        <v>175</v>
      </c>
      <c r="D962" s="41" t="s">
        <v>196</v>
      </c>
      <c r="E962" s="216">
        <v>29255725</v>
      </c>
      <c r="F962" s="216">
        <v>280684</v>
      </c>
      <c r="G962" s="223">
        <v>42248</v>
      </c>
      <c r="H962" s="41"/>
      <c r="I962" s="212">
        <v>44986</v>
      </c>
      <c r="J962" s="41"/>
      <c r="K962" s="248" t="s">
        <v>197</v>
      </c>
      <c r="L962" s="120">
        <v>18254</v>
      </c>
    </row>
    <row r="963" spans="2:12" outlineLevel="2">
      <c r="B963" s="40">
        <f t="shared" si="29"/>
        <v>499</v>
      </c>
      <c r="C963" s="41" t="s">
        <v>175</v>
      </c>
      <c r="D963" s="41" t="s">
        <v>196</v>
      </c>
      <c r="E963" s="216">
        <v>114367</v>
      </c>
      <c r="F963" s="216" t="s">
        <v>172</v>
      </c>
      <c r="G963" s="223">
        <v>36008</v>
      </c>
      <c r="H963" s="41"/>
      <c r="I963" s="212">
        <v>45030</v>
      </c>
      <c r="J963" s="41"/>
      <c r="K963" s="120">
        <v>10</v>
      </c>
      <c r="L963" s="120">
        <v>20046</v>
      </c>
    </row>
    <row r="964" spans="2:12" outlineLevel="2">
      <c r="B964" s="40">
        <f t="shared" si="29"/>
        <v>500</v>
      </c>
      <c r="C964" s="41" t="s">
        <v>175</v>
      </c>
      <c r="D964" s="41" t="s">
        <v>196</v>
      </c>
      <c r="E964" s="216">
        <v>8332223</v>
      </c>
      <c r="F964" s="216" t="s">
        <v>172</v>
      </c>
      <c r="G964" s="223">
        <v>37803</v>
      </c>
      <c r="H964" s="41"/>
      <c r="I964" s="212">
        <v>45019</v>
      </c>
      <c r="J964" s="41"/>
      <c r="K964" s="120">
        <v>18</v>
      </c>
      <c r="L964" s="120">
        <v>20051</v>
      </c>
    </row>
    <row r="965" spans="2:12" outlineLevel="2">
      <c r="B965" s="40">
        <f t="shared" si="29"/>
        <v>501</v>
      </c>
      <c r="C965" s="41" t="s">
        <v>175</v>
      </c>
      <c r="D965" s="41" t="s">
        <v>196</v>
      </c>
      <c r="E965" s="216">
        <v>9791533</v>
      </c>
      <c r="F965" s="216" t="s">
        <v>172</v>
      </c>
      <c r="G965" s="223">
        <v>38231</v>
      </c>
      <c r="H965" s="41"/>
      <c r="I965" s="212">
        <v>45012</v>
      </c>
      <c r="J965" s="41"/>
      <c r="K965" s="120">
        <v>6</v>
      </c>
      <c r="L965" s="120">
        <v>20052</v>
      </c>
    </row>
    <row r="966" spans="2:12" outlineLevel="2">
      <c r="B966" s="40">
        <f t="shared" si="29"/>
        <v>502</v>
      </c>
      <c r="C966" s="41" t="s">
        <v>175</v>
      </c>
      <c r="D966" s="41" t="s">
        <v>196</v>
      </c>
      <c r="E966" s="216">
        <v>129128</v>
      </c>
      <c r="F966" s="216" t="s">
        <v>172</v>
      </c>
      <c r="G966" s="216" t="s">
        <v>172</v>
      </c>
      <c r="H966" s="41"/>
      <c r="I966" s="212">
        <v>45015</v>
      </c>
      <c r="J966" s="41"/>
      <c r="K966" s="120">
        <v>14</v>
      </c>
      <c r="L966" s="120">
        <v>20054</v>
      </c>
    </row>
    <row r="967" spans="2:12" outlineLevel="2">
      <c r="B967" s="40">
        <f t="shared" si="29"/>
        <v>503</v>
      </c>
      <c r="C967" s="41" t="s">
        <v>175</v>
      </c>
      <c r="D967" s="41" t="s">
        <v>196</v>
      </c>
      <c r="E967" s="216">
        <v>8435315</v>
      </c>
      <c r="F967" s="216" t="s">
        <v>172</v>
      </c>
      <c r="G967" s="223">
        <v>1984</v>
      </c>
      <c r="H967" s="41"/>
      <c r="I967" s="212">
        <v>45012</v>
      </c>
      <c r="J967" s="41"/>
      <c r="K967" s="120">
        <v>9</v>
      </c>
      <c r="L967" s="120">
        <v>20055</v>
      </c>
    </row>
    <row r="968" spans="2:12" outlineLevel="2">
      <c r="B968" s="40">
        <f t="shared" si="29"/>
        <v>504</v>
      </c>
      <c r="C968" s="41" t="s">
        <v>175</v>
      </c>
      <c r="D968" s="41" t="s">
        <v>196</v>
      </c>
      <c r="E968" s="216">
        <v>12573</v>
      </c>
      <c r="F968" s="216" t="s">
        <v>172</v>
      </c>
      <c r="G968" s="223">
        <v>1986</v>
      </c>
      <c r="H968" s="41"/>
      <c r="I968" s="212">
        <v>45008</v>
      </c>
      <c r="J968" s="41"/>
      <c r="K968" s="120">
        <v>48</v>
      </c>
      <c r="L968" s="120">
        <v>20056</v>
      </c>
    </row>
    <row r="969" spans="2:12" outlineLevel="2">
      <c r="B969" s="40">
        <f t="shared" si="29"/>
        <v>505</v>
      </c>
      <c r="C969" s="41" t="s">
        <v>175</v>
      </c>
      <c r="D969" s="41" t="s">
        <v>196</v>
      </c>
      <c r="E969" s="216">
        <v>8642870</v>
      </c>
      <c r="F969" s="216" t="s">
        <v>172</v>
      </c>
      <c r="G969" s="223">
        <v>1986</v>
      </c>
      <c r="H969" s="41"/>
      <c r="I969" s="212">
        <v>45019</v>
      </c>
      <c r="J969" s="41"/>
      <c r="K969" s="120">
        <v>12</v>
      </c>
      <c r="L969" s="120">
        <v>20058</v>
      </c>
    </row>
    <row r="970" spans="2:12" outlineLevel="2">
      <c r="B970" s="40">
        <f t="shared" si="29"/>
        <v>506</v>
      </c>
      <c r="C970" s="41" t="s">
        <v>175</v>
      </c>
      <c r="D970" s="41" t="s">
        <v>196</v>
      </c>
      <c r="E970" s="216">
        <v>8540945</v>
      </c>
      <c r="F970" s="216" t="s">
        <v>172</v>
      </c>
      <c r="G970" s="223">
        <v>1985</v>
      </c>
      <c r="H970" s="41"/>
      <c r="I970" s="212">
        <v>45019</v>
      </c>
      <c r="J970" s="41"/>
      <c r="K970" s="120">
        <v>15</v>
      </c>
      <c r="L970" s="120">
        <v>20059</v>
      </c>
    </row>
    <row r="971" spans="2:12" outlineLevel="2">
      <c r="B971" s="40">
        <f t="shared" si="29"/>
        <v>507</v>
      </c>
      <c r="C971" s="41" t="s">
        <v>175</v>
      </c>
      <c r="D971" s="41" t="s">
        <v>196</v>
      </c>
      <c r="E971" s="216">
        <v>4284</v>
      </c>
      <c r="F971" s="216" t="s">
        <v>172</v>
      </c>
      <c r="G971" s="223">
        <v>34090</v>
      </c>
      <c r="H971" s="41"/>
      <c r="I971" s="212">
        <v>45019</v>
      </c>
      <c r="J971" s="41"/>
      <c r="K971" s="120">
        <v>32</v>
      </c>
      <c r="L971" s="120">
        <v>20061</v>
      </c>
    </row>
    <row r="972" spans="2:12" outlineLevel="2">
      <c r="B972" s="40">
        <f t="shared" si="29"/>
        <v>508</v>
      </c>
      <c r="C972" s="41" t="s">
        <v>175</v>
      </c>
      <c r="D972" s="41" t="s">
        <v>196</v>
      </c>
      <c r="E972" s="216">
        <v>114335</v>
      </c>
      <c r="F972" s="216" t="s">
        <v>172</v>
      </c>
      <c r="G972" s="224">
        <v>36008</v>
      </c>
      <c r="H972" s="41"/>
      <c r="I972" s="212">
        <v>45012</v>
      </c>
      <c r="J972" s="41"/>
      <c r="K972" s="120">
        <v>3</v>
      </c>
      <c r="L972" s="120">
        <v>20064</v>
      </c>
    </row>
    <row r="973" spans="2:12" outlineLevel="2">
      <c r="B973" s="40">
        <f t="shared" si="29"/>
        <v>509</v>
      </c>
      <c r="C973" s="41" t="s">
        <v>175</v>
      </c>
      <c r="D973" s="41" t="s">
        <v>196</v>
      </c>
      <c r="E973" s="216" t="s">
        <v>265</v>
      </c>
      <c r="F973" s="216" t="s">
        <v>172</v>
      </c>
      <c r="G973" s="223">
        <v>2007</v>
      </c>
      <c r="H973" s="41"/>
      <c r="I973" s="212">
        <v>45064</v>
      </c>
      <c r="J973" s="41"/>
      <c r="K973" s="120">
        <v>12</v>
      </c>
      <c r="L973" s="120">
        <v>20164</v>
      </c>
    </row>
    <row r="974" spans="2:12" outlineLevel="2">
      <c r="B974" s="40">
        <f t="shared" si="29"/>
        <v>510</v>
      </c>
      <c r="C974" s="41" t="s">
        <v>175</v>
      </c>
      <c r="D974" s="41" t="s">
        <v>196</v>
      </c>
      <c r="E974" s="216">
        <v>74153</v>
      </c>
      <c r="F974" s="216" t="s">
        <v>172</v>
      </c>
      <c r="G974" s="223">
        <v>40603</v>
      </c>
      <c r="H974" s="41"/>
      <c r="I974" s="212">
        <v>45064</v>
      </c>
      <c r="J974" s="41"/>
      <c r="K974" s="120">
        <v>15</v>
      </c>
      <c r="L974" s="120">
        <v>20166</v>
      </c>
    </row>
    <row r="975" spans="2:12" outlineLevel="2">
      <c r="B975" s="40">
        <f t="shared" si="29"/>
        <v>511</v>
      </c>
      <c r="C975" s="41" t="s">
        <v>175</v>
      </c>
      <c r="D975" s="41" t="s">
        <v>196</v>
      </c>
      <c r="E975" s="216">
        <v>72991</v>
      </c>
      <c r="F975" s="216" t="s">
        <v>172</v>
      </c>
      <c r="G975" s="223">
        <v>38718</v>
      </c>
      <c r="H975" s="41"/>
      <c r="I975" s="212">
        <v>45064</v>
      </c>
      <c r="J975" s="41"/>
      <c r="K975" s="120">
        <v>10</v>
      </c>
      <c r="L975" s="120">
        <v>20184</v>
      </c>
    </row>
    <row r="976" spans="2:12" outlineLevel="2">
      <c r="B976" s="40">
        <f t="shared" si="29"/>
        <v>512</v>
      </c>
      <c r="C976" s="41" t="s">
        <v>175</v>
      </c>
      <c r="D976" s="41" t="s">
        <v>196</v>
      </c>
      <c r="E976" s="216" t="s">
        <v>266</v>
      </c>
      <c r="F976" s="216" t="s">
        <v>172</v>
      </c>
      <c r="G976" s="223">
        <v>2007</v>
      </c>
      <c r="H976" s="41"/>
      <c r="I976" s="212">
        <v>45064</v>
      </c>
      <c r="J976" s="41"/>
      <c r="K976" s="120">
        <v>48</v>
      </c>
      <c r="L976" s="120">
        <v>20193</v>
      </c>
    </row>
    <row r="977" spans="2:12" outlineLevel="2">
      <c r="B977" s="40">
        <f t="shared" si="29"/>
        <v>513</v>
      </c>
      <c r="C977" s="41" t="s">
        <v>175</v>
      </c>
      <c r="D977" s="41" t="s">
        <v>196</v>
      </c>
      <c r="E977" s="216">
        <v>14202</v>
      </c>
      <c r="F977" s="216" t="s">
        <v>172</v>
      </c>
      <c r="G977" s="216">
        <v>40057</v>
      </c>
      <c r="H977" s="41"/>
      <c r="I977" s="212">
        <v>45064</v>
      </c>
      <c r="J977" s="41"/>
      <c r="K977" s="120">
        <v>15</v>
      </c>
      <c r="L977" s="120">
        <v>20198</v>
      </c>
    </row>
    <row r="978" spans="2:12" outlineLevel="2">
      <c r="B978" s="40">
        <f t="shared" si="29"/>
        <v>514</v>
      </c>
      <c r="C978" s="41" t="s">
        <v>175</v>
      </c>
      <c r="D978" s="41" t="s">
        <v>196</v>
      </c>
      <c r="E978" s="216">
        <v>53877</v>
      </c>
      <c r="F978" s="216" t="s">
        <v>172</v>
      </c>
      <c r="G978" s="223">
        <v>34700</v>
      </c>
      <c r="H978" s="41"/>
      <c r="I978" s="212">
        <v>45064</v>
      </c>
      <c r="J978" s="41"/>
      <c r="K978" s="120">
        <v>152</v>
      </c>
      <c r="L978" s="120">
        <v>20199</v>
      </c>
    </row>
    <row r="979" spans="2:12" outlineLevel="2">
      <c r="B979" s="40">
        <f t="shared" si="29"/>
        <v>515</v>
      </c>
      <c r="C979" s="41" t="s">
        <v>175</v>
      </c>
      <c r="D979" s="41" t="s">
        <v>196</v>
      </c>
      <c r="E979" s="216">
        <v>41244</v>
      </c>
      <c r="F979" s="216" t="s">
        <v>172</v>
      </c>
      <c r="G979" s="223">
        <v>36617</v>
      </c>
      <c r="H979" s="41"/>
      <c r="I979" s="212">
        <v>45034</v>
      </c>
      <c r="J979" s="41"/>
      <c r="K979" s="120">
        <v>17</v>
      </c>
      <c r="L979" s="120">
        <v>20203</v>
      </c>
    </row>
    <row r="980" spans="2:12" outlineLevel="2">
      <c r="B980" s="40">
        <f t="shared" si="29"/>
        <v>516</v>
      </c>
      <c r="C980" s="41" t="s">
        <v>175</v>
      </c>
      <c r="D980" s="41" t="s">
        <v>196</v>
      </c>
      <c r="E980" s="216" t="s">
        <v>267</v>
      </c>
      <c r="F980" s="216" t="s">
        <v>172</v>
      </c>
      <c r="G980" s="223">
        <v>38749</v>
      </c>
      <c r="H980" s="41"/>
      <c r="I980" s="212">
        <v>45064</v>
      </c>
      <c r="J980" s="41"/>
      <c r="K980" s="120">
        <v>290</v>
      </c>
      <c r="L980" s="120">
        <v>20204</v>
      </c>
    </row>
    <row r="981" spans="2:12" outlineLevel="2">
      <c r="B981" s="40">
        <f t="shared" si="29"/>
        <v>517</v>
      </c>
      <c r="C981" s="41" t="s">
        <v>175</v>
      </c>
      <c r="D981" s="41" t="s">
        <v>196</v>
      </c>
      <c r="E981" s="216">
        <v>15953</v>
      </c>
      <c r="F981" s="216" t="s">
        <v>172</v>
      </c>
      <c r="G981" s="223">
        <v>40148</v>
      </c>
      <c r="H981" s="41"/>
      <c r="I981" s="212">
        <v>45064</v>
      </c>
      <c r="J981" s="41"/>
      <c r="K981" s="120">
        <v>45</v>
      </c>
      <c r="L981" s="120">
        <v>20206</v>
      </c>
    </row>
    <row r="982" spans="2:12" outlineLevel="2">
      <c r="B982" s="40">
        <f t="shared" si="29"/>
        <v>518</v>
      </c>
      <c r="C982" s="41" t="s">
        <v>175</v>
      </c>
      <c r="D982" s="41" t="s">
        <v>196</v>
      </c>
      <c r="E982" s="216">
        <v>144218</v>
      </c>
      <c r="F982" s="216" t="s">
        <v>172</v>
      </c>
      <c r="G982" s="223">
        <v>38869</v>
      </c>
      <c r="H982" s="41"/>
      <c r="I982" s="212">
        <v>45064</v>
      </c>
      <c r="J982" s="41"/>
      <c r="K982" s="120">
        <v>151</v>
      </c>
      <c r="L982" s="120">
        <v>20208</v>
      </c>
    </row>
    <row r="983" spans="2:12" outlineLevel="2">
      <c r="B983" s="40">
        <f t="shared" si="29"/>
        <v>519</v>
      </c>
      <c r="C983" s="41" t="s">
        <v>175</v>
      </c>
      <c r="D983" s="41" t="s">
        <v>196</v>
      </c>
      <c r="E983" s="216">
        <v>2000929</v>
      </c>
      <c r="F983" s="216" t="s">
        <v>172</v>
      </c>
      <c r="G983" s="223">
        <v>37135</v>
      </c>
      <c r="H983" s="41"/>
      <c r="I983" s="212">
        <v>45044</v>
      </c>
      <c r="J983" s="41"/>
      <c r="K983" s="120">
        <v>48</v>
      </c>
      <c r="L983" s="120">
        <v>20212</v>
      </c>
    </row>
    <row r="984" spans="2:12" outlineLevel="2">
      <c r="B984" s="40">
        <f t="shared" si="29"/>
        <v>520</v>
      </c>
      <c r="C984" s="41" t="s">
        <v>175</v>
      </c>
      <c r="D984" s="41" t="s">
        <v>196</v>
      </c>
      <c r="E984" s="216">
        <v>60797</v>
      </c>
      <c r="F984" s="216" t="s">
        <v>172</v>
      </c>
      <c r="G984" s="223">
        <v>38322</v>
      </c>
      <c r="H984" s="41"/>
      <c r="I984" s="212">
        <v>45044</v>
      </c>
      <c r="J984" s="41"/>
      <c r="K984" s="120">
        <v>14</v>
      </c>
      <c r="L984" s="120">
        <v>20215</v>
      </c>
    </row>
    <row r="985" spans="2:12" outlineLevel="2">
      <c r="B985" s="40">
        <f t="shared" ref="B985" si="30">ROW(A521)</f>
        <v>521</v>
      </c>
      <c r="C985" s="41" t="s">
        <v>175</v>
      </c>
      <c r="D985" s="41" t="s">
        <v>196</v>
      </c>
      <c r="E985" s="216">
        <v>41746</v>
      </c>
      <c r="F985" s="216" t="s">
        <v>172</v>
      </c>
      <c r="G985" s="223">
        <v>39417</v>
      </c>
      <c r="H985" s="41"/>
      <c r="I985" s="212">
        <v>45103</v>
      </c>
      <c r="J985" s="41"/>
      <c r="K985" s="120">
        <v>25</v>
      </c>
      <c r="L985" s="120">
        <v>20224</v>
      </c>
    </row>
    <row r="986" spans="2:12" outlineLevel="2">
      <c r="B986" s="35">
        <f t="shared" ref="B986:B1017" si="31">(B985+1)</f>
        <v>522</v>
      </c>
      <c r="C986" s="41" t="s">
        <v>175</v>
      </c>
      <c r="D986" s="41" t="s">
        <v>196</v>
      </c>
      <c r="E986" s="216">
        <v>11575</v>
      </c>
      <c r="F986" s="216" t="s">
        <v>172</v>
      </c>
      <c r="G986" s="223">
        <v>40148</v>
      </c>
      <c r="H986" s="41"/>
      <c r="I986" s="212">
        <v>45092</v>
      </c>
      <c r="J986" s="41"/>
      <c r="K986" s="120">
        <v>315</v>
      </c>
      <c r="L986" s="120">
        <v>20227</v>
      </c>
    </row>
    <row r="987" spans="2:12" outlineLevel="2">
      <c r="B987" s="35">
        <f t="shared" si="31"/>
        <v>523</v>
      </c>
      <c r="C987" s="41" t="s">
        <v>175</v>
      </c>
      <c r="D987" s="41" t="s">
        <v>196</v>
      </c>
      <c r="E987" s="216" t="s">
        <v>268</v>
      </c>
      <c r="F987" s="216" t="s">
        <v>172</v>
      </c>
      <c r="G987" s="216">
        <v>39873</v>
      </c>
      <c r="H987" s="41"/>
      <c r="I987" s="212">
        <v>45092</v>
      </c>
      <c r="J987" s="41"/>
      <c r="K987" s="120">
        <v>11</v>
      </c>
      <c r="L987" s="120">
        <v>20238</v>
      </c>
    </row>
    <row r="988" spans="2:12" outlineLevel="2">
      <c r="B988" s="35">
        <f t="shared" si="31"/>
        <v>524</v>
      </c>
      <c r="C988" s="41" t="s">
        <v>175</v>
      </c>
      <c r="D988" s="41" t="s">
        <v>196</v>
      </c>
      <c r="E988" s="216" t="s">
        <v>269</v>
      </c>
      <c r="F988" s="216" t="s">
        <v>172</v>
      </c>
      <c r="G988" s="223">
        <v>39022</v>
      </c>
      <c r="H988" s="41"/>
      <c r="I988" s="212">
        <v>45103</v>
      </c>
      <c r="J988" s="41"/>
      <c r="K988" s="120">
        <v>47</v>
      </c>
      <c r="L988" s="120">
        <v>20245</v>
      </c>
    </row>
    <row r="989" spans="2:12" outlineLevel="2">
      <c r="B989" s="35">
        <f t="shared" si="31"/>
        <v>525</v>
      </c>
      <c r="C989" s="41" t="s">
        <v>175</v>
      </c>
      <c r="D989" s="41" t="s">
        <v>196</v>
      </c>
      <c r="E989" s="216" t="s">
        <v>270</v>
      </c>
      <c r="F989" s="216" t="s">
        <v>172</v>
      </c>
      <c r="G989" s="223">
        <v>39873</v>
      </c>
      <c r="H989" s="41"/>
      <c r="I989" s="212">
        <v>45034</v>
      </c>
      <c r="J989" s="41"/>
      <c r="K989" s="120">
        <v>10</v>
      </c>
      <c r="L989" s="120">
        <v>20246</v>
      </c>
    </row>
    <row r="990" spans="2:12" outlineLevel="2">
      <c r="B990" s="35">
        <f t="shared" si="31"/>
        <v>526</v>
      </c>
      <c r="C990" s="41" t="s">
        <v>175</v>
      </c>
      <c r="D990" s="41" t="s">
        <v>196</v>
      </c>
      <c r="E990" s="216">
        <v>114406</v>
      </c>
      <c r="F990" s="216" t="s">
        <v>172</v>
      </c>
      <c r="G990" s="224">
        <v>36008</v>
      </c>
      <c r="H990" s="41"/>
      <c r="I990" s="212">
        <v>45030</v>
      </c>
      <c r="J990" s="41"/>
      <c r="K990" s="120">
        <v>10</v>
      </c>
      <c r="L990" s="120">
        <v>20551</v>
      </c>
    </row>
    <row r="991" spans="2:12" outlineLevel="2">
      <c r="B991" s="35">
        <f t="shared" si="31"/>
        <v>527</v>
      </c>
      <c r="C991" s="41" t="s">
        <v>175</v>
      </c>
      <c r="D991" s="41" t="s">
        <v>196</v>
      </c>
      <c r="E991" s="216" t="s">
        <v>271</v>
      </c>
      <c r="F991" s="216">
        <v>70440</v>
      </c>
      <c r="G991" s="224">
        <v>38565</v>
      </c>
      <c r="H991" s="41"/>
      <c r="I991" s="212">
        <v>45105</v>
      </c>
      <c r="J991" s="41"/>
      <c r="K991" s="120">
        <v>25</v>
      </c>
      <c r="L991" s="120">
        <v>21230</v>
      </c>
    </row>
    <row r="992" spans="2:12" outlineLevel="2">
      <c r="B992" s="35">
        <f t="shared" si="31"/>
        <v>528</v>
      </c>
      <c r="C992" s="41" t="s">
        <v>175</v>
      </c>
      <c r="D992" s="41" t="s">
        <v>196</v>
      </c>
      <c r="E992" s="216">
        <v>463003</v>
      </c>
      <c r="F992" s="216">
        <v>90727</v>
      </c>
      <c r="G992" s="224">
        <v>37834</v>
      </c>
      <c r="H992" s="41"/>
      <c r="I992" s="212">
        <v>45043</v>
      </c>
      <c r="J992" s="41"/>
      <c r="K992" s="120">
        <v>25</v>
      </c>
      <c r="L992" s="120">
        <v>21233</v>
      </c>
    </row>
    <row r="993" spans="2:12" outlineLevel="2">
      <c r="B993" s="35">
        <f t="shared" si="31"/>
        <v>529</v>
      </c>
      <c r="C993" s="41" t="s">
        <v>175</v>
      </c>
      <c r="D993" s="41" t="s">
        <v>196</v>
      </c>
      <c r="E993" s="216">
        <v>36857</v>
      </c>
      <c r="F993" s="228">
        <v>70447</v>
      </c>
      <c r="G993" s="224">
        <v>37926</v>
      </c>
      <c r="H993" s="41"/>
      <c r="I993" s="211">
        <v>45033</v>
      </c>
      <c r="J993" s="41"/>
      <c r="K993" s="241">
        <v>11</v>
      </c>
      <c r="L993" s="120">
        <v>21242</v>
      </c>
    </row>
    <row r="994" spans="2:12" outlineLevel="2">
      <c r="B994" s="35">
        <f t="shared" si="31"/>
        <v>530</v>
      </c>
      <c r="C994" s="41" t="s">
        <v>175</v>
      </c>
      <c r="D994" s="41" t="s">
        <v>196</v>
      </c>
      <c r="E994" s="216">
        <v>43252</v>
      </c>
      <c r="F994" s="228">
        <v>70450</v>
      </c>
      <c r="G994" s="224">
        <v>37377</v>
      </c>
      <c r="H994" s="41"/>
      <c r="I994" s="211">
        <v>45030</v>
      </c>
      <c r="J994" s="41"/>
      <c r="K994" s="241">
        <v>10</v>
      </c>
      <c r="L994" s="120">
        <v>21250</v>
      </c>
    </row>
    <row r="995" spans="2:12" outlineLevel="2">
      <c r="B995" s="35">
        <f t="shared" si="31"/>
        <v>531</v>
      </c>
      <c r="C995" s="41" t="s">
        <v>175</v>
      </c>
      <c r="D995" s="41" t="s">
        <v>196</v>
      </c>
      <c r="E995" s="216">
        <v>50030</v>
      </c>
      <c r="F995" s="228">
        <v>10398</v>
      </c>
      <c r="G995" s="224">
        <v>38412</v>
      </c>
      <c r="H995" s="41"/>
      <c r="I995" s="211">
        <v>45030</v>
      </c>
      <c r="J995" s="41"/>
      <c r="K995" s="241">
        <v>32</v>
      </c>
      <c r="L995" s="120">
        <v>21259</v>
      </c>
    </row>
    <row r="996" spans="2:12" outlineLevel="2">
      <c r="B996" s="35">
        <f t="shared" si="31"/>
        <v>532</v>
      </c>
      <c r="C996" s="41" t="s">
        <v>175</v>
      </c>
      <c r="D996" s="41" t="s">
        <v>196</v>
      </c>
      <c r="E996" s="216">
        <v>161856</v>
      </c>
      <c r="F996" s="216" t="s">
        <v>172</v>
      </c>
      <c r="G996" s="223">
        <v>35065</v>
      </c>
      <c r="H996" s="41"/>
      <c r="I996" s="212">
        <v>45049</v>
      </c>
      <c r="J996" s="41"/>
      <c r="K996" s="120">
        <v>25</v>
      </c>
      <c r="L996" s="120">
        <v>21755</v>
      </c>
    </row>
    <row r="997" spans="2:12" outlineLevel="2">
      <c r="B997" s="35">
        <f t="shared" si="31"/>
        <v>533</v>
      </c>
      <c r="C997" s="41" t="s">
        <v>175</v>
      </c>
      <c r="D997" s="41" t="s">
        <v>196</v>
      </c>
      <c r="E997" s="216" t="s">
        <v>272</v>
      </c>
      <c r="F997" s="216" t="s">
        <v>172</v>
      </c>
      <c r="G997" s="223">
        <v>39417</v>
      </c>
      <c r="H997" s="41"/>
      <c r="I997" s="212">
        <v>45049</v>
      </c>
      <c r="J997" s="41"/>
      <c r="K997" s="120">
        <v>35</v>
      </c>
      <c r="L997" s="120">
        <v>21774</v>
      </c>
    </row>
    <row r="998" spans="2:12" outlineLevel="2">
      <c r="B998" s="35">
        <f t="shared" si="31"/>
        <v>534</v>
      </c>
      <c r="C998" s="41" t="s">
        <v>175</v>
      </c>
      <c r="D998" s="41" t="s">
        <v>196</v>
      </c>
      <c r="E998" s="216">
        <v>10798</v>
      </c>
      <c r="F998" s="228" t="s">
        <v>172</v>
      </c>
      <c r="G998" s="223">
        <v>34486</v>
      </c>
      <c r="H998" s="41"/>
      <c r="I998" s="211">
        <v>45103</v>
      </c>
      <c r="J998" s="41"/>
      <c r="K998" s="241">
        <v>48</v>
      </c>
      <c r="L998" s="120">
        <v>21780</v>
      </c>
    </row>
    <row r="999" spans="2:12" outlineLevel="2">
      <c r="B999" s="35">
        <f t="shared" si="31"/>
        <v>535</v>
      </c>
      <c r="C999" s="41" t="s">
        <v>175</v>
      </c>
      <c r="D999" s="41" t="s">
        <v>196</v>
      </c>
      <c r="E999" s="216">
        <v>114281</v>
      </c>
      <c r="F999" s="216" t="s">
        <v>172</v>
      </c>
      <c r="G999" s="224">
        <v>36008</v>
      </c>
      <c r="H999" s="41"/>
      <c r="I999" s="212">
        <v>45057</v>
      </c>
      <c r="J999" s="41"/>
      <c r="K999" s="120">
        <v>15</v>
      </c>
      <c r="L999" s="120">
        <v>22084</v>
      </c>
    </row>
    <row r="1000" spans="2:12" outlineLevel="2">
      <c r="B1000" s="35">
        <f t="shared" si="31"/>
        <v>536</v>
      </c>
      <c r="C1000" s="41" t="s">
        <v>175</v>
      </c>
      <c r="D1000" s="41" t="s">
        <v>196</v>
      </c>
      <c r="E1000" s="216">
        <v>9605558</v>
      </c>
      <c r="F1000" s="216" t="s">
        <v>172</v>
      </c>
      <c r="G1000" s="224">
        <v>35186</v>
      </c>
      <c r="H1000" s="41"/>
      <c r="I1000" s="212">
        <v>45054</v>
      </c>
      <c r="J1000" s="41"/>
      <c r="K1000" s="248" t="s">
        <v>197</v>
      </c>
      <c r="L1000" s="120">
        <v>22085</v>
      </c>
    </row>
    <row r="1001" spans="2:12" outlineLevel="2">
      <c r="B1001" s="35">
        <f t="shared" si="31"/>
        <v>537</v>
      </c>
      <c r="C1001" s="41" t="s">
        <v>175</v>
      </c>
      <c r="D1001" s="41" t="s">
        <v>196</v>
      </c>
      <c r="E1001" s="216" t="s">
        <v>273</v>
      </c>
      <c r="F1001" s="216" t="s">
        <v>172</v>
      </c>
      <c r="G1001" s="224" t="s">
        <v>172</v>
      </c>
      <c r="H1001" s="41"/>
      <c r="I1001" s="212">
        <v>45055</v>
      </c>
      <c r="J1001" s="41"/>
      <c r="K1001" s="120">
        <v>24</v>
      </c>
      <c r="L1001" s="120">
        <v>22087</v>
      </c>
    </row>
    <row r="1002" spans="2:12" outlineLevel="2">
      <c r="B1002" s="35">
        <f t="shared" si="31"/>
        <v>538</v>
      </c>
      <c r="C1002" s="41" t="s">
        <v>175</v>
      </c>
      <c r="D1002" s="41" t="s">
        <v>196</v>
      </c>
      <c r="E1002" s="216">
        <v>61038</v>
      </c>
      <c r="F1002" s="216" t="s">
        <v>172</v>
      </c>
      <c r="G1002" s="224">
        <v>32417</v>
      </c>
      <c r="H1002" s="41"/>
      <c r="I1002" s="212">
        <v>45054</v>
      </c>
      <c r="J1002" s="41"/>
      <c r="K1002" s="120">
        <v>43</v>
      </c>
      <c r="L1002" s="120">
        <v>22092</v>
      </c>
    </row>
    <row r="1003" spans="2:12" outlineLevel="2">
      <c r="B1003" s="35">
        <f t="shared" si="31"/>
        <v>539</v>
      </c>
      <c r="C1003" s="41" t="s">
        <v>175</v>
      </c>
      <c r="D1003" s="41" t="s">
        <v>196</v>
      </c>
      <c r="E1003" s="216">
        <v>18544</v>
      </c>
      <c r="F1003" s="216" t="s">
        <v>172</v>
      </c>
      <c r="G1003" s="224">
        <v>35551</v>
      </c>
      <c r="H1003" s="41"/>
      <c r="I1003" s="212">
        <v>45034</v>
      </c>
      <c r="J1003" s="41"/>
      <c r="K1003" s="120">
        <v>10</v>
      </c>
      <c r="L1003" s="120">
        <v>22093</v>
      </c>
    </row>
    <row r="1004" spans="2:12" outlineLevel="2">
      <c r="B1004" s="35">
        <f t="shared" si="31"/>
        <v>540</v>
      </c>
      <c r="C1004" s="41" t="s">
        <v>175</v>
      </c>
      <c r="D1004" s="41" t="s">
        <v>196</v>
      </c>
      <c r="E1004" s="217">
        <v>364607</v>
      </c>
      <c r="F1004" s="215">
        <v>64383</v>
      </c>
      <c r="G1004" s="217">
        <v>43647</v>
      </c>
      <c r="H1004" s="41"/>
      <c r="I1004" s="211">
        <v>45084</v>
      </c>
      <c r="J1004" s="41"/>
      <c r="K1004" s="248" t="s">
        <v>197</v>
      </c>
      <c r="L1004" s="244">
        <v>23318</v>
      </c>
    </row>
    <row r="1005" spans="2:12" outlineLevel="2">
      <c r="B1005" s="35">
        <f t="shared" si="31"/>
        <v>541</v>
      </c>
      <c r="C1005" s="41" t="s">
        <v>175</v>
      </c>
      <c r="D1005" s="41" t="s">
        <v>196</v>
      </c>
      <c r="E1005" s="216">
        <v>690377</v>
      </c>
      <c r="F1005" s="216" t="s">
        <v>172</v>
      </c>
      <c r="G1005" s="229">
        <v>40422</v>
      </c>
      <c r="H1005" s="41"/>
      <c r="I1005" s="212">
        <v>45111</v>
      </c>
      <c r="J1005" s="41"/>
      <c r="K1005" s="120">
        <v>9</v>
      </c>
      <c r="L1005" s="242">
        <v>23501</v>
      </c>
    </row>
    <row r="1006" spans="2:12" outlineLevel="2">
      <c r="B1006" s="35">
        <f t="shared" si="31"/>
        <v>542</v>
      </c>
      <c r="C1006" s="41" t="s">
        <v>175</v>
      </c>
      <c r="D1006" s="41" t="s">
        <v>196</v>
      </c>
      <c r="E1006" s="216">
        <v>13384</v>
      </c>
      <c r="F1006" s="216" t="s">
        <v>172</v>
      </c>
      <c r="G1006" s="229">
        <v>40330</v>
      </c>
      <c r="H1006" s="41"/>
      <c r="I1006" s="212">
        <v>45086</v>
      </c>
      <c r="J1006" s="41"/>
      <c r="K1006" s="248" t="s">
        <v>197</v>
      </c>
      <c r="L1006" s="242">
        <v>24256</v>
      </c>
    </row>
    <row r="1007" spans="2:12" outlineLevel="2">
      <c r="B1007" s="35">
        <f t="shared" si="31"/>
        <v>543</v>
      </c>
      <c r="C1007" s="41" t="s">
        <v>175</v>
      </c>
      <c r="D1007" s="41" t="s">
        <v>196</v>
      </c>
      <c r="E1007" s="216">
        <v>81435</v>
      </c>
      <c r="F1007" s="216" t="s">
        <v>172</v>
      </c>
      <c r="G1007" s="229">
        <v>43040</v>
      </c>
      <c r="H1007" s="41"/>
      <c r="I1007" s="212">
        <v>45086</v>
      </c>
      <c r="J1007" s="41"/>
      <c r="K1007" s="248" t="s">
        <v>197</v>
      </c>
      <c r="L1007" s="242">
        <v>24258</v>
      </c>
    </row>
    <row r="1008" spans="2:12" outlineLevel="2">
      <c r="B1008" s="35">
        <f t="shared" si="31"/>
        <v>544</v>
      </c>
      <c r="C1008" s="41" t="s">
        <v>175</v>
      </c>
      <c r="D1008" s="41" t="s">
        <v>196</v>
      </c>
      <c r="E1008" s="216">
        <v>52366</v>
      </c>
      <c r="F1008" s="216" t="s">
        <v>172</v>
      </c>
      <c r="G1008" s="229">
        <v>38384</v>
      </c>
      <c r="H1008" s="41"/>
      <c r="I1008" s="212">
        <v>45086</v>
      </c>
      <c r="J1008" s="41"/>
      <c r="K1008" s="248" t="s">
        <v>197</v>
      </c>
      <c r="L1008" s="242">
        <v>24260</v>
      </c>
    </row>
    <row r="1009" spans="2:12" outlineLevel="2">
      <c r="B1009" s="35">
        <f t="shared" si="31"/>
        <v>545</v>
      </c>
      <c r="C1009" s="41" t="s">
        <v>175</v>
      </c>
      <c r="D1009" s="41" t="s">
        <v>196</v>
      </c>
      <c r="E1009" s="216">
        <v>14152</v>
      </c>
      <c r="F1009" s="216" t="s">
        <v>172</v>
      </c>
      <c r="G1009" s="229">
        <v>39934</v>
      </c>
      <c r="H1009" s="41"/>
      <c r="I1009" s="212">
        <v>45086</v>
      </c>
      <c r="J1009" s="41"/>
      <c r="K1009" s="248" t="s">
        <v>197</v>
      </c>
      <c r="L1009" s="242">
        <v>24261</v>
      </c>
    </row>
    <row r="1010" spans="2:12" outlineLevel="2">
      <c r="B1010" s="35">
        <f t="shared" si="31"/>
        <v>546</v>
      </c>
      <c r="C1010" s="41" t="s">
        <v>175</v>
      </c>
      <c r="D1010" s="41" t="s">
        <v>196</v>
      </c>
      <c r="E1010" s="216">
        <v>15059</v>
      </c>
      <c r="F1010" s="216" t="s">
        <v>172</v>
      </c>
      <c r="G1010" s="229">
        <v>39630</v>
      </c>
      <c r="H1010" s="41"/>
      <c r="I1010" s="212">
        <v>45086</v>
      </c>
      <c r="J1010" s="41"/>
      <c r="K1010" s="248" t="s">
        <v>197</v>
      </c>
      <c r="L1010" s="242">
        <v>24269</v>
      </c>
    </row>
    <row r="1011" spans="2:12" outlineLevel="2">
      <c r="B1011" s="35">
        <f t="shared" si="31"/>
        <v>547</v>
      </c>
      <c r="C1011" s="41" t="s">
        <v>175</v>
      </c>
      <c r="D1011" s="41" t="s">
        <v>196</v>
      </c>
      <c r="E1011" s="216">
        <v>49807</v>
      </c>
      <c r="F1011" s="216" t="s">
        <v>172</v>
      </c>
      <c r="G1011" s="229">
        <v>38322</v>
      </c>
      <c r="H1011" s="41"/>
      <c r="I1011" s="212">
        <v>45086</v>
      </c>
      <c r="J1011" s="41"/>
      <c r="K1011" s="248" t="s">
        <v>197</v>
      </c>
      <c r="L1011" s="242">
        <v>24270</v>
      </c>
    </row>
    <row r="1012" spans="2:12" outlineLevel="2">
      <c r="B1012" s="35">
        <f t="shared" si="31"/>
        <v>548</v>
      </c>
      <c r="C1012" s="41" t="s">
        <v>175</v>
      </c>
      <c r="D1012" s="41" t="s">
        <v>196</v>
      </c>
      <c r="E1012" s="216">
        <v>367953</v>
      </c>
      <c r="F1012" s="216" t="s">
        <v>172</v>
      </c>
      <c r="G1012" s="229">
        <v>42370</v>
      </c>
      <c r="H1012" s="41"/>
      <c r="I1012" s="212">
        <v>45086</v>
      </c>
      <c r="J1012" s="41"/>
      <c r="K1012" s="248" t="s">
        <v>197</v>
      </c>
      <c r="L1012" s="242">
        <v>24276</v>
      </c>
    </row>
    <row r="1013" spans="2:12" outlineLevel="2">
      <c r="B1013" s="35">
        <f t="shared" si="31"/>
        <v>549</v>
      </c>
      <c r="C1013" s="41" t="s">
        <v>175</v>
      </c>
      <c r="D1013" s="41" t="s">
        <v>196</v>
      </c>
      <c r="E1013" s="216">
        <v>9164714</v>
      </c>
      <c r="F1013" s="216" t="s">
        <v>172</v>
      </c>
      <c r="G1013" s="229">
        <v>33359</v>
      </c>
      <c r="H1013" s="41"/>
      <c r="I1013" s="212">
        <v>45086</v>
      </c>
      <c r="J1013" s="41"/>
      <c r="K1013" s="120">
        <v>29</v>
      </c>
      <c r="L1013" s="242">
        <v>24277</v>
      </c>
    </row>
    <row r="1014" spans="2:12" outlineLevel="2">
      <c r="B1014" s="35">
        <f t="shared" si="31"/>
        <v>550</v>
      </c>
      <c r="C1014" s="41" t="s">
        <v>175</v>
      </c>
      <c r="D1014" s="41" t="s">
        <v>196</v>
      </c>
      <c r="E1014" s="216">
        <v>13260</v>
      </c>
      <c r="F1014" s="216" t="s">
        <v>172</v>
      </c>
      <c r="G1014" s="229">
        <v>40299</v>
      </c>
      <c r="H1014" s="41"/>
      <c r="I1014" s="212">
        <v>45086</v>
      </c>
      <c r="J1014" s="41"/>
      <c r="K1014" s="248" t="s">
        <v>197</v>
      </c>
      <c r="L1014" s="242">
        <v>24294</v>
      </c>
    </row>
    <row r="1015" spans="2:12" outlineLevel="2">
      <c r="B1015" s="35">
        <f t="shared" si="31"/>
        <v>551</v>
      </c>
      <c r="C1015" s="41" t="s">
        <v>175</v>
      </c>
      <c r="D1015" s="41" t="s">
        <v>196</v>
      </c>
      <c r="E1015" s="217" t="s">
        <v>274</v>
      </c>
      <c r="F1015" s="215">
        <v>25194</v>
      </c>
      <c r="G1015" s="269">
        <v>39448</v>
      </c>
      <c r="H1015" s="41"/>
      <c r="I1015" s="211">
        <v>45093</v>
      </c>
      <c r="J1015" s="41"/>
      <c r="K1015" s="248" t="s">
        <v>197</v>
      </c>
      <c r="L1015" s="244">
        <v>24352</v>
      </c>
    </row>
    <row r="1016" spans="2:12" outlineLevel="2">
      <c r="B1016" s="35">
        <f t="shared" si="31"/>
        <v>552</v>
      </c>
      <c r="C1016" s="41" t="s">
        <v>175</v>
      </c>
      <c r="D1016" s="41" t="s">
        <v>196</v>
      </c>
      <c r="E1016" s="217">
        <v>521375</v>
      </c>
      <c r="F1016" s="215">
        <v>59696</v>
      </c>
      <c r="G1016" s="269">
        <v>43800</v>
      </c>
      <c r="H1016" s="41"/>
      <c r="I1016" s="211">
        <v>45093</v>
      </c>
      <c r="J1016" s="41"/>
      <c r="K1016" s="248" t="s">
        <v>197</v>
      </c>
      <c r="L1016" s="244">
        <v>24354</v>
      </c>
    </row>
    <row r="1017" spans="2:12" outlineLevel="2">
      <c r="B1017" s="35">
        <f t="shared" si="31"/>
        <v>553</v>
      </c>
      <c r="C1017" s="41" t="s">
        <v>175</v>
      </c>
      <c r="D1017" s="41" t="s">
        <v>196</v>
      </c>
      <c r="E1017" s="217" t="s">
        <v>275</v>
      </c>
      <c r="F1017" s="215">
        <v>45088</v>
      </c>
      <c r="G1017" s="269">
        <v>42370</v>
      </c>
      <c r="H1017" s="41"/>
      <c r="I1017" s="211">
        <v>45093</v>
      </c>
      <c r="J1017" s="41"/>
      <c r="K1017" s="248" t="s">
        <v>197</v>
      </c>
      <c r="L1017" s="244">
        <v>24355</v>
      </c>
    </row>
    <row r="1018" spans="2:12" outlineLevel="2">
      <c r="B1018" s="35">
        <f t="shared" ref="B1018:B1049" si="32">(B1017+1)</f>
        <v>554</v>
      </c>
      <c r="C1018" s="41" t="s">
        <v>175</v>
      </c>
      <c r="D1018" s="41" t="s">
        <v>196</v>
      </c>
      <c r="E1018" s="217">
        <v>50743</v>
      </c>
      <c r="F1018" s="215">
        <v>6607</v>
      </c>
      <c r="G1018" s="269">
        <v>37803</v>
      </c>
      <c r="H1018" s="41"/>
      <c r="I1018" s="211">
        <v>45093</v>
      </c>
      <c r="J1018" s="41"/>
      <c r="K1018" s="248" t="s">
        <v>197</v>
      </c>
      <c r="L1018" s="244">
        <v>24356</v>
      </c>
    </row>
    <row r="1019" spans="2:12" outlineLevel="2">
      <c r="B1019" s="35">
        <f t="shared" si="32"/>
        <v>555</v>
      </c>
      <c r="C1019" s="41" t="s">
        <v>175</v>
      </c>
      <c r="D1019" s="41" t="s">
        <v>196</v>
      </c>
      <c r="E1019" s="216">
        <v>1208300</v>
      </c>
      <c r="F1019" s="216" t="s">
        <v>172</v>
      </c>
      <c r="G1019" s="230">
        <v>43556</v>
      </c>
      <c r="H1019" s="41"/>
      <c r="I1019" s="212">
        <v>45089</v>
      </c>
      <c r="J1019" s="41"/>
      <c r="K1019" s="248" t="s">
        <v>197</v>
      </c>
      <c r="L1019" s="242">
        <v>24473</v>
      </c>
    </row>
    <row r="1020" spans="2:12" outlineLevel="2">
      <c r="B1020" s="35">
        <f t="shared" si="32"/>
        <v>556</v>
      </c>
      <c r="C1020" s="41" t="s">
        <v>175</v>
      </c>
      <c r="D1020" s="41" t="s">
        <v>196</v>
      </c>
      <c r="E1020" s="216" t="s">
        <v>276</v>
      </c>
      <c r="F1020" s="216" t="s">
        <v>172</v>
      </c>
      <c r="G1020" s="230">
        <v>38991</v>
      </c>
      <c r="H1020" s="41"/>
      <c r="I1020" s="212">
        <v>45089</v>
      </c>
      <c r="J1020" s="41"/>
      <c r="K1020" s="248" t="s">
        <v>197</v>
      </c>
      <c r="L1020" s="242">
        <v>24476</v>
      </c>
    </row>
    <row r="1021" spans="2:12" outlineLevel="2">
      <c r="B1021" s="35">
        <f t="shared" si="32"/>
        <v>557</v>
      </c>
      <c r="C1021" s="41" t="s">
        <v>175</v>
      </c>
      <c r="D1021" s="41" t="s">
        <v>196</v>
      </c>
      <c r="E1021" s="217">
        <v>13655</v>
      </c>
      <c r="F1021" s="215" t="s">
        <v>172</v>
      </c>
      <c r="G1021" s="270">
        <v>40422</v>
      </c>
      <c r="H1021" s="41"/>
      <c r="I1021" s="211">
        <v>45089</v>
      </c>
      <c r="J1021" s="41"/>
      <c r="K1021" s="248" t="s">
        <v>197</v>
      </c>
      <c r="L1021" s="244">
        <v>24500</v>
      </c>
    </row>
    <row r="1022" spans="2:12" outlineLevel="2">
      <c r="B1022" s="35">
        <f t="shared" si="32"/>
        <v>558</v>
      </c>
      <c r="C1022" s="41" t="s">
        <v>175</v>
      </c>
      <c r="D1022" s="41" t="s">
        <v>196</v>
      </c>
      <c r="E1022" s="216">
        <v>39618</v>
      </c>
      <c r="F1022" s="216">
        <v>71153</v>
      </c>
      <c r="G1022" s="223">
        <v>36617</v>
      </c>
      <c r="H1022" s="41"/>
      <c r="I1022" s="239">
        <v>45103</v>
      </c>
      <c r="J1022" s="41"/>
      <c r="K1022" s="248" t="s">
        <v>197</v>
      </c>
      <c r="L1022" s="243">
        <v>24983</v>
      </c>
    </row>
    <row r="1023" spans="2:12" outlineLevel="2">
      <c r="B1023" s="35">
        <f t="shared" si="32"/>
        <v>559</v>
      </c>
      <c r="C1023" s="41" t="s">
        <v>175</v>
      </c>
      <c r="D1023" s="41" t="s">
        <v>196</v>
      </c>
      <c r="E1023" s="216">
        <v>67143</v>
      </c>
      <c r="F1023" s="216">
        <v>71151</v>
      </c>
      <c r="G1023" s="223">
        <v>38504</v>
      </c>
      <c r="H1023" s="41"/>
      <c r="I1023" s="239">
        <v>45103</v>
      </c>
      <c r="J1023" s="41"/>
      <c r="K1023" s="248" t="s">
        <v>197</v>
      </c>
      <c r="L1023" s="243">
        <v>24987</v>
      </c>
    </row>
    <row r="1024" spans="2:12" outlineLevel="2">
      <c r="B1024" s="35">
        <f t="shared" si="32"/>
        <v>560</v>
      </c>
      <c r="C1024" s="41" t="s">
        <v>175</v>
      </c>
      <c r="D1024" s="41" t="s">
        <v>196</v>
      </c>
      <c r="E1024" s="216">
        <v>79865</v>
      </c>
      <c r="F1024" s="216">
        <v>19580</v>
      </c>
      <c r="G1024" s="216" t="s">
        <v>172</v>
      </c>
      <c r="H1024" s="41"/>
      <c r="I1024" s="239">
        <v>45103</v>
      </c>
      <c r="J1024" s="41"/>
      <c r="K1024" s="248" t="s">
        <v>197</v>
      </c>
      <c r="L1024" s="243">
        <v>24988</v>
      </c>
    </row>
    <row r="1025" spans="2:12" outlineLevel="2">
      <c r="B1025" s="35">
        <f t="shared" si="32"/>
        <v>561</v>
      </c>
      <c r="C1025" s="41" t="s">
        <v>175</v>
      </c>
      <c r="D1025" s="41" t="s">
        <v>196</v>
      </c>
      <c r="E1025" s="216">
        <v>152781</v>
      </c>
      <c r="F1025" s="216">
        <v>3638</v>
      </c>
      <c r="G1025" s="223">
        <v>36770</v>
      </c>
      <c r="H1025" s="41"/>
      <c r="I1025" s="239">
        <v>45103</v>
      </c>
      <c r="J1025" s="41"/>
      <c r="K1025" s="120">
        <v>10</v>
      </c>
      <c r="L1025" s="243">
        <v>24990</v>
      </c>
    </row>
    <row r="1026" spans="2:12" outlineLevel="2">
      <c r="B1026" s="35">
        <f t="shared" si="32"/>
        <v>562</v>
      </c>
      <c r="C1026" s="41" t="s">
        <v>175</v>
      </c>
      <c r="D1026" s="41" t="s">
        <v>196</v>
      </c>
      <c r="E1026" s="216">
        <v>366203</v>
      </c>
      <c r="F1026" s="216">
        <v>56522</v>
      </c>
      <c r="G1026" s="216">
        <v>43586</v>
      </c>
      <c r="H1026" s="41"/>
      <c r="I1026" s="239">
        <v>45103</v>
      </c>
      <c r="J1026" s="41"/>
      <c r="K1026" s="248" t="s">
        <v>197</v>
      </c>
      <c r="L1026" s="243">
        <v>24995</v>
      </c>
    </row>
    <row r="1027" spans="2:12" outlineLevel="2">
      <c r="B1027" s="35">
        <f t="shared" si="32"/>
        <v>563</v>
      </c>
      <c r="C1027" s="41" t="s">
        <v>175</v>
      </c>
      <c r="D1027" s="41" t="s">
        <v>196</v>
      </c>
      <c r="E1027" s="216">
        <v>372728</v>
      </c>
      <c r="F1027" s="216">
        <v>58465</v>
      </c>
      <c r="G1027" s="223">
        <v>43678</v>
      </c>
      <c r="H1027" s="41"/>
      <c r="I1027" s="239">
        <v>45103</v>
      </c>
      <c r="J1027" s="41"/>
      <c r="K1027" s="248" t="s">
        <v>197</v>
      </c>
      <c r="L1027" s="243">
        <v>24996</v>
      </c>
    </row>
    <row r="1028" spans="2:12" outlineLevel="2">
      <c r="B1028" s="35">
        <f t="shared" si="32"/>
        <v>564</v>
      </c>
      <c r="C1028" s="41" t="s">
        <v>175</v>
      </c>
      <c r="D1028" s="41" t="s">
        <v>196</v>
      </c>
      <c r="E1028" s="219">
        <v>1269915</v>
      </c>
      <c r="F1028" s="215">
        <v>60004</v>
      </c>
      <c r="G1028" s="222">
        <v>43831</v>
      </c>
      <c r="H1028" s="41"/>
      <c r="I1028" s="238">
        <v>45103</v>
      </c>
      <c r="J1028" s="41"/>
      <c r="K1028" s="248" t="s">
        <v>197</v>
      </c>
      <c r="L1028" s="271">
        <v>25003</v>
      </c>
    </row>
    <row r="1029" spans="2:12" outlineLevel="2">
      <c r="B1029" s="35">
        <f t="shared" si="32"/>
        <v>565</v>
      </c>
      <c r="C1029" s="41" t="s">
        <v>175</v>
      </c>
      <c r="D1029" s="41" t="s">
        <v>196</v>
      </c>
      <c r="E1029" s="219" t="s">
        <v>277</v>
      </c>
      <c r="F1029" s="215">
        <v>49494</v>
      </c>
      <c r="G1029" s="222">
        <v>42948</v>
      </c>
      <c r="H1029" s="41"/>
      <c r="I1029" s="238">
        <v>45103</v>
      </c>
      <c r="J1029" s="41"/>
      <c r="K1029" s="248" t="s">
        <v>197</v>
      </c>
      <c r="L1029" s="271">
        <v>25007</v>
      </c>
    </row>
    <row r="1030" spans="2:12" outlineLevel="2">
      <c r="B1030" s="35">
        <f t="shared" si="32"/>
        <v>566</v>
      </c>
      <c r="C1030" s="41" t="s">
        <v>175</v>
      </c>
      <c r="D1030" s="41" t="s">
        <v>196</v>
      </c>
      <c r="E1030" s="219" t="s">
        <v>278</v>
      </c>
      <c r="F1030" s="215">
        <v>24647</v>
      </c>
      <c r="G1030" s="222">
        <v>39448</v>
      </c>
      <c r="H1030" s="41"/>
      <c r="I1030" s="238">
        <v>45103</v>
      </c>
      <c r="J1030" s="41"/>
      <c r="K1030" s="248" t="s">
        <v>197</v>
      </c>
      <c r="L1030" s="271">
        <v>25008</v>
      </c>
    </row>
    <row r="1031" spans="2:12" outlineLevel="2">
      <c r="B1031" s="35">
        <f t="shared" si="32"/>
        <v>567</v>
      </c>
      <c r="C1031" s="41" t="s">
        <v>175</v>
      </c>
      <c r="D1031" s="41" t="s">
        <v>196</v>
      </c>
      <c r="E1031" s="219" t="s">
        <v>279</v>
      </c>
      <c r="F1031" s="215">
        <v>15497</v>
      </c>
      <c r="G1031" s="222">
        <v>38838</v>
      </c>
      <c r="H1031" s="41"/>
      <c r="I1031" s="238">
        <v>45103</v>
      </c>
      <c r="J1031" s="41"/>
      <c r="K1031" s="248" t="s">
        <v>197</v>
      </c>
      <c r="L1031" s="271">
        <v>25009</v>
      </c>
    </row>
    <row r="1032" spans="2:12" outlineLevel="2">
      <c r="B1032" s="35">
        <f t="shared" si="32"/>
        <v>568</v>
      </c>
      <c r="C1032" s="41" t="s">
        <v>175</v>
      </c>
      <c r="D1032" s="41" t="s">
        <v>196</v>
      </c>
      <c r="E1032" s="217">
        <v>284558</v>
      </c>
      <c r="F1032" s="215">
        <v>10194</v>
      </c>
      <c r="G1032" s="222">
        <v>41395</v>
      </c>
      <c r="H1032" s="41"/>
      <c r="I1032" s="238">
        <v>45103</v>
      </c>
      <c r="J1032" s="41"/>
      <c r="K1032" s="241">
        <v>35</v>
      </c>
      <c r="L1032" s="271">
        <v>25020</v>
      </c>
    </row>
    <row r="1033" spans="2:12" outlineLevel="2">
      <c r="B1033" s="35">
        <f t="shared" si="32"/>
        <v>569</v>
      </c>
      <c r="C1033" s="41" t="s">
        <v>175</v>
      </c>
      <c r="D1033" s="41" t="s">
        <v>196</v>
      </c>
      <c r="E1033" s="217" t="s">
        <v>280</v>
      </c>
      <c r="F1033" s="215">
        <v>39523</v>
      </c>
      <c r="G1033" s="222" t="s">
        <v>172</v>
      </c>
      <c r="H1033" s="41"/>
      <c r="I1033" s="238">
        <v>45103</v>
      </c>
      <c r="J1033" s="41"/>
      <c r="K1033" s="241">
        <v>15</v>
      </c>
      <c r="L1033" s="271">
        <v>25030</v>
      </c>
    </row>
    <row r="1034" spans="2:12" outlineLevel="2">
      <c r="B1034" s="35">
        <f t="shared" si="32"/>
        <v>570</v>
      </c>
      <c r="C1034" s="41" t="s">
        <v>175</v>
      </c>
      <c r="D1034" s="41" t="s">
        <v>196</v>
      </c>
      <c r="E1034" s="216">
        <v>114342</v>
      </c>
      <c r="F1034" s="216" t="s">
        <v>172</v>
      </c>
      <c r="G1034" s="223">
        <v>36008</v>
      </c>
      <c r="H1034" s="41"/>
      <c r="I1034" s="212">
        <v>45107</v>
      </c>
      <c r="J1034" s="41"/>
      <c r="K1034" s="120">
        <v>15</v>
      </c>
      <c r="L1034" s="243">
        <v>25313</v>
      </c>
    </row>
    <row r="1035" spans="2:12" outlineLevel="2">
      <c r="B1035" s="35">
        <f t="shared" si="32"/>
        <v>571</v>
      </c>
      <c r="C1035" s="41" t="s">
        <v>175</v>
      </c>
      <c r="D1035" s="41" t="s">
        <v>196</v>
      </c>
      <c r="E1035" s="216">
        <v>27207</v>
      </c>
      <c r="F1035" s="216" t="s">
        <v>172</v>
      </c>
      <c r="G1035" s="223">
        <v>29373</v>
      </c>
      <c r="H1035" s="41"/>
      <c r="I1035" s="212">
        <v>45107</v>
      </c>
      <c r="J1035" s="41"/>
      <c r="K1035" s="120">
        <v>25</v>
      </c>
      <c r="L1035" s="243">
        <v>25319</v>
      </c>
    </row>
    <row r="1036" spans="2:12" outlineLevel="2">
      <c r="B1036" s="35">
        <f t="shared" si="32"/>
        <v>572</v>
      </c>
      <c r="C1036" s="41" t="s">
        <v>175</v>
      </c>
      <c r="D1036" s="41" t="s">
        <v>196</v>
      </c>
      <c r="E1036" s="216">
        <v>15492</v>
      </c>
      <c r="F1036" s="216" t="s">
        <v>172</v>
      </c>
      <c r="G1036" s="224">
        <v>38657</v>
      </c>
      <c r="H1036" s="41"/>
      <c r="I1036" s="212">
        <v>45107</v>
      </c>
      <c r="J1036" s="41"/>
      <c r="K1036" s="120">
        <v>31</v>
      </c>
      <c r="L1036" s="243">
        <v>25339</v>
      </c>
    </row>
    <row r="1037" spans="2:12" outlineLevel="2">
      <c r="B1037" s="35">
        <f t="shared" si="32"/>
        <v>573</v>
      </c>
      <c r="C1037" s="41" t="s">
        <v>175</v>
      </c>
      <c r="D1037" s="41" t="s">
        <v>196</v>
      </c>
      <c r="E1037" s="216">
        <v>2004266</v>
      </c>
      <c r="F1037" s="216" t="s">
        <v>172</v>
      </c>
      <c r="G1037" s="224">
        <v>38353</v>
      </c>
      <c r="H1037" s="41"/>
      <c r="I1037" s="212">
        <v>45107</v>
      </c>
      <c r="J1037" s="41"/>
      <c r="K1037" s="120">
        <v>25</v>
      </c>
      <c r="L1037" s="243">
        <v>25346</v>
      </c>
    </row>
    <row r="1038" spans="2:12" outlineLevel="2">
      <c r="B1038" s="35">
        <f t="shared" si="32"/>
        <v>574</v>
      </c>
      <c r="C1038" s="41" t="s">
        <v>175</v>
      </c>
      <c r="D1038" s="41" t="s">
        <v>196</v>
      </c>
      <c r="E1038" s="216">
        <v>77128</v>
      </c>
      <c r="F1038" s="216" t="s">
        <v>172</v>
      </c>
      <c r="G1038" s="224" t="s">
        <v>281</v>
      </c>
      <c r="H1038" s="41"/>
      <c r="I1038" s="212">
        <v>45107</v>
      </c>
      <c r="J1038" s="41"/>
      <c r="K1038" s="120">
        <v>18</v>
      </c>
      <c r="L1038" s="243">
        <v>25349</v>
      </c>
    </row>
    <row r="1039" spans="2:12" outlineLevel="2">
      <c r="B1039" s="35">
        <f t="shared" si="32"/>
        <v>575</v>
      </c>
      <c r="C1039" s="41" t="s">
        <v>175</v>
      </c>
      <c r="D1039" s="41" t="s">
        <v>196</v>
      </c>
      <c r="E1039" s="216">
        <v>2004809</v>
      </c>
      <c r="F1039" s="216" t="s">
        <v>172</v>
      </c>
      <c r="G1039" s="224">
        <v>38412</v>
      </c>
      <c r="H1039" s="41"/>
      <c r="I1039" s="212">
        <v>45107</v>
      </c>
      <c r="J1039" s="41"/>
      <c r="K1039" s="120">
        <v>21</v>
      </c>
      <c r="L1039" s="243">
        <v>25350</v>
      </c>
    </row>
    <row r="1040" spans="2:12" outlineLevel="2">
      <c r="B1040" s="35">
        <f t="shared" si="32"/>
        <v>576</v>
      </c>
      <c r="C1040" s="41" t="s">
        <v>175</v>
      </c>
      <c r="D1040" s="41" t="s">
        <v>196</v>
      </c>
      <c r="E1040" s="216">
        <v>36073</v>
      </c>
      <c r="F1040" s="216" t="s">
        <v>172</v>
      </c>
      <c r="G1040" s="224">
        <v>37895</v>
      </c>
      <c r="H1040" s="41"/>
      <c r="I1040" s="212">
        <v>45113</v>
      </c>
      <c r="J1040" s="41"/>
      <c r="K1040" s="120">
        <v>5</v>
      </c>
      <c r="L1040" s="243">
        <v>25368</v>
      </c>
    </row>
    <row r="1041" spans="2:12" outlineLevel="2">
      <c r="B1041" s="35">
        <f t="shared" si="32"/>
        <v>577</v>
      </c>
      <c r="C1041" s="41" t="s">
        <v>175</v>
      </c>
      <c r="D1041" s="41" t="s">
        <v>196</v>
      </c>
      <c r="E1041" s="216">
        <v>19626</v>
      </c>
      <c r="F1041" s="216" t="s">
        <v>172</v>
      </c>
      <c r="G1041" s="224">
        <v>35431</v>
      </c>
      <c r="H1041" s="41"/>
      <c r="I1041" s="212">
        <v>45113</v>
      </c>
      <c r="J1041" s="41"/>
      <c r="K1041" s="120">
        <v>17</v>
      </c>
      <c r="L1041" s="243">
        <v>25379</v>
      </c>
    </row>
    <row r="1042" spans="2:12" outlineLevel="2">
      <c r="B1042" s="35">
        <f t="shared" si="32"/>
        <v>578</v>
      </c>
      <c r="C1042" s="41" t="s">
        <v>175</v>
      </c>
      <c r="D1042" s="41" t="s">
        <v>196</v>
      </c>
      <c r="E1042" s="216">
        <v>72662</v>
      </c>
      <c r="F1042" s="216" t="s">
        <v>172</v>
      </c>
      <c r="G1042" s="224">
        <v>35339</v>
      </c>
      <c r="H1042" s="41"/>
      <c r="I1042" s="212">
        <v>45113</v>
      </c>
      <c r="J1042" s="41"/>
      <c r="K1042" s="120">
        <v>10</v>
      </c>
      <c r="L1042" s="243">
        <v>25397</v>
      </c>
    </row>
    <row r="1043" spans="2:12" outlineLevel="2">
      <c r="B1043" s="35">
        <f t="shared" si="32"/>
        <v>579</v>
      </c>
      <c r="C1043" s="41" t="s">
        <v>175</v>
      </c>
      <c r="D1043" s="41" t="s">
        <v>196</v>
      </c>
      <c r="E1043" s="216">
        <v>45501</v>
      </c>
      <c r="F1043" s="216" t="s">
        <v>172</v>
      </c>
      <c r="G1043" s="224">
        <v>34151</v>
      </c>
      <c r="H1043" s="41"/>
      <c r="I1043" s="212">
        <v>45113</v>
      </c>
      <c r="J1043" s="41"/>
      <c r="K1043" s="120">
        <v>17</v>
      </c>
      <c r="L1043" s="243">
        <v>25406</v>
      </c>
    </row>
    <row r="1044" spans="2:12" outlineLevel="2">
      <c r="B1044" s="35">
        <f t="shared" si="32"/>
        <v>580</v>
      </c>
      <c r="C1044" s="41" t="s">
        <v>175</v>
      </c>
      <c r="D1044" s="41" t="s">
        <v>196</v>
      </c>
      <c r="E1044" s="216">
        <v>72001</v>
      </c>
      <c r="F1044" s="216" t="s">
        <v>172</v>
      </c>
      <c r="G1044" s="224">
        <v>37956</v>
      </c>
      <c r="H1044" s="41"/>
      <c r="I1044" s="212">
        <v>45113</v>
      </c>
      <c r="J1044" s="41"/>
      <c r="K1044" s="120">
        <v>13</v>
      </c>
      <c r="L1044" s="243">
        <v>25414</v>
      </c>
    </row>
    <row r="1045" spans="2:12" outlineLevel="2">
      <c r="B1045" s="35">
        <f t="shared" si="32"/>
        <v>581</v>
      </c>
      <c r="C1045" s="41" t="s">
        <v>175</v>
      </c>
      <c r="D1045" s="41" t="s">
        <v>196</v>
      </c>
      <c r="E1045" s="216">
        <v>5425</v>
      </c>
      <c r="F1045" s="216" t="s">
        <v>172</v>
      </c>
      <c r="G1045" s="224">
        <v>38534</v>
      </c>
      <c r="H1045" s="41"/>
      <c r="I1045" s="212">
        <v>45117</v>
      </c>
      <c r="J1045" s="41"/>
      <c r="K1045" s="120">
        <v>25</v>
      </c>
      <c r="L1045" s="243">
        <v>25608</v>
      </c>
    </row>
    <row r="1046" spans="2:12" outlineLevel="2">
      <c r="B1046" s="35">
        <f t="shared" si="32"/>
        <v>582</v>
      </c>
      <c r="C1046" s="41" t="s">
        <v>175</v>
      </c>
      <c r="D1046" s="41" t="s">
        <v>196</v>
      </c>
      <c r="E1046" s="216">
        <v>15709</v>
      </c>
      <c r="F1046" s="216" t="s">
        <v>172</v>
      </c>
      <c r="G1046" s="224">
        <v>38718</v>
      </c>
      <c r="H1046" s="41"/>
      <c r="I1046" s="212">
        <v>45117</v>
      </c>
      <c r="J1046" s="41"/>
      <c r="K1046" s="120">
        <v>29</v>
      </c>
      <c r="L1046" s="243">
        <v>25622</v>
      </c>
    </row>
    <row r="1047" spans="2:12" outlineLevel="2">
      <c r="B1047" s="35">
        <f t="shared" si="32"/>
        <v>583</v>
      </c>
      <c r="C1047" s="41" t="s">
        <v>175</v>
      </c>
      <c r="D1047" s="41" t="s">
        <v>196</v>
      </c>
      <c r="E1047" s="216">
        <v>15673</v>
      </c>
      <c r="F1047" s="216" t="s">
        <v>172</v>
      </c>
      <c r="G1047" s="223">
        <v>38718</v>
      </c>
      <c r="H1047" s="41"/>
      <c r="I1047" s="212">
        <v>45117</v>
      </c>
      <c r="J1047" s="41"/>
      <c r="K1047" s="120">
        <v>31</v>
      </c>
      <c r="L1047" s="243">
        <v>25632</v>
      </c>
    </row>
    <row r="1048" spans="2:12" outlineLevel="2">
      <c r="B1048" s="35">
        <f t="shared" si="32"/>
        <v>584</v>
      </c>
      <c r="C1048" s="41" t="s">
        <v>175</v>
      </c>
      <c r="D1048" s="41" t="s">
        <v>196</v>
      </c>
      <c r="E1048" s="216" t="s">
        <v>282</v>
      </c>
      <c r="F1048" s="216" t="s">
        <v>172</v>
      </c>
      <c r="G1048" s="224">
        <v>38961</v>
      </c>
      <c r="H1048" s="41"/>
      <c r="I1048" s="212">
        <v>45198</v>
      </c>
      <c r="J1048" s="41"/>
      <c r="K1048" s="120">
        <v>40</v>
      </c>
      <c r="L1048" s="243">
        <v>25787</v>
      </c>
    </row>
    <row r="1049" spans="2:12" outlineLevel="2">
      <c r="B1049" s="35">
        <f t="shared" si="32"/>
        <v>585</v>
      </c>
      <c r="C1049" s="41" t="s">
        <v>175</v>
      </c>
      <c r="D1049" s="41" t="s">
        <v>196</v>
      </c>
      <c r="E1049" s="216">
        <v>43105</v>
      </c>
      <c r="F1049" s="216" t="s">
        <v>172</v>
      </c>
      <c r="G1049" s="224">
        <v>38231</v>
      </c>
      <c r="H1049" s="41"/>
      <c r="I1049" s="212">
        <v>45202</v>
      </c>
      <c r="J1049" s="41"/>
      <c r="K1049" s="120">
        <v>91</v>
      </c>
      <c r="L1049" s="243">
        <v>25789</v>
      </c>
    </row>
    <row r="1050" spans="2:12" outlineLevel="2">
      <c r="B1050" s="35">
        <f t="shared" ref="B1050:B1081" si="33">(B1049+1)</f>
        <v>586</v>
      </c>
      <c r="C1050" s="41" t="s">
        <v>175</v>
      </c>
      <c r="D1050" s="41" t="s">
        <v>196</v>
      </c>
      <c r="E1050" s="216">
        <v>80712</v>
      </c>
      <c r="F1050" s="216" t="s">
        <v>172</v>
      </c>
      <c r="G1050" s="224">
        <v>42552</v>
      </c>
      <c r="H1050" s="41"/>
      <c r="I1050" s="212">
        <v>45198</v>
      </c>
      <c r="J1050" s="41"/>
      <c r="K1050" s="120">
        <v>111</v>
      </c>
      <c r="L1050" s="243">
        <v>25800</v>
      </c>
    </row>
    <row r="1051" spans="2:12" outlineLevel="2">
      <c r="B1051" s="35">
        <f t="shared" si="33"/>
        <v>587</v>
      </c>
      <c r="C1051" s="41" t="s">
        <v>175</v>
      </c>
      <c r="D1051" s="41" t="s">
        <v>196</v>
      </c>
      <c r="E1051" s="216" t="s">
        <v>283</v>
      </c>
      <c r="F1051" s="216" t="s">
        <v>172</v>
      </c>
      <c r="G1051" s="224">
        <v>40391</v>
      </c>
      <c r="H1051" s="41"/>
      <c r="I1051" s="212">
        <v>45209</v>
      </c>
      <c r="J1051" s="41"/>
      <c r="K1051" s="120">
        <v>32</v>
      </c>
      <c r="L1051" s="243">
        <v>25802</v>
      </c>
    </row>
    <row r="1052" spans="2:12" outlineLevel="2">
      <c r="B1052" s="35">
        <f t="shared" si="33"/>
        <v>588</v>
      </c>
      <c r="C1052" s="41" t="s">
        <v>175</v>
      </c>
      <c r="D1052" s="41" t="s">
        <v>196</v>
      </c>
      <c r="E1052" s="219">
        <v>63073</v>
      </c>
      <c r="F1052" s="215" t="s">
        <v>172</v>
      </c>
      <c r="G1052" s="222">
        <v>35125</v>
      </c>
      <c r="H1052" s="41"/>
      <c r="I1052" s="211">
        <v>45202</v>
      </c>
      <c r="J1052" s="41"/>
      <c r="K1052" s="241">
        <v>33</v>
      </c>
      <c r="L1052" s="271">
        <v>25807</v>
      </c>
    </row>
    <row r="1053" spans="2:12" outlineLevel="2">
      <c r="B1053" s="35">
        <f t="shared" si="33"/>
        <v>589</v>
      </c>
      <c r="C1053" s="41" t="s">
        <v>175</v>
      </c>
      <c r="D1053" s="41" t="s">
        <v>196</v>
      </c>
      <c r="E1053" s="219" t="s">
        <v>284</v>
      </c>
      <c r="F1053" s="215" t="s">
        <v>172</v>
      </c>
      <c r="G1053" s="222">
        <v>39022</v>
      </c>
      <c r="H1053" s="41"/>
      <c r="I1053" s="211">
        <v>45191</v>
      </c>
      <c r="J1053" s="41"/>
      <c r="K1053" s="241">
        <v>37</v>
      </c>
      <c r="L1053" s="271">
        <v>25808</v>
      </c>
    </row>
    <row r="1054" spans="2:12" outlineLevel="2">
      <c r="B1054" s="35">
        <f t="shared" si="33"/>
        <v>590</v>
      </c>
      <c r="C1054" s="41" t="s">
        <v>175</v>
      </c>
      <c r="D1054" s="41" t="s">
        <v>196</v>
      </c>
      <c r="E1054" s="219">
        <v>36317</v>
      </c>
      <c r="F1054" s="215" t="s">
        <v>172</v>
      </c>
      <c r="G1054" s="222">
        <v>37895</v>
      </c>
      <c r="H1054" s="41"/>
      <c r="I1054" s="211">
        <v>45191</v>
      </c>
      <c r="J1054" s="41"/>
      <c r="K1054" s="241">
        <v>5</v>
      </c>
      <c r="L1054" s="271">
        <v>25811</v>
      </c>
    </row>
    <row r="1055" spans="2:12" outlineLevel="2">
      <c r="B1055" s="35">
        <f t="shared" si="33"/>
        <v>591</v>
      </c>
      <c r="C1055" s="41" t="s">
        <v>175</v>
      </c>
      <c r="D1055" s="41" t="s">
        <v>196</v>
      </c>
      <c r="E1055" s="219" t="s">
        <v>285</v>
      </c>
      <c r="F1055" s="215" t="s">
        <v>172</v>
      </c>
      <c r="G1055" s="222">
        <v>39783</v>
      </c>
      <c r="H1055" s="41"/>
      <c r="I1055" s="211">
        <v>45198</v>
      </c>
      <c r="J1055" s="41"/>
      <c r="K1055" s="241">
        <v>44</v>
      </c>
      <c r="L1055" s="271">
        <v>25820</v>
      </c>
    </row>
    <row r="1056" spans="2:12" outlineLevel="2">
      <c r="B1056" s="35">
        <f t="shared" si="33"/>
        <v>592</v>
      </c>
      <c r="C1056" s="41" t="s">
        <v>175</v>
      </c>
      <c r="D1056" s="41" t="s">
        <v>196</v>
      </c>
      <c r="E1056" s="219">
        <v>120176</v>
      </c>
      <c r="F1056" s="215" t="s">
        <v>172</v>
      </c>
      <c r="G1056" s="222">
        <v>36130</v>
      </c>
      <c r="H1056" s="41"/>
      <c r="I1056" s="211">
        <v>45209</v>
      </c>
      <c r="J1056" s="41"/>
      <c r="K1056" s="241">
        <v>5</v>
      </c>
      <c r="L1056" s="271">
        <v>25825</v>
      </c>
    </row>
    <row r="1057" spans="2:12" outlineLevel="2">
      <c r="B1057" s="35">
        <f t="shared" si="33"/>
        <v>593</v>
      </c>
      <c r="C1057" s="41" t="s">
        <v>175</v>
      </c>
      <c r="D1057" s="41" t="s">
        <v>196</v>
      </c>
      <c r="E1057" s="219">
        <v>49943</v>
      </c>
      <c r="F1057" s="215" t="s">
        <v>172</v>
      </c>
      <c r="G1057" s="222">
        <v>38322</v>
      </c>
      <c r="H1057" s="41"/>
      <c r="I1057" s="211">
        <v>45209</v>
      </c>
      <c r="J1057" s="41"/>
      <c r="K1057" s="241">
        <v>3</v>
      </c>
      <c r="L1057" s="271">
        <v>25826</v>
      </c>
    </row>
    <row r="1058" spans="2:12" outlineLevel="2">
      <c r="B1058" s="35">
        <f t="shared" si="33"/>
        <v>594</v>
      </c>
      <c r="C1058" s="41" t="s">
        <v>175</v>
      </c>
      <c r="D1058" s="41" t="s">
        <v>196</v>
      </c>
      <c r="E1058" s="219" t="s">
        <v>286</v>
      </c>
      <c r="F1058" s="215" t="s">
        <v>172</v>
      </c>
      <c r="G1058" s="222">
        <v>39783</v>
      </c>
      <c r="H1058" s="41"/>
      <c r="I1058" s="211">
        <v>45202</v>
      </c>
      <c r="J1058" s="41"/>
      <c r="K1058" s="241">
        <v>49</v>
      </c>
      <c r="L1058" s="271">
        <v>25830</v>
      </c>
    </row>
    <row r="1059" spans="2:12" outlineLevel="2">
      <c r="B1059" s="35">
        <f t="shared" si="33"/>
        <v>595</v>
      </c>
      <c r="C1059" s="41" t="s">
        <v>175</v>
      </c>
      <c r="D1059" s="41" t="s">
        <v>196</v>
      </c>
      <c r="E1059" s="219" t="s">
        <v>287</v>
      </c>
      <c r="F1059" s="215" t="s">
        <v>172</v>
      </c>
      <c r="G1059" s="222">
        <v>39783</v>
      </c>
      <c r="H1059" s="41"/>
      <c r="I1059" s="211">
        <v>45198</v>
      </c>
      <c r="J1059" s="41"/>
      <c r="K1059" s="241">
        <v>47</v>
      </c>
      <c r="L1059" s="271">
        <v>25835</v>
      </c>
    </row>
    <row r="1060" spans="2:12" outlineLevel="2">
      <c r="B1060" s="35">
        <f t="shared" si="33"/>
        <v>596</v>
      </c>
      <c r="C1060" s="41" t="s">
        <v>175</v>
      </c>
      <c r="D1060" s="41" t="s">
        <v>196</v>
      </c>
      <c r="E1060" s="219">
        <v>52578</v>
      </c>
      <c r="F1060" s="215" t="s">
        <v>172</v>
      </c>
      <c r="G1060" s="222">
        <v>34639</v>
      </c>
      <c r="H1060" s="41"/>
      <c r="I1060" s="211">
        <v>45209</v>
      </c>
      <c r="J1060" s="41"/>
      <c r="K1060" s="241">
        <v>9</v>
      </c>
      <c r="L1060" s="271">
        <v>25849</v>
      </c>
    </row>
    <row r="1061" spans="2:12" outlineLevel="2">
      <c r="B1061" s="35">
        <f t="shared" si="33"/>
        <v>597</v>
      </c>
      <c r="C1061" s="41" t="s">
        <v>175</v>
      </c>
      <c r="D1061" s="41" t="s">
        <v>196</v>
      </c>
      <c r="E1061" s="219">
        <v>61636</v>
      </c>
      <c r="F1061" s="215" t="s">
        <v>172</v>
      </c>
      <c r="G1061" s="222">
        <v>35065</v>
      </c>
      <c r="H1061" s="41"/>
      <c r="I1061" s="211">
        <v>45141</v>
      </c>
      <c r="J1061" s="41"/>
      <c r="K1061" s="241">
        <v>25</v>
      </c>
      <c r="L1061" s="271">
        <v>25850</v>
      </c>
    </row>
    <row r="1062" spans="2:12" outlineLevel="2">
      <c r="B1062" s="35">
        <f t="shared" si="33"/>
        <v>598</v>
      </c>
      <c r="C1062" s="41" t="s">
        <v>175</v>
      </c>
      <c r="D1062" s="41" t="s">
        <v>196</v>
      </c>
      <c r="E1062" s="220" t="s">
        <v>288</v>
      </c>
      <c r="F1062" s="231" t="s">
        <v>172</v>
      </c>
      <c r="G1062" s="232">
        <v>2007</v>
      </c>
      <c r="H1062" s="41"/>
      <c r="I1062" s="211">
        <v>45209</v>
      </c>
      <c r="J1062" s="41"/>
      <c r="K1062" s="241">
        <v>37</v>
      </c>
      <c r="L1062" s="244">
        <v>25856</v>
      </c>
    </row>
    <row r="1063" spans="2:12" outlineLevel="2">
      <c r="B1063" s="35">
        <f t="shared" si="33"/>
        <v>599</v>
      </c>
      <c r="C1063" s="41" t="s">
        <v>175</v>
      </c>
      <c r="D1063" s="41" t="s">
        <v>196</v>
      </c>
      <c r="E1063" s="220">
        <v>36091</v>
      </c>
      <c r="F1063" s="231" t="s">
        <v>172</v>
      </c>
      <c r="G1063" s="232">
        <v>37895</v>
      </c>
      <c r="H1063" s="41"/>
      <c r="I1063" s="211">
        <v>45209</v>
      </c>
      <c r="J1063" s="41"/>
      <c r="K1063" s="241">
        <v>24</v>
      </c>
      <c r="L1063" s="244">
        <v>25858</v>
      </c>
    </row>
    <row r="1064" spans="2:12" outlineLevel="2">
      <c r="B1064" s="35">
        <f t="shared" si="33"/>
        <v>600</v>
      </c>
      <c r="C1064" s="41" t="s">
        <v>175</v>
      </c>
      <c r="D1064" s="41" t="s">
        <v>196</v>
      </c>
      <c r="E1064" s="220" t="s">
        <v>289</v>
      </c>
      <c r="F1064" s="231" t="s">
        <v>172</v>
      </c>
      <c r="G1064" s="232">
        <v>39508</v>
      </c>
      <c r="H1064" s="41"/>
      <c r="I1064" s="211">
        <v>45202</v>
      </c>
      <c r="J1064" s="41"/>
      <c r="K1064" s="241">
        <v>45</v>
      </c>
      <c r="L1064" s="244">
        <v>25863</v>
      </c>
    </row>
    <row r="1065" spans="2:12" outlineLevel="2">
      <c r="B1065" s="35">
        <f t="shared" si="33"/>
        <v>601</v>
      </c>
      <c r="C1065" s="41" t="s">
        <v>175</v>
      </c>
      <c r="D1065" s="41" t="s">
        <v>196</v>
      </c>
      <c r="E1065" s="220" t="s">
        <v>290</v>
      </c>
      <c r="F1065" s="231" t="s">
        <v>172</v>
      </c>
      <c r="G1065" s="232">
        <v>38991</v>
      </c>
      <c r="H1065" s="41"/>
      <c r="I1065" s="211">
        <v>45202</v>
      </c>
      <c r="J1065" s="41"/>
      <c r="K1065" s="241">
        <v>39</v>
      </c>
      <c r="L1065" s="244">
        <v>25867</v>
      </c>
    </row>
    <row r="1066" spans="2:12" outlineLevel="2">
      <c r="B1066" s="35">
        <f t="shared" si="33"/>
        <v>602</v>
      </c>
      <c r="C1066" s="41" t="s">
        <v>175</v>
      </c>
      <c r="D1066" s="41" t="s">
        <v>196</v>
      </c>
      <c r="E1066" s="221">
        <v>51896</v>
      </c>
      <c r="F1066" s="231" t="s">
        <v>172</v>
      </c>
      <c r="G1066" s="232">
        <v>38353</v>
      </c>
      <c r="H1066" s="41"/>
      <c r="I1066" s="211">
        <v>45131</v>
      </c>
      <c r="J1066" s="41"/>
      <c r="K1066" s="241">
        <v>10</v>
      </c>
      <c r="L1066" s="244">
        <v>25991</v>
      </c>
    </row>
    <row r="1067" spans="2:12" outlineLevel="2">
      <c r="B1067" s="35">
        <f t="shared" si="33"/>
        <v>603</v>
      </c>
      <c r="C1067" s="41" t="s">
        <v>175</v>
      </c>
      <c r="D1067" s="41" t="s">
        <v>196</v>
      </c>
      <c r="E1067" s="209" t="s">
        <v>263</v>
      </c>
      <c r="F1067" s="209">
        <v>31341</v>
      </c>
      <c r="G1067" s="226">
        <v>40179</v>
      </c>
      <c r="H1067" s="41"/>
      <c r="I1067" s="212">
        <v>45139</v>
      </c>
      <c r="J1067" s="41"/>
      <c r="K1067" s="120">
        <v>10</v>
      </c>
      <c r="L1067" s="242">
        <v>26048</v>
      </c>
    </row>
    <row r="1068" spans="2:12" outlineLevel="2">
      <c r="B1068" s="35">
        <f t="shared" si="33"/>
        <v>604</v>
      </c>
      <c r="C1068" s="41" t="s">
        <v>175</v>
      </c>
      <c r="D1068" s="41" t="s">
        <v>196</v>
      </c>
      <c r="E1068" s="209">
        <v>711379</v>
      </c>
      <c r="F1068" s="209">
        <v>34377</v>
      </c>
      <c r="G1068" s="226">
        <v>44958</v>
      </c>
      <c r="H1068" s="41"/>
      <c r="I1068" s="212">
        <v>45146</v>
      </c>
      <c r="J1068" s="41"/>
      <c r="K1068" s="120">
        <v>6</v>
      </c>
      <c r="L1068" s="242">
        <v>26117</v>
      </c>
    </row>
    <row r="1069" spans="2:12" outlineLevel="2">
      <c r="B1069" s="35">
        <f t="shared" si="33"/>
        <v>605</v>
      </c>
      <c r="C1069" s="41" t="s">
        <v>175</v>
      </c>
      <c r="D1069" s="41" t="s">
        <v>196</v>
      </c>
      <c r="E1069" s="220">
        <v>46159</v>
      </c>
      <c r="F1069" s="231" t="s">
        <v>172</v>
      </c>
      <c r="G1069" s="232">
        <v>38292</v>
      </c>
      <c r="H1069" s="41"/>
      <c r="I1069" s="211">
        <v>45139</v>
      </c>
      <c r="J1069" s="41"/>
      <c r="K1069" s="241">
        <v>15</v>
      </c>
      <c r="L1069" s="244">
        <v>26187</v>
      </c>
    </row>
    <row r="1070" spans="2:12" outlineLevel="2">
      <c r="B1070" s="35">
        <f t="shared" si="33"/>
        <v>606</v>
      </c>
      <c r="C1070" s="41" t="s">
        <v>175</v>
      </c>
      <c r="D1070" s="41" t="s">
        <v>196</v>
      </c>
      <c r="E1070" s="220">
        <v>59066</v>
      </c>
      <c r="F1070" s="231" t="s">
        <v>172</v>
      </c>
      <c r="G1070" s="232">
        <v>32387</v>
      </c>
      <c r="H1070" s="41"/>
      <c r="I1070" s="211">
        <v>45135</v>
      </c>
      <c r="J1070" s="41"/>
      <c r="K1070" s="241">
        <v>12</v>
      </c>
      <c r="L1070" s="244">
        <v>26209</v>
      </c>
    </row>
    <row r="1071" spans="2:12" outlineLevel="2">
      <c r="B1071" s="35">
        <f t="shared" si="33"/>
        <v>607</v>
      </c>
      <c r="C1071" s="41" t="s">
        <v>175</v>
      </c>
      <c r="D1071" s="41" t="s">
        <v>196</v>
      </c>
      <c r="E1071" s="220">
        <v>252539</v>
      </c>
      <c r="F1071" s="231" t="s">
        <v>172</v>
      </c>
      <c r="G1071" s="232">
        <v>41030</v>
      </c>
      <c r="H1071" s="41"/>
      <c r="I1071" s="211">
        <v>45134</v>
      </c>
      <c r="J1071" s="41"/>
      <c r="K1071" s="241">
        <v>21</v>
      </c>
      <c r="L1071" s="244">
        <v>26397</v>
      </c>
    </row>
    <row r="1072" spans="2:12" outlineLevel="2">
      <c r="B1072" s="35">
        <f t="shared" si="33"/>
        <v>608</v>
      </c>
      <c r="C1072" s="41" t="s">
        <v>175</v>
      </c>
      <c r="D1072" s="41" t="s">
        <v>196</v>
      </c>
      <c r="E1072" s="209">
        <v>59914</v>
      </c>
      <c r="F1072" s="209" t="s">
        <v>172</v>
      </c>
      <c r="G1072" s="225">
        <v>35004</v>
      </c>
      <c r="H1072" s="41"/>
      <c r="I1072" s="212">
        <v>45140</v>
      </c>
      <c r="J1072" s="41"/>
      <c r="K1072" s="120">
        <v>16</v>
      </c>
      <c r="L1072" s="242">
        <v>26473</v>
      </c>
    </row>
    <row r="1073" spans="2:12" outlineLevel="2">
      <c r="B1073" s="35">
        <f t="shared" si="33"/>
        <v>609</v>
      </c>
      <c r="C1073" s="41" t="s">
        <v>175</v>
      </c>
      <c r="D1073" s="41" t="s">
        <v>196</v>
      </c>
      <c r="E1073" s="220">
        <v>2003790</v>
      </c>
      <c r="F1073" s="231" t="s">
        <v>172</v>
      </c>
      <c r="G1073" s="232">
        <v>38292</v>
      </c>
      <c r="H1073" s="41"/>
      <c r="I1073" s="211">
        <v>45204</v>
      </c>
      <c r="J1073" s="41"/>
      <c r="K1073" s="247">
        <v>10</v>
      </c>
      <c r="L1073" s="241">
        <v>27650</v>
      </c>
    </row>
    <row r="1074" spans="2:12" outlineLevel="2">
      <c r="B1074" s="35">
        <f t="shared" si="33"/>
        <v>610</v>
      </c>
      <c r="C1074" s="41" t="s">
        <v>175</v>
      </c>
      <c r="D1074" s="41" t="s">
        <v>196</v>
      </c>
      <c r="E1074" s="220">
        <v>2003869</v>
      </c>
      <c r="F1074" s="231" t="s">
        <v>172</v>
      </c>
      <c r="G1074" s="232">
        <v>38322</v>
      </c>
      <c r="H1074" s="41"/>
      <c r="I1074" s="240">
        <v>45204</v>
      </c>
      <c r="J1074" s="41"/>
      <c r="K1074" s="248">
        <v>8</v>
      </c>
      <c r="L1074" s="244">
        <v>27672</v>
      </c>
    </row>
    <row r="1075" spans="2:12" outlineLevel="2">
      <c r="B1075" s="35">
        <f t="shared" si="33"/>
        <v>611</v>
      </c>
      <c r="C1075" s="41" t="s">
        <v>175</v>
      </c>
      <c r="D1075" s="41" t="s">
        <v>196</v>
      </c>
      <c r="E1075" s="220">
        <v>2003770</v>
      </c>
      <c r="F1075" s="231" t="s">
        <v>172</v>
      </c>
      <c r="G1075" s="232">
        <v>38292</v>
      </c>
      <c r="H1075" s="41"/>
      <c r="I1075" s="240">
        <v>45203</v>
      </c>
      <c r="J1075" s="41"/>
      <c r="K1075" s="248">
        <v>10</v>
      </c>
      <c r="L1075" s="244">
        <v>27678</v>
      </c>
    </row>
    <row r="1076" spans="2:12" outlineLevel="2">
      <c r="B1076" s="35">
        <f t="shared" si="33"/>
        <v>612</v>
      </c>
      <c r="C1076" s="41" t="s">
        <v>175</v>
      </c>
      <c r="D1076" s="41" t="s">
        <v>196</v>
      </c>
      <c r="E1076" s="220">
        <v>82482</v>
      </c>
      <c r="F1076" s="231" t="s">
        <v>172</v>
      </c>
      <c r="G1076" s="232">
        <v>35551</v>
      </c>
      <c r="H1076" s="41"/>
      <c r="I1076" s="240">
        <v>45203</v>
      </c>
      <c r="J1076" s="41"/>
      <c r="K1076" s="248">
        <v>21</v>
      </c>
      <c r="L1076" s="244">
        <v>27679</v>
      </c>
    </row>
    <row r="1077" spans="2:12" outlineLevel="2">
      <c r="B1077" s="35">
        <f t="shared" si="33"/>
        <v>613</v>
      </c>
      <c r="C1077" s="41" t="s">
        <v>175</v>
      </c>
      <c r="D1077" s="41" t="s">
        <v>196</v>
      </c>
      <c r="E1077" s="220">
        <v>200953</v>
      </c>
      <c r="F1077" s="231" t="s">
        <v>172</v>
      </c>
      <c r="G1077" s="232">
        <v>37135</v>
      </c>
      <c r="H1077" s="41"/>
      <c r="I1077" s="240">
        <v>45203</v>
      </c>
      <c r="J1077" s="41"/>
      <c r="K1077" s="248">
        <v>6</v>
      </c>
      <c r="L1077" s="244">
        <v>27682</v>
      </c>
    </row>
    <row r="1078" spans="2:12" outlineLevel="2">
      <c r="B1078" s="35">
        <f t="shared" si="33"/>
        <v>614</v>
      </c>
      <c r="C1078" s="41" t="s">
        <v>175</v>
      </c>
      <c r="D1078" s="41" t="s">
        <v>196</v>
      </c>
      <c r="E1078" s="209">
        <v>1121775</v>
      </c>
      <c r="F1078" s="209">
        <v>68945</v>
      </c>
      <c r="G1078" s="226">
        <v>43405</v>
      </c>
      <c r="H1078" s="41"/>
      <c r="I1078" s="240">
        <v>45222</v>
      </c>
      <c r="J1078" s="41"/>
      <c r="K1078" s="248">
        <v>9</v>
      </c>
      <c r="L1078" s="242">
        <v>28130</v>
      </c>
    </row>
    <row r="1079" spans="2:12" outlineLevel="2">
      <c r="B1079" s="35">
        <f t="shared" si="33"/>
        <v>615</v>
      </c>
      <c r="C1079" s="41" t="s">
        <v>175</v>
      </c>
      <c r="D1079" s="41" t="s">
        <v>196</v>
      </c>
      <c r="E1079" s="209">
        <v>1453190</v>
      </c>
      <c r="F1079" s="209">
        <v>67722</v>
      </c>
      <c r="G1079" s="226">
        <v>44743</v>
      </c>
      <c r="H1079" s="41"/>
      <c r="I1079" s="240">
        <v>45222</v>
      </c>
      <c r="J1079" s="41"/>
      <c r="K1079" s="248">
        <v>9</v>
      </c>
      <c r="L1079" s="242">
        <v>28134</v>
      </c>
    </row>
    <row r="1080" spans="2:12" outlineLevel="2">
      <c r="B1080" s="35">
        <f t="shared" si="33"/>
        <v>616</v>
      </c>
      <c r="C1080" s="41" t="s">
        <v>175</v>
      </c>
      <c r="D1080" s="41" t="s">
        <v>196</v>
      </c>
      <c r="E1080" s="209">
        <v>29255725</v>
      </c>
      <c r="F1080" s="209">
        <v>280684</v>
      </c>
      <c r="G1080" s="226">
        <v>42248</v>
      </c>
      <c r="H1080" s="41"/>
      <c r="I1080" s="240">
        <v>45222</v>
      </c>
      <c r="J1080" s="41"/>
      <c r="K1080" s="248">
        <v>9</v>
      </c>
      <c r="L1080" s="242">
        <v>28135</v>
      </c>
    </row>
    <row r="1081" spans="2:12" outlineLevel="2">
      <c r="B1081" s="35">
        <f t="shared" si="33"/>
        <v>617</v>
      </c>
      <c r="C1081" s="41" t="s">
        <v>175</v>
      </c>
      <c r="D1081" s="41" t="s">
        <v>196</v>
      </c>
      <c r="E1081" s="209" t="s">
        <v>291</v>
      </c>
      <c r="F1081" s="209">
        <v>64371</v>
      </c>
      <c r="G1081" s="226">
        <v>38534</v>
      </c>
      <c r="H1081" s="41"/>
      <c r="I1081" s="240">
        <v>45222</v>
      </c>
      <c r="J1081" s="41"/>
      <c r="K1081" s="248">
        <v>8</v>
      </c>
      <c r="L1081" s="242">
        <v>28142</v>
      </c>
    </row>
    <row r="1082" spans="2:12" outlineLevel="2">
      <c r="B1082" s="35">
        <f t="shared" ref="B1082:B1113" si="34">(B1081+1)</f>
        <v>618</v>
      </c>
      <c r="C1082" s="41" t="s">
        <v>175</v>
      </c>
      <c r="D1082" s="41" t="s">
        <v>196</v>
      </c>
      <c r="E1082" s="221">
        <v>270358</v>
      </c>
      <c r="F1082" s="231">
        <v>44123</v>
      </c>
      <c r="G1082" s="232">
        <v>42156</v>
      </c>
      <c r="H1082" s="41"/>
      <c r="I1082" s="240">
        <v>45300</v>
      </c>
      <c r="J1082" s="41"/>
      <c r="K1082" s="248" t="s">
        <v>199</v>
      </c>
      <c r="L1082" s="244">
        <v>29161</v>
      </c>
    </row>
    <row r="1083" spans="2:12" outlineLevel="2">
      <c r="B1083" s="35">
        <f t="shared" si="34"/>
        <v>619</v>
      </c>
      <c r="C1083" s="41" t="s">
        <v>175</v>
      </c>
      <c r="D1083" s="41" t="s">
        <v>196</v>
      </c>
      <c r="E1083" s="221">
        <v>2004240</v>
      </c>
      <c r="F1083" s="221" t="s">
        <v>172</v>
      </c>
      <c r="G1083" s="232">
        <v>38353</v>
      </c>
      <c r="H1083" s="41"/>
      <c r="I1083" s="240">
        <v>45315</v>
      </c>
      <c r="J1083" s="41"/>
      <c r="K1083" s="248">
        <v>21</v>
      </c>
      <c r="L1083" s="244">
        <v>29290</v>
      </c>
    </row>
    <row r="1084" spans="2:12" outlineLevel="2">
      <c r="B1084" s="35">
        <f t="shared" si="34"/>
        <v>620</v>
      </c>
      <c r="C1084" s="41" t="s">
        <v>175</v>
      </c>
      <c r="D1084" s="41" t="s">
        <v>196</v>
      </c>
      <c r="E1084" s="221">
        <v>2004269</v>
      </c>
      <c r="F1084" s="221" t="s">
        <v>172</v>
      </c>
      <c r="G1084" s="232">
        <v>38353</v>
      </c>
      <c r="H1084" s="41"/>
      <c r="I1084" s="240">
        <v>45315</v>
      </c>
      <c r="J1084" s="41"/>
      <c r="K1084" s="248">
        <v>22</v>
      </c>
      <c r="L1084" s="244">
        <v>29291</v>
      </c>
    </row>
    <row r="1085" spans="2:12" outlineLevel="2">
      <c r="B1085" s="35">
        <f t="shared" si="34"/>
        <v>621</v>
      </c>
      <c r="C1085" s="41" t="s">
        <v>175</v>
      </c>
      <c r="D1085" s="41" t="s">
        <v>196</v>
      </c>
      <c r="E1085" s="221">
        <v>2004773</v>
      </c>
      <c r="F1085" s="221" t="s">
        <v>172</v>
      </c>
      <c r="G1085" s="232">
        <v>38412</v>
      </c>
      <c r="H1085" s="41"/>
      <c r="I1085" s="240">
        <v>45315</v>
      </c>
      <c r="J1085" s="41"/>
      <c r="K1085" s="248">
        <v>27</v>
      </c>
      <c r="L1085" s="244">
        <v>29301</v>
      </c>
    </row>
    <row r="1086" spans="2:12" outlineLevel="2">
      <c r="B1086" s="35">
        <f t="shared" si="34"/>
        <v>622</v>
      </c>
      <c r="C1086" s="41" t="s">
        <v>175</v>
      </c>
      <c r="D1086" s="41" t="s">
        <v>196</v>
      </c>
      <c r="E1086" s="220">
        <v>15668</v>
      </c>
      <c r="F1086" s="231"/>
      <c r="G1086" s="232">
        <v>38718</v>
      </c>
      <c r="H1086" s="41"/>
      <c r="I1086" s="240">
        <v>45317</v>
      </c>
      <c r="J1086" s="41"/>
      <c r="K1086" s="248">
        <v>25</v>
      </c>
      <c r="L1086" s="244">
        <v>29795</v>
      </c>
    </row>
    <row r="1087" spans="2:12" outlineLevel="2">
      <c r="B1087" s="35">
        <f t="shared" si="34"/>
        <v>623</v>
      </c>
      <c r="C1087" s="41" t="s">
        <v>175</v>
      </c>
      <c r="D1087" s="41" t="s">
        <v>196</v>
      </c>
      <c r="E1087" s="220">
        <v>16895</v>
      </c>
      <c r="F1087" s="231"/>
      <c r="G1087" s="232">
        <v>39083</v>
      </c>
      <c r="H1087" s="41"/>
      <c r="I1087" s="240">
        <v>45317</v>
      </c>
      <c r="J1087" s="41"/>
      <c r="K1087" s="248">
        <v>20</v>
      </c>
      <c r="L1087" s="244">
        <v>29800</v>
      </c>
    </row>
    <row r="1088" spans="2:12" outlineLevel="2">
      <c r="B1088" s="35">
        <f t="shared" si="34"/>
        <v>624</v>
      </c>
      <c r="C1088" s="41" t="s">
        <v>175</v>
      </c>
      <c r="D1088" s="41" t="s">
        <v>196</v>
      </c>
      <c r="E1088" s="220">
        <v>16890</v>
      </c>
      <c r="F1088" s="231"/>
      <c r="G1088" s="232">
        <v>39083</v>
      </c>
      <c r="H1088" s="41"/>
      <c r="I1088" s="240">
        <v>45317</v>
      </c>
      <c r="J1088" s="41"/>
      <c r="K1088" s="248">
        <v>21</v>
      </c>
      <c r="L1088" s="244">
        <v>29801</v>
      </c>
    </row>
    <row r="1089" spans="2:12" outlineLevel="2">
      <c r="B1089" s="35">
        <f t="shared" si="34"/>
        <v>625</v>
      </c>
      <c r="C1089" s="41" t="s">
        <v>175</v>
      </c>
      <c r="D1089" s="41" t="s">
        <v>196</v>
      </c>
      <c r="E1089" s="217">
        <v>1405398</v>
      </c>
      <c r="F1089" s="217">
        <v>65142</v>
      </c>
      <c r="G1089" s="222">
        <v>44531</v>
      </c>
      <c r="H1089" s="41"/>
      <c r="I1089" s="240">
        <v>45321</v>
      </c>
      <c r="J1089" s="41"/>
      <c r="K1089" s="248">
        <v>19</v>
      </c>
      <c r="L1089" s="244">
        <v>31490</v>
      </c>
    </row>
    <row r="1090" spans="2:12" outlineLevel="2">
      <c r="B1090" s="35">
        <f t="shared" si="34"/>
        <v>626</v>
      </c>
      <c r="C1090" s="41" t="s">
        <v>175</v>
      </c>
      <c r="D1090" s="41" t="s">
        <v>196</v>
      </c>
      <c r="E1090" s="217">
        <v>30097</v>
      </c>
      <c r="F1090" s="217">
        <v>72325</v>
      </c>
      <c r="G1090" s="222">
        <v>37591</v>
      </c>
      <c r="H1090" s="41"/>
      <c r="I1090" s="240">
        <v>45345</v>
      </c>
      <c r="J1090" s="41"/>
      <c r="K1090" s="248">
        <v>19</v>
      </c>
      <c r="L1090" s="244">
        <v>31532</v>
      </c>
    </row>
    <row r="1091" spans="2:12" outlineLevel="2">
      <c r="B1091" s="35">
        <f t="shared" si="34"/>
        <v>627</v>
      </c>
      <c r="C1091" s="41" t="s">
        <v>175</v>
      </c>
      <c r="D1091" s="41" t="s">
        <v>196</v>
      </c>
      <c r="E1091" s="217" t="s">
        <v>292</v>
      </c>
      <c r="F1091" s="217">
        <v>43161</v>
      </c>
      <c r="G1091" s="222">
        <v>41852</v>
      </c>
      <c r="H1091" s="41"/>
      <c r="I1091" s="240">
        <v>45345</v>
      </c>
      <c r="J1091" s="41"/>
      <c r="K1091" s="248">
        <v>21</v>
      </c>
      <c r="L1091" s="244">
        <v>31542</v>
      </c>
    </row>
    <row r="1092" spans="2:12" outlineLevel="2">
      <c r="B1092" s="35">
        <f t="shared" si="34"/>
        <v>628</v>
      </c>
      <c r="C1092" s="41" t="s">
        <v>175</v>
      </c>
      <c r="D1092" s="41" t="s">
        <v>196</v>
      </c>
      <c r="E1092" s="219">
        <v>599331</v>
      </c>
      <c r="F1092" s="217">
        <v>23104</v>
      </c>
      <c r="G1092" s="222">
        <v>39264</v>
      </c>
      <c r="H1092" s="41"/>
      <c r="I1092" s="240">
        <v>45371</v>
      </c>
      <c r="J1092" s="41"/>
      <c r="K1092" s="248">
        <v>7</v>
      </c>
      <c r="L1092" s="241">
        <v>32836</v>
      </c>
    </row>
    <row r="1093" spans="2:12" outlineLevel="2">
      <c r="B1093" s="35">
        <f t="shared" si="34"/>
        <v>629</v>
      </c>
      <c r="C1093" s="41" t="s">
        <v>175</v>
      </c>
      <c r="D1093" s="41" t="s">
        <v>196</v>
      </c>
      <c r="E1093" s="217">
        <v>45033</v>
      </c>
      <c r="F1093" s="217">
        <v>69384</v>
      </c>
      <c r="G1093" s="222">
        <v>39508</v>
      </c>
      <c r="H1093" s="41"/>
      <c r="I1093" s="240">
        <v>45379</v>
      </c>
      <c r="J1093" s="41"/>
      <c r="K1093" s="248">
        <v>4</v>
      </c>
      <c r="L1093" s="241">
        <v>33033</v>
      </c>
    </row>
    <row r="1094" spans="2:12" outlineLevel="2">
      <c r="B1094" s="35">
        <f t="shared" si="34"/>
        <v>630</v>
      </c>
      <c r="C1094" s="41" t="s">
        <v>175</v>
      </c>
      <c r="D1094" s="41" t="s">
        <v>196</v>
      </c>
      <c r="E1094" s="217" t="s">
        <v>293</v>
      </c>
      <c r="F1094" s="217">
        <v>17836</v>
      </c>
      <c r="G1094" s="222">
        <v>39052</v>
      </c>
      <c r="H1094" s="41"/>
      <c r="I1094" s="240">
        <v>45379</v>
      </c>
      <c r="J1094" s="41"/>
      <c r="K1094" s="248">
        <v>4</v>
      </c>
      <c r="L1094" s="241">
        <v>33037</v>
      </c>
    </row>
    <row r="1095" spans="2:12" outlineLevel="2">
      <c r="B1095" s="35">
        <f t="shared" si="34"/>
        <v>631</v>
      </c>
      <c r="C1095" s="41" t="s">
        <v>175</v>
      </c>
      <c r="D1095" s="41" t="s">
        <v>196</v>
      </c>
      <c r="E1095" s="217">
        <v>185228</v>
      </c>
      <c r="F1095" s="217">
        <v>71148</v>
      </c>
      <c r="G1095" s="222">
        <v>40299</v>
      </c>
      <c r="H1095" s="41"/>
      <c r="I1095" s="240">
        <v>45379</v>
      </c>
      <c r="J1095" s="41"/>
      <c r="K1095" s="248">
        <v>7</v>
      </c>
      <c r="L1095" s="241">
        <v>33040</v>
      </c>
    </row>
    <row r="1096" spans="2:12" outlineLevel="2">
      <c r="B1096" s="35">
        <f t="shared" si="34"/>
        <v>632</v>
      </c>
      <c r="C1096" s="41" t="s">
        <v>175</v>
      </c>
      <c r="D1096" s="41" t="s">
        <v>196</v>
      </c>
      <c r="E1096" s="217">
        <v>29542</v>
      </c>
      <c r="F1096" s="215">
        <v>906911</v>
      </c>
      <c r="G1096" s="222">
        <v>37591</v>
      </c>
      <c r="H1096" s="41"/>
      <c r="I1096" s="240">
        <v>45386</v>
      </c>
      <c r="J1096" s="41"/>
      <c r="K1096" s="248">
        <v>25</v>
      </c>
      <c r="L1096" s="241">
        <v>34318</v>
      </c>
    </row>
    <row r="1097" spans="2:12" outlineLevel="2">
      <c r="B1097" s="35">
        <f t="shared" si="34"/>
        <v>633</v>
      </c>
      <c r="C1097" s="41" t="s">
        <v>175</v>
      </c>
      <c r="D1097" s="41" t="s">
        <v>196</v>
      </c>
      <c r="E1097" s="219">
        <v>709894</v>
      </c>
      <c r="F1097" s="219">
        <v>68948</v>
      </c>
      <c r="G1097" s="219">
        <v>39965</v>
      </c>
      <c r="H1097" s="41"/>
      <c r="I1097" s="130">
        <v>45425</v>
      </c>
      <c r="J1097" s="41"/>
      <c r="K1097" s="248">
        <v>3</v>
      </c>
      <c r="L1097" s="241">
        <v>34985</v>
      </c>
    </row>
    <row r="1098" spans="2:12" outlineLevel="2">
      <c r="B1098" s="35">
        <f t="shared" si="34"/>
        <v>634</v>
      </c>
      <c r="C1098" s="41" t="s">
        <v>175</v>
      </c>
      <c r="D1098" s="41" t="s">
        <v>196</v>
      </c>
      <c r="E1098" s="219">
        <v>2001180</v>
      </c>
      <c r="F1098" s="237">
        <v>5508</v>
      </c>
      <c r="G1098" s="236">
        <v>37226</v>
      </c>
      <c r="H1098" s="41"/>
      <c r="I1098" s="209">
        <v>45463</v>
      </c>
      <c r="J1098" s="41"/>
      <c r="K1098" s="209">
        <v>6</v>
      </c>
      <c r="L1098" s="241">
        <v>36493</v>
      </c>
    </row>
    <row r="1099" spans="2:12" outlineLevel="2">
      <c r="B1099" s="35">
        <f t="shared" si="34"/>
        <v>635</v>
      </c>
      <c r="C1099" s="41" t="s">
        <v>175</v>
      </c>
      <c r="D1099" s="41" t="s">
        <v>196</v>
      </c>
      <c r="E1099" s="219" t="s">
        <v>294</v>
      </c>
      <c r="F1099" s="237">
        <v>38326</v>
      </c>
      <c r="G1099" s="236">
        <v>41091</v>
      </c>
      <c r="H1099" s="41"/>
      <c r="I1099" s="209">
        <v>45463</v>
      </c>
      <c r="J1099" s="41"/>
      <c r="K1099" s="209">
        <v>4</v>
      </c>
      <c r="L1099" s="241">
        <v>36496</v>
      </c>
    </row>
    <row r="1100" spans="2:12" outlineLevel="2">
      <c r="B1100" s="35">
        <f t="shared" si="34"/>
        <v>636</v>
      </c>
      <c r="C1100" s="41" t="s">
        <v>175</v>
      </c>
      <c r="D1100" s="41" t="s">
        <v>196</v>
      </c>
      <c r="E1100" s="219">
        <v>9063647</v>
      </c>
      <c r="F1100" s="237">
        <v>2092</v>
      </c>
      <c r="G1100" s="236">
        <v>33178</v>
      </c>
      <c r="H1100" s="41"/>
      <c r="I1100" s="209">
        <v>45463</v>
      </c>
      <c r="J1100" s="41"/>
      <c r="K1100" s="209">
        <v>12</v>
      </c>
      <c r="L1100" s="241">
        <v>36521</v>
      </c>
    </row>
    <row r="1101" spans="2:12" outlineLevel="2">
      <c r="B1101" s="35">
        <f t="shared" si="34"/>
        <v>637</v>
      </c>
      <c r="C1101" s="41" t="s">
        <v>175</v>
      </c>
      <c r="D1101" s="41" t="s">
        <v>196</v>
      </c>
      <c r="E1101" s="219">
        <v>73035</v>
      </c>
      <c r="F1101" s="237">
        <v>35458</v>
      </c>
      <c r="G1101" s="236">
        <v>40452</v>
      </c>
      <c r="H1101" s="41"/>
      <c r="I1101" s="209">
        <v>45461</v>
      </c>
      <c r="J1101" s="41"/>
      <c r="K1101" s="209">
        <v>3</v>
      </c>
      <c r="L1101" s="241">
        <v>36550</v>
      </c>
    </row>
    <row r="1102" spans="2:12" outlineLevel="2">
      <c r="B1102" s="35">
        <f t="shared" si="34"/>
        <v>638</v>
      </c>
      <c r="C1102" s="41" t="s">
        <v>175</v>
      </c>
      <c r="D1102" s="41" t="s">
        <v>196</v>
      </c>
      <c r="E1102" s="219" t="s">
        <v>295</v>
      </c>
      <c r="F1102" s="237">
        <v>103578</v>
      </c>
      <c r="G1102" s="236">
        <v>40756</v>
      </c>
      <c r="H1102" s="41"/>
      <c r="I1102" s="209">
        <v>45461</v>
      </c>
      <c r="J1102" s="41"/>
      <c r="K1102" s="209">
        <v>31</v>
      </c>
      <c r="L1102" s="241">
        <v>36558</v>
      </c>
    </row>
    <row r="1103" spans="2:12" outlineLevel="2">
      <c r="B1103" s="35">
        <f t="shared" si="34"/>
        <v>639</v>
      </c>
      <c r="C1103" s="41" t="s">
        <v>175</v>
      </c>
      <c r="D1103" s="41" t="s">
        <v>196</v>
      </c>
      <c r="E1103" s="219">
        <v>55166</v>
      </c>
      <c r="F1103" s="237">
        <v>71261</v>
      </c>
      <c r="G1103" s="236">
        <v>41913</v>
      </c>
      <c r="H1103" s="41"/>
      <c r="I1103" s="240">
        <v>45491</v>
      </c>
      <c r="J1103" s="41"/>
      <c r="K1103" s="248" t="s">
        <v>197</v>
      </c>
      <c r="L1103" s="241">
        <v>36579</v>
      </c>
    </row>
    <row r="1104" spans="2:12" hidden="1" outlineLevel="2">
      <c r="B1104" s="35">
        <f t="shared" si="34"/>
        <v>640</v>
      </c>
      <c r="C1104" s="41" t="s">
        <v>175</v>
      </c>
      <c r="D1104" s="41" t="s">
        <v>196</v>
      </c>
      <c r="E1104" s="41"/>
      <c r="F1104" s="41"/>
      <c r="G1104" s="41"/>
      <c r="H1104" s="41"/>
      <c r="I1104" s="42"/>
      <c r="J1104" s="41"/>
      <c r="K1104" s="41"/>
      <c r="L1104" s="43"/>
    </row>
    <row r="1105" spans="2:12" hidden="1" outlineLevel="2">
      <c r="B1105" s="35">
        <f t="shared" si="34"/>
        <v>641</v>
      </c>
      <c r="C1105" s="41" t="s">
        <v>175</v>
      </c>
      <c r="D1105" s="41" t="s">
        <v>196</v>
      </c>
      <c r="E1105" s="41"/>
      <c r="F1105" s="41"/>
      <c r="G1105" s="41"/>
      <c r="H1105" s="41"/>
      <c r="I1105" s="42"/>
      <c r="J1105" s="41"/>
      <c r="K1105" s="41"/>
      <c r="L1105" s="43"/>
    </row>
    <row r="1106" spans="2:12" hidden="1" outlineLevel="2">
      <c r="B1106" s="35">
        <f t="shared" si="34"/>
        <v>642</v>
      </c>
      <c r="C1106" s="41" t="s">
        <v>175</v>
      </c>
      <c r="D1106" s="41" t="s">
        <v>196</v>
      </c>
      <c r="E1106" s="41"/>
      <c r="F1106" s="41"/>
      <c r="G1106" s="41"/>
      <c r="H1106" s="41"/>
      <c r="I1106" s="42"/>
      <c r="J1106" s="41"/>
      <c r="K1106" s="41"/>
      <c r="L1106" s="43"/>
    </row>
    <row r="1107" spans="2:12" hidden="1" outlineLevel="2">
      <c r="B1107" s="35">
        <f t="shared" si="34"/>
        <v>643</v>
      </c>
      <c r="C1107" s="41" t="s">
        <v>175</v>
      </c>
      <c r="D1107" s="41" t="s">
        <v>196</v>
      </c>
      <c r="E1107" s="41"/>
      <c r="F1107" s="41"/>
      <c r="G1107" s="41"/>
      <c r="H1107" s="41"/>
      <c r="I1107" s="42"/>
      <c r="J1107" s="41"/>
      <c r="K1107" s="41"/>
      <c r="L1107" s="43"/>
    </row>
    <row r="1108" spans="2:12" hidden="1" outlineLevel="2">
      <c r="B1108" s="35">
        <f t="shared" si="34"/>
        <v>644</v>
      </c>
      <c r="C1108" s="41" t="s">
        <v>175</v>
      </c>
      <c r="D1108" s="41" t="s">
        <v>196</v>
      </c>
      <c r="E1108" s="41"/>
      <c r="F1108" s="41"/>
      <c r="G1108" s="41"/>
      <c r="H1108" s="41"/>
      <c r="I1108" s="42"/>
      <c r="J1108" s="41"/>
      <c r="K1108" s="41"/>
      <c r="L1108" s="43"/>
    </row>
    <row r="1109" spans="2:12" hidden="1" outlineLevel="2">
      <c r="B1109" s="35">
        <f t="shared" si="34"/>
        <v>645</v>
      </c>
      <c r="C1109" s="41" t="s">
        <v>175</v>
      </c>
      <c r="D1109" s="41" t="s">
        <v>196</v>
      </c>
      <c r="E1109" s="41"/>
      <c r="F1109" s="41"/>
      <c r="G1109" s="41"/>
      <c r="H1109" s="41"/>
      <c r="I1109" s="42"/>
      <c r="J1109" s="41"/>
      <c r="K1109" s="41"/>
      <c r="L1109" s="43"/>
    </row>
    <row r="1110" spans="2:12" hidden="1" outlineLevel="2">
      <c r="B1110" s="35">
        <f t="shared" si="34"/>
        <v>646</v>
      </c>
      <c r="C1110" s="41" t="s">
        <v>175</v>
      </c>
      <c r="D1110" s="41" t="s">
        <v>196</v>
      </c>
      <c r="E1110" s="41"/>
      <c r="F1110" s="41"/>
      <c r="G1110" s="41"/>
      <c r="H1110" s="41"/>
      <c r="I1110" s="42"/>
      <c r="J1110" s="41"/>
      <c r="K1110" s="41"/>
      <c r="L1110" s="43"/>
    </row>
    <row r="1111" spans="2:12" hidden="1" outlineLevel="2">
      <c r="B1111" s="35">
        <f t="shared" si="34"/>
        <v>647</v>
      </c>
      <c r="C1111" s="41" t="s">
        <v>175</v>
      </c>
      <c r="D1111" s="41" t="s">
        <v>196</v>
      </c>
      <c r="E1111" s="41"/>
      <c r="F1111" s="41"/>
      <c r="G1111" s="41"/>
      <c r="H1111" s="41"/>
      <c r="I1111" s="42"/>
      <c r="J1111" s="41"/>
      <c r="K1111" s="41"/>
      <c r="L1111" s="43"/>
    </row>
    <row r="1112" spans="2:12" hidden="1" outlineLevel="2">
      <c r="B1112" s="35">
        <f t="shared" si="34"/>
        <v>648</v>
      </c>
      <c r="C1112" s="41" t="s">
        <v>175</v>
      </c>
      <c r="D1112" s="41" t="s">
        <v>196</v>
      </c>
      <c r="E1112" s="41"/>
      <c r="F1112" s="41"/>
      <c r="G1112" s="41"/>
      <c r="H1112" s="41"/>
      <c r="I1112" s="42"/>
      <c r="J1112" s="41"/>
      <c r="K1112" s="41"/>
      <c r="L1112" s="43"/>
    </row>
    <row r="1113" spans="2:12" hidden="1" outlineLevel="2">
      <c r="B1113" s="35">
        <f t="shared" si="34"/>
        <v>649</v>
      </c>
      <c r="C1113" s="41" t="s">
        <v>175</v>
      </c>
      <c r="D1113" s="41" t="s">
        <v>196</v>
      </c>
      <c r="E1113" s="41"/>
      <c r="F1113" s="41"/>
      <c r="G1113" s="41"/>
      <c r="H1113" s="41"/>
      <c r="I1113" s="42"/>
      <c r="J1113" s="41"/>
      <c r="K1113" s="41"/>
      <c r="L1113" s="43"/>
    </row>
    <row r="1114" spans="2:12" hidden="1" outlineLevel="2">
      <c r="B1114" s="35">
        <f t="shared" ref="B1114:B1148" si="35">(B1113+1)</f>
        <v>650</v>
      </c>
      <c r="C1114" s="41" t="s">
        <v>175</v>
      </c>
      <c r="D1114" s="41" t="s">
        <v>196</v>
      </c>
      <c r="E1114" s="41"/>
      <c r="F1114" s="41"/>
      <c r="G1114" s="41"/>
      <c r="H1114" s="41"/>
      <c r="I1114" s="42"/>
      <c r="J1114" s="41"/>
      <c r="K1114" s="41"/>
      <c r="L1114" s="43"/>
    </row>
    <row r="1115" spans="2:12" hidden="1" outlineLevel="2">
      <c r="B1115" s="35">
        <f t="shared" si="35"/>
        <v>651</v>
      </c>
      <c r="C1115" s="41" t="s">
        <v>175</v>
      </c>
      <c r="D1115" s="41" t="s">
        <v>196</v>
      </c>
      <c r="E1115" s="41"/>
      <c r="F1115" s="41"/>
      <c r="G1115" s="41"/>
      <c r="H1115" s="41"/>
      <c r="I1115" s="42"/>
      <c r="J1115" s="41"/>
      <c r="K1115" s="41"/>
      <c r="L1115" s="43"/>
    </row>
    <row r="1116" spans="2:12" hidden="1" outlineLevel="2">
      <c r="B1116" s="35">
        <f t="shared" si="35"/>
        <v>652</v>
      </c>
      <c r="C1116" s="41" t="s">
        <v>175</v>
      </c>
      <c r="D1116" s="41" t="s">
        <v>196</v>
      </c>
      <c r="E1116" s="41"/>
      <c r="F1116" s="41"/>
      <c r="G1116" s="41"/>
      <c r="H1116" s="41"/>
      <c r="I1116" s="42"/>
      <c r="J1116" s="41"/>
      <c r="K1116" s="41"/>
      <c r="L1116" s="43"/>
    </row>
    <row r="1117" spans="2:12" hidden="1" outlineLevel="2">
      <c r="B1117" s="35">
        <f t="shared" si="35"/>
        <v>653</v>
      </c>
      <c r="C1117" s="41" t="s">
        <v>175</v>
      </c>
      <c r="D1117" s="41" t="s">
        <v>196</v>
      </c>
      <c r="E1117" s="41"/>
      <c r="F1117" s="41"/>
      <c r="G1117" s="41"/>
      <c r="H1117" s="41"/>
      <c r="I1117" s="42"/>
      <c r="J1117" s="41"/>
      <c r="K1117" s="41"/>
      <c r="L1117" s="43"/>
    </row>
    <row r="1118" spans="2:12" hidden="1" outlineLevel="2">
      <c r="B1118" s="35">
        <f t="shared" si="35"/>
        <v>654</v>
      </c>
      <c r="C1118" s="41" t="s">
        <v>175</v>
      </c>
      <c r="D1118" s="41" t="s">
        <v>196</v>
      </c>
      <c r="E1118" s="41"/>
      <c r="F1118" s="41"/>
      <c r="G1118" s="41"/>
      <c r="H1118" s="41"/>
      <c r="I1118" s="42"/>
      <c r="J1118" s="41"/>
      <c r="K1118" s="41"/>
      <c r="L1118" s="43"/>
    </row>
    <row r="1119" spans="2:12" hidden="1" outlineLevel="2">
      <c r="B1119" s="35">
        <f t="shared" si="35"/>
        <v>655</v>
      </c>
      <c r="C1119" s="41" t="s">
        <v>175</v>
      </c>
      <c r="D1119" s="41" t="s">
        <v>196</v>
      </c>
      <c r="E1119" s="41"/>
      <c r="F1119" s="41"/>
      <c r="G1119" s="41"/>
      <c r="H1119" s="41"/>
      <c r="I1119" s="42"/>
      <c r="J1119" s="41"/>
      <c r="K1119" s="41"/>
      <c r="L1119" s="43"/>
    </row>
    <row r="1120" spans="2:12" hidden="1" outlineLevel="2">
      <c r="B1120" s="35">
        <f t="shared" si="35"/>
        <v>656</v>
      </c>
      <c r="C1120" s="41" t="s">
        <v>175</v>
      </c>
      <c r="D1120" s="41" t="s">
        <v>196</v>
      </c>
      <c r="E1120" s="41"/>
      <c r="F1120" s="41"/>
      <c r="G1120" s="41"/>
      <c r="H1120" s="41"/>
      <c r="I1120" s="42"/>
      <c r="J1120" s="41"/>
      <c r="K1120" s="41"/>
      <c r="L1120" s="43"/>
    </row>
    <row r="1121" spans="2:12" hidden="1" outlineLevel="2">
      <c r="B1121" s="35">
        <f t="shared" si="35"/>
        <v>657</v>
      </c>
      <c r="C1121" s="41" t="s">
        <v>175</v>
      </c>
      <c r="D1121" s="41" t="s">
        <v>196</v>
      </c>
      <c r="E1121" s="41"/>
      <c r="F1121" s="41"/>
      <c r="G1121" s="41"/>
      <c r="H1121" s="41"/>
      <c r="I1121" s="42"/>
      <c r="J1121" s="41"/>
      <c r="K1121" s="41"/>
      <c r="L1121" s="43"/>
    </row>
    <row r="1122" spans="2:12" hidden="1" outlineLevel="2">
      <c r="B1122" s="35">
        <f t="shared" si="35"/>
        <v>658</v>
      </c>
      <c r="C1122" s="41" t="s">
        <v>175</v>
      </c>
      <c r="D1122" s="41" t="s">
        <v>196</v>
      </c>
      <c r="E1122" s="41"/>
      <c r="F1122" s="41"/>
      <c r="G1122" s="41"/>
      <c r="H1122" s="41"/>
      <c r="I1122" s="42"/>
      <c r="J1122" s="41"/>
      <c r="K1122" s="41"/>
      <c r="L1122" s="43"/>
    </row>
    <row r="1123" spans="2:12" hidden="1" outlineLevel="2">
      <c r="B1123" s="35">
        <f t="shared" si="35"/>
        <v>659</v>
      </c>
      <c r="C1123" s="41" t="s">
        <v>175</v>
      </c>
      <c r="D1123" s="41" t="s">
        <v>196</v>
      </c>
      <c r="E1123" s="41"/>
      <c r="F1123" s="41"/>
      <c r="G1123" s="41"/>
      <c r="H1123" s="41"/>
      <c r="I1123" s="42"/>
      <c r="J1123" s="41"/>
      <c r="K1123" s="41"/>
      <c r="L1123" s="43"/>
    </row>
    <row r="1124" spans="2:12" hidden="1" outlineLevel="2">
      <c r="B1124" s="35">
        <f t="shared" si="35"/>
        <v>660</v>
      </c>
      <c r="C1124" s="41" t="s">
        <v>175</v>
      </c>
      <c r="D1124" s="41" t="s">
        <v>196</v>
      </c>
      <c r="E1124" s="41"/>
      <c r="F1124" s="41"/>
      <c r="G1124" s="41"/>
      <c r="H1124" s="41"/>
      <c r="I1124" s="42"/>
      <c r="J1124" s="41"/>
      <c r="K1124" s="41"/>
      <c r="L1124" s="43"/>
    </row>
    <row r="1125" spans="2:12" hidden="1" outlineLevel="2">
      <c r="B1125" s="35">
        <f t="shared" si="35"/>
        <v>661</v>
      </c>
      <c r="C1125" s="41" t="s">
        <v>175</v>
      </c>
      <c r="D1125" s="41" t="s">
        <v>196</v>
      </c>
      <c r="E1125" s="41"/>
      <c r="F1125" s="41"/>
      <c r="G1125" s="41"/>
      <c r="H1125" s="41"/>
      <c r="I1125" s="42"/>
      <c r="J1125" s="41"/>
      <c r="K1125" s="41"/>
      <c r="L1125" s="43"/>
    </row>
    <row r="1126" spans="2:12" hidden="1" outlineLevel="2">
      <c r="B1126" s="35">
        <f t="shared" si="35"/>
        <v>662</v>
      </c>
      <c r="C1126" s="41" t="s">
        <v>175</v>
      </c>
      <c r="D1126" s="41" t="s">
        <v>196</v>
      </c>
      <c r="E1126" s="41"/>
      <c r="F1126" s="41"/>
      <c r="G1126" s="41"/>
      <c r="H1126" s="41"/>
      <c r="I1126" s="42"/>
      <c r="J1126" s="41"/>
      <c r="K1126" s="41"/>
      <c r="L1126" s="43"/>
    </row>
    <row r="1127" spans="2:12" hidden="1" outlineLevel="2">
      <c r="B1127" s="35">
        <f t="shared" si="35"/>
        <v>663</v>
      </c>
      <c r="C1127" s="41" t="s">
        <v>175</v>
      </c>
      <c r="D1127" s="41" t="s">
        <v>196</v>
      </c>
      <c r="E1127" s="41"/>
      <c r="F1127" s="41"/>
      <c r="G1127" s="41"/>
      <c r="H1127" s="41"/>
      <c r="I1127" s="42"/>
      <c r="J1127" s="41"/>
      <c r="K1127" s="41"/>
      <c r="L1127" s="43"/>
    </row>
    <row r="1128" spans="2:12" hidden="1" outlineLevel="2">
      <c r="B1128" s="35">
        <f t="shared" si="35"/>
        <v>664</v>
      </c>
      <c r="C1128" s="41" t="s">
        <v>175</v>
      </c>
      <c r="D1128" s="41" t="s">
        <v>196</v>
      </c>
      <c r="E1128" s="41"/>
      <c r="F1128" s="41"/>
      <c r="G1128" s="41"/>
      <c r="H1128" s="41"/>
      <c r="I1128" s="42"/>
      <c r="J1128" s="41"/>
      <c r="K1128" s="41"/>
      <c r="L1128" s="43"/>
    </row>
    <row r="1129" spans="2:12" hidden="1" outlineLevel="2">
      <c r="B1129" s="35">
        <f t="shared" si="35"/>
        <v>665</v>
      </c>
      <c r="C1129" s="41" t="s">
        <v>175</v>
      </c>
      <c r="D1129" s="41" t="s">
        <v>196</v>
      </c>
      <c r="E1129" s="41"/>
      <c r="F1129" s="41"/>
      <c r="G1129" s="41"/>
      <c r="H1129" s="41"/>
      <c r="I1129" s="42"/>
      <c r="J1129" s="41"/>
      <c r="K1129" s="41"/>
      <c r="L1129" s="43"/>
    </row>
    <row r="1130" spans="2:12" hidden="1" outlineLevel="2">
      <c r="B1130" s="35">
        <f t="shared" si="35"/>
        <v>666</v>
      </c>
      <c r="C1130" s="41" t="s">
        <v>175</v>
      </c>
      <c r="D1130" s="41" t="s">
        <v>196</v>
      </c>
      <c r="E1130" s="41"/>
      <c r="F1130" s="41"/>
      <c r="G1130" s="41"/>
      <c r="H1130" s="41"/>
      <c r="I1130" s="42"/>
      <c r="J1130" s="41"/>
      <c r="K1130" s="41"/>
      <c r="L1130" s="43"/>
    </row>
    <row r="1131" spans="2:12" hidden="1" outlineLevel="2">
      <c r="B1131" s="35">
        <f t="shared" si="35"/>
        <v>667</v>
      </c>
      <c r="C1131" s="41" t="s">
        <v>175</v>
      </c>
      <c r="D1131" s="41" t="s">
        <v>196</v>
      </c>
      <c r="E1131" s="41"/>
      <c r="F1131" s="41"/>
      <c r="G1131" s="41"/>
      <c r="H1131" s="41"/>
      <c r="I1131" s="42"/>
      <c r="J1131" s="41"/>
      <c r="K1131" s="41"/>
      <c r="L1131" s="43"/>
    </row>
    <row r="1132" spans="2:12" hidden="1" outlineLevel="2">
      <c r="B1132" s="35">
        <f t="shared" si="35"/>
        <v>668</v>
      </c>
      <c r="C1132" s="41" t="s">
        <v>175</v>
      </c>
      <c r="D1132" s="41" t="s">
        <v>196</v>
      </c>
      <c r="E1132" s="41"/>
      <c r="F1132" s="41"/>
      <c r="G1132" s="41"/>
      <c r="H1132" s="41"/>
      <c r="I1132" s="42"/>
      <c r="J1132" s="41"/>
      <c r="K1132" s="41"/>
      <c r="L1132" s="43"/>
    </row>
    <row r="1133" spans="2:12" hidden="1" outlineLevel="2">
      <c r="B1133" s="35">
        <f t="shared" si="35"/>
        <v>669</v>
      </c>
      <c r="C1133" s="41" t="s">
        <v>175</v>
      </c>
      <c r="D1133" s="41" t="s">
        <v>196</v>
      </c>
      <c r="E1133" s="41"/>
      <c r="F1133" s="41"/>
      <c r="G1133" s="41"/>
      <c r="H1133" s="41"/>
      <c r="I1133" s="42"/>
      <c r="J1133" s="41"/>
      <c r="K1133" s="41"/>
      <c r="L1133" s="43"/>
    </row>
    <row r="1134" spans="2:12" hidden="1" outlineLevel="2">
      <c r="B1134" s="35">
        <f t="shared" si="35"/>
        <v>670</v>
      </c>
      <c r="C1134" s="41" t="s">
        <v>175</v>
      </c>
      <c r="D1134" s="41" t="s">
        <v>196</v>
      </c>
      <c r="E1134" s="41"/>
      <c r="F1134" s="41"/>
      <c r="G1134" s="41"/>
      <c r="H1134" s="41"/>
      <c r="I1134" s="42"/>
      <c r="J1134" s="41"/>
      <c r="K1134" s="41"/>
      <c r="L1134" s="43"/>
    </row>
    <row r="1135" spans="2:12" hidden="1" outlineLevel="2">
      <c r="B1135" s="35">
        <f t="shared" si="35"/>
        <v>671</v>
      </c>
      <c r="C1135" s="41" t="s">
        <v>175</v>
      </c>
      <c r="D1135" s="41" t="s">
        <v>196</v>
      </c>
      <c r="E1135" s="41"/>
      <c r="F1135" s="41"/>
      <c r="G1135" s="41"/>
      <c r="H1135" s="41"/>
      <c r="I1135" s="42"/>
      <c r="J1135" s="41"/>
      <c r="K1135" s="41"/>
      <c r="L1135" s="43"/>
    </row>
    <row r="1136" spans="2:12" hidden="1" outlineLevel="2">
      <c r="B1136" s="35">
        <f t="shared" si="35"/>
        <v>672</v>
      </c>
      <c r="C1136" s="41" t="s">
        <v>175</v>
      </c>
      <c r="D1136" s="41" t="s">
        <v>196</v>
      </c>
      <c r="E1136" s="41"/>
      <c r="F1136" s="41"/>
      <c r="G1136" s="41"/>
      <c r="H1136" s="41"/>
      <c r="I1136" s="42"/>
      <c r="J1136" s="41"/>
      <c r="K1136" s="41"/>
      <c r="L1136" s="43"/>
    </row>
    <row r="1137" spans="2:12" hidden="1" outlineLevel="2">
      <c r="B1137" s="35">
        <f t="shared" si="35"/>
        <v>673</v>
      </c>
      <c r="C1137" s="41" t="s">
        <v>175</v>
      </c>
      <c r="D1137" s="41" t="s">
        <v>196</v>
      </c>
      <c r="E1137" s="41"/>
      <c r="F1137" s="41"/>
      <c r="G1137" s="41"/>
      <c r="H1137" s="41"/>
      <c r="I1137" s="42"/>
      <c r="J1137" s="41"/>
      <c r="K1137" s="41"/>
      <c r="L1137" s="43"/>
    </row>
    <row r="1138" spans="2:12" hidden="1" outlineLevel="2">
      <c r="B1138" s="35">
        <f t="shared" si="35"/>
        <v>674</v>
      </c>
      <c r="C1138" s="41" t="s">
        <v>175</v>
      </c>
      <c r="D1138" s="41" t="s">
        <v>196</v>
      </c>
      <c r="E1138" s="41"/>
      <c r="F1138" s="41"/>
      <c r="G1138" s="41"/>
      <c r="H1138" s="41"/>
      <c r="I1138" s="42"/>
      <c r="J1138" s="41"/>
      <c r="K1138" s="41"/>
      <c r="L1138" s="43"/>
    </row>
    <row r="1139" spans="2:12" hidden="1" outlineLevel="2">
      <c r="B1139" s="35">
        <f t="shared" si="35"/>
        <v>675</v>
      </c>
      <c r="C1139" s="41" t="s">
        <v>175</v>
      </c>
      <c r="D1139" s="41" t="s">
        <v>196</v>
      </c>
      <c r="E1139" s="41"/>
      <c r="F1139" s="41"/>
      <c r="G1139" s="41"/>
      <c r="H1139" s="41"/>
      <c r="I1139" s="42"/>
      <c r="J1139" s="41"/>
      <c r="K1139" s="41"/>
      <c r="L1139" s="43"/>
    </row>
    <row r="1140" spans="2:12" hidden="1" outlineLevel="2">
      <c r="B1140" s="35">
        <f t="shared" si="35"/>
        <v>676</v>
      </c>
      <c r="C1140" s="41" t="s">
        <v>175</v>
      </c>
      <c r="D1140" s="41" t="s">
        <v>196</v>
      </c>
      <c r="E1140" s="41"/>
      <c r="F1140" s="41"/>
      <c r="G1140" s="41"/>
      <c r="H1140" s="41"/>
      <c r="I1140" s="42"/>
      <c r="J1140" s="41"/>
      <c r="K1140" s="41"/>
      <c r="L1140" s="43"/>
    </row>
    <row r="1141" spans="2:12" hidden="1" outlineLevel="2">
      <c r="B1141" s="35">
        <f t="shared" si="35"/>
        <v>677</v>
      </c>
      <c r="C1141" s="41" t="s">
        <v>175</v>
      </c>
      <c r="D1141" s="41" t="s">
        <v>196</v>
      </c>
      <c r="E1141" s="41"/>
      <c r="F1141" s="41"/>
      <c r="G1141" s="41"/>
      <c r="H1141" s="41"/>
      <c r="I1141" s="42"/>
      <c r="J1141" s="41"/>
      <c r="K1141" s="41"/>
      <c r="L1141" s="43"/>
    </row>
    <row r="1142" spans="2:12" hidden="1" outlineLevel="2">
      <c r="B1142" s="35">
        <f t="shared" si="35"/>
        <v>678</v>
      </c>
      <c r="C1142" s="41" t="s">
        <v>175</v>
      </c>
      <c r="D1142" s="41" t="s">
        <v>196</v>
      </c>
      <c r="E1142" s="41"/>
      <c r="F1142" s="41"/>
      <c r="G1142" s="41"/>
      <c r="H1142" s="41"/>
      <c r="I1142" s="42"/>
      <c r="J1142" s="41"/>
      <c r="K1142" s="41"/>
      <c r="L1142" s="43"/>
    </row>
    <row r="1143" spans="2:12" hidden="1" outlineLevel="2">
      <c r="B1143" s="35">
        <f t="shared" si="35"/>
        <v>679</v>
      </c>
      <c r="C1143" s="41" t="s">
        <v>175</v>
      </c>
      <c r="D1143" s="41" t="s">
        <v>196</v>
      </c>
      <c r="E1143" s="41"/>
      <c r="F1143" s="41"/>
      <c r="G1143" s="41"/>
      <c r="H1143" s="41"/>
      <c r="I1143" s="42"/>
      <c r="J1143" s="41"/>
      <c r="K1143" s="41"/>
      <c r="L1143" s="43"/>
    </row>
    <row r="1144" spans="2:12" hidden="1" outlineLevel="2">
      <c r="B1144" s="35">
        <f t="shared" si="35"/>
        <v>680</v>
      </c>
      <c r="C1144" s="41" t="s">
        <v>175</v>
      </c>
      <c r="D1144" s="41" t="s">
        <v>196</v>
      </c>
      <c r="E1144" s="41"/>
      <c r="F1144" s="41"/>
      <c r="G1144" s="41"/>
      <c r="H1144" s="41"/>
      <c r="I1144" s="42"/>
      <c r="J1144" s="41"/>
      <c r="K1144" s="41"/>
      <c r="L1144" s="43"/>
    </row>
    <row r="1145" spans="2:12" hidden="1" outlineLevel="2">
      <c r="B1145" s="35">
        <f t="shared" si="35"/>
        <v>681</v>
      </c>
      <c r="C1145" s="41" t="s">
        <v>175</v>
      </c>
      <c r="D1145" s="41" t="s">
        <v>196</v>
      </c>
      <c r="E1145" s="41"/>
      <c r="F1145" s="41"/>
      <c r="G1145" s="41"/>
      <c r="H1145" s="41"/>
      <c r="I1145" s="42"/>
      <c r="J1145" s="41"/>
      <c r="K1145" s="41"/>
      <c r="L1145" s="43"/>
    </row>
    <row r="1146" spans="2:12" hidden="1" outlineLevel="2">
      <c r="B1146" s="35">
        <f t="shared" si="35"/>
        <v>682</v>
      </c>
      <c r="C1146" s="41" t="s">
        <v>175</v>
      </c>
      <c r="D1146" s="41" t="s">
        <v>196</v>
      </c>
      <c r="E1146" s="41"/>
      <c r="F1146" s="41"/>
      <c r="G1146" s="41"/>
      <c r="H1146" s="41"/>
      <c r="I1146" s="42"/>
      <c r="J1146" s="41"/>
      <c r="K1146" s="41"/>
      <c r="L1146" s="43"/>
    </row>
    <row r="1147" spans="2:12" hidden="1" outlineLevel="2">
      <c r="B1147" s="35">
        <f t="shared" si="35"/>
        <v>683</v>
      </c>
      <c r="C1147" s="41" t="s">
        <v>175</v>
      </c>
      <c r="D1147" s="41" t="s">
        <v>196</v>
      </c>
      <c r="E1147" s="41"/>
      <c r="F1147" s="41"/>
      <c r="G1147" s="41"/>
      <c r="H1147" s="41"/>
      <c r="I1147" s="42"/>
      <c r="J1147" s="41"/>
      <c r="K1147" s="41"/>
      <c r="L1147" s="43"/>
    </row>
    <row r="1148" spans="2:12" outlineLevel="2">
      <c r="B1148" s="35">
        <f t="shared" si="35"/>
        <v>684</v>
      </c>
      <c r="C1148" s="41" t="s">
        <v>175</v>
      </c>
      <c r="D1148" s="41" t="s">
        <v>196</v>
      </c>
      <c r="E1148" s="41"/>
      <c r="F1148" s="41"/>
      <c r="G1148" s="41"/>
      <c r="H1148" s="41"/>
      <c r="I1148" s="42"/>
      <c r="J1148" s="41"/>
      <c r="K1148" s="41"/>
      <c r="L1148" s="43"/>
    </row>
    <row r="1149" spans="2:12" outlineLevel="1">
      <c r="B1149" s="60" t="s">
        <v>296</v>
      </c>
      <c r="C1149" s="41">
        <f>SUBTOTAL(3,C921:C1148)</f>
        <v>228</v>
      </c>
      <c r="D1149" s="41">
        <f>COUNTA(D921:D1148)</f>
        <v>228</v>
      </c>
      <c r="E1149" s="41"/>
      <c r="F1149" s="41"/>
      <c r="G1149" s="41"/>
      <c r="H1149" s="41"/>
      <c r="I1149" s="42"/>
      <c r="J1149" s="41"/>
      <c r="K1149" s="41"/>
      <c r="L1149" s="43"/>
    </row>
    <row r="1150" spans="2:12" outlineLevel="2">
      <c r="B1150" s="35">
        <f>(B1148+1)</f>
        <v>685</v>
      </c>
      <c r="C1150" s="41" t="s">
        <v>69</v>
      </c>
      <c r="D1150" s="41" t="s">
        <v>196</v>
      </c>
      <c r="E1150" s="118">
        <v>7654</v>
      </c>
      <c r="F1150" s="118"/>
      <c r="G1150" s="41"/>
      <c r="H1150" s="41"/>
      <c r="I1150" s="211">
        <v>44615</v>
      </c>
      <c r="J1150" s="41"/>
      <c r="K1150" s="214">
        <v>3</v>
      </c>
      <c r="L1150" s="213">
        <v>1480</v>
      </c>
    </row>
    <row r="1151" spans="2:12" outlineLevel="2">
      <c r="B1151" s="35">
        <f t="shared" ref="B1151:B1214" si="36">(B1150+1)</f>
        <v>686</v>
      </c>
      <c r="C1151" s="41" t="s">
        <v>69</v>
      </c>
      <c r="D1151" s="41" t="s">
        <v>196</v>
      </c>
      <c r="E1151" s="118" t="s">
        <v>297</v>
      </c>
      <c r="F1151" s="118"/>
      <c r="G1151" s="41"/>
      <c r="H1151" s="41"/>
      <c r="I1151" s="212">
        <v>44863</v>
      </c>
      <c r="J1151" s="41"/>
      <c r="K1151" s="120">
        <v>38</v>
      </c>
      <c r="L1151" s="213">
        <v>4348</v>
      </c>
    </row>
    <row r="1152" spans="2:12" outlineLevel="2">
      <c r="B1152" s="35">
        <f t="shared" si="36"/>
        <v>687</v>
      </c>
      <c r="C1152" s="41" t="s">
        <v>69</v>
      </c>
      <c r="D1152" s="41" t="s">
        <v>196</v>
      </c>
      <c r="E1152" s="118">
        <v>9404</v>
      </c>
      <c r="F1152" s="118"/>
      <c r="G1152" s="41"/>
      <c r="H1152" s="41"/>
      <c r="I1152" s="212">
        <v>44863</v>
      </c>
      <c r="J1152" s="41"/>
      <c r="K1152" s="120">
        <v>27</v>
      </c>
      <c r="L1152" s="213">
        <v>4379</v>
      </c>
    </row>
    <row r="1153" spans="2:12" outlineLevel="2">
      <c r="B1153" s="35">
        <f t="shared" si="36"/>
        <v>688</v>
      </c>
      <c r="C1153" s="41" t="s">
        <v>69</v>
      </c>
      <c r="D1153" s="41" t="s">
        <v>196</v>
      </c>
      <c r="E1153" s="118">
        <v>7615</v>
      </c>
      <c r="F1153" s="118"/>
      <c r="G1153" s="41"/>
      <c r="H1153" s="41"/>
      <c r="I1153" s="212">
        <v>44863</v>
      </c>
      <c r="J1153" s="41"/>
      <c r="K1153" s="120">
        <v>25</v>
      </c>
      <c r="L1153" s="213">
        <v>4384</v>
      </c>
    </row>
    <row r="1154" spans="2:12" outlineLevel="2">
      <c r="B1154" s="35">
        <f t="shared" si="36"/>
        <v>689</v>
      </c>
      <c r="C1154" s="41" t="s">
        <v>69</v>
      </c>
      <c r="D1154" s="41" t="s">
        <v>196</v>
      </c>
      <c r="E1154" s="118" t="s">
        <v>298</v>
      </c>
      <c r="F1154" s="118"/>
      <c r="G1154" s="41"/>
      <c r="H1154" s="41"/>
      <c r="I1154" s="212">
        <v>44863</v>
      </c>
      <c r="J1154" s="41"/>
      <c r="K1154" s="120">
        <v>10</v>
      </c>
      <c r="L1154" s="213">
        <v>4393</v>
      </c>
    </row>
    <row r="1155" spans="2:12" outlineLevel="2">
      <c r="B1155" s="35">
        <f t="shared" si="36"/>
        <v>690</v>
      </c>
      <c r="C1155" s="41" t="s">
        <v>69</v>
      </c>
      <c r="D1155" s="41" t="s">
        <v>196</v>
      </c>
      <c r="E1155" s="118">
        <v>38432</v>
      </c>
      <c r="F1155" s="118"/>
      <c r="G1155" s="41"/>
      <c r="H1155" s="41"/>
      <c r="I1155" s="212">
        <v>44865</v>
      </c>
      <c r="J1155" s="41"/>
      <c r="K1155" s="120">
        <v>28</v>
      </c>
      <c r="L1155" s="213">
        <v>4428</v>
      </c>
    </row>
    <row r="1156" spans="2:12" outlineLevel="2">
      <c r="B1156" s="35">
        <f t="shared" si="36"/>
        <v>691</v>
      </c>
      <c r="C1156" s="41" t="s">
        <v>69</v>
      </c>
      <c r="D1156" s="41" t="s">
        <v>196</v>
      </c>
      <c r="E1156" s="118" t="s">
        <v>299</v>
      </c>
      <c r="F1156" s="118"/>
      <c r="G1156" s="41"/>
      <c r="H1156" s="41"/>
      <c r="I1156" s="212">
        <v>44865</v>
      </c>
      <c r="J1156" s="41"/>
      <c r="K1156" s="120">
        <v>17</v>
      </c>
      <c r="L1156" s="213">
        <v>4429</v>
      </c>
    </row>
    <row r="1157" spans="2:12" outlineLevel="2">
      <c r="B1157" s="35">
        <f t="shared" si="36"/>
        <v>692</v>
      </c>
      <c r="C1157" s="41" t="s">
        <v>69</v>
      </c>
      <c r="D1157" s="41" t="s">
        <v>196</v>
      </c>
      <c r="E1157" s="118" t="s">
        <v>300</v>
      </c>
      <c r="F1157" s="118"/>
      <c r="G1157" s="41"/>
      <c r="H1157" s="41"/>
      <c r="I1157" s="212">
        <v>44865</v>
      </c>
      <c r="J1157" s="41"/>
      <c r="K1157" s="120">
        <v>15</v>
      </c>
      <c r="L1157" s="213">
        <v>4435</v>
      </c>
    </row>
    <row r="1158" spans="2:12" outlineLevel="2">
      <c r="B1158" s="35">
        <f t="shared" si="36"/>
        <v>693</v>
      </c>
      <c r="C1158" s="41" t="s">
        <v>69</v>
      </c>
      <c r="D1158" s="41" t="s">
        <v>196</v>
      </c>
      <c r="E1158" s="118" t="s">
        <v>301</v>
      </c>
      <c r="F1158" s="118"/>
      <c r="G1158" s="41"/>
      <c r="H1158" s="41"/>
      <c r="I1158" s="212">
        <v>44865</v>
      </c>
      <c r="J1158" s="41"/>
      <c r="K1158" s="120">
        <v>27</v>
      </c>
      <c r="L1158" s="213">
        <v>4441</v>
      </c>
    </row>
    <row r="1159" spans="2:12" outlineLevel="2">
      <c r="B1159" s="35">
        <f t="shared" si="36"/>
        <v>694</v>
      </c>
      <c r="C1159" s="41" t="s">
        <v>69</v>
      </c>
      <c r="D1159" s="41" t="s">
        <v>196</v>
      </c>
      <c r="E1159" s="118" t="s">
        <v>302</v>
      </c>
      <c r="F1159" s="118"/>
      <c r="G1159" s="41"/>
      <c r="H1159" s="41"/>
      <c r="I1159" s="212">
        <v>44861</v>
      </c>
      <c r="J1159" s="41"/>
      <c r="K1159" s="120">
        <v>25</v>
      </c>
      <c r="L1159" s="213">
        <v>6999</v>
      </c>
    </row>
    <row r="1160" spans="2:12" outlineLevel="2">
      <c r="B1160" s="35">
        <f t="shared" si="36"/>
        <v>695</v>
      </c>
      <c r="C1160" s="41" t="s">
        <v>69</v>
      </c>
      <c r="D1160" s="41" t="s">
        <v>196</v>
      </c>
      <c r="E1160" s="118">
        <v>367425</v>
      </c>
      <c r="F1160" s="118"/>
      <c r="G1160" s="41"/>
      <c r="H1160" s="41"/>
      <c r="I1160" s="212">
        <v>44860</v>
      </c>
      <c r="J1160" s="41"/>
      <c r="K1160" s="248" t="s">
        <v>197</v>
      </c>
      <c r="L1160" s="213">
        <v>7064</v>
      </c>
    </row>
    <row r="1161" spans="2:12" outlineLevel="2">
      <c r="B1161" s="35">
        <f t="shared" si="36"/>
        <v>696</v>
      </c>
      <c r="C1161" s="41" t="s">
        <v>69</v>
      </c>
      <c r="D1161" s="41" t="s">
        <v>196</v>
      </c>
      <c r="E1161" s="215">
        <v>429813</v>
      </c>
      <c r="F1161" s="215"/>
      <c r="G1161" s="41"/>
      <c r="H1161" s="41"/>
      <c r="I1161" s="211">
        <v>44893</v>
      </c>
      <c r="J1161" s="41"/>
      <c r="K1161" s="214">
        <v>13</v>
      </c>
      <c r="L1161" s="241">
        <v>11912</v>
      </c>
    </row>
    <row r="1162" spans="2:12" outlineLevel="2">
      <c r="B1162" s="35">
        <f t="shared" si="36"/>
        <v>697</v>
      </c>
      <c r="C1162" s="41" t="s">
        <v>69</v>
      </c>
      <c r="D1162" s="41" t="s">
        <v>196</v>
      </c>
      <c r="E1162" s="217">
        <v>7816</v>
      </c>
      <c r="F1162" s="215"/>
      <c r="G1162" s="41"/>
      <c r="H1162" s="41"/>
      <c r="I1162" s="211">
        <v>44894</v>
      </c>
      <c r="J1162" s="41"/>
      <c r="K1162" s="214">
        <v>17</v>
      </c>
      <c r="L1162" s="241">
        <v>11935</v>
      </c>
    </row>
    <row r="1163" spans="2:12" outlineLevel="2">
      <c r="B1163" s="35">
        <f t="shared" si="36"/>
        <v>698</v>
      </c>
      <c r="C1163" s="41" t="s">
        <v>69</v>
      </c>
      <c r="D1163" s="41" t="s">
        <v>196</v>
      </c>
      <c r="E1163" s="217">
        <v>8411121</v>
      </c>
      <c r="F1163" s="215"/>
      <c r="G1163" s="41"/>
      <c r="H1163" s="41"/>
      <c r="I1163" s="211">
        <v>44894</v>
      </c>
      <c r="J1163" s="41"/>
      <c r="K1163" s="214">
        <v>28</v>
      </c>
      <c r="L1163" s="241">
        <v>11960</v>
      </c>
    </row>
    <row r="1164" spans="2:12" outlineLevel="2">
      <c r="B1164" s="35">
        <f t="shared" si="36"/>
        <v>699</v>
      </c>
      <c r="C1164" s="41" t="s">
        <v>69</v>
      </c>
      <c r="D1164" s="41" t="s">
        <v>196</v>
      </c>
      <c r="E1164" s="217">
        <v>1205062</v>
      </c>
      <c r="F1164" s="215"/>
      <c r="G1164" s="41"/>
      <c r="H1164" s="41"/>
      <c r="I1164" s="211">
        <v>44894</v>
      </c>
      <c r="J1164" s="41"/>
      <c r="K1164" s="214">
        <v>10</v>
      </c>
      <c r="L1164" s="241">
        <v>11981</v>
      </c>
    </row>
    <row r="1165" spans="2:12" outlineLevel="2">
      <c r="B1165" s="35">
        <f t="shared" si="36"/>
        <v>700</v>
      </c>
      <c r="C1165" s="41" t="s">
        <v>69</v>
      </c>
      <c r="D1165" s="41" t="s">
        <v>196</v>
      </c>
      <c r="E1165" s="216">
        <v>1206548</v>
      </c>
      <c r="F1165" s="216" t="s">
        <v>172</v>
      </c>
      <c r="G1165" s="41"/>
      <c r="H1165" s="41"/>
      <c r="I1165" s="212">
        <v>44917</v>
      </c>
      <c r="J1165" s="41"/>
      <c r="K1165" s="120">
        <v>13</v>
      </c>
      <c r="L1165" s="120">
        <v>13069</v>
      </c>
    </row>
    <row r="1166" spans="2:12" outlineLevel="2">
      <c r="B1166" s="35">
        <f t="shared" si="36"/>
        <v>701</v>
      </c>
      <c r="C1166" s="41" t="s">
        <v>69</v>
      </c>
      <c r="D1166" s="41" t="s">
        <v>196</v>
      </c>
      <c r="E1166" s="216" t="s">
        <v>303</v>
      </c>
      <c r="F1166" s="216" t="s">
        <v>172</v>
      </c>
      <c r="G1166" s="41"/>
      <c r="H1166" s="41"/>
      <c r="I1166" s="212">
        <v>44917</v>
      </c>
      <c r="J1166" s="41"/>
      <c r="K1166" s="213">
        <v>13</v>
      </c>
      <c r="L1166" s="120">
        <v>13122</v>
      </c>
    </row>
    <row r="1167" spans="2:12" outlineLevel="2">
      <c r="B1167" s="35">
        <f t="shared" si="36"/>
        <v>702</v>
      </c>
      <c r="C1167" s="41" t="s">
        <v>69</v>
      </c>
      <c r="D1167" s="41" t="s">
        <v>196</v>
      </c>
      <c r="E1167" s="216">
        <v>40688</v>
      </c>
      <c r="F1167" s="216" t="s">
        <v>172</v>
      </c>
      <c r="G1167" s="41"/>
      <c r="H1167" s="41"/>
      <c r="I1167" s="212">
        <v>44918</v>
      </c>
      <c r="J1167" s="41"/>
      <c r="K1167" s="120">
        <v>3</v>
      </c>
      <c r="L1167" s="120">
        <v>13155</v>
      </c>
    </row>
    <row r="1168" spans="2:12" outlineLevel="2">
      <c r="B1168" s="35">
        <f t="shared" si="36"/>
        <v>703</v>
      </c>
      <c r="C1168" s="41" t="s">
        <v>69</v>
      </c>
      <c r="D1168" s="41" t="s">
        <v>196</v>
      </c>
      <c r="E1168" s="217" t="s">
        <v>304</v>
      </c>
      <c r="F1168" s="217" t="s">
        <v>172</v>
      </c>
      <c r="G1168" s="41"/>
      <c r="H1168" s="41"/>
      <c r="I1168" s="211">
        <v>44918</v>
      </c>
      <c r="J1168" s="41"/>
      <c r="K1168" s="214">
        <v>10</v>
      </c>
      <c r="L1168" s="241">
        <v>13196</v>
      </c>
    </row>
    <row r="1169" spans="2:12" outlineLevel="2">
      <c r="B1169" s="35">
        <f t="shared" si="36"/>
        <v>704</v>
      </c>
      <c r="C1169" s="41" t="s">
        <v>69</v>
      </c>
      <c r="D1169" s="41" t="s">
        <v>196</v>
      </c>
      <c r="E1169" s="217" t="s">
        <v>305</v>
      </c>
      <c r="F1169" s="215" t="s">
        <v>172</v>
      </c>
      <c r="G1169" s="41"/>
      <c r="H1169" s="41"/>
      <c r="I1169" s="211">
        <v>44937</v>
      </c>
      <c r="J1169" s="41"/>
      <c r="K1169" s="214">
        <v>16</v>
      </c>
      <c r="L1169" s="241">
        <v>13236</v>
      </c>
    </row>
    <row r="1170" spans="2:12" outlineLevel="2">
      <c r="B1170" s="35">
        <f t="shared" si="36"/>
        <v>705</v>
      </c>
      <c r="C1170" s="41" t="s">
        <v>69</v>
      </c>
      <c r="D1170" s="41" t="s">
        <v>196</v>
      </c>
      <c r="E1170" s="216" t="s">
        <v>306</v>
      </c>
      <c r="F1170" s="118" t="s">
        <v>172</v>
      </c>
      <c r="G1170" s="41"/>
      <c r="H1170" s="41"/>
      <c r="I1170" s="212">
        <v>44942</v>
      </c>
      <c r="J1170" s="41"/>
      <c r="K1170" s="213">
        <v>10</v>
      </c>
      <c r="L1170" s="120">
        <v>13647</v>
      </c>
    </row>
    <row r="1171" spans="2:12" outlineLevel="2">
      <c r="B1171" s="35">
        <f t="shared" si="36"/>
        <v>706</v>
      </c>
      <c r="C1171" s="41" t="s">
        <v>69</v>
      </c>
      <c r="D1171" s="41" t="s">
        <v>196</v>
      </c>
      <c r="E1171" s="216" t="s">
        <v>307</v>
      </c>
      <c r="F1171" s="118" t="s">
        <v>172</v>
      </c>
      <c r="G1171" s="41"/>
      <c r="H1171" s="41"/>
      <c r="I1171" s="212">
        <v>44942</v>
      </c>
      <c r="J1171" s="41"/>
      <c r="K1171" s="120">
        <v>24</v>
      </c>
      <c r="L1171" s="120">
        <v>13670</v>
      </c>
    </row>
    <row r="1172" spans="2:12" outlineLevel="2">
      <c r="B1172" s="35">
        <f t="shared" si="36"/>
        <v>707</v>
      </c>
      <c r="C1172" s="41" t="s">
        <v>69</v>
      </c>
      <c r="D1172" s="41" t="s">
        <v>196</v>
      </c>
      <c r="E1172" s="216" t="s">
        <v>308</v>
      </c>
      <c r="F1172" s="118" t="s">
        <v>172</v>
      </c>
      <c r="G1172" s="41"/>
      <c r="H1172" s="41"/>
      <c r="I1172" s="212">
        <v>44942</v>
      </c>
      <c r="J1172" s="41"/>
      <c r="K1172" s="120">
        <v>18</v>
      </c>
      <c r="L1172" s="120">
        <v>13683</v>
      </c>
    </row>
    <row r="1173" spans="2:12" outlineLevel="2">
      <c r="B1173" s="35">
        <f t="shared" si="36"/>
        <v>708</v>
      </c>
      <c r="C1173" s="41" t="s">
        <v>69</v>
      </c>
      <c r="D1173" s="41" t="s">
        <v>196</v>
      </c>
      <c r="E1173" s="216">
        <v>29363</v>
      </c>
      <c r="F1173" s="118" t="s">
        <v>172</v>
      </c>
      <c r="G1173" s="41"/>
      <c r="H1173" s="41"/>
      <c r="I1173" s="212">
        <v>44942</v>
      </c>
      <c r="J1173" s="41"/>
      <c r="K1173" s="120">
        <v>21</v>
      </c>
      <c r="L1173" s="120">
        <v>13688</v>
      </c>
    </row>
    <row r="1174" spans="2:12" outlineLevel="2">
      <c r="B1174" s="35">
        <f t="shared" si="36"/>
        <v>709</v>
      </c>
      <c r="C1174" s="41" t="s">
        <v>69</v>
      </c>
      <c r="D1174" s="41" t="s">
        <v>196</v>
      </c>
      <c r="E1174" s="216" t="s">
        <v>172</v>
      </c>
      <c r="F1174" s="118" t="s">
        <v>172</v>
      </c>
      <c r="G1174" s="41"/>
      <c r="H1174" s="41"/>
      <c r="I1174" s="212">
        <v>44942</v>
      </c>
      <c r="J1174" s="41"/>
      <c r="K1174" s="213">
        <v>12</v>
      </c>
      <c r="L1174" s="120">
        <v>13691</v>
      </c>
    </row>
    <row r="1175" spans="2:12" outlineLevel="2">
      <c r="B1175" s="35">
        <f t="shared" si="36"/>
        <v>710</v>
      </c>
      <c r="C1175" s="41" t="s">
        <v>69</v>
      </c>
      <c r="D1175" s="41" t="s">
        <v>196</v>
      </c>
      <c r="E1175" s="216">
        <v>461543</v>
      </c>
      <c r="F1175" s="118" t="s">
        <v>172</v>
      </c>
      <c r="G1175" s="41"/>
      <c r="H1175" s="41"/>
      <c r="I1175" s="212">
        <v>44942</v>
      </c>
      <c r="J1175" s="41"/>
      <c r="K1175" s="248" t="s">
        <v>197</v>
      </c>
      <c r="L1175" s="120">
        <v>13713</v>
      </c>
    </row>
    <row r="1176" spans="2:12" outlineLevel="2">
      <c r="B1176" s="35">
        <f t="shared" si="36"/>
        <v>711</v>
      </c>
      <c r="C1176" s="41" t="s">
        <v>69</v>
      </c>
      <c r="D1176" s="41" t="s">
        <v>196</v>
      </c>
      <c r="E1176" s="216" t="s">
        <v>309</v>
      </c>
      <c r="F1176" s="118" t="s">
        <v>172</v>
      </c>
      <c r="G1176" s="41"/>
      <c r="H1176" s="41"/>
      <c r="I1176" s="212">
        <v>44942</v>
      </c>
      <c r="J1176" s="41"/>
      <c r="K1176" s="120">
        <v>18</v>
      </c>
      <c r="L1176" s="120">
        <v>13723</v>
      </c>
    </row>
    <row r="1177" spans="2:12" outlineLevel="2">
      <c r="B1177" s="35">
        <f t="shared" si="36"/>
        <v>712</v>
      </c>
      <c r="C1177" s="41" t="s">
        <v>69</v>
      </c>
      <c r="D1177" s="41" t="s">
        <v>196</v>
      </c>
      <c r="E1177" s="216">
        <v>7819</v>
      </c>
      <c r="F1177" s="118" t="s">
        <v>172</v>
      </c>
      <c r="G1177" s="41"/>
      <c r="H1177" s="41"/>
      <c r="I1177" s="212">
        <v>44942</v>
      </c>
      <c r="J1177" s="41"/>
      <c r="K1177" s="120">
        <v>22</v>
      </c>
      <c r="L1177" s="120">
        <v>13724</v>
      </c>
    </row>
    <row r="1178" spans="2:12" outlineLevel="2">
      <c r="B1178" s="35">
        <f t="shared" si="36"/>
        <v>713</v>
      </c>
      <c r="C1178" s="41" t="s">
        <v>69</v>
      </c>
      <c r="D1178" s="41" t="s">
        <v>196</v>
      </c>
      <c r="E1178" s="263">
        <v>361775</v>
      </c>
      <c r="F1178" s="231" t="s">
        <v>172</v>
      </c>
      <c r="G1178" s="41"/>
      <c r="H1178" s="41"/>
      <c r="I1178" s="211">
        <v>44959</v>
      </c>
      <c r="J1178" s="41"/>
      <c r="K1178" s="248" t="s">
        <v>197</v>
      </c>
      <c r="L1178" s="241">
        <v>15208</v>
      </c>
    </row>
    <row r="1179" spans="2:12" outlineLevel="2">
      <c r="B1179" s="35">
        <f t="shared" si="36"/>
        <v>714</v>
      </c>
      <c r="C1179" s="41" t="s">
        <v>69</v>
      </c>
      <c r="D1179" s="41" t="s">
        <v>196</v>
      </c>
      <c r="E1179" s="218" t="s">
        <v>310</v>
      </c>
      <c r="F1179" s="227" t="s">
        <v>172</v>
      </c>
      <c r="G1179" s="41"/>
      <c r="H1179" s="41"/>
      <c r="I1179" s="212">
        <v>44980</v>
      </c>
      <c r="J1179" s="41"/>
      <c r="K1179" s="213">
        <v>27</v>
      </c>
      <c r="L1179" s="120">
        <v>17295</v>
      </c>
    </row>
    <row r="1180" spans="2:12" outlineLevel="2">
      <c r="B1180" s="35">
        <f t="shared" si="36"/>
        <v>715</v>
      </c>
      <c r="C1180" s="41" t="s">
        <v>69</v>
      </c>
      <c r="D1180" s="41" t="s">
        <v>196</v>
      </c>
      <c r="E1180" s="216" t="s">
        <v>311</v>
      </c>
      <c r="F1180" s="216" t="s">
        <v>172</v>
      </c>
      <c r="G1180" s="41"/>
      <c r="H1180" s="41"/>
      <c r="I1180" s="212">
        <v>44984</v>
      </c>
      <c r="J1180" s="41"/>
      <c r="K1180" s="120">
        <v>47</v>
      </c>
      <c r="L1180" s="120">
        <v>17997</v>
      </c>
    </row>
    <row r="1181" spans="2:12" outlineLevel="2">
      <c r="B1181" s="35">
        <f t="shared" si="36"/>
        <v>716</v>
      </c>
      <c r="C1181" s="41" t="s">
        <v>69</v>
      </c>
      <c r="D1181" s="41" t="s">
        <v>196</v>
      </c>
      <c r="E1181" s="216">
        <v>366388</v>
      </c>
      <c r="F1181" s="228">
        <v>69559</v>
      </c>
      <c r="G1181" s="41"/>
      <c r="H1181" s="41"/>
      <c r="I1181" s="211">
        <v>45002</v>
      </c>
      <c r="J1181" s="41"/>
      <c r="K1181" s="248" t="s">
        <v>197</v>
      </c>
      <c r="L1181" s="120">
        <v>19767</v>
      </c>
    </row>
    <row r="1182" spans="2:12" outlineLevel="2">
      <c r="B1182" s="35">
        <f t="shared" si="36"/>
        <v>717</v>
      </c>
      <c r="C1182" s="41" t="s">
        <v>69</v>
      </c>
      <c r="D1182" s="41" t="s">
        <v>196</v>
      </c>
      <c r="E1182" s="219">
        <v>1222090</v>
      </c>
      <c r="F1182" s="237">
        <v>60273</v>
      </c>
      <c r="G1182" s="41"/>
      <c r="H1182" s="41"/>
      <c r="I1182" s="240">
        <v>45491</v>
      </c>
      <c r="J1182" s="41"/>
      <c r="K1182" s="248" t="s">
        <v>197</v>
      </c>
      <c r="L1182" s="241">
        <v>36592</v>
      </c>
    </row>
    <row r="1183" spans="2:12" outlineLevel="2">
      <c r="B1183" s="35">
        <f t="shared" si="36"/>
        <v>718</v>
      </c>
      <c r="C1183" s="41" t="s">
        <v>69</v>
      </c>
      <c r="D1183" s="41" t="s">
        <v>196</v>
      </c>
      <c r="E1183" s="219" t="s">
        <v>312</v>
      </c>
      <c r="F1183" s="219">
        <v>38309</v>
      </c>
      <c r="G1183" s="41"/>
      <c r="H1183" s="41"/>
      <c r="I1183" s="209">
        <v>45495</v>
      </c>
      <c r="J1183" s="41"/>
      <c r="K1183" s="209" t="s">
        <v>197</v>
      </c>
      <c r="L1183" s="241">
        <v>37328</v>
      </c>
    </row>
    <row r="1184" spans="2:12" outlineLevel="2">
      <c r="B1184" s="35">
        <f t="shared" si="36"/>
        <v>719</v>
      </c>
      <c r="C1184" s="41" t="s">
        <v>69</v>
      </c>
      <c r="D1184" s="41" t="s">
        <v>196</v>
      </c>
      <c r="E1184" s="219">
        <v>369922</v>
      </c>
      <c r="F1184" s="219">
        <v>37599</v>
      </c>
      <c r="G1184" s="41"/>
      <c r="H1184" s="41"/>
      <c r="I1184" s="209">
        <v>45495</v>
      </c>
      <c r="J1184" s="41"/>
      <c r="K1184" s="209" t="s">
        <v>197</v>
      </c>
      <c r="L1184" s="241">
        <v>37350</v>
      </c>
    </row>
    <row r="1185" spans="2:12" outlineLevel="2">
      <c r="B1185" s="35">
        <f t="shared" si="36"/>
        <v>720</v>
      </c>
      <c r="C1185" s="41" t="s">
        <v>69</v>
      </c>
      <c r="D1185" s="41" t="s">
        <v>196</v>
      </c>
      <c r="E1185" s="92">
        <v>1523940</v>
      </c>
      <c r="F1185" s="92">
        <v>70696</v>
      </c>
      <c r="G1185" s="41"/>
      <c r="H1185" s="41"/>
      <c r="I1185" s="273">
        <v>45576</v>
      </c>
      <c r="J1185" s="41"/>
      <c r="K1185" s="266">
        <v>8</v>
      </c>
      <c r="L1185" s="217">
        <v>31024111024</v>
      </c>
    </row>
    <row r="1186" spans="2:12" outlineLevel="2">
      <c r="B1186" s="35">
        <f t="shared" si="36"/>
        <v>721</v>
      </c>
      <c r="C1186" s="41" t="s">
        <v>69</v>
      </c>
      <c r="D1186" s="41" t="s">
        <v>196</v>
      </c>
      <c r="E1186" s="272">
        <v>369906</v>
      </c>
      <c r="F1186" s="272">
        <v>37564</v>
      </c>
      <c r="G1186" s="41"/>
      <c r="H1186" s="41"/>
      <c r="I1186" s="265"/>
      <c r="J1186" s="41"/>
      <c r="K1186" s="266"/>
      <c r="L1186" s="102"/>
    </row>
    <row r="1187" spans="2:12" outlineLevel="2">
      <c r="B1187" s="35">
        <f t="shared" si="36"/>
        <v>722</v>
      </c>
      <c r="C1187" s="41" t="s">
        <v>69</v>
      </c>
      <c r="D1187" s="41" t="s">
        <v>196</v>
      </c>
      <c r="E1187" s="92" t="s">
        <v>313</v>
      </c>
      <c r="F1187" s="92">
        <v>40547</v>
      </c>
      <c r="G1187" s="41"/>
      <c r="H1187" s="41"/>
      <c r="I1187" s="265"/>
      <c r="J1187" s="41"/>
      <c r="K1187" s="266"/>
      <c r="L1187" s="102"/>
    </row>
    <row r="1188" spans="2:12" outlineLevel="2">
      <c r="B1188" s="35">
        <f t="shared" si="36"/>
        <v>723</v>
      </c>
      <c r="C1188" s="41" t="s">
        <v>69</v>
      </c>
      <c r="D1188" s="41" t="s">
        <v>196</v>
      </c>
      <c r="E1188" s="92">
        <v>492797</v>
      </c>
      <c r="F1188" s="92">
        <v>30916</v>
      </c>
      <c r="G1188" s="41"/>
      <c r="H1188" s="41"/>
      <c r="I1188" s="265"/>
      <c r="J1188" s="41"/>
      <c r="K1188" s="266"/>
      <c r="L1188" s="102"/>
    </row>
    <row r="1189" spans="2:12" hidden="1" outlineLevel="2">
      <c r="B1189" s="35">
        <f t="shared" si="36"/>
        <v>724</v>
      </c>
      <c r="C1189" s="41" t="s">
        <v>69</v>
      </c>
      <c r="D1189" s="41" t="s">
        <v>196</v>
      </c>
      <c r="E1189" s="41"/>
      <c r="F1189" s="41"/>
      <c r="G1189" s="41"/>
      <c r="H1189" s="41"/>
      <c r="I1189" s="42"/>
      <c r="J1189" s="41"/>
      <c r="K1189" s="41"/>
      <c r="L1189" s="43"/>
    </row>
    <row r="1190" spans="2:12" hidden="1" outlineLevel="2">
      <c r="B1190" s="35">
        <f t="shared" si="36"/>
        <v>725</v>
      </c>
      <c r="C1190" s="41" t="s">
        <v>69</v>
      </c>
      <c r="D1190" s="41" t="s">
        <v>196</v>
      </c>
      <c r="E1190" s="41"/>
      <c r="F1190" s="41"/>
      <c r="G1190" s="41"/>
      <c r="H1190" s="41"/>
      <c r="I1190" s="42"/>
      <c r="J1190" s="41"/>
      <c r="K1190" s="41"/>
      <c r="L1190" s="43"/>
    </row>
    <row r="1191" spans="2:12" hidden="1" outlineLevel="2">
      <c r="B1191" s="35">
        <f t="shared" si="36"/>
        <v>726</v>
      </c>
      <c r="C1191" s="41" t="s">
        <v>69</v>
      </c>
      <c r="D1191" s="41" t="s">
        <v>196</v>
      </c>
      <c r="E1191" s="41"/>
      <c r="F1191" s="41"/>
      <c r="G1191" s="41"/>
      <c r="H1191" s="41"/>
      <c r="I1191" s="42"/>
      <c r="J1191" s="41"/>
      <c r="K1191" s="41"/>
      <c r="L1191" s="43"/>
    </row>
    <row r="1192" spans="2:12" hidden="1" outlineLevel="2">
      <c r="B1192" s="35">
        <f t="shared" si="36"/>
        <v>727</v>
      </c>
      <c r="C1192" s="41" t="s">
        <v>69</v>
      </c>
      <c r="D1192" s="41" t="s">
        <v>196</v>
      </c>
      <c r="E1192" s="41"/>
      <c r="F1192" s="41"/>
      <c r="G1192" s="41"/>
      <c r="H1192" s="41"/>
      <c r="I1192" s="42"/>
      <c r="J1192" s="41"/>
      <c r="K1192" s="41"/>
      <c r="L1192" s="43"/>
    </row>
    <row r="1193" spans="2:12" hidden="1" outlineLevel="2">
      <c r="B1193" s="35">
        <f t="shared" si="36"/>
        <v>728</v>
      </c>
      <c r="C1193" s="41" t="s">
        <v>69</v>
      </c>
      <c r="D1193" s="41" t="s">
        <v>196</v>
      </c>
      <c r="E1193" s="41"/>
      <c r="F1193" s="41"/>
      <c r="G1193" s="41"/>
      <c r="H1193" s="41"/>
      <c r="I1193" s="42"/>
      <c r="J1193" s="41"/>
      <c r="K1193" s="41"/>
      <c r="L1193" s="43"/>
    </row>
    <row r="1194" spans="2:12" hidden="1" outlineLevel="2">
      <c r="B1194" s="35">
        <f t="shared" si="36"/>
        <v>729</v>
      </c>
      <c r="C1194" s="41" t="s">
        <v>69</v>
      </c>
      <c r="D1194" s="41" t="s">
        <v>196</v>
      </c>
      <c r="E1194" s="41"/>
      <c r="F1194" s="41"/>
      <c r="G1194" s="41"/>
      <c r="H1194" s="41"/>
      <c r="I1194" s="42"/>
      <c r="J1194" s="41"/>
      <c r="K1194" s="41"/>
      <c r="L1194" s="43"/>
    </row>
    <row r="1195" spans="2:12" hidden="1" outlineLevel="2">
      <c r="B1195" s="35">
        <f t="shared" si="36"/>
        <v>730</v>
      </c>
      <c r="C1195" s="41" t="s">
        <v>69</v>
      </c>
      <c r="D1195" s="41" t="s">
        <v>196</v>
      </c>
      <c r="E1195" s="41"/>
      <c r="F1195" s="41"/>
      <c r="G1195" s="41"/>
      <c r="H1195" s="41"/>
      <c r="I1195" s="42"/>
      <c r="J1195" s="41"/>
      <c r="K1195" s="41"/>
      <c r="L1195" s="43"/>
    </row>
    <row r="1196" spans="2:12" hidden="1" outlineLevel="2">
      <c r="B1196" s="35">
        <f t="shared" si="36"/>
        <v>731</v>
      </c>
      <c r="C1196" s="41" t="s">
        <v>69</v>
      </c>
      <c r="D1196" s="41" t="s">
        <v>196</v>
      </c>
      <c r="E1196" s="41"/>
      <c r="F1196" s="41"/>
      <c r="G1196" s="41"/>
      <c r="H1196" s="41"/>
      <c r="I1196" s="42"/>
      <c r="J1196" s="41"/>
      <c r="K1196" s="41"/>
      <c r="L1196" s="43"/>
    </row>
    <row r="1197" spans="2:12" hidden="1" outlineLevel="2">
      <c r="B1197" s="35">
        <f t="shared" si="36"/>
        <v>732</v>
      </c>
      <c r="C1197" s="41" t="s">
        <v>69</v>
      </c>
      <c r="D1197" s="41" t="s">
        <v>196</v>
      </c>
      <c r="E1197" s="41"/>
      <c r="F1197" s="41"/>
      <c r="G1197" s="41"/>
      <c r="H1197" s="41"/>
      <c r="I1197" s="42"/>
      <c r="J1197" s="41"/>
      <c r="K1197" s="41"/>
      <c r="L1197" s="43"/>
    </row>
    <row r="1198" spans="2:12" hidden="1" outlineLevel="2">
      <c r="B1198" s="35">
        <f t="shared" si="36"/>
        <v>733</v>
      </c>
      <c r="C1198" s="41" t="s">
        <v>69</v>
      </c>
      <c r="D1198" s="41" t="s">
        <v>196</v>
      </c>
      <c r="E1198" s="41"/>
      <c r="F1198" s="41"/>
      <c r="G1198" s="41"/>
      <c r="H1198" s="41"/>
      <c r="I1198" s="42"/>
      <c r="J1198" s="41"/>
      <c r="K1198" s="41"/>
      <c r="L1198" s="43"/>
    </row>
    <row r="1199" spans="2:12" hidden="1" outlineLevel="2">
      <c r="B1199" s="35">
        <f t="shared" si="36"/>
        <v>734</v>
      </c>
      <c r="C1199" s="41" t="s">
        <v>69</v>
      </c>
      <c r="D1199" s="41" t="s">
        <v>196</v>
      </c>
      <c r="E1199" s="41"/>
      <c r="F1199" s="41"/>
      <c r="G1199" s="41"/>
      <c r="H1199" s="41"/>
      <c r="I1199" s="42"/>
      <c r="J1199" s="41"/>
      <c r="K1199" s="41"/>
      <c r="L1199" s="43"/>
    </row>
    <row r="1200" spans="2:12" hidden="1" outlineLevel="2">
      <c r="B1200" s="35">
        <f t="shared" si="36"/>
        <v>735</v>
      </c>
      <c r="C1200" s="41" t="s">
        <v>69</v>
      </c>
      <c r="D1200" s="41" t="s">
        <v>196</v>
      </c>
      <c r="E1200" s="41"/>
      <c r="F1200" s="41"/>
      <c r="G1200" s="41"/>
      <c r="H1200" s="41"/>
      <c r="I1200" s="42"/>
      <c r="J1200" s="41"/>
      <c r="K1200" s="41"/>
      <c r="L1200" s="43"/>
    </row>
    <row r="1201" spans="2:12" hidden="1" outlineLevel="2">
      <c r="B1201" s="35">
        <f t="shared" si="36"/>
        <v>736</v>
      </c>
      <c r="C1201" s="41" t="s">
        <v>69</v>
      </c>
      <c r="D1201" s="41" t="s">
        <v>196</v>
      </c>
      <c r="E1201" s="41"/>
      <c r="F1201" s="41"/>
      <c r="G1201" s="41"/>
      <c r="H1201" s="41"/>
      <c r="I1201" s="42"/>
      <c r="J1201" s="41"/>
      <c r="K1201" s="41"/>
      <c r="L1201" s="43"/>
    </row>
    <row r="1202" spans="2:12" hidden="1" outlineLevel="2">
      <c r="B1202" s="35">
        <f t="shared" si="36"/>
        <v>737</v>
      </c>
      <c r="C1202" s="41" t="s">
        <v>69</v>
      </c>
      <c r="D1202" s="41" t="s">
        <v>196</v>
      </c>
      <c r="E1202" s="41"/>
      <c r="F1202" s="41"/>
      <c r="G1202" s="41"/>
      <c r="H1202" s="41"/>
      <c r="I1202" s="42"/>
      <c r="J1202" s="41"/>
      <c r="K1202" s="41"/>
      <c r="L1202" s="43"/>
    </row>
    <row r="1203" spans="2:12" hidden="1" outlineLevel="2">
      <c r="B1203" s="35">
        <f t="shared" si="36"/>
        <v>738</v>
      </c>
      <c r="C1203" s="41" t="s">
        <v>69</v>
      </c>
      <c r="D1203" s="41" t="s">
        <v>196</v>
      </c>
      <c r="E1203" s="41"/>
      <c r="F1203" s="41"/>
      <c r="G1203" s="41"/>
      <c r="H1203" s="41"/>
      <c r="I1203" s="42"/>
      <c r="J1203" s="41"/>
      <c r="K1203" s="41"/>
      <c r="L1203" s="43"/>
    </row>
    <row r="1204" spans="2:12" hidden="1" outlineLevel="2">
      <c r="B1204" s="35">
        <f t="shared" si="36"/>
        <v>739</v>
      </c>
      <c r="C1204" s="41" t="s">
        <v>69</v>
      </c>
      <c r="D1204" s="41" t="s">
        <v>196</v>
      </c>
      <c r="E1204" s="41"/>
      <c r="F1204" s="41"/>
      <c r="G1204" s="41"/>
      <c r="H1204" s="41"/>
      <c r="I1204" s="42"/>
      <c r="J1204" s="41"/>
      <c r="K1204" s="41"/>
      <c r="L1204" s="43"/>
    </row>
    <row r="1205" spans="2:12" hidden="1" outlineLevel="2">
      <c r="B1205" s="35">
        <f t="shared" si="36"/>
        <v>740</v>
      </c>
      <c r="C1205" s="41" t="s">
        <v>69</v>
      </c>
      <c r="D1205" s="41" t="s">
        <v>196</v>
      </c>
      <c r="E1205" s="41"/>
      <c r="F1205" s="41"/>
      <c r="G1205" s="41"/>
      <c r="H1205" s="41"/>
      <c r="I1205" s="42"/>
      <c r="J1205" s="41"/>
      <c r="K1205" s="41"/>
      <c r="L1205" s="43"/>
    </row>
    <row r="1206" spans="2:12" hidden="1" outlineLevel="2">
      <c r="B1206" s="35">
        <f t="shared" si="36"/>
        <v>741</v>
      </c>
      <c r="C1206" s="41" t="s">
        <v>69</v>
      </c>
      <c r="D1206" s="41" t="s">
        <v>196</v>
      </c>
      <c r="E1206" s="41"/>
      <c r="F1206" s="41"/>
      <c r="G1206" s="41"/>
      <c r="H1206" s="41"/>
      <c r="I1206" s="42"/>
      <c r="J1206" s="41"/>
      <c r="K1206" s="41"/>
      <c r="L1206" s="43"/>
    </row>
    <row r="1207" spans="2:12" hidden="1" outlineLevel="2">
      <c r="B1207" s="35">
        <f t="shared" si="36"/>
        <v>742</v>
      </c>
      <c r="C1207" s="41" t="s">
        <v>69</v>
      </c>
      <c r="D1207" s="41" t="s">
        <v>196</v>
      </c>
      <c r="E1207" s="41"/>
      <c r="F1207" s="41"/>
      <c r="G1207" s="41"/>
      <c r="H1207" s="41"/>
      <c r="I1207" s="42"/>
      <c r="J1207" s="41"/>
      <c r="K1207" s="41"/>
      <c r="L1207" s="43"/>
    </row>
    <row r="1208" spans="2:12" hidden="1" outlineLevel="2">
      <c r="B1208" s="35">
        <f t="shared" si="36"/>
        <v>743</v>
      </c>
      <c r="C1208" s="41" t="s">
        <v>69</v>
      </c>
      <c r="D1208" s="41" t="s">
        <v>196</v>
      </c>
      <c r="E1208" s="41"/>
      <c r="F1208" s="41"/>
      <c r="G1208" s="41"/>
      <c r="H1208" s="41"/>
      <c r="I1208" s="42"/>
      <c r="J1208" s="41"/>
      <c r="K1208" s="41"/>
      <c r="L1208" s="43"/>
    </row>
    <row r="1209" spans="2:12" hidden="1" outlineLevel="2">
      <c r="B1209" s="35">
        <f t="shared" si="36"/>
        <v>744</v>
      </c>
      <c r="C1209" s="41" t="s">
        <v>69</v>
      </c>
      <c r="D1209" s="41" t="s">
        <v>196</v>
      </c>
      <c r="E1209" s="41"/>
      <c r="F1209" s="41"/>
      <c r="G1209" s="41"/>
      <c r="H1209" s="41"/>
      <c r="I1209" s="42"/>
      <c r="J1209" s="41"/>
      <c r="K1209" s="41"/>
      <c r="L1209" s="43"/>
    </row>
    <row r="1210" spans="2:12" hidden="1" outlineLevel="2">
      <c r="B1210" s="35">
        <f t="shared" si="36"/>
        <v>745</v>
      </c>
      <c r="C1210" s="41" t="s">
        <v>69</v>
      </c>
      <c r="D1210" s="41" t="s">
        <v>196</v>
      </c>
      <c r="E1210" s="41"/>
      <c r="F1210" s="41"/>
      <c r="G1210" s="41"/>
      <c r="H1210" s="41"/>
      <c r="I1210" s="42"/>
      <c r="J1210" s="41"/>
      <c r="K1210" s="41"/>
      <c r="L1210" s="43"/>
    </row>
    <row r="1211" spans="2:12" hidden="1" outlineLevel="2">
      <c r="B1211" s="35">
        <f t="shared" si="36"/>
        <v>746</v>
      </c>
      <c r="C1211" s="41" t="s">
        <v>69</v>
      </c>
      <c r="D1211" s="41" t="s">
        <v>196</v>
      </c>
      <c r="E1211" s="41"/>
      <c r="F1211" s="41"/>
      <c r="G1211" s="41"/>
      <c r="H1211" s="41"/>
      <c r="I1211" s="42"/>
      <c r="J1211" s="41"/>
      <c r="K1211" s="41"/>
      <c r="L1211" s="43"/>
    </row>
    <row r="1212" spans="2:12" hidden="1" outlineLevel="2">
      <c r="B1212" s="35">
        <f t="shared" si="36"/>
        <v>747</v>
      </c>
      <c r="C1212" s="41" t="s">
        <v>69</v>
      </c>
      <c r="D1212" s="41" t="s">
        <v>196</v>
      </c>
      <c r="E1212" s="41"/>
      <c r="F1212" s="41"/>
      <c r="G1212" s="41"/>
      <c r="H1212" s="41"/>
      <c r="I1212" s="42"/>
      <c r="J1212" s="41"/>
      <c r="K1212" s="41"/>
      <c r="L1212" s="43"/>
    </row>
    <row r="1213" spans="2:12" hidden="1" outlineLevel="2">
      <c r="B1213" s="35">
        <f t="shared" si="36"/>
        <v>748</v>
      </c>
      <c r="C1213" s="41" t="s">
        <v>69</v>
      </c>
      <c r="D1213" s="41" t="s">
        <v>196</v>
      </c>
      <c r="E1213" s="41"/>
      <c r="F1213" s="41"/>
      <c r="G1213" s="41"/>
      <c r="H1213" s="41"/>
      <c r="I1213" s="42"/>
      <c r="J1213" s="41"/>
      <c r="K1213" s="41"/>
      <c r="L1213" s="43"/>
    </row>
    <row r="1214" spans="2:12" hidden="1" outlineLevel="2">
      <c r="B1214" s="35">
        <f t="shared" si="36"/>
        <v>749</v>
      </c>
      <c r="C1214" s="41" t="s">
        <v>69</v>
      </c>
      <c r="D1214" s="41" t="s">
        <v>196</v>
      </c>
      <c r="E1214" s="41"/>
      <c r="F1214" s="41"/>
      <c r="G1214" s="41"/>
      <c r="H1214" s="41"/>
      <c r="I1214" s="42"/>
      <c r="J1214" s="41"/>
      <c r="K1214" s="41"/>
      <c r="L1214" s="43"/>
    </row>
    <row r="1215" spans="2:12" hidden="1" outlineLevel="2">
      <c r="B1215" s="35">
        <f t="shared" ref="B1215:B1278" si="37">(B1214+1)</f>
        <v>750</v>
      </c>
      <c r="C1215" s="41" t="s">
        <v>69</v>
      </c>
      <c r="D1215" s="41" t="s">
        <v>196</v>
      </c>
      <c r="E1215" s="41"/>
      <c r="F1215" s="41"/>
      <c r="G1215" s="41"/>
      <c r="H1215" s="41"/>
      <c r="I1215" s="42"/>
      <c r="J1215" s="41"/>
      <c r="K1215" s="41"/>
      <c r="L1215" s="43"/>
    </row>
    <row r="1216" spans="2:12" hidden="1" outlineLevel="2">
      <c r="B1216" s="35">
        <f t="shared" si="37"/>
        <v>751</v>
      </c>
      <c r="C1216" s="41" t="s">
        <v>69</v>
      </c>
      <c r="D1216" s="41" t="s">
        <v>196</v>
      </c>
      <c r="E1216" s="41"/>
      <c r="F1216" s="41"/>
      <c r="G1216" s="41"/>
      <c r="H1216" s="41"/>
      <c r="I1216" s="42"/>
      <c r="J1216" s="41"/>
      <c r="K1216" s="41"/>
      <c r="L1216" s="43"/>
    </row>
    <row r="1217" spans="2:12" hidden="1" outlineLevel="2">
      <c r="B1217" s="35">
        <f t="shared" si="37"/>
        <v>752</v>
      </c>
      <c r="C1217" s="41" t="s">
        <v>69</v>
      </c>
      <c r="D1217" s="41" t="s">
        <v>196</v>
      </c>
      <c r="E1217" s="41"/>
      <c r="F1217" s="41"/>
      <c r="G1217" s="41"/>
      <c r="H1217" s="41"/>
      <c r="I1217" s="42"/>
      <c r="J1217" s="41"/>
      <c r="K1217" s="41"/>
      <c r="L1217" s="43"/>
    </row>
    <row r="1218" spans="2:12" hidden="1" outlineLevel="2">
      <c r="B1218" s="35">
        <f t="shared" si="37"/>
        <v>753</v>
      </c>
      <c r="C1218" s="41" t="s">
        <v>69</v>
      </c>
      <c r="D1218" s="41" t="s">
        <v>196</v>
      </c>
      <c r="E1218" s="41"/>
      <c r="F1218" s="41"/>
      <c r="G1218" s="41"/>
      <c r="H1218" s="41"/>
      <c r="I1218" s="42"/>
      <c r="J1218" s="41"/>
      <c r="K1218" s="41"/>
      <c r="L1218" s="43"/>
    </row>
    <row r="1219" spans="2:12" hidden="1" outlineLevel="2">
      <c r="B1219" s="35">
        <f t="shared" si="37"/>
        <v>754</v>
      </c>
      <c r="C1219" s="41" t="s">
        <v>69</v>
      </c>
      <c r="D1219" s="41" t="s">
        <v>196</v>
      </c>
      <c r="E1219" s="41"/>
      <c r="F1219" s="41"/>
      <c r="G1219" s="41"/>
      <c r="H1219" s="41"/>
      <c r="I1219" s="42"/>
      <c r="J1219" s="41"/>
      <c r="K1219" s="41"/>
      <c r="L1219" s="43"/>
    </row>
    <row r="1220" spans="2:12" hidden="1" outlineLevel="2">
      <c r="B1220" s="35">
        <f t="shared" si="37"/>
        <v>755</v>
      </c>
      <c r="C1220" s="41" t="s">
        <v>69</v>
      </c>
      <c r="D1220" s="41" t="s">
        <v>196</v>
      </c>
      <c r="E1220" s="41"/>
      <c r="F1220" s="41"/>
      <c r="G1220" s="41"/>
      <c r="H1220" s="41"/>
      <c r="I1220" s="42"/>
      <c r="J1220" s="41"/>
      <c r="K1220" s="41"/>
      <c r="L1220" s="43"/>
    </row>
    <row r="1221" spans="2:12" hidden="1" outlineLevel="2">
      <c r="B1221" s="35">
        <f t="shared" si="37"/>
        <v>756</v>
      </c>
      <c r="C1221" s="41" t="s">
        <v>69</v>
      </c>
      <c r="D1221" s="41" t="s">
        <v>196</v>
      </c>
      <c r="E1221" s="41"/>
      <c r="F1221" s="41"/>
      <c r="G1221" s="41"/>
      <c r="H1221" s="41"/>
      <c r="I1221" s="42"/>
      <c r="J1221" s="41"/>
      <c r="K1221" s="41"/>
      <c r="L1221" s="43"/>
    </row>
    <row r="1222" spans="2:12" hidden="1" outlineLevel="2">
      <c r="B1222" s="35">
        <f t="shared" si="37"/>
        <v>757</v>
      </c>
      <c r="C1222" s="41" t="s">
        <v>69</v>
      </c>
      <c r="D1222" s="41" t="s">
        <v>196</v>
      </c>
      <c r="E1222" s="41"/>
      <c r="F1222" s="41"/>
      <c r="G1222" s="41"/>
      <c r="H1222" s="41"/>
      <c r="I1222" s="42"/>
      <c r="J1222" s="41"/>
      <c r="K1222" s="41"/>
      <c r="L1222" s="43"/>
    </row>
    <row r="1223" spans="2:12" hidden="1" outlineLevel="2">
      <c r="B1223" s="35">
        <f t="shared" si="37"/>
        <v>758</v>
      </c>
      <c r="C1223" s="41" t="s">
        <v>69</v>
      </c>
      <c r="D1223" s="41" t="s">
        <v>196</v>
      </c>
      <c r="E1223" s="41"/>
      <c r="F1223" s="41"/>
      <c r="G1223" s="41"/>
      <c r="H1223" s="41"/>
      <c r="I1223" s="42"/>
      <c r="J1223" s="41"/>
      <c r="K1223" s="41"/>
      <c r="L1223" s="43"/>
    </row>
    <row r="1224" spans="2:12" hidden="1" outlineLevel="2">
      <c r="B1224" s="35">
        <f t="shared" si="37"/>
        <v>759</v>
      </c>
      <c r="C1224" s="41" t="s">
        <v>69</v>
      </c>
      <c r="D1224" s="41" t="s">
        <v>196</v>
      </c>
      <c r="E1224" s="41"/>
      <c r="F1224" s="41"/>
      <c r="G1224" s="41"/>
      <c r="H1224" s="41"/>
      <c r="I1224" s="42"/>
      <c r="J1224" s="41"/>
      <c r="K1224" s="41"/>
      <c r="L1224" s="43"/>
    </row>
    <row r="1225" spans="2:12" hidden="1" outlineLevel="2">
      <c r="B1225" s="35">
        <f t="shared" si="37"/>
        <v>760</v>
      </c>
      <c r="C1225" s="41" t="s">
        <v>69</v>
      </c>
      <c r="D1225" s="41" t="s">
        <v>196</v>
      </c>
      <c r="E1225" s="41"/>
      <c r="F1225" s="41"/>
      <c r="G1225" s="41"/>
      <c r="H1225" s="41"/>
      <c r="I1225" s="42"/>
      <c r="J1225" s="41"/>
      <c r="K1225" s="41"/>
      <c r="L1225" s="43"/>
    </row>
    <row r="1226" spans="2:12" hidden="1" outlineLevel="2">
      <c r="B1226" s="35">
        <f t="shared" si="37"/>
        <v>761</v>
      </c>
      <c r="C1226" s="41" t="s">
        <v>69</v>
      </c>
      <c r="D1226" s="41" t="s">
        <v>196</v>
      </c>
      <c r="E1226" s="41"/>
      <c r="F1226" s="41"/>
      <c r="G1226" s="41"/>
      <c r="H1226" s="41"/>
      <c r="I1226" s="42"/>
      <c r="J1226" s="41"/>
      <c r="K1226" s="41"/>
      <c r="L1226" s="43"/>
    </row>
    <row r="1227" spans="2:12" hidden="1" outlineLevel="2">
      <c r="B1227" s="35">
        <f t="shared" si="37"/>
        <v>762</v>
      </c>
      <c r="C1227" s="41" t="s">
        <v>69</v>
      </c>
      <c r="D1227" s="41" t="s">
        <v>196</v>
      </c>
      <c r="E1227" s="41"/>
      <c r="F1227" s="41"/>
      <c r="G1227" s="41"/>
      <c r="H1227" s="41"/>
      <c r="I1227" s="42"/>
      <c r="J1227" s="41"/>
      <c r="K1227" s="41"/>
      <c r="L1227" s="43"/>
    </row>
    <row r="1228" spans="2:12" hidden="1" outlineLevel="2">
      <c r="B1228" s="35">
        <f t="shared" si="37"/>
        <v>763</v>
      </c>
      <c r="C1228" s="41" t="s">
        <v>69</v>
      </c>
      <c r="D1228" s="41" t="s">
        <v>196</v>
      </c>
      <c r="E1228" s="41"/>
      <c r="F1228" s="41"/>
      <c r="G1228" s="41"/>
      <c r="H1228" s="41"/>
      <c r="I1228" s="42"/>
      <c r="J1228" s="41"/>
      <c r="K1228" s="41"/>
      <c r="L1228" s="43"/>
    </row>
    <row r="1229" spans="2:12" hidden="1" outlineLevel="2">
      <c r="B1229" s="35">
        <f t="shared" si="37"/>
        <v>764</v>
      </c>
      <c r="C1229" s="41" t="s">
        <v>69</v>
      </c>
      <c r="D1229" s="41" t="s">
        <v>196</v>
      </c>
      <c r="E1229" s="41"/>
      <c r="F1229" s="41"/>
      <c r="G1229" s="41"/>
      <c r="H1229" s="41"/>
      <c r="I1229" s="42"/>
      <c r="J1229" s="41"/>
      <c r="K1229" s="41"/>
      <c r="L1229" s="43"/>
    </row>
    <row r="1230" spans="2:12" hidden="1" outlineLevel="2">
      <c r="B1230" s="35">
        <f t="shared" si="37"/>
        <v>765</v>
      </c>
      <c r="C1230" s="41" t="s">
        <v>69</v>
      </c>
      <c r="D1230" s="41" t="s">
        <v>196</v>
      </c>
      <c r="E1230" s="41"/>
      <c r="F1230" s="41"/>
      <c r="G1230" s="41"/>
      <c r="H1230" s="41"/>
      <c r="I1230" s="42"/>
      <c r="J1230" s="41"/>
      <c r="K1230" s="41"/>
      <c r="L1230" s="43"/>
    </row>
    <row r="1231" spans="2:12" hidden="1" outlineLevel="2">
      <c r="B1231" s="35">
        <f t="shared" si="37"/>
        <v>766</v>
      </c>
      <c r="C1231" s="41" t="s">
        <v>69</v>
      </c>
      <c r="D1231" s="41" t="s">
        <v>196</v>
      </c>
      <c r="E1231" s="41"/>
      <c r="F1231" s="41"/>
      <c r="G1231" s="41"/>
      <c r="H1231" s="41"/>
      <c r="I1231" s="42"/>
      <c r="J1231" s="41"/>
      <c r="K1231" s="41"/>
      <c r="L1231" s="43"/>
    </row>
    <row r="1232" spans="2:12" hidden="1" outlineLevel="2">
      <c r="B1232" s="35">
        <f t="shared" si="37"/>
        <v>767</v>
      </c>
      <c r="C1232" s="41" t="s">
        <v>69</v>
      </c>
      <c r="D1232" s="41" t="s">
        <v>196</v>
      </c>
      <c r="E1232" s="41"/>
      <c r="F1232" s="41"/>
      <c r="G1232" s="41"/>
      <c r="H1232" s="41"/>
      <c r="I1232" s="42"/>
      <c r="J1232" s="41"/>
      <c r="K1232" s="41"/>
      <c r="L1232" s="43"/>
    </row>
    <row r="1233" spans="2:12" hidden="1" outlineLevel="2">
      <c r="B1233" s="35">
        <f t="shared" si="37"/>
        <v>768</v>
      </c>
      <c r="C1233" s="41" t="s">
        <v>69</v>
      </c>
      <c r="D1233" s="41" t="s">
        <v>196</v>
      </c>
      <c r="E1233" s="41"/>
      <c r="F1233" s="41"/>
      <c r="G1233" s="41"/>
      <c r="H1233" s="41"/>
      <c r="I1233" s="42"/>
      <c r="J1233" s="41"/>
      <c r="K1233" s="41"/>
      <c r="L1233" s="43"/>
    </row>
    <row r="1234" spans="2:12" hidden="1" outlineLevel="2">
      <c r="B1234" s="35">
        <f t="shared" si="37"/>
        <v>769</v>
      </c>
      <c r="C1234" s="41" t="s">
        <v>69</v>
      </c>
      <c r="D1234" s="41" t="s">
        <v>196</v>
      </c>
      <c r="E1234" s="41"/>
      <c r="F1234" s="41"/>
      <c r="G1234" s="41"/>
      <c r="H1234" s="41"/>
      <c r="I1234" s="42"/>
      <c r="J1234" s="41"/>
      <c r="K1234" s="41"/>
      <c r="L1234" s="43"/>
    </row>
    <row r="1235" spans="2:12" hidden="1" outlineLevel="2">
      <c r="B1235" s="35">
        <f t="shared" si="37"/>
        <v>770</v>
      </c>
      <c r="C1235" s="41" t="s">
        <v>69</v>
      </c>
      <c r="D1235" s="41" t="s">
        <v>196</v>
      </c>
      <c r="E1235" s="41"/>
      <c r="F1235" s="41"/>
      <c r="G1235" s="41"/>
      <c r="H1235" s="41"/>
      <c r="I1235" s="42"/>
      <c r="J1235" s="41"/>
      <c r="K1235" s="41"/>
      <c r="L1235" s="43"/>
    </row>
    <row r="1236" spans="2:12" hidden="1" outlineLevel="2">
      <c r="B1236" s="35">
        <f t="shared" si="37"/>
        <v>771</v>
      </c>
      <c r="C1236" s="41" t="s">
        <v>69</v>
      </c>
      <c r="D1236" s="41" t="s">
        <v>196</v>
      </c>
      <c r="E1236" s="41"/>
      <c r="F1236" s="41"/>
      <c r="G1236" s="41"/>
      <c r="H1236" s="41"/>
      <c r="I1236" s="42"/>
      <c r="J1236" s="41"/>
      <c r="K1236" s="41"/>
      <c r="L1236" s="43"/>
    </row>
    <row r="1237" spans="2:12" hidden="1" outlineLevel="2">
      <c r="B1237" s="35">
        <f t="shared" si="37"/>
        <v>772</v>
      </c>
      <c r="C1237" s="41" t="s">
        <v>69</v>
      </c>
      <c r="D1237" s="41" t="s">
        <v>196</v>
      </c>
      <c r="E1237" s="41"/>
      <c r="F1237" s="41"/>
      <c r="G1237" s="41"/>
      <c r="H1237" s="41"/>
      <c r="I1237" s="42"/>
      <c r="J1237" s="41"/>
      <c r="K1237" s="41"/>
      <c r="L1237" s="43"/>
    </row>
    <row r="1238" spans="2:12" hidden="1" outlineLevel="2">
      <c r="B1238" s="35">
        <f t="shared" si="37"/>
        <v>773</v>
      </c>
      <c r="C1238" s="41" t="s">
        <v>69</v>
      </c>
      <c r="D1238" s="41" t="s">
        <v>196</v>
      </c>
      <c r="E1238" s="41"/>
      <c r="F1238" s="41"/>
      <c r="G1238" s="41"/>
      <c r="H1238" s="41"/>
      <c r="I1238" s="42"/>
      <c r="J1238" s="41"/>
      <c r="K1238" s="41"/>
      <c r="L1238" s="43"/>
    </row>
    <row r="1239" spans="2:12" hidden="1" outlineLevel="2">
      <c r="B1239" s="35">
        <f t="shared" si="37"/>
        <v>774</v>
      </c>
      <c r="C1239" s="41" t="s">
        <v>69</v>
      </c>
      <c r="D1239" s="41" t="s">
        <v>196</v>
      </c>
      <c r="E1239" s="41"/>
      <c r="F1239" s="41"/>
      <c r="G1239" s="41"/>
      <c r="H1239" s="41"/>
      <c r="I1239" s="42"/>
      <c r="J1239" s="41"/>
      <c r="K1239" s="41"/>
      <c r="L1239" s="43"/>
    </row>
    <row r="1240" spans="2:12" hidden="1" outlineLevel="2">
      <c r="B1240" s="35">
        <f t="shared" si="37"/>
        <v>775</v>
      </c>
      <c r="C1240" s="41" t="s">
        <v>69</v>
      </c>
      <c r="D1240" s="41" t="s">
        <v>196</v>
      </c>
      <c r="E1240" s="41"/>
      <c r="F1240" s="41"/>
      <c r="G1240" s="41"/>
      <c r="H1240" s="41"/>
      <c r="I1240" s="42"/>
      <c r="J1240" s="41"/>
      <c r="K1240" s="41"/>
      <c r="L1240" s="43"/>
    </row>
    <row r="1241" spans="2:12" hidden="1" outlineLevel="2">
      <c r="B1241" s="35">
        <f t="shared" si="37"/>
        <v>776</v>
      </c>
      <c r="C1241" s="41" t="s">
        <v>69</v>
      </c>
      <c r="D1241" s="41" t="s">
        <v>196</v>
      </c>
      <c r="E1241" s="41"/>
      <c r="F1241" s="41"/>
      <c r="G1241" s="41"/>
      <c r="H1241" s="41"/>
      <c r="I1241" s="42"/>
      <c r="J1241" s="41"/>
      <c r="K1241" s="41"/>
      <c r="L1241" s="43"/>
    </row>
    <row r="1242" spans="2:12" hidden="1" outlineLevel="2">
      <c r="B1242" s="35">
        <f t="shared" si="37"/>
        <v>777</v>
      </c>
      <c r="C1242" s="41" t="s">
        <v>69</v>
      </c>
      <c r="D1242" s="41" t="s">
        <v>196</v>
      </c>
      <c r="E1242" s="41"/>
      <c r="F1242" s="41"/>
      <c r="G1242" s="41"/>
      <c r="H1242" s="41"/>
      <c r="I1242" s="42"/>
      <c r="J1242" s="41"/>
      <c r="K1242" s="41"/>
      <c r="L1242" s="43"/>
    </row>
    <row r="1243" spans="2:12" hidden="1" outlineLevel="2">
      <c r="B1243" s="35">
        <f t="shared" si="37"/>
        <v>778</v>
      </c>
      <c r="C1243" s="41" t="s">
        <v>69</v>
      </c>
      <c r="D1243" s="41" t="s">
        <v>196</v>
      </c>
      <c r="E1243" s="41"/>
      <c r="F1243" s="41"/>
      <c r="G1243" s="41"/>
      <c r="H1243" s="41"/>
      <c r="I1243" s="42"/>
      <c r="J1243" s="41"/>
      <c r="K1243" s="41"/>
      <c r="L1243" s="43"/>
    </row>
    <row r="1244" spans="2:12" hidden="1" outlineLevel="2">
      <c r="B1244" s="35">
        <f t="shared" si="37"/>
        <v>779</v>
      </c>
      <c r="C1244" s="41" t="s">
        <v>69</v>
      </c>
      <c r="D1244" s="41" t="s">
        <v>196</v>
      </c>
      <c r="E1244" s="41"/>
      <c r="F1244" s="41"/>
      <c r="G1244" s="41"/>
      <c r="H1244" s="41"/>
      <c r="I1244" s="42"/>
      <c r="J1244" s="41"/>
      <c r="K1244" s="41"/>
      <c r="L1244" s="43"/>
    </row>
    <row r="1245" spans="2:12" hidden="1" outlineLevel="2">
      <c r="B1245" s="35">
        <f t="shared" si="37"/>
        <v>780</v>
      </c>
      <c r="C1245" s="41" t="s">
        <v>69</v>
      </c>
      <c r="D1245" s="41" t="s">
        <v>196</v>
      </c>
      <c r="E1245" s="41"/>
      <c r="F1245" s="41"/>
      <c r="G1245" s="41"/>
      <c r="H1245" s="41"/>
      <c r="I1245" s="42"/>
      <c r="J1245" s="41"/>
      <c r="K1245" s="41"/>
      <c r="L1245" s="43"/>
    </row>
    <row r="1246" spans="2:12" hidden="1" outlineLevel="2">
      <c r="B1246" s="35">
        <f t="shared" si="37"/>
        <v>781</v>
      </c>
      <c r="C1246" s="41" t="s">
        <v>69</v>
      </c>
      <c r="D1246" s="41" t="s">
        <v>196</v>
      </c>
      <c r="E1246" s="41"/>
      <c r="F1246" s="41"/>
      <c r="G1246" s="41"/>
      <c r="H1246" s="41"/>
      <c r="I1246" s="42"/>
      <c r="J1246" s="41"/>
      <c r="K1246" s="41"/>
      <c r="L1246" s="43"/>
    </row>
    <row r="1247" spans="2:12" hidden="1" outlineLevel="2">
      <c r="B1247" s="35">
        <f t="shared" si="37"/>
        <v>782</v>
      </c>
      <c r="C1247" s="41" t="s">
        <v>69</v>
      </c>
      <c r="D1247" s="41" t="s">
        <v>196</v>
      </c>
      <c r="E1247" s="41"/>
      <c r="F1247" s="41"/>
      <c r="G1247" s="41"/>
      <c r="H1247" s="41"/>
      <c r="I1247" s="42"/>
      <c r="J1247" s="41"/>
      <c r="K1247" s="41"/>
      <c r="L1247" s="43"/>
    </row>
    <row r="1248" spans="2:12" hidden="1" outlineLevel="2">
      <c r="B1248" s="35">
        <f t="shared" si="37"/>
        <v>783</v>
      </c>
      <c r="C1248" s="41" t="s">
        <v>69</v>
      </c>
      <c r="D1248" s="41" t="s">
        <v>196</v>
      </c>
      <c r="E1248" s="41"/>
      <c r="F1248" s="41"/>
      <c r="G1248" s="41"/>
      <c r="H1248" s="41"/>
      <c r="I1248" s="42"/>
      <c r="J1248" s="41"/>
      <c r="K1248" s="41"/>
      <c r="L1248" s="43"/>
    </row>
    <row r="1249" spans="2:12" hidden="1" outlineLevel="2">
      <c r="B1249" s="35">
        <f t="shared" si="37"/>
        <v>784</v>
      </c>
      <c r="C1249" s="41" t="s">
        <v>69</v>
      </c>
      <c r="D1249" s="41" t="s">
        <v>196</v>
      </c>
      <c r="E1249" s="41"/>
      <c r="F1249" s="41"/>
      <c r="G1249" s="41"/>
      <c r="H1249" s="41"/>
      <c r="I1249" s="42"/>
      <c r="J1249" s="41"/>
      <c r="K1249" s="41"/>
      <c r="L1249" s="43"/>
    </row>
    <row r="1250" spans="2:12" hidden="1" outlineLevel="2">
      <c r="B1250" s="35">
        <f t="shared" si="37"/>
        <v>785</v>
      </c>
      <c r="C1250" s="41" t="s">
        <v>69</v>
      </c>
      <c r="D1250" s="41" t="s">
        <v>196</v>
      </c>
      <c r="E1250" s="41"/>
      <c r="F1250" s="41"/>
      <c r="G1250" s="41"/>
      <c r="H1250" s="41"/>
      <c r="I1250" s="42"/>
      <c r="J1250" s="41"/>
      <c r="K1250" s="41"/>
      <c r="L1250" s="43"/>
    </row>
    <row r="1251" spans="2:12" hidden="1" outlineLevel="2">
      <c r="B1251" s="35">
        <f t="shared" si="37"/>
        <v>786</v>
      </c>
      <c r="C1251" s="41" t="s">
        <v>69</v>
      </c>
      <c r="D1251" s="41" t="s">
        <v>196</v>
      </c>
      <c r="E1251" s="41"/>
      <c r="F1251" s="41"/>
      <c r="G1251" s="41"/>
      <c r="H1251" s="41"/>
      <c r="I1251" s="42"/>
      <c r="J1251" s="41"/>
      <c r="K1251" s="41"/>
      <c r="L1251" s="43"/>
    </row>
    <row r="1252" spans="2:12" hidden="1" outlineLevel="2">
      <c r="B1252" s="35">
        <f t="shared" si="37"/>
        <v>787</v>
      </c>
      <c r="C1252" s="41" t="s">
        <v>69</v>
      </c>
      <c r="D1252" s="41" t="s">
        <v>196</v>
      </c>
      <c r="E1252" s="41"/>
      <c r="F1252" s="41"/>
      <c r="G1252" s="41"/>
      <c r="H1252" s="41"/>
      <c r="I1252" s="42"/>
      <c r="J1252" s="41"/>
      <c r="K1252" s="41"/>
      <c r="L1252" s="43"/>
    </row>
    <row r="1253" spans="2:12" hidden="1" outlineLevel="2">
      <c r="B1253" s="35">
        <f t="shared" si="37"/>
        <v>788</v>
      </c>
      <c r="C1253" s="41" t="s">
        <v>69</v>
      </c>
      <c r="D1253" s="41" t="s">
        <v>196</v>
      </c>
      <c r="E1253" s="41"/>
      <c r="F1253" s="41"/>
      <c r="G1253" s="41"/>
      <c r="H1253" s="41"/>
      <c r="I1253" s="42"/>
      <c r="J1253" s="41"/>
      <c r="K1253" s="41"/>
      <c r="L1253" s="43"/>
    </row>
    <row r="1254" spans="2:12" hidden="1" outlineLevel="2">
      <c r="B1254" s="35">
        <f t="shared" si="37"/>
        <v>789</v>
      </c>
      <c r="C1254" s="41" t="s">
        <v>69</v>
      </c>
      <c r="D1254" s="41" t="s">
        <v>196</v>
      </c>
      <c r="E1254" s="41"/>
      <c r="F1254" s="41"/>
      <c r="G1254" s="41"/>
      <c r="H1254" s="41"/>
      <c r="I1254" s="42"/>
      <c r="J1254" s="41"/>
      <c r="K1254" s="41"/>
      <c r="L1254" s="43"/>
    </row>
    <row r="1255" spans="2:12" hidden="1" outlineLevel="2">
      <c r="B1255" s="35">
        <f t="shared" si="37"/>
        <v>790</v>
      </c>
      <c r="C1255" s="41" t="s">
        <v>69</v>
      </c>
      <c r="D1255" s="41" t="s">
        <v>196</v>
      </c>
      <c r="E1255" s="41"/>
      <c r="F1255" s="41"/>
      <c r="G1255" s="41"/>
      <c r="H1255" s="41"/>
      <c r="I1255" s="42"/>
      <c r="J1255" s="41"/>
      <c r="K1255" s="41"/>
      <c r="L1255" s="43"/>
    </row>
    <row r="1256" spans="2:12" hidden="1" outlineLevel="2">
      <c r="B1256" s="35">
        <f t="shared" si="37"/>
        <v>791</v>
      </c>
      <c r="C1256" s="41" t="s">
        <v>69</v>
      </c>
      <c r="D1256" s="41" t="s">
        <v>196</v>
      </c>
      <c r="E1256" s="41"/>
      <c r="F1256" s="41"/>
      <c r="G1256" s="41"/>
      <c r="H1256" s="41"/>
      <c r="I1256" s="42"/>
      <c r="J1256" s="41"/>
      <c r="K1256" s="41"/>
      <c r="L1256" s="43"/>
    </row>
    <row r="1257" spans="2:12" hidden="1" outlineLevel="2">
      <c r="B1257" s="35">
        <f t="shared" si="37"/>
        <v>792</v>
      </c>
      <c r="C1257" s="41" t="s">
        <v>69</v>
      </c>
      <c r="D1257" s="41" t="s">
        <v>196</v>
      </c>
      <c r="E1257" s="41"/>
      <c r="F1257" s="41"/>
      <c r="G1257" s="41"/>
      <c r="H1257" s="41"/>
      <c r="I1257" s="42"/>
      <c r="J1257" s="41"/>
      <c r="K1257" s="41"/>
      <c r="L1257" s="43"/>
    </row>
    <row r="1258" spans="2:12" hidden="1" outlineLevel="2">
      <c r="B1258" s="35">
        <f t="shared" si="37"/>
        <v>793</v>
      </c>
      <c r="C1258" s="41" t="s">
        <v>69</v>
      </c>
      <c r="D1258" s="41" t="s">
        <v>196</v>
      </c>
      <c r="E1258" s="41"/>
      <c r="F1258" s="41"/>
      <c r="G1258" s="41"/>
      <c r="H1258" s="41"/>
      <c r="I1258" s="42"/>
      <c r="J1258" s="41"/>
      <c r="K1258" s="41"/>
      <c r="L1258" s="43"/>
    </row>
    <row r="1259" spans="2:12" hidden="1" outlineLevel="2">
      <c r="B1259" s="35">
        <f t="shared" si="37"/>
        <v>794</v>
      </c>
      <c r="C1259" s="41" t="s">
        <v>69</v>
      </c>
      <c r="D1259" s="41" t="s">
        <v>196</v>
      </c>
      <c r="E1259" s="41"/>
      <c r="F1259" s="41"/>
      <c r="G1259" s="41"/>
      <c r="H1259" s="41"/>
      <c r="I1259" s="42"/>
      <c r="J1259" s="41"/>
      <c r="K1259" s="41"/>
      <c r="L1259" s="43"/>
    </row>
    <row r="1260" spans="2:12" hidden="1" outlineLevel="2">
      <c r="B1260" s="35">
        <f t="shared" si="37"/>
        <v>795</v>
      </c>
      <c r="C1260" s="41" t="s">
        <v>69</v>
      </c>
      <c r="D1260" s="41" t="s">
        <v>196</v>
      </c>
      <c r="E1260" s="41"/>
      <c r="F1260" s="41"/>
      <c r="G1260" s="41"/>
      <c r="H1260" s="41"/>
      <c r="I1260" s="42"/>
      <c r="J1260" s="41"/>
      <c r="K1260" s="41"/>
      <c r="L1260" s="43"/>
    </row>
    <row r="1261" spans="2:12" hidden="1" outlineLevel="2">
      <c r="B1261" s="35">
        <f t="shared" si="37"/>
        <v>796</v>
      </c>
      <c r="C1261" s="41" t="s">
        <v>69</v>
      </c>
      <c r="D1261" s="41" t="s">
        <v>196</v>
      </c>
      <c r="E1261" s="41"/>
      <c r="F1261" s="41"/>
      <c r="G1261" s="41"/>
      <c r="H1261" s="41"/>
      <c r="I1261" s="42"/>
      <c r="J1261" s="41"/>
      <c r="K1261" s="41"/>
      <c r="L1261" s="43"/>
    </row>
    <row r="1262" spans="2:12" hidden="1" outlineLevel="2">
      <c r="B1262" s="35">
        <f t="shared" si="37"/>
        <v>797</v>
      </c>
      <c r="C1262" s="41" t="s">
        <v>69</v>
      </c>
      <c r="D1262" s="41" t="s">
        <v>196</v>
      </c>
      <c r="E1262" s="41"/>
      <c r="F1262" s="41"/>
      <c r="G1262" s="41"/>
      <c r="H1262" s="41"/>
      <c r="I1262" s="42"/>
      <c r="J1262" s="41"/>
      <c r="K1262" s="41"/>
      <c r="L1262" s="43"/>
    </row>
    <row r="1263" spans="2:12" hidden="1" outlineLevel="2">
      <c r="B1263" s="35">
        <f t="shared" si="37"/>
        <v>798</v>
      </c>
      <c r="C1263" s="41" t="s">
        <v>69</v>
      </c>
      <c r="D1263" s="41" t="s">
        <v>196</v>
      </c>
      <c r="E1263" s="41"/>
      <c r="F1263" s="41"/>
      <c r="G1263" s="41"/>
      <c r="H1263" s="41"/>
      <c r="I1263" s="42"/>
      <c r="J1263" s="41"/>
      <c r="K1263" s="41"/>
      <c r="L1263" s="43"/>
    </row>
    <row r="1264" spans="2:12" hidden="1" outlineLevel="2">
      <c r="B1264" s="35">
        <f t="shared" si="37"/>
        <v>799</v>
      </c>
      <c r="C1264" s="41" t="s">
        <v>69</v>
      </c>
      <c r="D1264" s="41" t="s">
        <v>196</v>
      </c>
      <c r="E1264" s="41"/>
      <c r="F1264" s="41"/>
      <c r="G1264" s="41"/>
      <c r="H1264" s="41"/>
      <c r="I1264" s="42"/>
      <c r="J1264" s="41"/>
      <c r="K1264" s="41"/>
      <c r="L1264" s="43"/>
    </row>
    <row r="1265" spans="2:12" hidden="1" outlineLevel="2">
      <c r="B1265" s="35">
        <f t="shared" si="37"/>
        <v>800</v>
      </c>
      <c r="C1265" s="41" t="s">
        <v>69</v>
      </c>
      <c r="D1265" s="41" t="s">
        <v>196</v>
      </c>
      <c r="E1265" s="41"/>
      <c r="F1265" s="41"/>
      <c r="G1265" s="41"/>
      <c r="H1265" s="41"/>
      <c r="I1265" s="42"/>
      <c r="J1265" s="41"/>
      <c r="K1265" s="41"/>
      <c r="L1265" s="43"/>
    </row>
    <row r="1266" spans="2:12" hidden="1" outlineLevel="2">
      <c r="B1266" s="35">
        <f t="shared" si="37"/>
        <v>801</v>
      </c>
      <c r="C1266" s="41" t="s">
        <v>69</v>
      </c>
      <c r="D1266" s="41" t="s">
        <v>196</v>
      </c>
      <c r="E1266" s="41"/>
      <c r="F1266" s="41"/>
      <c r="G1266" s="41"/>
      <c r="H1266" s="41"/>
      <c r="I1266" s="42"/>
      <c r="J1266" s="41"/>
      <c r="K1266" s="41"/>
      <c r="L1266" s="43"/>
    </row>
    <row r="1267" spans="2:12" hidden="1" outlineLevel="2">
      <c r="B1267" s="35">
        <f t="shared" si="37"/>
        <v>802</v>
      </c>
      <c r="C1267" s="41" t="s">
        <v>69</v>
      </c>
      <c r="D1267" s="41" t="s">
        <v>196</v>
      </c>
      <c r="E1267" s="41"/>
      <c r="F1267" s="41"/>
      <c r="G1267" s="41"/>
      <c r="H1267" s="41"/>
      <c r="I1267" s="42"/>
      <c r="J1267" s="41"/>
      <c r="K1267" s="41"/>
      <c r="L1267" s="43"/>
    </row>
    <row r="1268" spans="2:12" hidden="1" outlineLevel="2">
      <c r="B1268" s="35">
        <f t="shared" si="37"/>
        <v>803</v>
      </c>
      <c r="C1268" s="41" t="s">
        <v>69</v>
      </c>
      <c r="D1268" s="41" t="s">
        <v>196</v>
      </c>
      <c r="E1268" s="41"/>
      <c r="F1268" s="41"/>
      <c r="G1268" s="41"/>
      <c r="H1268" s="41"/>
      <c r="I1268" s="42"/>
      <c r="J1268" s="41"/>
      <c r="K1268" s="41"/>
      <c r="L1268" s="43"/>
    </row>
    <row r="1269" spans="2:12" hidden="1" outlineLevel="2">
      <c r="B1269" s="35">
        <f t="shared" si="37"/>
        <v>804</v>
      </c>
      <c r="C1269" s="41" t="s">
        <v>69</v>
      </c>
      <c r="D1269" s="41" t="s">
        <v>196</v>
      </c>
      <c r="E1269" s="41"/>
      <c r="F1269" s="41"/>
      <c r="G1269" s="41"/>
      <c r="H1269" s="41"/>
      <c r="I1269" s="42"/>
      <c r="J1269" s="41"/>
      <c r="K1269" s="41"/>
      <c r="L1269" s="43"/>
    </row>
    <row r="1270" spans="2:12" hidden="1" outlineLevel="2">
      <c r="B1270" s="35">
        <f t="shared" si="37"/>
        <v>805</v>
      </c>
      <c r="C1270" s="41" t="s">
        <v>69</v>
      </c>
      <c r="D1270" s="41" t="s">
        <v>196</v>
      </c>
      <c r="E1270" s="41"/>
      <c r="F1270" s="41"/>
      <c r="G1270" s="41"/>
      <c r="H1270" s="41"/>
      <c r="I1270" s="42"/>
      <c r="J1270" s="41"/>
      <c r="K1270" s="41"/>
      <c r="L1270" s="43"/>
    </row>
    <row r="1271" spans="2:12" hidden="1" outlineLevel="2">
      <c r="B1271" s="35">
        <f t="shared" si="37"/>
        <v>806</v>
      </c>
      <c r="C1271" s="41" t="s">
        <v>69</v>
      </c>
      <c r="D1271" s="41" t="s">
        <v>196</v>
      </c>
      <c r="E1271" s="41"/>
      <c r="F1271" s="41"/>
      <c r="G1271" s="41"/>
      <c r="H1271" s="41"/>
      <c r="I1271" s="42"/>
      <c r="J1271" s="41"/>
      <c r="K1271" s="41"/>
      <c r="L1271" s="43"/>
    </row>
    <row r="1272" spans="2:12" hidden="1" outlineLevel="2">
      <c r="B1272" s="35">
        <f t="shared" si="37"/>
        <v>807</v>
      </c>
      <c r="C1272" s="41" t="s">
        <v>69</v>
      </c>
      <c r="D1272" s="41" t="s">
        <v>196</v>
      </c>
      <c r="E1272" s="41"/>
      <c r="F1272" s="41"/>
      <c r="G1272" s="41"/>
      <c r="H1272" s="41"/>
      <c r="I1272" s="42"/>
      <c r="J1272" s="41"/>
      <c r="K1272" s="41"/>
      <c r="L1272" s="43"/>
    </row>
    <row r="1273" spans="2:12" hidden="1" outlineLevel="2">
      <c r="B1273" s="35">
        <f t="shared" si="37"/>
        <v>808</v>
      </c>
      <c r="C1273" s="41" t="s">
        <v>69</v>
      </c>
      <c r="D1273" s="41" t="s">
        <v>196</v>
      </c>
      <c r="E1273" s="41"/>
      <c r="F1273" s="41"/>
      <c r="G1273" s="41"/>
      <c r="H1273" s="41"/>
      <c r="I1273" s="42"/>
      <c r="J1273" s="41"/>
      <c r="K1273" s="41"/>
      <c r="L1273" s="43"/>
    </row>
    <row r="1274" spans="2:12" hidden="1" outlineLevel="2">
      <c r="B1274" s="35">
        <f t="shared" si="37"/>
        <v>809</v>
      </c>
      <c r="C1274" s="41" t="s">
        <v>69</v>
      </c>
      <c r="D1274" s="41" t="s">
        <v>196</v>
      </c>
      <c r="E1274" s="41"/>
      <c r="F1274" s="41"/>
      <c r="G1274" s="41"/>
      <c r="H1274" s="41"/>
      <c r="I1274" s="42"/>
      <c r="J1274" s="41"/>
      <c r="K1274" s="41"/>
      <c r="L1274" s="43"/>
    </row>
    <row r="1275" spans="2:12" hidden="1" outlineLevel="2">
      <c r="B1275" s="35">
        <f t="shared" si="37"/>
        <v>810</v>
      </c>
      <c r="C1275" s="41" t="s">
        <v>69</v>
      </c>
      <c r="D1275" s="41" t="s">
        <v>196</v>
      </c>
      <c r="E1275" s="41"/>
      <c r="F1275" s="41"/>
      <c r="G1275" s="41"/>
      <c r="H1275" s="41"/>
      <c r="I1275" s="42"/>
      <c r="J1275" s="41"/>
      <c r="K1275" s="41"/>
      <c r="L1275" s="43"/>
    </row>
    <row r="1276" spans="2:12" hidden="1" outlineLevel="2">
      <c r="B1276" s="35">
        <f t="shared" si="37"/>
        <v>811</v>
      </c>
      <c r="C1276" s="41" t="s">
        <v>69</v>
      </c>
      <c r="D1276" s="41" t="s">
        <v>196</v>
      </c>
      <c r="E1276" s="41"/>
      <c r="F1276" s="41"/>
      <c r="G1276" s="41"/>
      <c r="H1276" s="41"/>
      <c r="I1276" s="42"/>
      <c r="J1276" s="41"/>
      <c r="K1276" s="41"/>
      <c r="L1276" s="43"/>
    </row>
    <row r="1277" spans="2:12" hidden="1" outlineLevel="2">
      <c r="B1277" s="35">
        <f t="shared" si="37"/>
        <v>812</v>
      </c>
      <c r="C1277" s="41" t="s">
        <v>69</v>
      </c>
      <c r="D1277" s="41" t="s">
        <v>196</v>
      </c>
      <c r="E1277" s="41"/>
      <c r="F1277" s="41"/>
      <c r="G1277" s="41"/>
      <c r="H1277" s="41"/>
      <c r="I1277" s="42"/>
      <c r="J1277" s="41"/>
      <c r="K1277" s="41"/>
      <c r="L1277" s="43"/>
    </row>
    <row r="1278" spans="2:12" hidden="1" outlineLevel="2">
      <c r="B1278" s="35">
        <f t="shared" si="37"/>
        <v>813</v>
      </c>
      <c r="C1278" s="41" t="s">
        <v>69</v>
      </c>
      <c r="D1278" s="41" t="s">
        <v>196</v>
      </c>
      <c r="E1278" s="41"/>
      <c r="F1278" s="41"/>
      <c r="G1278" s="41"/>
      <c r="H1278" s="41"/>
      <c r="I1278" s="42"/>
      <c r="J1278" s="41"/>
      <c r="K1278" s="41"/>
      <c r="L1278" s="43"/>
    </row>
    <row r="1279" spans="2:12" hidden="1" outlineLevel="2">
      <c r="B1279" s="35">
        <f t="shared" ref="B1279:B1342" si="38">(B1278+1)</f>
        <v>814</v>
      </c>
      <c r="C1279" s="41" t="s">
        <v>69</v>
      </c>
      <c r="D1279" s="41" t="s">
        <v>196</v>
      </c>
      <c r="E1279" s="41"/>
      <c r="F1279" s="41"/>
      <c r="G1279" s="41"/>
      <c r="H1279" s="41"/>
      <c r="I1279" s="42"/>
      <c r="J1279" s="41"/>
      <c r="K1279" s="41"/>
      <c r="L1279" s="43"/>
    </row>
    <row r="1280" spans="2:12" hidden="1" outlineLevel="2">
      <c r="B1280" s="35">
        <f t="shared" si="38"/>
        <v>815</v>
      </c>
      <c r="C1280" s="41" t="s">
        <v>69</v>
      </c>
      <c r="D1280" s="41" t="s">
        <v>196</v>
      </c>
      <c r="E1280" s="41"/>
      <c r="F1280" s="41"/>
      <c r="G1280" s="41"/>
      <c r="H1280" s="41"/>
      <c r="I1280" s="42"/>
      <c r="J1280" s="41"/>
      <c r="K1280" s="41"/>
      <c r="L1280" s="43"/>
    </row>
    <row r="1281" spans="2:12" hidden="1" outlineLevel="2">
      <c r="B1281" s="35">
        <f t="shared" si="38"/>
        <v>816</v>
      </c>
      <c r="C1281" s="41" t="s">
        <v>69</v>
      </c>
      <c r="D1281" s="41" t="s">
        <v>196</v>
      </c>
      <c r="E1281" s="41"/>
      <c r="F1281" s="41"/>
      <c r="G1281" s="41"/>
      <c r="H1281" s="41"/>
      <c r="I1281" s="42"/>
      <c r="J1281" s="41"/>
      <c r="K1281" s="41"/>
      <c r="L1281" s="43"/>
    </row>
    <row r="1282" spans="2:12" hidden="1" outlineLevel="2">
      <c r="B1282" s="35">
        <f t="shared" si="38"/>
        <v>817</v>
      </c>
      <c r="C1282" s="41" t="s">
        <v>69</v>
      </c>
      <c r="D1282" s="41" t="s">
        <v>196</v>
      </c>
      <c r="E1282" s="41"/>
      <c r="F1282" s="41"/>
      <c r="G1282" s="41"/>
      <c r="H1282" s="41"/>
      <c r="I1282" s="42"/>
      <c r="J1282" s="41"/>
      <c r="K1282" s="41"/>
      <c r="L1282" s="43"/>
    </row>
    <row r="1283" spans="2:12" hidden="1" outlineLevel="2">
      <c r="B1283" s="35">
        <f t="shared" si="38"/>
        <v>818</v>
      </c>
      <c r="C1283" s="41" t="s">
        <v>69</v>
      </c>
      <c r="D1283" s="41" t="s">
        <v>196</v>
      </c>
      <c r="E1283" s="41"/>
      <c r="F1283" s="41"/>
      <c r="G1283" s="41"/>
      <c r="H1283" s="41"/>
      <c r="I1283" s="42"/>
      <c r="J1283" s="41"/>
      <c r="K1283" s="41"/>
      <c r="L1283" s="43"/>
    </row>
    <row r="1284" spans="2:12" hidden="1" outlineLevel="2">
      <c r="B1284" s="35">
        <f t="shared" si="38"/>
        <v>819</v>
      </c>
      <c r="C1284" s="41" t="s">
        <v>69</v>
      </c>
      <c r="D1284" s="41" t="s">
        <v>196</v>
      </c>
      <c r="E1284" s="41"/>
      <c r="F1284" s="41"/>
      <c r="G1284" s="41"/>
      <c r="H1284" s="41"/>
      <c r="I1284" s="42"/>
      <c r="J1284" s="41"/>
      <c r="K1284" s="41"/>
      <c r="L1284" s="43"/>
    </row>
    <row r="1285" spans="2:12" hidden="1" outlineLevel="2">
      <c r="B1285" s="35">
        <f t="shared" si="38"/>
        <v>820</v>
      </c>
      <c r="C1285" s="41" t="s">
        <v>69</v>
      </c>
      <c r="D1285" s="41" t="s">
        <v>196</v>
      </c>
      <c r="E1285" s="41"/>
      <c r="F1285" s="41"/>
      <c r="G1285" s="41"/>
      <c r="H1285" s="41"/>
      <c r="I1285" s="42"/>
      <c r="J1285" s="41"/>
      <c r="K1285" s="41"/>
      <c r="L1285" s="43"/>
    </row>
    <row r="1286" spans="2:12" hidden="1" outlineLevel="2">
      <c r="B1286" s="35">
        <f t="shared" si="38"/>
        <v>821</v>
      </c>
      <c r="C1286" s="41" t="s">
        <v>69</v>
      </c>
      <c r="D1286" s="41" t="s">
        <v>196</v>
      </c>
      <c r="E1286" s="41"/>
      <c r="F1286" s="41"/>
      <c r="G1286" s="41"/>
      <c r="H1286" s="41"/>
      <c r="I1286" s="42"/>
      <c r="J1286" s="41"/>
      <c r="K1286" s="41"/>
      <c r="L1286" s="43"/>
    </row>
    <row r="1287" spans="2:12" hidden="1" outlineLevel="2">
      <c r="B1287" s="35">
        <f t="shared" si="38"/>
        <v>822</v>
      </c>
      <c r="C1287" s="41" t="s">
        <v>69</v>
      </c>
      <c r="D1287" s="41" t="s">
        <v>196</v>
      </c>
      <c r="E1287" s="41"/>
      <c r="F1287" s="41"/>
      <c r="G1287" s="41"/>
      <c r="H1287" s="41"/>
      <c r="I1287" s="42"/>
      <c r="J1287" s="41"/>
      <c r="K1287" s="41"/>
      <c r="L1287" s="43"/>
    </row>
    <row r="1288" spans="2:12" hidden="1" outlineLevel="2">
      <c r="B1288" s="35">
        <f t="shared" si="38"/>
        <v>823</v>
      </c>
      <c r="C1288" s="41" t="s">
        <v>69</v>
      </c>
      <c r="D1288" s="41" t="s">
        <v>196</v>
      </c>
      <c r="E1288" s="41"/>
      <c r="F1288" s="41"/>
      <c r="G1288" s="41"/>
      <c r="H1288" s="41"/>
      <c r="I1288" s="42"/>
      <c r="J1288" s="41"/>
      <c r="K1288" s="41"/>
      <c r="L1288" s="43"/>
    </row>
    <row r="1289" spans="2:12" hidden="1" outlineLevel="2">
      <c r="B1289" s="35">
        <f t="shared" si="38"/>
        <v>824</v>
      </c>
      <c r="C1289" s="41" t="s">
        <v>69</v>
      </c>
      <c r="D1289" s="41" t="s">
        <v>196</v>
      </c>
      <c r="E1289" s="41"/>
      <c r="F1289" s="41"/>
      <c r="G1289" s="41"/>
      <c r="H1289" s="41"/>
      <c r="I1289" s="42"/>
      <c r="J1289" s="41"/>
      <c r="K1289" s="41"/>
      <c r="L1289" s="43"/>
    </row>
    <row r="1290" spans="2:12" hidden="1" outlineLevel="2">
      <c r="B1290" s="35">
        <f t="shared" si="38"/>
        <v>825</v>
      </c>
      <c r="C1290" s="41" t="s">
        <v>69</v>
      </c>
      <c r="D1290" s="41" t="s">
        <v>196</v>
      </c>
      <c r="E1290" s="41"/>
      <c r="F1290" s="41"/>
      <c r="G1290" s="41"/>
      <c r="H1290" s="41"/>
      <c r="I1290" s="42"/>
      <c r="J1290" s="41"/>
      <c r="K1290" s="41"/>
      <c r="L1290" s="43"/>
    </row>
    <row r="1291" spans="2:12" hidden="1" outlineLevel="2">
      <c r="B1291" s="35">
        <f t="shared" si="38"/>
        <v>826</v>
      </c>
      <c r="C1291" s="41" t="s">
        <v>69</v>
      </c>
      <c r="D1291" s="41" t="s">
        <v>196</v>
      </c>
      <c r="E1291" s="41"/>
      <c r="F1291" s="41"/>
      <c r="G1291" s="41"/>
      <c r="H1291" s="41"/>
      <c r="I1291" s="42"/>
      <c r="J1291" s="41"/>
      <c r="K1291" s="41"/>
      <c r="L1291" s="43"/>
    </row>
    <row r="1292" spans="2:12" hidden="1" outlineLevel="2">
      <c r="B1292" s="35">
        <f t="shared" si="38"/>
        <v>827</v>
      </c>
      <c r="C1292" s="41" t="s">
        <v>69</v>
      </c>
      <c r="D1292" s="41" t="s">
        <v>196</v>
      </c>
      <c r="E1292" s="41"/>
      <c r="F1292" s="41"/>
      <c r="G1292" s="41"/>
      <c r="H1292" s="41"/>
      <c r="I1292" s="42"/>
      <c r="J1292" s="41"/>
      <c r="K1292" s="41"/>
      <c r="L1292" s="43"/>
    </row>
    <row r="1293" spans="2:12" hidden="1" outlineLevel="2">
      <c r="B1293" s="35">
        <f t="shared" si="38"/>
        <v>828</v>
      </c>
      <c r="C1293" s="41" t="s">
        <v>69</v>
      </c>
      <c r="D1293" s="41" t="s">
        <v>196</v>
      </c>
      <c r="E1293" s="41"/>
      <c r="F1293" s="41"/>
      <c r="G1293" s="41"/>
      <c r="H1293" s="41"/>
      <c r="I1293" s="42"/>
      <c r="J1293" s="41"/>
      <c r="K1293" s="41"/>
      <c r="L1293" s="43"/>
    </row>
    <row r="1294" spans="2:12" hidden="1" outlineLevel="2">
      <c r="B1294" s="35">
        <f t="shared" si="38"/>
        <v>829</v>
      </c>
      <c r="C1294" s="41" t="s">
        <v>69</v>
      </c>
      <c r="D1294" s="41" t="s">
        <v>196</v>
      </c>
      <c r="E1294" s="41"/>
      <c r="F1294" s="41"/>
      <c r="G1294" s="41"/>
      <c r="H1294" s="41"/>
      <c r="I1294" s="42"/>
      <c r="J1294" s="41"/>
      <c r="K1294" s="41"/>
      <c r="L1294" s="43"/>
    </row>
    <row r="1295" spans="2:12" hidden="1" outlineLevel="2">
      <c r="B1295" s="35">
        <f t="shared" si="38"/>
        <v>830</v>
      </c>
      <c r="C1295" s="41" t="s">
        <v>69</v>
      </c>
      <c r="D1295" s="41" t="s">
        <v>196</v>
      </c>
      <c r="E1295" s="41"/>
      <c r="F1295" s="41"/>
      <c r="G1295" s="41"/>
      <c r="H1295" s="41"/>
      <c r="I1295" s="42"/>
      <c r="J1295" s="41"/>
      <c r="K1295" s="41"/>
      <c r="L1295" s="43"/>
    </row>
    <row r="1296" spans="2:12" hidden="1" outlineLevel="2">
      <c r="B1296" s="35">
        <f t="shared" si="38"/>
        <v>831</v>
      </c>
      <c r="C1296" s="41" t="s">
        <v>69</v>
      </c>
      <c r="D1296" s="41" t="s">
        <v>196</v>
      </c>
      <c r="E1296" s="41"/>
      <c r="F1296" s="41"/>
      <c r="G1296" s="41"/>
      <c r="H1296" s="41"/>
      <c r="I1296" s="42"/>
      <c r="J1296" s="41"/>
      <c r="K1296" s="41"/>
      <c r="L1296" s="43"/>
    </row>
    <row r="1297" spans="2:12" hidden="1" outlineLevel="2">
      <c r="B1297" s="35">
        <f t="shared" si="38"/>
        <v>832</v>
      </c>
      <c r="C1297" s="41" t="s">
        <v>69</v>
      </c>
      <c r="D1297" s="41" t="s">
        <v>196</v>
      </c>
      <c r="E1297" s="41"/>
      <c r="F1297" s="41"/>
      <c r="G1297" s="41"/>
      <c r="H1297" s="41"/>
      <c r="I1297" s="42"/>
      <c r="J1297" s="41"/>
      <c r="K1297" s="41"/>
      <c r="L1297" s="43"/>
    </row>
    <row r="1298" spans="2:12" hidden="1" outlineLevel="2">
      <c r="B1298" s="35">
        <f t="shared" si="38"/>
        <v>833</v>
      </c>
      <c r="C1298" s="41" t="s">
        <v>69</v>
      </c>
      <c r="D1298" s="41" t="s">
        <v>196</v>
      </c>
      <c r="E1298" s="41"/>
      <c r="F1298" s="41"/>
      <c r="G1298" s="41"/>
      <c r="H1298" s="41"/>
      <c r="I1298" s="42"/>
      <c r="J1298" s="41"/>
      <c r="K1298" s="41"/>
      <c r="L1298" s="43"/>
    </row>
    <row r="1299" spans="2:12" hidden="1" outlineLevel="2">
      <c r="B1299" s="35">
        <f t="shared" si="38"/>
        <v>834</v>
      </c>
      <c r="C1299" s="41" t="s">
        <v>69</v>
      </c>
      <c r="D1299" s="41" t="s">
        <v>196</v>
      </c>
      <c r="E1299" s="41"/>
      <c r="F1299" s="41"/>
      <c r="G1299" s="41"/>
      <c r="H1299" s="41"/>
      <c r="I1299" s="42"/>
      <c r="J1299" s="41"/>
      <c r="K1299" s="41"/>
      <c r="L1299" s="43"/>
    </row>
    <row r="1300" spans="2:12" hidden="1" outlineLevel="2">
      <c r="B1300" s="35">
        <f t="shared" si="38"/>
        <v>835</v>
      </c>
      <c r="C1300" s="41" t="s">
        <v>69</v>
      </c>
      <c r="D1300" s="41" t="s">
        <v>196</v>
      </c>
      <c r="E1300" s="41"/>
      <c r="F1300" s="41"/>
      <c r="G1300" s="41"/>
      <c r="H1300" s="41"/>
      <c r="I1300" s="42"/>
      <c r="J1300" s="41"/>
      <c r="K1300" s="41"/>
      <c r="L1300" s="43"/>
    </row>
    <row r="1301" spans="2:12" hidden="1" outlineLevel="2">
      <c r="B1301" s="35">
        <f t="shared" si="38"/>
        <v>836</v>
      </c>
      <c r="C1301" s="41" t="s">
        <v>69</v>
      </c>
      <c r="D1301" s="41" t="s">
        <v>196</v>
      </c>
      <c r="E1301" s="41"/>
      <c r="F1301" s="41"/>
      <c r="G1301" s="41"/>
      <c r="H1301" s="41"/>
      <c r="I1301" s="42"/>
      <c r="J1301" s="41"/>
      <c r="K1301" s="41"/>
      <c r="L1301" s="43"/>
    </row>
    <row r="1302" spans="2:12" hidden="1" outlineLevel="2">
      <c r="B1302" s="35">
        <f t="shared" si="38"/>
        <v>837</v>
      </c>
      <c r="C1302" s="41" t="s">
        <v>69</v>
      </c>
      <c r="D1302" s="41" t="s">
        <v>196</v>
      </c>
      <c r="E1302" s="41"/>
      <c r="F1302" s="41"/>
      <c r="G1302" s="41"/>
      <c r="H1302" s="41"/>
      <c r="I1302" s="42"/>
      <c r="J1302" s="41"/>
      <c r="K1302" s="41"/>
      <c r="L1302" s="43"/>
    </row>
    <row r="1303" spans="2:12" hidden="1" outlineLevel="2">
      <c r="B1303" s="35">
        <f t="shared" si="38"/>
        <v>838</v>
      </c>
      <c r="C1303" s="41" t="s">
        <v>69</v>
      </c>
      <c r="D1303" s="41" t="s">
        <v>196</v>
      </c>
      <c r="E1303" s="41"/>
      <c r="F1303" s="41"/>
      <c r="G1303" s="41"/>
      <c r="H1303" s="41"/>
      <c r="I1303" s="42"/>
      <c r="J1303" s="41"/>
      <c r="K1303" s="41"/>
      <c r="L1303" s="43"/>
    </row>
    <row r="1304" spans="2:12" hidden="1" outlineLevel="2">
      <c r="B1304" s="35">
        <f t="shared" si="38"/>
        <v>839</v>
      </c>
      <c r="C1304" s="41" t="s">
        <v>69</v>
      </c>
      <c r="D1304" s="41" t="s">
        <v>196</v>
      </c>
      <c r="E1304" s="41"/>
      <c r="F1304" s="41"/>
      <c r="G1304" s="41"/>
      <c r="H1304" s="41"/>
      <c r="I1304" s="42"/>
      <c r="J1304" s="41"/>
      <c r="K1304" s="41"/>
      <c r="L1304" s="43"/>
    </row>
    <row r="1305" spans="2:12" hidden="1" outlineLevel="2">
      <c r="B1305" s="35">
        <f t="shared" si="38"/>
        <v>840</v>
      </c>
      <c r="C1305" s="41" t="s">
        <v>69</v>
      </c>
      <c r="D1305" s="41" t="s">
        <v>196</v>
      </c>
      <c r="E1305" s="41"/>
      <c r="F1305" s="41"/>
      <c r="G1305" s="41"/>
      <c r="H1305" s="41"/>
      <c r="I1305" s="42"/>
      <c r="J1305" s="41"/>
      <c r="K1305" s="41"/>
      <c r="L1305" s="43"/>
    </row>
    <row r="1306" spans="2:12" hidden="1" outlineLevel="2">
      <c r="B1306" s="35">
        <f t="shared" si="38"/>
        <v>841</v>
      </c>
      <c r="C1306" s="41" t="s">
        <v>69</v>
      </c>
      <c r="D1306" s="41" t="s">
        <v>196</v>
      </c>
      <c r="E1306" s="41"/>
      <c r="F1306" s="41"/>
      <c r="G1306" s="41"/>
      <c r="H1306" s="41"/>
      <c r="I1306" s="42"/>
      <c r="J1306" s="41"/>
      <c r="K1306" s="41"/>
      <c r="L1306" s="43"/>
    </row>
    <row r="1307" spans="2:12" hidden="1" outlineLevel="2">
      <c r="B1307" s="35">
        <f t="shared" si="38"/>
        <v>842</v>
      </c>
      <c r="C1307" s="41" t="s">
        <v>69</v>
      </c>
      <c r="D1307" s="41" t="s">
        <v>196</v>
      </c>
      <c r="E1307" s="41"/>
      <c r="F1307" s="41"/>
      <c r="G1307" s="41"/>
      <c r="H1307" s="41"/>
      <c r="I1307" s="42"/>
      <c r="J1307" s="41"/>
      <c r="K1307" s="41"/>
      <c r="L1307" s="43"/>
    </row>
    <row r="1308" spans="2:12" hidden="1" outlineLevel="2">
      <c r="B1308" s="35">
        <f t="shared" si="38"/>
        <v>843</v>
      </c>
      <c r="C1308" s="41" t="s">
        <v>69</v>
      </c>
      <c r="D1308" s="41" t="s">
        <v>196</v>
      </c>
      <c r="E1308" s="41"/>
      <c r="F1308" s="41"/>
      <c r="G1308" s="41"/>
      <c r="H1308" s="41"/>
      <c r="I1308" s="42"/>
      <c r="J1308" s="41"/>
      <c r="K1308" s="41"/>
      <c r="L1308" s="43"/>
    </row>
    <row r="1309" spans="2:12" hidden="1" outlineLevel="2">
      <c r="B1309" s="35">
        <f t="shared" si="38"/>
        <v>844</v>
      </c>
      <c r="C1309" s="41" t="s">
        <v>69</v>
      </c>
      <c r="D1309" s="41" t="s">
        <v>196</v>
      </c>
      <c r="E1309" s="41"/>
      <c r="F1309" s="41"/>
      <c r="G1309" s="41"/>
      <c r="H1309" s="41"/>
      <c r="I1309" s="42"/>
      <c r="J1309" s="41"/>
      <c r="K1309" s="41"/>
      <c r="L1309" s="43"/>
    </row>
    <row r="1310" spans="2:12" hidden="1" outlineLevel="2">
      <c r="B1310" s="35">
        <f t="shared" si="38"/>
        <v>845</v>
      </c>
      <c r="C1310" s="41" t="s">
        <v>69</v>
      </c>
      <c r="D1310" s="41" t="s">
        <v>196</v>
      </c>
      <c r="E1310" s="41"/>
      <c r="F1310" s="41"/>
      <c r="G1310" s="41"/>
      <c r="H1310" s="41"/>
      <c r="I1310" s="42"/>
      <c r="J1310" s="41"/>
      <c r="K1310" s="41"/>
      <c r="L1310" s="43"/>
    </row>
    <row r="1311" spans="2:12" hidden="1" outlineLevel="2">
      <c r="B1311" s="35">
        <f t="shared" si="38"/>
        <v>846</v>
      </c>
      <c r="C1311" s="41" t="s">
        <v>69</v>
      </c>
      <c r="D1311" s="41" t="s">
        <v>196</v>
      </c>
      <c r="E1311" s="41"/>
      <c r="F1311" s="41"/>
      <c r="G1311" s="41"/>
      <c r="H1311" s="41"/>
      <c r="I1311" s="42"/>
      <c r="J1311" s="41"/>
      <c r="K1311" s="41"/>
      <c r="L1311" s="43"/>
    </row>
    <row r="1312" spans="2:12" hidden="1" outlineLevel="2">
      <c r="B1312" s="35">
        <f t="shared" si="38"/>
        <v>847</v>
      </c>
      <c r="C1312" s="41" t="s">
        <v>69</v>
      </c>
      <c r="D1312" s="41" t="s">
        <v>196</v>
      </c>
      <c r="E1312" s="41"/>
      <c r="F1312" s="41"/>
      <c r="G1312" s="41"/>
      <c r="H1312" s="41"/>
      <c r="I1312" s="42"/>
      <c r="J1312" s="41"/>
      <c r="K1312" s="41"/>
      <c r="L1312" s="43"/>
    </row>
    <row r="1313" spans="2:12" hidden="1" outlineLevel="2">
      <c r="B1313" s="35">
        <f t="shared" si="38"/>
        <v>848</v>
      </c>
      <c r="C1313" s="41" t="s">
        <v>69</v>
      </c>
      <c r="D1313" s="41" t="s">
        <v>196</v>
      </c>
      <c r="E1313" s="41"/>
      <c r="F1313" s="41"/>
      <c r="G1313" s="41"/>
      <c r="H1313" s="41"/>
      <c r="I1313" s="42"/>
      <c r="J1313" s="41"/>
      <c r="K1313" s="41"/>
      <c r="L1313" s="43"/>
    </row>
    <row r="1314" spans="2:12" hidden="1" outlineLevel="2">
      <c r="B1314" s="35">
        <f t="shared" si="38"/>
        <v>849</v>
      </c>
      <c r="C1314" s="41" t="s">
        <v>69</v>
      </c>
      <c r="D1314" s="41" t="s">
        <v>196</v>
      </c>
      <c r="E1314" s="41"/>
      <c r="F1314" s="41"/>
      <c r="G1314" s="41"/>
      <c r="H1314" s="41"/>
      <c r="I1314" s="42"/>
      <c r="J1314" s="41"/>
      <c r="K1314" s="41"/>
      <c r="L1314" s="43"/>
    </row>
    <row r="1315" spans="2:12" hidden="1" outlineLevel="2">
      <c r="B1315" s="35">
        <f t="shared" si="38"/>
        <v>850</v>
      </c>
      <c r="C1315" s="41" t="s">
        <v>69</v>
      </c>
      <c r="D1315" s="41" t="s">
        <v>196</v>
      </c>
      <c r="E1315" s="41"/>
      <c r="F1315" s="41"/>
      <c r="G1315" s="41"/>
      <c r="H1315" s="41"/>
      <c r="I1315" s="42"/>
      <c r="J1315" s="41"/>
      <c r="K1315" s="41"/>
      <c r="L1315" s="43"/>
    </row>
    <row r="1316" spans="2:12" hidden="1" outlineLevel="2">
      <c r="B1316" s="35">
        <f t="shared" si="38"/>
        <v>851</v>
      </c>
      <c r="C1316" s="41" t="s">
        <v>69</v>
      </c>
      <c r="D1316" s="41" t="s">
        <v>196</v>
      </c>
      <c r="E1316" s="41"/>
      <c r="F1316" s="41"/>
      <c r="G1316" s="41"/>
      <c r="H1316" s="41"/>
      <c r="I1316" s="42"/>
      <c r="J1316" s="41"/>
      <c r="K1316" s="41"/>
      <c r="L1316" s="43"/>
    </row>
    <row r="1317" spans="2:12" hidden="1" outlineLevel="2">
      <c r="B1317" s="35">
        <f t="shared" si="38"/>
        <v>852</v>
      </c>
      <c r="C1317" s="41" t="s">
        <v>69</v>
      </c>
      <c r="D1317" s="41" t="s">
        <v>196</v>
      </c>
      <c r="E1317" s="41"/>
      <c r="F1317" s="41"/>
      <c r="G1317" s="41"/>
      <c r="H1317" s="41"/>
      <c r="I1317" s="42"/>
      <c r="J1317" s="41"/>
      <c r="K1317" s="41"/>
      <c r="L1317" s="43"/>
    </row>
    <row r="1318" spans="2:12" hidden="1" outlineLevel="2">
      <c r="B1318" s="35">
        <f t="shared" si="38"/>
        <v>853</v>
      </c>
      <c r="C1318" s="41" t="s">
        <v>69</v>
      </c>
      <c r="D1318" s="41" t="s">
        <v>196</v>
      </c>
      <c r="E1318" s="41"/>
      <c r="F1318" s="41"/>
      <c r="G1318" s="41"/>
      <c r="H1318" s="41"/>
      <c r="I1318" s="42"/>
      <c r="J1318" s="41"/>
      <c r="K1318" s="41"/>
      <c r="L1318" s="43"/>
    </row>
    <row r="1319" spans="2:12" hidden="1" outlineLevel="2">
      <c r="B1319" s="35">
        <f t="shared" si="38"/>
        <v>854</v>
      </c>
      <c r="C1319" s="41" t="s">
        <v>69</v>
      </c>
      <c r="D1319" s="41" t="s">
        <v>196</v>
      </c>
      <c r="E1319" s="41"/>
      <c r="F1319" s="41"/>
      <c r="G1319" s="41"/>
      <c r="H1319" s="41"/>
      <c r="I1319" s="42"/>
      <c r="J1319" s="41"/>
      <c r="K1319" s="41"/>
      <c r="L1319" s="43"/>
    </row>
    <row r="1320" spans="2:12" hidden="1" outlineLevel="2">
      <c r="B1320" s="35">
        <f t="shared" si="38"/>
        <v>855</v>
      </c>
      <c r="C1320" s="41" t="s">
        <v>69</v>
      </c>
      <c r="D1320" s="41" t="s">
        <v>196</v>
      </c>
      <c r="E1320" s="41"/>
      <c r="F1320" s="41"/>
      <c r="G1320" s="41"/>
      <c r="H1320" s="41"/>
      <c r="I1320" s="42"/>
      <c r="J1320" s="41"/>
      <c r="K1320" s="41"/>
      <c r="L1320" s="43"/>
    </row>
    <row r="1321" spans="2:12" hidden="1" outlineLevel="2">
      <c r="B1321" s="35">
        <f t="shared" si="38"/>
        <v>856</v>
      </c>
      <c r="C1321" s="41" t="s">
        <v>69</v>
      </c>
      <c r="D1321" s="41" t="s">
        <v>196</v>
      </c>
      <c r="E1321" s="41"/>
      <c r="F1321" s="41"/>
      <c r="G1321" s="41"/>
      <c r="H1321" s="41"/>
      <c r="I1321" s="42"/>
      <c r="J1321" s="41"/>
      <c r="K1321" s="41"/>
      <c r="L1321" s="43"/>
    </row>
    <row r="1322" spans="2:12" hidden="1" outlineLevel="2">
      <c r="B1322" s="35">
        <f t="shared" si="38"/>
        <v>857</v>
      </c>
      <c r="C1322" s="41" t="s">
        <v>69</v>
      </c>
      <c r="D1322" s="41" t="s">
        <v>196</v>
      </c>
      <c r="E1322" s="41"/>
      <c r="F1322" s="41"/>
      <c r="G1322" s="41"/>
      <c r="H1322" s="41"/>
      <c r="I1322" s="42"/>
      <c r="J1322" s="41"/>
      <c r="K1322" s="41"/>
      <c r="L1322" s="43"/>
    </row>
    <row r="1323" spans="2:12" hidden="1" outlineLevel="2">
      <c r="B1323" s="35">
        <f t="shared" si="38"/>
        <v>858</v>
      </c>
      <c r="C1323" s="41" t="s">
        <v>69</v>
      </c>
      <c r="D1323" s="41" t="s">
        <v>196</v>
      </c>
      <c r="E1323" s="41"/>
      <c r="F1323" s="41"/>
      <c r="G1323" s="41"/>
      <c r="H1323" s="41"/>
      <c r="I1323" s="42"/>
      <c r="J1323" s="41"/>
      <c r="K1323" s="41"/>
      <c r="L1323" s="43"/>
    </row>
    <row r="1324" spans="2:12" hidden="1" outlineLevel="2">
      <c r="B1324" s="35">
        <f t="shared" si="38"/>
        <v>859</v>
      </c>
      <c r="C1324" s="41" t="s">
        <v>69</v>
      </c>
      <c r="D1324" s="41" t="s">
        <v>196</v>
      </c>
      <c r="E1324" s="41"/>
      <c r="F1324" s="41"/>
      <c r="G1324" s="41"/>
      <c r="H1324" s="41"/>
      <c r="I1324" s="42"/>
      <c r="J1324" s="41"/>
      <c r="K1324" s="41"/>
      <c r="L1324" s="43"/>
    </row>
    <row r="1325" spans="2:12" hidden="1" outlineLevel="2">
      <c r="B1325" s="35">
        <f t="shared" si="38"/>
        <v>860</v>
      </c>
      <c r="C1325" s="41" t="s">
        <v>69</v>
      </c>
      <c r="D1325" s="41" t="s">
        <v>196</v>
      </c>
      <c r="E1325" s="41"/>
      <c r="F1325" s="41"/>
      <c r="G1325" s="41"/>
      <c r="H1325" s="41"/>
      <c r="I1325" s="42"/>
      <c r="J1325" s="41"/>
      <c r="K1325" s="41"/>
      <c r="L1325" s="43"/>
    </row>
    <row r="1326" spans="2:12" hidden="1" outlineLevel="2">
      <c r="B1326" s="35">
        <f t="shared" si="38"/>
        <v>861</v>
      </c>
      <c r="C1326" s="41" t="s">
        <v>69</v>
      </c>
      <c r="D1326" s="41" t="s">
        <v>196</v>
      </c>
      <c r="E1326" s="41"/>
      <c r="F1326" s="41"/>
      <c r="G1326" s="41"/>
      <c r="H1326" s="41"/>
      <c r="I1326" s="42"/>
      <c r="J1326" s="41"/>
      <c r="K1326" s="41"/>
      <c r="L1326" s="43"/>
    </row>
    <row r="1327" spans="2:12" hidden="1" outlineLevel="2">
      <c r="B1327" s="35">
        <f t="shared" si="38"/>
        <v>862</v>
      </c>
      <c r="C1327" s="41" t="s">
        <v>69</v>
      </c>
      <c r="D1327" s="41" t="s">
        <v>196</v>
      </c>
      <c r="E1327" s="41"/>
      <c r="F1327" s="41"/>
      <c r="G1327" s="41"/>
      <c r="H1327" s="41"/>
      <c r="I1327" s="42"/>
      <c r="J1327" s="41"/>
      <c r="K1327" s="41"/>
      <c r="L1327" s="43"/>
    </row>
    <row r="1328" spans="2:12" hidden="1" outlineLevel="2">
      <c r="B1328" s="35">
        <f t="shared" si="38"/>
        <v>863</v>
      </c>
      <c r="C1328" s="41" t="s">
        <v>69</v>
      </c>
      <c r="D1328" s="41" t="s">
        <v>196</v>
      </c>
      <c r="E1328" s="41"/>
      <c r="F1328" s="41"/>
      <c r="G1328" s="41"/>
      <c r="H1328" s="41"/>
      <c r="I1328" s="42"/>
      <c r="J1328" s="41"/>
      <c r="K1328" s="41"/>
      <c r="L1328" s="43"/>
    </row>
    <row r="1329" spans="2:12" hidden="1" outlineLevel="2">
      <c r="B1329" s="35">
        <f t="shared" si="38"/>
        <v>864</v>
      </c>
      <c r="C1329" s="41" t="s">
        <v>69</v>
      </c>
      <c r="D1329" s="41" t="s">
        <v>196</v>
      </c>
      <c r="E1329" s="41"/>
      <c r="F1329" s="41"/>
      <c r="G1329" s="41"/>
      <c r="H1329" s="41"/>
      <c r="I1329" s="42"/>
      <c r="J1329" s="41"/>
      <c r="K1329" s="41"/>
      <c r="L1329" s="43"/>
    </row>
    <row r="1330" spans="2:12" hidden="1" outlineLevel="2">
      <c r="B1330" s="35">
        <f t="shared" si="38"/>
        <v>865</v>
      </c>
      <c r="C1330" s="41" t="s">
        <v>69</v>
      </c>
      <c r="D1330" s="41" t="s">
        <v>196</v>
      </c>
      <c r="E1330" s="41"/>
      <c r="F1330" s="41"/>
      <c r="G1330" s="41"/>
      <c r="H1330" s="41"/>
      <c r="I1330" s="42"/>
      <c r="J1330" s="41"/>
      <c r="K1330" s="41"/>
      <c r="L1330" s="43"/>
    </row>
    <row r="1331" spans="2:12" hidden="1" outlineLevel="2">
      <c r="B1331" s="35">
        <f t="shared" si="38"/>
        <v>866</v>
      </c>
      <c r="C1331" s="41" t="s">
        <v>69</v>
      </c>
      <c r="D1331" s="41" t="s">
        <v>196</v>
      </c>
      <c r="E1331" s="41"/>
      <c r="F1331" s="41"/>
      <c r="G1331" s="41"/>
      <c r="H1331" s="41"/>
      <c r="I1331" s="42"/>
      <c r="J1331" s="41"/>
      <c r="K1331" s="41"/>
      <c r="L1331" s="43"/>
    </row>
    <row r="1332" spans="2:12" hidden="1" outlineLevel="2">
      <c r="B1332" s="35">
        <f t="shared" si="38"/>
        <v>867</v>
      </c>
      <c r="C1332" s="41" t="s">
        <v>69</v>
      </c>
      <c r="D1332" s="41" t="s">
        <v>196</v>
      </c>
      <c r="E1332" s="41"/>
      <c r="F1332" s="41"/>
      <c r="G1332" s="41"/>
      <c r="H1332" s="41"/>
      <c r="I1332" s="42"/>
      <c r="J1332" s="41"/>
      <c r="K1332" s="41"/>
      <c r="L1332" s="43"/>
    </row>
    <row r="1333" spans="2:12" hidden="1" outlineLevel="2">
      <c r="B1333" s="35">
        <f t="shared" si="38"/>
        <v>868</v>
      </c>
      <c r="C1333" s="41" t="s">
        <v>69</v>
      </c>
      <c r="D1333" s="41" t="s">
        <v>196</v>
      </c>
      <c r="E1333" s="41"/>
      <c r="F1333" s="41"/>
      <c r="G1333" s="41"/>
      <c r="H1333" s="41"/>
      <c r="I1333" s="42"/>
      <c r="J1333" s="41"/>
      <c r="K1333" s="41"/>
      <c r="L1333" s="43"/>
    </row>
    <row r="1334" spans="2:12" hidden="1" outlineLevel="2">
      <c r="B1334" s="35">
        <f t="shared" si="38"/>
        <v>869</v>
      </c>
      <c r="C1334" s="41" t="s">
        <v>69</v>
      </c>
      <c r="D1334" s="41" t="s">
        <v>196</v>
      </c>
      <c r="E1334" s="41"/>
      <c r="F1334" s="41"/>
      <c r="G1334" s="41"/>
      <c r="H1334" s="41"/>
      <c r="I1334" s="42"/>
      <c r="J1334" s="41"/>
      <c r="K1334" s="41"/>
      <c r="L1334" s="43"/>
    </row>
    <row r="1335" spans="2:12" hidden="1" outlineLevel="2">
      <c r="B1335" s="35">
        <f t="shared" si="38"/>
        <v>870</v>
      </c>
      <c r="C1335" s="41" t="s">
        <v>69</v>
      </c>
      <c r="D1335" s="41" t="s">
        <v>196</v>
      </c>
      <c r="E1335" s="41"/>
      <c r="F1335" s="41"/>
      <c r="G1335" s="41"/>
      <c r="H1335" s="41"/>
      <c r="I1335" s="42"/>
      <c r="J1335" s="41"/>
      <c r="K1335" s="41"/>
      <c r="L1335" s="43"/>
    </row>
    <row r="1336" spans="2:12" hidden="1" outlineLevel="2">
      <c r="B1336" s="35">
        <f t="shared" si="38"/>
        <v>871</v>
      </c>
      <c r="C1336" s="41" t="s">
        <v>69</v>
      </c>
      <c r="D1336" s="41" t="s">
        <v>196</v>
      </c>
      <c r="E1336" s="41"/>
      <c r="F1336" s="41"/>
      <c r="G1336" s="41"/>
      <c r="H1336" s="41"/>
      <c r="I1336" s="42"/>
      <c r="J1336" s="41"/>
      <c r="K1336" s="41"/>
      <c r="L1336" s="43"/>
    </row>
    <row r="1337" spans="2:12" hidden="1" outlineLevel="2">
      <c r="B1337" s="35">
        <f t="shared" si="38"/>
        <v>872</v>
      </c>
      <c r="C1337" s="41" t="s">
        <v>69</v>
      </c>
      <c r="D1337" s="41" t="s">
        <v>196</v>
      </c>
      <c r="E1337" s="41"/>
      <c r="F1337" s="41"/>
      <c r="G1337" s="41"/>
      <c r="H1337" s="41"/>
      <c r="I1337" s="42"/>
      <c r="J1337" s="41"/>
      <c r="K1337" s="41"/>
      <c r="L1337" s="43"/>
    </row>
    <row r="1338" spans="2:12" hidden="1" outlineLevel="2">
      <c r="B1338" s="35">
        <f t="shared" si="38"/>
        <v>873</v>
      </c>
      <c r="C1338" s="41" t="s">
        <v>69</v>
      </c>
      <c r="D1338" s="41" t="s">
        <v>196</v>
      </c>
      <c r="E1338" s="41"/>
      <c r="F1338" s="41"/>
      <c r="G1338" s="41"/>
      <c r="H1338" s="41"/>
      <c r="I1338" s="42"/>
      <c r="J1338" s="41"/>
      <c r="K1338" s="41"/>
      <c r="L1338" s="43"/>
    </row>
    <row r="1339" spans="2:12" hidden="1" outlineLevel="2">
      <c r="B1339" s="35">
        <f t="shared" si="38"/>
        <v>874</v>
      </c>
      <c r="C1339" s="41" t="s">
        <v>69</v>
      </c>
      <c r="D1339" s="41" t="s">
        <v>196</v>
      </c>
      <c r="E1339" s="41"/>
      <c r="F1339" s="41"/>
      <c r="G1339" s="41"/>
      <c r="H1339" s="41"/>
      <c r="I1339" s="42"/>
      <c r="J1339" s="41"/>
      <c r="K1339" s="41"/>
      <c r="L1339" s="43"/>
    </row>
    <row r="1340" spans="2:12" hidden="1" outlineLevel="2">
      <c r="B1340" s="35">
        <f t="shared" si="38"/>
        <v>875</v>
      </c>
      <c r="C1340" s="41" t="s">
        <v>69</v>
      </c>
      <c r="D1340" s="41" t="s">
        <v>196</v>
      </c>
      <c r="E1340" s="41"/>
      <c r="F1340" s="41"/>
      <c r="G1340" s="41"/>
      <c r="H1340" s="41"/>
      <c r="I1340" s="42"/>
      <c r="J1340" s="41"/>
      <c r="K1340" s="41"/>
      <c r="L1340" s="43"/>
    </row>
    <row r="1341" spans="2:12" hidden="1" outlineLevel="2">
      <c r="B1341" s="35">
        <f t="shared" si="38"/>
        <v>876</v>
      </c>
      <c r="C1341" s="41" t="s">
        <v>69</v>
      </c>
      <c r="D1341" s="41" t="s">
        <v>196</v>
      </c>
      <c r="E1341" s="41"/>
      <c r="F1341" s="41"/>
      <c r="G1341" s="41"/>
      <c r="H1341" s="41"/>
      <c r="I1341" s="42"/>
      <c r="J1341" s="41"/>
      <c r="K1341" s="41"/>
      <c r="L1341" s="43"/>
    </row>
    <row r="1342" spans="2:12" hidden="1" outlineLevel="2">
      <c r="B1342" s="35">
        <f t="shared" si="38"/>
        <v>877</v>
      </c>
      <c r="C1342" s="41" t="s">
        <v>69</v>
      </c>
      <c r="D1342" s="41" t="s">
        <v>196</v>
      </c>
      <c r="E1342" s="41"/>
      <c r="F1342" s="41"/>
      <c r="G1342" s="41"/>
      <c r="H1342" s="41"/>
      <c r="I1342" s="42"/>
      <c r="J1342" s="41"/>
      <c r="K1342" s="41"/>
      <c r="L1342" s="43"/>
    </row>
    <row r="1343" spans="2:12" hidden="1" outlineLevel="2">
      <c r="B1343" s="35">
        <f t="shared" ref="B1343:B1362" si="39">(B1342+1)</f>
        <v>878</v>
      </c>
      <c r="C1343" s="41" t="s">
        <v>69</v>
      </c>
      <c r="D1343" s="41" t="s">
        <v>196</v>
      </c>
      <c r="E1343" s="41"/>
      <c r="F1343" s="41"/>
      <c r="G1343" s="41"/>
      <c r="H1343" s="41"/>
      <c r="I1343" s="42"/>
      <c r="J1343" s="41"/>
      <c r="K1343" s="41"/>
      <c r="L1343" s="43"/>
    </row>
    <row r="1344" spans="2:12" hidden="1" outlineLevel="2">
      <c r="B1344" s="35">
        <f t="shared" si="39"/>
        <v>879</v>
      </c>
      <c r="C1344" s="41" t="s">
        <v>69</v>
      </c>
      <c r="D1344" s="41" t="s">
        <v>196</v>
      </c>
      <c r="E1344" s="41"/>
      <c r="F1344" s="41"/>
      <c r="G1344" s="41"/>
      <c r="H1344" s="41"/>
      <c r="I1344" s="42"/>
      <c r="J1344" s="41"/>
      <c r="K1344" s="41"/>
      <c r="L1344" s="43"/>
    </row>
    <row r="1345" spans="2:12" hidden="1" outlineLevel="2">
      <c r="B1345" s="35">
        <f t="shared" si="39"/>
        <v>880</v>
      </c>
      <c r="C1345" s="41" t="s">
        <v>69</v>
      </c>
      <c r="D1345" s="41" t="s">
        <v>196</v>
      </c>
      <c r="E1345" s="41"/>
      <c r="F1345" s="41"/>
      <c r="G1345" s="41"/>
      <c r="H1345" s="41"/>
      <c r="I1345" s="42"/>
      <c r="J1345" s="41"/>
      <c r="K1345" s="41"/>
      <c r="L1345" s="43"/>
    </row>
    <row r="1346" spans="2:12" hidden="1" outlineLevel="2">
      <c r="B1346" s="35">
        <f t="shared" si="39"/>
        <v>881</v>
      </c>
      <c r="C1346" s="41" t="s">
        <v>69</v>
      </c>
      <c r="D1346" s="41" t="s">
        <v>196</v>
      </c>
      <c r="E1346" s="41"/>
      <c r="F1346" s="41"/>
      <c r="G1346" s="41"/>
      <c r="H1346" s="41"/>
      <c r="I1346" s="42"/>
      <c r="J1346" s="41"/>
      <c r="K1346" s="41"/>
      <c r="L1346" s="43"/>
    </row>
    <row r="1347" spans="2:12" hidden="1" outlineLevel="2">
      <c r="B1347" s="35">
        <f t="shared" si="39"/>
        <v>882</v>
      </c>
      <c r="C1347" s="41" t="s">
        <v>69</v>
      </c>
      <c r="D1347" s="41" t="s">
        <v>196</v>
      </c>
      <c r="E1347" s="41"/>
      <c r="F1347" s="41"/>
      <c r="G1347" s="41"/>
      <c r="H1347" s="41"/>
      <c r="I1347" s="42"/>
      <c r="J1347" s="41"/>
      <c r="K1347" s="41"/>
      <c r="L1347" s="43"/>
    </row>
    <row r="1348" spans="2:12" hidden="1" outlineLevel="2">
      <c r="B1348" s="35">
        <f t="shared" si="39"/>
        <v>883</v>
      </c>
      <c r="C1348" s="41" t="s">
        <v>69</v>
      </c>
      <c r="D1348" s="41" t="s">
        <v>196</v>
      </c>
      <c r="E1348" s="41"/>
      <c r="F1348" s="41"/>
      <c r="G1348" s="41"/>
      <c r="H1348" s="41"/>
      <c r="I1348" s="42"/>
      <c r="J1348" s="41"/>
      <c r="K1348" s="41"/>
      <c r="L1348" s="43"/>
    </row>
    <row r="1349" spans="2:12" hidden="1" outlineLevel="2">
      <c r="B1349" s="35">
        <f t="shared" si="39"/>
        <v>884</v>
      </c>
      <c r="C1349" s="41" t="s">
        <v>69</v>
      </c>
      <c r="D1349" s="41" t="s">
        <v>196</v>
      </c>
      <c r="E1349" s="41"/>
      <c r="F1349" s="41"/>
      <c r="G1349" s="41"/>
      <c r="H1349" s="41"/>
      <c r="I1349" s="42"/>
      <c r="J1349" s="41"/>
      <c r="K1349" s="41"/>
      <c r="L1349" s="43"/>
    </row>
    <row r="1350" spans="2:12" hidden="1" outlineLevel="2">
      <c r="B1350" s="35">
        <f t="shared" si="39"/>
        <v>885</v>
      </c>
      <c r="C1350" s="41" t="s">
        <v>69</v>
      </c>
      <c r="D1350" s="41" t="s">
        <v>196</v>
      </c>
      <c r="E1350" s="41"/>
      <c r="F1350" s="41"/>
      <c r="G1350" s="41"/>
      <c r="H1350" s="41"/>
      <c r="I1350" s="42"/>
      <c r="J1350" s="41"/>
      <c r="K1350" s="41"/>
      <c r="L1350" s="43"/>
    </row>
    <row r="1351" spans="2:12" hidden="1" outlineLevel="2">
      <c r="B1351" s="35">
        <f t="shared" si="39"/>
        <v>886</v>
      </c>
      <c r="C1351" s="41" t="s">
        <v>69</v>
      </c>
      <c r="D1351" s="41" t="s">
        <v>196</v>
      </c>
      <c r="E1351" s="41"/>
      <c r="F1351" s="41"/>
      <c r="G1351" s="41"/>
      <c r="H1351" s="41"/>
      <c r="I1351" s="42"/>
      <c r="J1351" s="41"/>
      <c r="K1351" s="41"/>
      <c r="L1351" s="43"/>
    </row>
    <row r="1352" spans="2:12" hidden="1" outlineLevel="2">
      <c r="B1352" s="35">
        <f t="shared" si="39"/>
        <v>887</v>
      </c>
      <c r="C1352" s="41" t="s">
        <v>69</v>
      </c>
      <c r="D1352" s="41" t="s">
        <v>196</v>
      </c>
      <c r="E1352" s="41"/>
      <c r="F1352" s="41"/>
      <c r="G1352" s="41"/>
      <c r="H1352" s="41"/>
      <c r="I1352" s="42"/>
      <c r="J1352" s="41"/>
      <c r="K1352" s="41"/>
      <c r="L1352" s="43"/>
    </row>
    <row r="1353" spans="2:12" hidden="1" outlineLevel="2">
      <c r="B1353" s="35">
        <f t="shared" si="39"/>
        <v>888</v>
      </c>
      <c r="C1353" s="41" t="s">
        <v>69</v>
      </c>
      <c r="D1353" s="41" t="s">
        <v>196</v>
      </c>
      <c r="E1353" s="41"/>
      <c r="F1353" s="41"/>
      <c r="G1353" s="41"/>
      <c r="H1353" s="41"/>
      <c r="I1353" s="42"/>
      <c r="J1353" s="41"/>
      <c r="K1353" s="41"/>
      <c r="L1353" s="43"/>
    </row>
    <row r="1354" spans="2:12" hidden="1" outlineLevel="2">
      <c r="B1354" s="35">
        <f t="shared" si="39"/>
        <v>889</v>
      </c>
      <c r="C1354" s="41" t="s">
        <v>69</v>
      </c>
      <c r="D1354" s="41" t="s">
        <v>196</v>
      </c>
      <c r="E1354" s="41"/>
      <c r="F1354" s="41"/>
      <c r="G1354" s="41"/>
      <c r="H1354" s="41"/>
      <c r="I1354" s="42"/>
      <c r="J1354" s="41"/>
      <c r="K1354" s="41"/>
      <c r="L1354" s="43"/>
    </row>
    <row r="1355" spans="2:12" hidden="1" outlineLevel="2">
      <c r="B1355" s="35">
        <f t="shared" si="39"/>
        <v>890</v>
      </c>
      <c r="C1355" s="41" t="s">
        <v>69</v>
      </c>
      <c r="D1355" s="41" t="s">
        <v>196</v>
      </c>
      <c r="E1355" s="41"/>
      <c r="F1355" s="41"/>
      <c r="G1355" s="41"/>
      <c r="H1355" s="41"/>
      <c r="I1355" s="42"/>
      <c r="J1355" s="41"/>
      <c r="K1355" s="41"/>
      <c r="L1355" s="43"/>
    </row>
    <row r="1356" spans="2:12" hidden="1" outlineLevel="2">
      <c r="B1356" s="35">
        <f t="shared" si="39"/>
        <v>891</v>
      </c>
      <c r="C1356" s="41" t="s">
        <v>69</v>
      </c>
      <c r="D1356" s="41" t="s">
        <v>196</v>
      </c>
      <c r="E1356" s="41"/>
      <c r="F1356" s="41"/>
      <c r="G1356" s="41"/>
      <c r="H1356" s="41"/>
      <c r="I1356" s="42"/>
      <c r="J1356" s="41"/>
      <c r="K1356" s="41"/>
      <c r="L1356" s="43"/>
    </row>
    <row r="1357" spans="2:12" hidden="1" outlineLevel="2">
      <c r="B1357" s="35">
        <f t="shared" si="39"/>
        <v>892</v>
      </c>
      <c r="C1357" s="41" t="s">
        <v>69</v>
      </c>
      <c r="D1357" s="41" t="s">
        <v>196</v>
      </c>
      <c r="E1357" s="41"/>
      <c r="F1357" s="41"/>
      <c r="G1357" s="41"/>
      <c r="H1357" s="41"/>
      <c r="I1357" s="42"/>
      <c r="J1357" s="41"/>
      <c r="K1357" s="41"/>
      <c r="L1357" s="43"/>
    </row>
    <row r="1358" spans="2:12" hidden="1" outlineLevel="2">
      <c r="B1358" s="35">
        <f t="shared" si="39"/>
        <v>893</v>
      </c>
      <c r="C1358" s="41" t="s">
        <v>69</v>
      </c>
      <c r="D1358" s="41" t="s">
        <v>196</v>
      </c>
      <c r="E1358" s="41"/>
      <c r="F1358" s="41"/>
      <c r="G1358" s="41"/>
      <c r="H1358" s="41"/>
      <c r="I1358" s="42"/>
      <c r="J1358" s="41"/>
      <c r="K1358" s="41"/>
      <c r="L1358" s="43"/>
    </row>
    <row r="1359" spans="2:12" hidden="1" outlineLevel="2">
      <c r="B1359" s="35">
        <f t="shared" si="39"/>
        <v>894</v>
      </c>
      <c r="C1359" s="41" t="s">
        <v>69</v>
      </c>
      <c r="D1359" s="41" t="s">
        <v>196</v>
      </c>
      <c r="E1359" s="41"/>
      <c r="F1359" s="41"/>
      <c r="G1359" s="41"/>
      <c r="H1359" s="41"/>
      <c r="I1359" s="42"/>
      <c r="J1359" s="41"/>
      <c r="K1359" s="41"/>
      <c r="L1359" s="43"/>
    </row>
    <row r="1360" spans="2:12" hidden="1" outlineLevel="2">
      <c r="B1360" s="35">
        <f t="shared" si="39"/>
        <v>895</v>
      </c>
      <c r="C1360" s="41" t="s">
        <v>69</v>
      </c>
      <c r="D1360" s="41" t="s">
        <v>196</v>
      </c>
      <c r="E1360" s="41"/>
      <c r="F1360" s="41"/>
      <c r="G1360" s="41"/>
      <c r="H1360" s="41"/>
      <c r="I1360" s="42"/>
      <c r="J1360" s="41"/>
      <c r="K1360" s="41"/>
      <c r="L1360" s="43"/>
    </row>
    <row r="1361" spans="2:12" hidden="1" outlineLevel="2">
      <c r="B1361" s="35">
        <f t="shared" si="39"/>
        <v>896</v>
      </c>
      <c r="C1361" s="41" t="s">
        <v>69</v>
      </c>
      <c r="D1361" s="41" t="s">
        <v>196</v>
      </c>
      <c r="E1361" s="41"/>
      <c r="F1361" s="41"/>
      <c r="G1361" s="41"/>
      <c r="H1361" s="41"/>
      <c r="I1361" s="42"/>
      <c r="J1361" s="41"/>
      <c r="K1361" s="41"/>
      <c r="L1361" s="43"/>
    </row>
    <row r="1362" spans="2:12" hidden="1" outlineLevel="2">
      <c r="B1362" s="35">
        <f t="shared" si="39"/>
        <v>897</v>
      </c>
      <c r="C1362" s="41" t="s">
        <v>69</v>
      </c>
      <c r="D1362" s="41" t="s">
        <v>196</v>
      </c>
      <c r="E1362" s="41"/>
      <c r="F1362" s="41"/>
      <c r="G1362" s="41"/>
      <c r="H1362" s="41"/>
      <c r="I1362" s="42"/>
      <c r="J1362" s="41"/>
      <c r="K1362" s="41"/>
      <c r="L1362" s="43"/>
    </row>
    <row r="1363" spans="2:12" hidden="1" outlineLevel="2">
      <c r="B1363" s="35">
        <f t="shared" ref="B1363" si="40">(B1362+1)</f>
        <v>898</v>
      </c>
      <c r="C1363" s="41" t="s">
        <v>69</v>
      </c>
      <c r="D1363" s="41" t="s">
        <v>196</v>
      </c>
      <c r="E1363" s="41"/>
      <c r="F1363" s="41"/>
      <c r="G1363" s="41"/>
      <c r="H1363" s="41"/>
      <c r="I1363" s="42"/>
      <c r="J1363" s="41"/>
      <c r="K1363" s="41"/>
      <c r="L1363" s="43"/>
    </row>
    <row r="1364" spans="2:12" hidden="1" outlineLevel="2">
      <c r="B1364" s="35">
        <f t="shared" ref="B1364:B1376" si="41">(B1363+1)</f>
        <v>899</v>
      </c>
      <c r="C1364" s="41" t="s">
        <v>69</v>
      </c>
      <c r="D1364" s="41" t="s">
        <v>196</v>
      </c>
      <c r="E1364" s="41"/>
      <c r="F1364" s="41"/>
      <c r="G1364" s="41"/>
      <c r="H1364" s="41"/>
      <c r="I1364" s="42"/>
      <c r="J1364" s="41"/>
      <c r="K1364" s="41"/>
      <c r="L1364" s="43"/>
    </row>
    <row r="1365" spans="2:12" hidden="1" outlineLevel="2">
      <c r="B1365" s="35">
        <f t="shared" si="41"/>
        <v>900</v>
      </c>
      <c r="C1365" s="41" t="s">
        <v>69</v>
      </c>
      <c r="D1365" s="41" t="s">
        <v>196</v>
      </c>
      <c r="E1365" s="41"/>
      <c r="F1365" s="41"/>
      <c r="G1365" s="41"/>
      <c r="H1365" s="41"/>
      <c r="I1365" s="42"/>
      <c r="J1365" s="41"/>
      <c r="K1365" s="41"/>
      <c r="L1365" s="43"/>
    </row>
    <row r="1366" spans="2:12" hidden="1" outlineLevel="2">
      <c r="B1366" s="35">
        <f t="shared" si="41"/>
        <v>901</v>
      </c>
      <c r="C1366" s="41" t="s">
        <v>69</v>
      </c>
      <c r="D1366" s="41" t="s">
        <v>196</v>
      </c>
      <c r="E1366" s="41"/>
      <c r="F1366" s="41"/>
      <c r="G1366" s="41"/>
      <c r="H1366" s="41"/>
      <c r="I1366" s="42"/>
      <c r="J1366" s="41"/>
      <c r="K1366" s="41"/>
      <c r="L1366" s="43"/>
    </row>
    <row r="1367" spans="2:12" hidden="1" outlineLevel="2">
      <c r="B1367" s="35">
        <f t="shared" si="41"/>
        <v>902</v>
      </c>
      <c r="C1367" s="41" t="s">
        <v>69</v>
      </c>
      <c r="D1367" s="41" t="s">
        <v>196</v>
      </c>
      <c r="E1367" s="41"/>
      <c r="F1367" s="41"/>
      <c r="G1367" s="41"/>
      <c r="H1367" s="41"/>
      <c r="I1367" s="42"/>
      <c r="J1367" s="41"/>
      <c r="K1367" s="41"/>
      <c r="L1367" s="43"/>
    </row>
    <row r="1368" spans="2:12" hidden="1" outlineLevel="2">
      <c r="B1368" s="35">
        <f t="shared" si="41"/>
        <v>903</v>
      </c>
      <c r="C1368" s="41" t="s">
        <v>69</v>
      </c>
      <c r="D1368" s="41" t="s">
        <v>196</v>
      </c>
      <c r="E1368" s="41"/>
      <c r="F1368" s="41"/>
      <c r="G1368" s="41"/>
      <c r="H1368" s="41"/>
      <c r="I1368" s="42"/>
      <c r="J1368" s="41"/>
      <c r="K1368" s="41"/>
      <c r="L1368" s="43"/>
    </row>
    <row r="1369" spans="2:12" hidden="1" outlineLevel="2">
      <c r="B1369" s="35">
        <f t="shared" si="41"/>
        <v>904</v>
      </c>
      <c r="C1369" s="41" t="s">
        <v>69</v>
      </c>
      <c r="D1369" s="41" t="s">
        <v>196</v>
      </c>
      <c r="E1369" s="41"/>
      <c r="F1369" s="41"/>
      <c r="G1369" s="41"/>
      <c r="H1369" s="41"/>
      <c r="I1369" s="42"/>
      <c r="J1369" s="41"/>
      <c r="K1369" s="41"/>
      <c r="L1369" s="43"/>
    </row>
    <row r="1370" spans="2:12" hidden="1" outlineLevel="2">
      <c r="B1370" s="35">
        <f t="shared" si="41"/>
        <v>905</v>
      </c>
      <c r="C1370" s="41" t="s">
        <v>69</v>
      </c>
      <c r="D1370" s="41" t="s">
        <v>196</v>
      </c>
      <c r="E1370" s="41"/>
      <c r="F1370" s="41"/>
      <c r="G1370" s="41"/>
      <c r="H1370" s="41"/>
      <c r="I1370" s="42"/>
      <c r="J1370" s="41"/>
      <c r="K1370" s="41"/>
      <c r="L1370" s="43"/>
    </row>
    <row r="1371" spans="2:12" hidden="1" outlineLevel="2">
      <c r="B1371" s="35">
        <f t="shared" si="41"/>
        <v>906</v>
      </c>
      <c r="C1371" s="41" t="s">
        <v>69</v>
      </c>
      <c r="D1371" s="41" t="s">
        <v>196</v>
      </c>
      <c r="E1371" s="41"/>
      <c r="F1371" s="41"/>
      <c r="G1371" s="41"/>
      <c r="H1371" s="41"/>
      <c r="I1371" s="42"/>
      <c r="J1371" s="41"/>
      <c r="K1371" s="41"/>
      <c r="L1371" s="43"/>
    </row>
    <row r="1372" spans="2:12" hidden="1" outlineLevel="2">
      <c r="B1372" s="35">
        <f t="shared" si="41"/>
        <v>907</v>
      </c>
      <c r="C1372" s="41" t="s">
        <v>69</v>
      </c>
      <c r="D1372" s="41" t="s">
        <v>196</v>
      </c>
      <c r="E1372" s="41"/>
      <c r="F1372" s="41"/>
      <c r="G1372" s="41"/>
      <c r="H1372" s="41"/>
      <c r="I1372" s="42"/>
      <c r="J1372" s="41"/>
      <c r="K1372" s="41"/>
      <c r="L1372" s="43"/>
    </row>
    <row r="1373" spans="2:12" hidden="1" outlineLevel="2">
      <c r="B1373" s="35">
        <f t="shared" si="41"/>
        <v>908</v>
      </c>
      <c r="C1373" s="41" t="s">
        <v>69</v>
      </c>
      <c r="D1373" s="41" t="s">
        <v>196</v>
      </c>
      <c r="E1373" s="41"/>
      <c r="F1373" s="41"/>
      <c r="G1373" s="41"/>
      <c r="H1373" s="41"/>
      <c r="I1373" s="42"/>
      <c r="J1373" s="41"/>
      <c r="K1373" s="41"/>
      <c r="L1373" s="43"/>
    </row>
    <row r="1374" spans="2:12" hidden="1" outlineLevel="2">
      <c r="B1374" s="35">
        <f t="shared" si="41"/>
        <v>909</v>
      </c>
      <c r="C1374" s="41" t="s">
        <v>69</v>
      </c>
      <c r="D1374" s="41" t="s">
        <v>196</v>
      </c>
      <c r="E1374" s="41"/>
      <c r="F1374" s="41"/>
      <c r="G1374" s="41"/>
      <c r="H1374" s="41"/>
      <c r="I1374" s="42"/>
      <c r="J1374" s="41"/>
      <c r="K1374" s="41"/>
      <c r="L1374" s="43"/>
    </row>
    <row r="1375" spans="2:12" hidden="1" outlineLevel="2">
      <c r="B1375" s="35">
        <f t="shared" si="41"/>
        <v>910</v>
      </c>
      <c r="C1375" s="41" t="s">
        <v>69</v>
      </c>
      <c r="D1375" s="41" t="s">
        <v>196</v>
      </c>
      <c r="E1375" s="41"/>
      <c r="F1375" s="41"/>
      <c r="G1375" s="41"/>
      <c r="H1375" s="41"/>
      <c r="I1375" s="42"/>
      <c r="J1375" s="41"/>
      <c r="K1375" s="41"/>
      <c r="L1375" s="43"/>
    </row>
    <row r="1376" spans="2:12" hidden="1" outlineLevel="2">
      <c r="B1376" s="35">
        <f t="shared" si="41"/>
        <v>911</v>
      </c>
      <c r="C1376" s="41" t="s">
        <v>69</v>
      </c>
      <c r="D1376" s="41" t="s">
        <v>196</v>
      </c>
      <c r="E1376" s="41"/>
      <c r="F1376" s="41"/>
      <c r="G1376" s="41"/>
      <c r="H1376" s="41"/>
      <c r="I1376" s="42"/>
      <c r="J1376" s="41"/>
      <c r="K1376" s="41"/>
      <c r="L1376" s="43"/>
    </row>
    <row r="1377" spans="2:12" hidden="1" outlineLevel="2">
      <c r="B1377" s="35">
        <f t="shared" ref="B1377" si="42">(B1376+1)</f>
        <v>912</v>
      </c>
      <c r="C1377" s="41" t="s">
        <v>69</v>
      </c>
      <c r="D1377" s="41" t="s">
        <v>196</v>
      </c>
      <c r="E1377" s="41"/>
      <c r="F1377" s="41"/>
      <c r="G1377" s="41"/>
      <c r="H1377" s="41"/>
      <c r="I1377" s="42"/>
      <c r="J1377" s="41"/>
      <c r="K1377" s="41"/>
      <c r="L1377" s="43"/>
    </row>
    <row r="1378" spans="2:12" outlineLevel="1">
      <c r="B1378" s="64" t="s">
        <v>314</v>
      </c>
      <c r="C1378" s="61">
        <f>SUBTOTAL(3,C1150:C1377)</f>
        <v>228</v>
      </c>
      <c r="D1378" s="41"/>
      <c r="E1378" s="41"/>
      <c r="F1378" s="41"/>
      <c r="G1378" s="41"/>
      <c r="H1378" s="41"/>
      <c r="I1378" s="41"/>
      <c r="J1378" s="41"/>
      <c r="K1378" s="41"/>
      <c r="L1378" s="41"/>
    </row>
    <row r="1379" spans="2:12" ht="15.75" thickBot="1">
      <c r="B1379" s="64" t="s">
        <v>315</v>
      </c>
      <c r="C1379" s="61">
        <f>SUBTOTAL(3,C463:C1377)</f>
        <v>912</v>
      </c>
      <c r="D1379" s="41"/>
      <c r="E1379" s="41"/>
      <c r="F1379" s="41"/>
      <c r="G1379" s="41"/>
      <c r="H1379" s="41"/>
      <c r="I1379" s="41"/>
      <c r="J1379" s="41"/>
      <c r="K1379" s="41"/>
      <c r="L1379" s="41"/>
    </row>
    <row r="1380" spans="2:12" ht="15.75" thickBot="1">
      <c r="B1380" s="320" t="s">
        <v>59</v>
      </c>
      <c r="C1380" s="321"/>
      <c r="D1380" s="321"/>
      <c r="E1380" s="321"/>
      <c r="F1380" s="321"/>
      <c r="G1380" s="321"/>
      <c r="H1380" s="321"/>
      <c r="I1380" s="321"/>
      <c r="J1380" s="321"/>
      <c r="K1380" s="321"/>
      <c r="L1380" s="322"/>
    </row>
    <row r="1381" spans="2:12" ht="15.75" thickBot="1">
      <c r="B1381" s="26" t="s">
        <v>49</v>
      </c>
      <c r="C1381" s="27" t="s">
        <v>60</v>
      </c>
      <c r="D1381" s="27" t="s">
        <v>62</v>
      </c>
      <c r="E1381" s="27" t="s">
        <v>63</v>
      </c>
      <c r="F1381" s="27" t="s">
        <v>64</v>
      </c>
      <c r="G1381" s="27" t="s">
        <v>65</v>
      </c>
      <c r="H1381" s="27" t="s">
        <v>66</v>
      </c>
      <c r="I1381" s="27" t="s">
        <v>67</v>
      </c>
      <c r="J1381" s="27" t="s">
        <v>6</v>
      </c>
      <c r="K1381" s="27" t="s">
        <v>7</v>
      </c>
      <c r="L1381" s="28" t="s">
        <v>68</v>
      </c>
    </row>
    <row r="1382" spans="2:12">
      <c r="B1382" s="46" t="s">
        <v>8</v>
      </c>
      <c r="C1382" s="41">
        <f>COUNTIFS(B463:B1377,"&gt;"&amp;0,C463:C1377,"="&amp;B1382)</f>
        <v>228</v>
      </c>
      <c r="D1382" s="41">
        <f>COUNTIFS(B463:B1377,"&gt;="&amp;1,C463:C1377,B1382,K463:K1377,"&gt;="&amp;0,K463:K1377,"&lt;"&amp;50)</f>
        <v>20</v>
      </c>
      <c r="E1382" s="41">
        <f>COUNTIFS(B463:B1377,"&gt;="&amp;1,C463:C1377,B1382,K463:K1377,"&gt;="&amp;50,K463:K1377,"&lt;"&amp;500)</f>
        <v>0</v>
      </c>
      <c r="F1382" s="41">
        <f>COUNTIFS(B463:B1377,"&gt;="&amp;1,C463:C1377,B1382,K463:K1377,"&gt;="&amp;500)</f>
        <v>0</v>
      </c>
      <c r="G1382" s="41">
        <f>COUNTIFS(B463:B1377,"&gt;="&amp;1,C463:C1377,B1382,K463:K1377,"&gt;="&amp;0,I463:I1377,"&gt;"&amp;DATE(2021,1,1))</f>
        <v>20</v>
      </c>
      <c r="H1382" s="47">
        <f>IF(G1382=0,"-",(SUM(E1382,F1382)/G1382))</f>
        <v>0</v>
      </c>
      <c r="I1382" s="41">
        <f>IF((COUNTIFS(B463:B1377,"&gt;="&amp;1,C463:C1377,"="&amp;B1382))&gt;228,228,(COUNTIFS(B463:B1377,"&gt;="&amp;1,C463:C1377,"="&amp;B1382)))</f>
        <v>228</v>
      </c>
      <c r="J1382" s="47">
        <f>IF(I1382=0,"-",(COUNTIFS(C463:C1377,"="&amp;B1382,I463:I1377,"&lt;="&amp;DATE(2024,12,31),K463:K1377,"&gt;="&amp;0)/I1382))</f>
        <v>8.771929824561403E-2</v>
      </c>
      <c r="K1382" s="47">
        <f>IF(I1382=0,"-",IF(J1382=1,"-",(COUNTIFS(B463:B1377,"&gt;"&amp;0,C463:C1377,"="&amp;B1382,I463:I1377,"&gt;"&amp;DATE(2024,12,31),K463:K1377,"&gt;="&amp;0)/(I1382-COUNTIFS(B463:B1377,"&gt;"&amp;0,C463:C1377,"="&amp;B1382,I463:I1377,"&lt;="&amp;DATE(2024,12,31),K463:K1377,"&gt;="&amp;0)))))</f>
        <v>0</v>
      </c>
      <c r="L1382" s="48">
        <f>IF(I1382=0,"-",G1382/I1382)</f>
        <v>8.771929824561403E-2</v>
      </c>
    </row>
    <row r="1383" spans="2:12">
      <c r="B1383" s="7" t="s">
        <v>9</v>
      </c>
      <c r="C1383" s="1">
        <f>COUNTIFS(B463:B1377,"&gt;"&amp;0,C463:C1377,"="&amp;B1383)</f>
        <v>228</v>
      </c>
      <c r="D1383" s="1">
        <f>COUNTIFS(B463:B1377,"&gt;="&amp;1,C463:C1377,B1383,K463:K1377,"&gt;="&amp;0,K463:K1377,"&lt;"&amp;50)</f>
        <v>84</v>
      </c>
      <c r="E1383" s="1">
        <f>COUNTIFS(B463:B1377,"&gt;="&amp;1,C463:C1377,B1383,K463:K1377,"&gt;="&amp;50,K463:K1377,"&lt;"&amp;500)</f>
        <v>0</v>
      </c>
      <c r="F1383" s="1">
        <f>COUNTIFS(B463:B1377,"&gt;="&amp;1,C463:C1377,B1383,K463:K1377,"&gt;="&amp;500)</f>
        <v>0</v>
      </c>
      <c r="G1383" s="1">
        <f>COUNTIFS(B463:B1377,"&gt;="&amp;1,C463:C1377,B1383,K463:K1377,"&gt;="&amp;0,I463:I1377,"&gt;"&amp;DATE(2021,1,1))</f>
        <v>84</v>
      </c>
      <c r="H1383" s="44">
        <f t="shared" ref="H1383:H1386" si="43">IF(G1383=0,"-",(SUM(E1383,F1383)/G1383))</f>
        <v>0</v>
      </c>
      <c r="I1383" s="1">
        <f>IF((COUNTIFS(B463:B1377,"&gt;="&amp;1,C463:C1377,"="&amp;B1383))&gt;228,228,(COUNTIFS(B463:B1377,"&gt;="&amp;1,C463:C1377,"="&amp;B1383)))</f>
        <v>228</v>
      </c>
      <c r="J1383" s="44">
        <f>IF(I1383=0,"-",(COUNTIFS(C463:C1377,"="&amp;B1383,I463:I1377,"&lt;="&amp;DATE(2024,12,31),K463:K1377,"&gt;="&amp;0)/I1383))</f>
        <v>0.36842105263157893</v>
      </c>
      <c r="K1383" s="47">
        <f>IF(I1383=0,"-",IF(J1383=1,"-",(COUNTIFS(B463:B1377,"&gt;"&amp;0,C463:C1377,"="&amp;B1383,I463:I1377,"&gt;"&amp;DATE(2024,12,31),K463:K1377,"&gt;="&amp;0)/(I1383-COUNTIFS(B463:B1377,"&gt;"&amp;0,C463:C1377,"="&amp;B1383,I463:I1377,"&lt;="&amp;DATE(2024,12,31),K463:K1377,"&gt;="&amp;0)))))</f>
        <v>0</v>
      </c>
      <c r="L1383" s="45">
        <f t="shared" ref="L1383:L1386" si="44">IF(I1383=0,"-",G1383/I1383)</f>
        <v>0.36842105263157893</v>
      </c>
    </row>
    <row r="1384" spans="2:12">
      <c r="B1384" s="7" t="s">
        <v>175</v>
      </c>
      <c r="C1384" s="1">
        <f>COUNTIFS(B463:B1377,"&gt;"&amp;0,C463:C1377,"="&amp;B1384)</f>
        <v>228</v>
      </c>
      <c r="D1384" s="1">
        <f>COUNTIFS(B463:B1377,"&gt;="&amp;1,C463:C1377,B1384,K463:K1377,"&gt;="&amp;0,K463:K1377,"&lt;"&amp;50)</f>
        <v>145</v>
      </c>
      <c r="E1384" s="1">
        <f>COUNTIFS(B463:B1377,"&gt;="&amp;1,C463:C1377,B1384,K463:K1377,"&gt;="&amp;50,K463:K1377,"&lt;"&amp;500)</f>
        <v>6</v>
      </c>
      <c r="F1384" s="1">
        <f>COUNTIFS(B463:B1377,"&gt;="&amp;1,C463:C1377,B1384,K463:K1377,"&gt;="&amp;500)</f>
        <v>0</v>
      </c>
      <c r="G1384" s="1">
        <f>COUNTIFS(B463:B1377,"&gt;="&amp;1,C463:C1377,B1384,K463:K1377,"&gt;="&amp;0,I463:I1377,"&gt;"&amp;DATE(2021,1,1))</f>
        <v>151</v>
      </c>
      <c r="H1384" s="44">
        <f t="shared" si="43"/>
        <v>3.9735099337748346E-2</v>
      </c>
      <c r="I1384" s="1">
        <f>IF((COUNTIFS(B463:B1377,"&gt;="&amp;1,C463:C1377,"="&amp;B1384))&gt;228,228,(COUNTIFS(B463:B1377,"&gt;="&amp;1,C463:C1377,"="&amp;B1384)))</f>
        <v>228</v>
      </c>
      <c r="J1384" s="44">
        <f>IF(I1384=0,"-",(COUNTIFS(C463:C1377,"="&amp;B1384,I463:I1377,"&lt;="&amp;DATE(2024,12,31),K463:K1377,"&gt;="&amp;0)/I1384))</f>
        <v>0.66228070175438591</v>
      </c>
      <c r="K1384" s="47">
        <f>IF(I1384=0,"-",IF(J1384=1,"-",(COUNTIFS(B463:B1377,"&gt;"&amp;0,C463:C1377,"="&amp;B1384,I463:I1377,"&gt;"&amp;DATE(2024,12,31),K463:K1377,"&gt;="&amp;0)/(I1384-COUNTIFS(B463:B1377,"&gt;"&amp;0,C463:C1377,"="&amp;B1384,I463:I1377,"&lt;="&amp;DATE(2024,12,31),K463:K1377,"&gt;="&amp;0)))))</f>
        <v>0</v>
      </c>
      <c r="L1384" s="45">
        <f t="shared" si="44"/>
        <v>0.66228070175438591</v>
      </c>
    </row>
    <row r="1385" spans="2:12">
      <c r="B1385" s="7" t="s">
        <v>69</v>
      </c>
      <c r="C1385" s="1">
        <f>COUNTIFS(B463:B1377,"&gt;"&amp;0,C463:C1377,"="&amp;B1385)</f>
        <v>228</v>
      </c>
      <c r="D1385" s="1">
        <f>COUNTIFS(B463:B1377,"&gt;="&amp;1,C463:C1377,B1385,K463:K1377,"&gt;="&amp;0,K463:K1377,"&lt;"&amp;50)</f>
        <v>29</v>
      </c>
      <c r="E1385" s="1">
        <f>COUNTIFS(B463:B1377,"&gt;="&amp;1,C463:C1377,B1385,K463:K1377,"&gt;="&amp;50,K463:K1377,"&lt;"&amp;500)</f>
        <v>0</v>
      </c>
      <c r="F1385" s="1">
        <f>COUNTIFS(B463:B1377,"&gt;="&amp;1,C463:C1377,B1385,K463:K1377,"&gt;="&amp;500)</f>
        <v>0</v>
      </c>
      <c r="G1385" s="1">
        <f>COUNTIFS(B463:B1377,"&gt;="&amp;1,C463:C1377,B1385,K463:K1377,"&gt;="&amp;0,I463:I1377,"&gt;"&amp;DATE(2021,1,1))</f>
        <v>29</v>
      </c>
      <c r="H1385" s="44">
        <f t="shared" si="43"/>
        <v>0</v>
      </c>
      <c r="I1385" s="1">
        <f>IF((COUNTIFS(B463:B1377,"&gt;="&amp;1,C463:C1377,"="&amp;B1385))&gt;228,228,(COUNTIFS(B463:B1377,"&gt;="&amp;1,C463:C1377,"="&amp;B1385)))</f>
        <v>228</v>
      </c>
      <c r="J1385" s="44">
        <f>IF(I1385=0,"-",(COUNTIFS(C463:C1377,"="&amp;B1385,I463:I1377,"&lt;="&amp;DATE(2024,12,31),K463:K1377,"&gt;="&amp;0)/I1385))</f>
        <v>0.12719298245614036</v>
      </c>
      <c r="K1385" s="47">
        <f>IF(I1385=0,"-",IF(J1385=1,"-",(COUNTIFS(B463:B1377,"&gt;"&amp;0,C463:C1377,"="&amp;B1385,I463:I1377,"&gt;"&amp;DATE(2024,12,31),K463:K1377,"&gt;="&amp;0)/(I1385-COUNTIFS(B463:B1377,"&gt;"&amp;0,C463:C1377,"="&amp;B1385,I463:I1377,"&lt;="&amp;DATE(2024,12,31),K463:K1377,"&gt;="&amp;0)))))</f>
        <v>0</v>
      </c>
      <c r="L1385" s="45">
        <f t="shared" si="44"/>
        <v>0.12719298245614036</v>
      </c>
    </row>
    <row r="1386" spans="2:12" ht="15.75" thickBot="1">
      <c r="B1386" s="49" t="s">
        <v>59</v>
      </c>
      <c r="C1386" s="50">
        <f>SUM(C1382:C1385)</f>
        <v>912</v>
      </c>
      <c r="D1386" s="50">
        <f>SUM(D1382:D1385)</f>
        <v>278</v>
      </c>
      <c r="E1386" s="50">
        <f>SUM(E1382:E1385)</f>
        <v>6</v>
      </c>
      <c r="F1386" s="50">
        <f>SUM(F1382:F1385)</f>
        <v>0</v>
      </c>
      <c r="G1386" s="50">
        <f>SUM(G1382:G1385)</f>
        <v>284</v>
      </c>
      <c r="H1386" s="51">
        <f t="shared" si="43"/>
        <v>2.1126760563380281E-2</v>
      </c>
      <c r="I1386" s="50">
        <f>SUM(I1382:I1385)</f>
        <v>912</v>
      </c>
      <c r="J1386" s="51">
        <f>IF(I1386=0,"-",(COUNTIFS(I463:I1377,"&lt;="&amp;DATE(2024,12,31),K463:K1377,"&gt;="&amp;0)/I1386))</f>
        <v>0.31140350877192985</v>
      </c>
      <c r="K1386" s="51">
        <f>IF(I1386=0,"-",IF(J1386=1,"-",(COUNTIFS(B463:B1377,"&gt;"&amp;0,I463:I1377,"&gt;"&amp;DATE(2024,12,31),K463:K1377,"&gt;="&amp;0)/(I1386-COUNTIFS(B463:B1377,"&gt;"&amp;0,I463:I1377,"&lt;="&amp;DATE(2024,12,31),K463:K1377,"&gt;="&amp;0)))))</f>
        <v>0</v>
      </c>
      <c r="L1386" s="52">
        <f t="shared" si="44"/>
        <v>0.31140350877192985</v>
      </c>
    </row>
  </sheetData>
  <mergeCells count="13">
    <mergeCell ref="B461:L461"/>
    <mergeCell ref="B1380:L1380"/>
    <mergeCell ref="B81:L81"/>
    <mergeCell ref="B89:L89"/>
    <mergeCell ref="B343:L343"/>
    <mergeCell ref="B351:L351"/>
    <mergeCell ref="B453:L453"/>
    <mergeCell ref="B57:L57"/>
    <mergeCell ref="B1:L2"/>
    <mergeCell ref="B4:L4"/>
    <mergeCell ref="B9:L9"/>
    <mergeCell ref="B17:L17"/>
    <mergeCell ref="B49:L49"/>
  </mergeCells>
  <dataValidations count="3">
    <dataValidation type="list" allowBlank="1" showInputMessage="1" showErrorMessage="1" error="Dado Inserido errado" promptTitle="Selecionar a Sub-Família" sqref="C6:D7 C353:C451 C19:C47 C59:C79 C91:C341" xr:uid="{B6DE7AF5-3759-4443-A475-B24585BA843F}">
      <formula1>$B$11:$B$13</formula1>
    </dataValidation>
    <dataValidation type="list" allowBlank="1" showInputMessage="1" showErrorMessage="1" promptTitle="Selecionar a Sub-Família" sqref="C8:D8 C452 C342 C80 C48" xr:uid="{615E32A7-546D-42AC-89CF-293348CCFC1B}">
      <formula1>"Até 1988, Após 1988, Sem Info"</formula1>
    </dataValidation>
    <dataValidation type="list" allowBlank="1" showInputMessage="1" showErrorMessage="1" sqref="C463:C690 C1150:C1377 C921:C1148 C692:C919" xr:uid="{87D1911F-3612-4D6A-A018-78BD3D8ADB36}">
      <formula1>$B$1382:$B$1385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76C9-88F4-4099-A385-BA4E2BAEC4BF}">
  <dimension ref="B1:L1386"/>
  <sheetViews>
    <sheetView showGridLines="0" topLeftCell="A461" workbookViewId="0">
      <pane ySplit="2" topLeftCell="A463" activePane="bottomLeft" state="frozen"/>
      <selection pane="bottomLeft" activeCell="K597" sqref="K597:K629"/>
    </sheetView>
  </sheetViews>
  <sheetFormatPr defaultRowHeight="15" outlineLevelRow="2"/>
  <cols>
    <col min="2" max="2" width="12.7109375" bestFit="1" customWidth="1"/>
    <col min="3" max="3" width="12.140625" customWidth="1"/>
    <col min="4" max="5" width="18.42578125" bestFit="1" customWidth="1"/>
    <col min="6" max="6" width="17.5703125" customWidth="1"/>
    <col min="7" max="7" width="17.7109375" bestFit="1" customWidth="1"/>
    <col min="8" max="8" width="7.7109375" customWidth="1"/>
    <col min="9" max="9" width="17" bestFit="1" customWidth="1"/>
    <col min="10" max="10" width="6" customWidth="1"/>
    <col min="11" max="11" width="11.85546875" bestFit="1" customWidth="1"/>
    <col min="12" max="12" width="19.5703125" bestFit="1" customWidth="1"/>
    <col min="13" max="13" width="17.28515625" bestFit="1" customWidth="1"/>
  </cols>
  <sheetData>
    <row r="1" spans="2:12">
      <c r="B1" s="310" t="s">
        <v>47</v>
      </c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2:12" ht="19.5" customHeight="1" thickBot="1">
      <c r="B2" s="347"/>
      <c r="C2" s="348"/>
      <c r="D2" s="348"/>
      <c r="E2" s="348"/>
      <c r="F2" s="348"/>
      <c r="G2" s="348"/>
      <c r="H2" s="348"/>
      <c r="I2" s="348"/>
      <c r="J2" s="348"/>
      <c r="K2" s="348"/>
      <c r="L2" s="349"/>
    </row>
    <row r="3" spans="2:12" ht="19.5" customHeight="1" thickBot="1"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ht="32.25" customHeight="1" thickBot="1">
      <c r="B4" s="320" t="str">
        <f>_xlfn.CONCAT("Transformadores de Rede Subterrânea",TEXT(IF(SUM(I11:I13)=0," ",(SUM(G11:G13)/SUM(I11:I13))), " 0,00%"))</f>
        <v xml:space="preserve">Transformadores de Rede Subterrânea </v>
      </c>
      <c r="C4" s="321"/>
      <c r="D4" s="321"/>
      <c r="E4" s="321"/>
      <c r="F4" s="321"/>
      <c r="G4" s="321"/>
      <c r="H4" s="321"/>
      <c r="I4" s="321"/>
      <c r="J4" s="321"/>
      <c r="K4" s="321"/>
      <c r="L4" s="322"/>
    </row>
    <row r="5" spans="2:12" ht="24" hidden="1" customHeight="1" outlineLevel="1" thickBot="1">
      <c r="B5" s="26" t="s">
        <v>48</v>
      </c>
      <c r="C5" s="27" t="s">
        <v>49</v>
      </c>
      <c r="D5" s="27" t="s">
        <v>50</v>
      </c>
      <c r="E5" s="27" t="s">
        <v>51</v>
      </c>
      <c r="F5" s="27" t="s">
        <v>52</v>
      </c>
      <c r="G5" s="27" t="s">
        <v>53</v>
      </c>
      <c r="H5" s="27" t="s">
        <v>54</v>
      </c>
      <c r="I5" s="27" t="s">
        <v>55</v>
      </c>
      <c r="J5" s="27" t="s">
        <v>56</v>
      </c>
      <c r="K5" s="27" t="s">
        <v>57</v>
      </c>
      <c r="L5" s="28" t="s">
        <v>58</v>
      </c>
    </row>
    <row r="6" spans="2:12" ht="15.75" hidden="1" outlineLevel="1" thickBot="1">
      <c r="B6" s="40" t="str">
        <f>IF(C6="","",ROW($A$1))</f>
        <v/>
      </c>
      <c r="C6" s="41"/>
      <c r="D6" s="41"/>
      <c r="E6" s="41"/>
      <c r="F6" s="41"/>
      <c r="G6" s="41"/>
      <c r="H6" s="41"/>
      <c r="I6" s="42"/>
      <c r="J6" s="41"/>
      <c r="K6" s="41"/>
      <c r="L6" s="43"/>
    </row>
    <row r="7" spans="2:12" ht="15.75" hidden="1" outlineLevel="1" thickBot="1">
      <c r="B7" s="35" t="str">
        <f>IF(B6="","",(B6+1))</f>
        <v/>
      </c>
      <c r="C7" s="1"/>
      <c r="D7" s="1"/>
      <c r="E7" s="1"/>
      <c r="F7" s="1"/>
      <c r="G7" s="1"/>
      <c r="H7" s="1"/>
      <c r="I7" s="36"/>
      <c r="J7" s="1"/>
      <c r="K7" s="1"/>
      <c r="L7" s="2"/>
    </row>
    <row r="8" spans="2:12" ht="15.75" hidden="1" outlineLevel="1" thickBot="1">
      <c r="B8" s="37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2:12" ht="26.25" customHeight="1" collapsed="1" thickBot="1">
      <c r="B9" s="320" t="s">
        <v>59</v>
      </c>
      <c r="C9" s="321"/>
      <c r="D9" s="321"/>
      <c r="E9" s="321"/>
      <c r="F9" s="321"/>
      <c r="G9" s="321"/>
      <c r="H9" s="321"/>
      <c r="I9" s="321"/>
      <c r="J9" s="321"/>
      <c r="K9" s="321"/>
      <c r="L9" s="322"/>
    </row>
    <row r="10" spans="2:12" ht="24" customHeight="1" thickBot="1">
      <c r="B10" s="26" t="s">
        <v>49</v>
      </c>
      <c r="C10" s="27" t="s">
        <v>60</v>
      </c>
      <c r="D10" s="27" t="s">
        <v>62</v>
      </c>
      <c r="E10" s="27" t="s">
        <v>63</v>
      </c>
      <c r="F10" s="27" t="s">
        <v>64</v>
      </c>
      <c r="G10" s="27" t="s">
        <v>65</v>
      </c>
      <c r="H10" s="27" t="s">
        <v>66</v>
      </c>
      <c r="I10" s="27" t="s">
        <v>67</v>
      </c>
      <c r="J10" s="27" t="s">
        <v>6</v>
      </c>
      <c r="K10" s="27" t="s">
        <v>7</v>
      </c>
      <c r="L10" s="28" t="s">
        <v>68</v>
      </c>
    </row>
    <row r="11" spans="2:12">
      <c r="B11" s="46" t="s">
        <v>8</v>
      </c>
      <c r="C11" s="41">
        <f>COUNTIFS(B6:B8,"&gt;"&amp;0,C6:C8,"="&amp;B11)</f>
        <v>0</v>
      </c>
      <c r="D11" s="41">
        <f>COUNTIFS(B6:B8,"&gt;="&amp;1,C6:C8,B11,K6:K8,"&gt;="&amp;0,K6:K8,"&lt;"&amp;50)</f>
        <v>0</v>
      </c>
      <c r="E11" s="41">
        <f>COUNTIFS(B6:B8,"&gt;="&amp;1,C6:C8,B11,K6:K8,"&gt;="&amp;50,K6:K8,"&lt;"&amp;500)</f>
        <v>0</v>
      </c>
      <c r="F11" s="41">
        <f>COUNTIFS(B6:B8,"&gt;="&amp;1,C6:C8,B11,K6:K8,"&gt;="&amp;500)</f>
        <v>0</v>
      </c>
      <c r="G11" s="41">
        <f>COUNTIFS(B6:B8,"&gt;="&amp;1,C6:C8,B11,K6:K8,"&gt;="&amp;0,I6:I8,"&gt;"&amp;DATE(2021,1,1))</f>
        <v>0</v>
      </c>
      <c r="H11" s="47" t="str">
        <f>IF(G11=0,"-",(SUM(E11,F11)/G11))</f>
        <v>-</v>
      </c>
      <c r="I11" s="41">
        <f>IF((COUNTIFS(B6:B8,"&gt;="&amp;1,C6:C8,"="&amp;B11))&gt;228,228,(COUNTIFS(B6:B8,"&gt;="&amp;1,C6:C8,"="&amp;B11)))</f>
        <v>0</v>
      </c>
      <c r="J11" s="47" t="str">
        <f>IF(I11=0,"-",(COUNTIFS(C6:C8,"="&amp;B11,I6:I8,"&lt;="&amp;DATE(2024,12,31),K6:K8,"&gt;="&amp;0)/I11))</f>
        <v>-</v>
      </c>
      <c r="K11" s="47" t="str">
        <f>IF(I11=0,"-",IF(J11=1,"-",(COUNTIFS(B6:B8,"&gt;"&amp;0,C6:C8,"="&amp;B11,I6:I8,"&gt;"&amp;DATE(2024,12,31),K6:K8,"&gt;="&amp;0)/(I11-COUNTIFS(B6:B8,"&gt;"&amp;0,C6:C8,"="&amp;B11,I6:I8,"&lt;="&amp;DATE(2024,12,31),K6:K8,"&gt;="&amp;0)))))</f>
        <v>-</v>
      </c>
      <c r="L11" s="48" t="str">
        <f>IF(I11=0,"-",G11/I11)</f>
        <v>-</v>
      </c>
    </row>
    <row r="12" spans="2:12">
      <c r="B12" s="7" t="s">
        <v>9</v>
      </c>
      <c r="C12" s="1">
        <f>COUNTIFS(B6:B8,"&gt;"&amp;0,C6:C8,"="&amp;B12)</f>
        <v>0</v>
      </c>
      <c r="D12" s="1">
        <f>COUNTIFS(B6:B8,"&gt;="&amp;1,C6:C8,B12,K6:K8,"&gt;="&amp;0,K6:K8,"&lt;"&amp;50)</f>
        <v>0</v>
      </c>
      <c r="E12" s="1">
        <f>COUNTIFS(B6:B8,"&gt;="&amp;1,C6:C8,B12,K6:K8,"&gt;="&amp;50,K6:K8,"&lt;"&amp;500)</f>
        <v>0</v>
      </c>
      <c r="F12" s="1">
        <f>COUNTIFS(B6:B8,"&gt;="&amp;1,C6:C8,B12,K6:K8,"&gt;="&amp;500)</f>
        <v>0</v>
      </c>
      <c r="G12" s="1">
        <f>COUNTIFS(B6:B8,"&gt;="&amp;1,C6:C8,B12,K6:K8,"&gt;="&amp;0,I6:I8,"&gt;"&amp;DATE(2021,1,1))</f>
        <v>0</v>
      </c>
      <c r="H12" s="44" t="str">
        <f t="shared" ref="H12:H14" si="0">IF(G12=0,"-",(SUM(E12,F12)/G12))</f>
        <v>-</v>
      </c>
      <c r="I12" s="1">
        <f>IF((COUNTIFS(B6:B8,"&gt;="&amp;1,C6:C8,"="&amp;B12))&gt;228,228,(COUNTIFS(B6:B8,"&gt;="&amp;1,C6:C8,"="&amp;B12)))</f>
        <v>0</v>
      </c>
      <c r="J12" s="44" t="str">
        <f>IF(I12=0,"-",(COUNTIFS(C6:C8,"="&amp;B12,I6:I8,"&lt;="&amp;DATE(2024,12,31),K6:K8,"&gt;="&amp;0)/I12))</f>
        <v>-</v>
      </c>
      <c r="K12" s="47" t="str">
        <f>IF(I12=0,"-",IF(J12=1,"-",(COUNTIFS(B6:B8,"&gt;"&amp;0,C6:C8,"="&amp;B12,I6:I8,"&gt;"&amp;DATE(2024,12,31),K6:K8,"&gt;="&amp;0)/(I12-COUNTIFS(B6:B8,"&gt;"&amp;0,C6:C8,"="&amp;B12,I6:I8,"&lt;="&amp;DATE(2024,12,31),K6:K8,"&gt;="&amp;0)))))</f>
        <v>-</v>
      </c>
      <c r="L12" s="45" t="str">
        <f t="shared" ref="L12:L14" si="1">IF(I12=0,"-",G12/I12)</f>
        <v>-</v>
      </c>
    </row>
    <row r="13" spans="2:12">
      <c r="B13" s="7" t="s">
        <v>69</v>
      </c>
      <c r="C13" s="1">
        <f>COUNTIFS(B6:B8,"&gt;"&amp;0,C6:C8,"="&amp;B13)</f>
        <v>0</v>
      </c>
      <c r="D13" s="1">
        <f>COUNTIFS(B6:B8,"&gt;="&amp;1,C6:C8,B13,K6:K8,"&gt;="&amp;0,K6:K8,"&lt;"&amp;50)</f>
        <v>0</v>
      </c>
      <c r="E13" s="1">
        <f>COUNTIFS(B6:B8,"&gt;="&amp;1,C6:C8,B13,K6:K8,"&gt;="&amp;50,K6:K8,"&lt;"&amp;500)</f>
        <v>0</v>
      </c>
      <c r="F13" s="1">
        <f>COUNTIFS(B6:B7,"&gt;="&amp;1,C6:C7,B13,K6:K7,"&gt;="&amp;500)</f>
        <v>0</v>
      </c>
      <c r="G13" s="1">
        <f>COUNTIFS(B6:B8,"&gt;="&amp;1,C6:C8,B13,K6:K8,"&gt;="&amp;0,I6:I8,"&gt;"&amp;DATE(2021,1,1))</f>
        <v>0</v>
      </c>
      <c r="H13" s="44" t="str">
        <f t="shared" si="0"/>
        <v>-</v>
      </c>
      <c r="I13" s="1">
        <f>IF((COUNTIFS(B6:B7,"&gt;="&amp;1,C6:C7,"="&amp;B13))&gt;228,228,(COUNTIFS(B6:B7,"&gt;="&amp;1,C6:C7,"="&amp;B13)))</f>
        <v>0</v>
      </c>
      <c r="J13" s="44" t="str">
        <f>IF(I13=0,"-",(COUNTIFS(C6:C8,"="&amp;B13,I6:I8,"&lt;="&amp;DATE(2024,12,31),K6:K8,"&gt;="&amp;0)/I13))</f>
        <v>-</v>
      </c>
      <c r="K13" s="47" t="str">
        <f>IF(I13=0,"-",IF(J13=1,"-",(COUNTIFS(B6:B8,"&gt;"&amp;0,C6:C8,"="&amp;B13,I6:I8,"&gt;"&amp;DATE(2024,12,31),K6:K8,"&gt;="&amp;0)/(I13-COUNTIFS(B6:B8,"&gt;"&amp;0,C6:C8,"="&amp;B13,I6:I8,"&lt;="&amp;DATE(2024,12,31),K6:K8,"&gt;="&amp;0)))))</f>
        <v>-</v>
      </c>
      <c r="L13" s="45" t="str">
        <f t="shared" si="1"/>
        <v>-</v>
      </c>
    </row>
    <row r="14" spans="2:12" ht="23.25" customHeight="1" thickBot="1">
      <c r="B14" s="49" t="s">
        <v>59</v>
      </c>
      <c r="C14" s="50">
        <f>SUM(C11:C13)</f>
        <v>0</v>
      </c>
      <c r="D14" s="50">
        <f>SUM(D11:D13)</f>
        <v>0</v>
      </c>
      <c r="E14" s="50">
        <f>SUM(E11:E13)</f>
        <v>0</v>
      </c>
      <c r="F14" s="50">
        <f>SUM(F11:F13)</f>
        <v>0</v>
      </c>
      <c r="G14" s="50">
        <f>SUM(G11:G13)</f>
        <v>0</v>
      </c>
      <c r="H14" s="51" t="str">
        <f t="shared" si="0"/>
        <v>-</v>
      </c>
      <c r="I14" s="50">
        <f>SUM(I11:I13)</f>
        <v>0</v>
      </c>
      <c r="J14" s="51" t="str">
        <f>IF(I14=0,"-",(COUNTIFS(I6:I8,"&lt;="&amp;DATE(2024,12,31),K6:K8,"&gt;="&amp;0)/I14))</f>
        <v>-</v>
      </c>
      <c r="K14" s="51" t="str">
        <f>IF(I14=0,"-",IF(J14=1,"-",(COUNTIFS(B6:B8,"&gt;"&amp;0,I6:I8,"&gt;"&amp;DATE(2024,12,31),K6:K8,"&gt;="&amp;0)/(I14-COUNTIFS(B6:B8,"&gt;"&amp;0,I6:I8,"&lt;="&amp;DATE(2024,12,31),K6:K8,"&gt;="&amp;0)))))</f>
        <v>-</v>
      </c>
      <c r="L14" s="52" t="str">
        <f t="shared" si="1"/>
        <v>-</v>
      </c>
    </row>
    <row r="16" spans="2:12" ht="15.75" thickBot="1"/>
    <row r="17" spans="2:12" ht="32.25" customHeight="1" thickBot="1">
      <c r="B17" s="320" t="str">
        <f>_xlfn.CONCAT("Disjuntores com extinção de arco OMI (PVO e GVO)",TEXT(IF(SUM(I51:I53)=0," ",(SUM(G51:G53)/SUM(I51:I53))), " 0,00%"))</f>
        <v xml:space="preserve">Disjuntores com extinção de arco OMI (PVO e GVO) </v>
      </c>
      <c r="C17" s="321"/>
      <c r="D17" s="321"/>
      <c r="E17" s="321"/>
      <c r="F17" s="321"/>
      <c r="G17" s="321"/>
      <c r="H17" s="321"/>
      <c r="I17" s="321"/>
      <c r="J17" s="321"/>
      <c r="K17" s="321"/>
      <c r="L17" s="322"/>
    </row>
    <row r="18" spans="2:12" ht="24" hidden="1" customHeight="1" outlineLevel="1" thickBot="1">
      <c r="B18" s="26" t="s">
        <v>48</v>
      </c>
      <c r="C18" s="27" t="s">
        <v>49</v>
      </c>
      <c r="D18" s="27" t="s">
        <v>50</v>
      </c>
      <c r="E18" s="27" t="s">
        <v>51</v>
      </c>
      <c r="F18" s="27" t="s">
        <v>52</v>
      </c>
      <c r="G18" s="27" t="s">
        <v>53</v>
      </c>
      <c r="H18" s="27" t="s">
        <v>54</v>
      </c>
      <c r="I18" s="27" t="s">
        <v>55</v>
      </c>
      <c r="J18" s="27" t="s">
        <v>56</v>
      </c>
      <c r="K18" s="27" t="s">
        <v>57</v>
      </c>
      <c r="L18" s="28" t="s">
        <v>58</v>
      </c>
    </row>
    <row r="19" spans="2:12" hidden="1" outlineLevel="1">
      <c r="B19" s="46" t="str">
        <f>IF(C19="","",ROW($A$1))</f>
        <v/>
      </c>
      <c r="C19" s="41"/>
      <c r="D19" s="41"/>
      <c r="E19" s="41"/>
      <c r="F19" s="41"/>
      <c r="G19" s="41"/>
      <c r="H19" s="41"/>
      <c r="I19" s="42"/>
      <c r="J19" s="41"/>
      <c r="K19" s="41"/>
      <c r="L19" s="43"/>
    </row>
    <row r="20" spans="2:12" hidden="1" outlineLevel="1">
      <c r="B20" s="46" t="str">
        <f>IF(C20="","",B19+1)</f>
        <v/>
      </c>
      <c r="C20" s="41"/>
      <c r="D20" s="41"/>
      <c r="E20" s="41"/>
      <c r="F20" s="41"/>
      <c r="G20" s="41"/>
      <c r="H20" s="41"/>
      <c r="I20" s="42"/>
      <c r="J20" s="41"/>
      <c r="K20" s="41"/>
      <c r="L20" s="43"/>
    </row>
    <row r="21" spans="2:12" hidden="1" outlineLevel="1">
      <c r="B21" s="46" t="str">
        <f t="shared" ref="B21:B48" si="2">IF(C21="","",B20+1)</f>
        <v/>
      </c>
      <c r="C21" s="41"/>
      <c r="D21" s="41"/>
      <c r="E21" s="41"/>
      <c r="F21" s="41"/>
      <c r="G21" s="41"/>
      <c r="H21" s="41"/>
      <c r="I21" s="42"/>
      <c r="J21" s="41"/>
      <c r="K21" s="41"/>
      <c r="L21" s="43"/>
    </row>
    <row r="22" spans="2:12" hidden="1" outlineLevel="1">
      <c r="B22" s="46" t="str">
        <f t="shared" si="2"/>
        <v/>
      </c>
      <c r="C22" s="41"/>
      <c r="D22" s="41"/>
      <c r="E22" s="41"/>
      <c r="F22" s="41"/>
      <c r="G22" s="41"/>
      <c r="H22" s="41"/>
      <c r="I22" s="42"/>
      <c r="J22" s="41"/>
      <c r="K22" s="41"/>
      <c r="L22" s="43"/>
    </row>
    <row r="23" spans="2:12" hidden="1" outlineLevel="1">
      <c r="B23" s="46" t="str">
        <f t="shared" si="2"/>
        <v/>
      </c>
      <c r="C23" s="41"/>
      <c r="D23" s="41"/>
      <c r="E23" s="41"/>
      <c r="F23" s="41"/>
      <c r="G23" s="41"/>
      <c r="H23" s="41"/>
      <c r="I23" s="42"/>
      <c r="J23" s="41"/>
      <c r="K23" s="41"/>
      <c r="L23" s="43"/>
    </row>
    <row r="24" spans="2:12" hidden="1" outlineLevel="1">
      <c r="B24" s="46" t="str">
        <f t="shared" si="2"/>
        <v/>
      </c>
      <c r="C24" s="41"/>
      <c r="D24" s="41"/>
      <c r="E24" s="41"/>
      <c r="F24" s="41"/>
      <c r="G24" s="41"/>
      <c r="H24" s="41"/>
      <c r="I24" s="42"/>
      <c r="J24" s="41"/>
      <c r="K24" s="41"/>
      <c r="L24" s="43"/>
    </row>
    <row r="25" spans="2:12" hidden="1" outlineLevel="1">
      <c r="B25" s="46" t="str">
        <f t="shared" si="2"/>
        <v/>
      </c>
      <c r="C25" s="41"/>
      <c r="D25" s="41"/>
      <c r="E25" s="41"/>
      <c r="F25" s="41"/>
      <c r="G25" s="41"/>
      <c r="H25" s="41"/>
      <c r="I25" s="42"/>
      <c r="J25" s="41"/>
      <c r="K25" s="41"/>
      <c r="L25" s="43"/>
    </row>
    <row r="26" spans="2:12" hidden="1" outlineLevel="1">
      <c r="B26" s="46" t="str">
        <f t="shared" si="2"/>
        <v/>
      </c>
      <c r="C26" s="41"/>
      <c r="D26" s="41"/>
      <c r="E26" s="41"/>
      <c r="F26" s="41"/>
      <c r="G26" s="41"/>
      <c r="H26" s="41"/>
      <c r="I26" s="42"/>
      <c r="J26" s="41"/>
      <c r="K26" s="41"/>
      <c r="L26" s="43"/>
    </row>
    <row r="27" spans="2:12" hidden="1" outlineLevel="1">
      <c r="B27" s="46" t="str">
        <f t="shared" si="2"/>
        <v/>
      </c>
      <c r="C27" s="41"/>
      <c r="D27" s="41"/>
      <c r="E27" s="41"/>
      <c r="F27" s="41"/>
      <c r="G27" s="41"/>
      <c r="H27" s="41"/>
      <c r="I27" s="42"/>
      <c r="J27" s="41"/>
      <c r="K27" s="41"/>
      <c r="L27" s="43"/>
    </row>
    <row r="28" spans="2:12" hidden="1" outlineLevel="1">
      <c r="B28" s="46" t="str">
        <f t="shared" si="2"/>
        <v/>
      </c>
      <c r="C28" s="41"/>
      <c r="D28" s="41"/>
      <c r="E28" s="41"/>
      <c r="F28" s="41"/>
      <c r="G28" s="41"/>
      <c r="H28" s="41"/>
      <c r="I28" s="42"/>
      <c r="J28" s="41"/>
      <c r="K28" s="41"/>
      <c r="L28" s="43"/>
    </row>
    <row r="29" spans="2:12" hidden="1" outlineLevel="1">
      <c r="B29" s="46" t="str">
        <f t="shared" si="2"/>
        <v/>
      </c>
      <c r="C29" s="41"/>
      <c r="D29" s="41"/>
      <c r="E29" s="41"/>
      <c r="F29" s="41"/>
      <c r="G29" s="41"/>
      <c r="H29" s="41"/>
      <c r="I29" s="42"/>
      <c r="J29" s="41"/>
      <c r="K29" s="41"/>
      <c r="L29" s="43"/>
    </row>
    <row r="30" spans="2:12" hidden="1" outlineLevel="1">
      <c r="B30" s="46" t="str">
        <f t="shared" si="2"/>
        <v/>
      </c>
      <c r="C30" s="41"/>
      <c r="D30" s="41"/>
      <c r="E30" s="41"/>
      <c r="F30" s="41"/>
      <c r="G30" s="41"/>
      <c r="H30" s="41"/>
      <c r="I30" s="42"/>
      <c r="J30" s="41"/>
      <c r="K30" s="41"/>
      <c r="L30" s="43"/>
    </row>
    <row r="31" spans="2:12" hidden="1" outlineLevel="1">
      <c r="B31" s="46" t="str">
        <f t="shared" si="2"/>
        <v/>
      </c>
      <c r="C31" s="41"/>
      <c r="D31" s="41"/>
      <c r="E31" s="41"/>
      <c r="F31" s="41"/>
      <c r="G31" s="41"/>
      <c r="H31" s="41"/>
      <c r="I31" s="42"/>
      <c r="J31" s="41"/>
      <c r="K31" s="41"/>
      <c r="L31" s="43"/>
    </row>
    <row r="32" spans="2:12" hidden="1" outlineLevel="1">
      <c r="B32" s="46" t="str">
        <f t="shared" si="2"/>
        <v/>
      </c>
      <c r="C32" s="41"/>
      <c r="D32" s="41"/>
      <c r="E32" s="41"/>
      <c r="F32" s="41"/>
      <c r="G32" s="41"/>
      <c r="H32" s="41"/>
      <c r="I32" s="42"/>
      <c r="J32" s="41"/>
      <c r="K32" s="41"/>
      <c r="L32" s="43"/>
    </row>
    <row r="33" spans="2:12" hidden="1" outlineLevel="1">
      <c r="B33" s="46" t="str">
        <f t="shared" si="2"/>
        <v/>
      </c>
      <c r="C33" s="41"/>
      <c r="D33" s="41"/>
      <c r="E33" s="41"/>
      <c r="F33" s="41"/>
      <c r="G33" s="41"/>
      <c r="H33" s="41"/>
      <c r="I33" s="42"/>
      <c r="J33" s="41"/>
      <c r="K33" s="41"/>
      <c r="L33" s="43"/>
    </row>
    <row r="34" spans="2:12" hidden="1" outlineLevel="1">
      <c r="B34" s="46" t="str">
        <f t="shared" si="2"/>
        <v/>
      </c>
      <c r="C34" s="41"/>
      <c r="D34" s="41"/>
      <c r="E34" s="41"/>
      <c r="F34" s="41"/>
      <c r="G34" s="41"/>
      <c r="H34" s="41"/>
      <c r="I34" s="42"/>
      <c r="J34" s="41"/>
      <c r="K34" s="41"/>
      <c r="L34" s="43"/>
    </row>
    <row r="35" spans="2:12" hidden="1" outlineLevel="1">
      <c r="B35" s="46" t="str">
        <f t="shared" si="2"/>
        <v/>
      </c>
      <c r="C35" s="41"/>
      <c r="D35" s="41"/>
      <c r="E35" s="41"/>
      <c r="F35" s="41"/>
      <c r="G35" s="41"/>
      <c r="H35" s="41"/>
      <c r="I35" s="42"/>
      <c r="J35" s="41"/>
      <c r="K35" s="41"/>
      <c r="L35" s="43"/>
    </row>
    <row r="36" spans="2:12" hidden="1" outlineLevel="1">
      <c r="B36" s="46" t="str">
        <f t="shared" si="2"/>
        <v/>
      </c>
      <c r="C36" s="41"/>
      <c r="D36" s="41"/>
      <c r="E36" s="41"/>
      <c r="F36" s="41"/>
      <c r="G36" s="41"/>
      <c r="H36" s="41"/>
      <c r="I36" s="42"/>
      <c r="J36" s="41"/>
      <c r="K36" s="41"/>
      <c r="L36" s="43"/>
    </row>
    <row r="37" spans="2:12" hidden="1" outlineLevel="1">
      <c r="B37" s="46" t="str">
        <f t="shared" si="2"/>
        <v/>
      </c>
      <c r="C37" s="41"/>
      <c r="D37" s="41"/>
      <c r="E37" s="41"/>
      <c r="F37" s="41"/>
      <c r="G37" s="41"/>
      <c r="H37" s="41"/>
      <c r="I37" s="42"/>
      <c r="J37" s="41"/>
      <c r="K37" s="41"/>
      <c r="L37" s="43"/>
    </row>
    <row r="38" spans="2:12" hidden="1" outlineLevel="1">
      <c r="B38" s="46" t="str">
        <f t="shared" si="2"/>
        <v/>
      </c>
      <c r="C38" s="41"/>
      <c r="D38" s="41"/>
      <c r="E38" s="41"/>
      <c r="F38" s="41"/>
      <c r="G38" s="41"/>
      <c r="H38" s="41"/>
      <c r="I38" s="42"/>
      <c r="J38" s="41"/>
      <c r="K38" s="41"/>
      <c r="L38" s="43"/>
    </row>
    <row r="39" spans="2:12" hidden="1" outlineLevel="1">
      <c r="B39" s="46" t="str">
        <f t="shared" si="2"/>
        <v/>
      </c>
      <c r="C39" s="41"/>
      <c r="D39" s="41"/>
      <c r="E39" s="41"/>
      <c r="F39" s="41"/>
      <c r="G39" s="41"/>
      <c r="H39" s="41"/>
      <c r="I39" s="42"/>
      <c r="J39" s="41"/>
      <c r="K39" s="41"/>
      <c r="L39" s="43"/>
    </row>
    <row r="40" spans="2:12" hidden="1" outlineLevel="1">
      <c r="B40" s="46" t="str">
        <f t="shared" si="2"/>
        <v/>
      </c>
      <c r="C40" s="41"/>
      <c r="D40" s="41"/>
      <c r="E40" s="41"/>
      <c r="F40" s="41"/>
      <c r="G40" s="41"/>
      <c r="H40" s="41"/>
      <c r="I40" s="42"/>
      <c r="J40" s="41"/>
      <c r="K40" s="41"/>
      <c r="L40" s="43"/>
    </row>
    <row r="41" spans="2:12" hidden="1" outlineLevel="1">
      <c r="B41" s="46" t="str">
        <f t="shared" si="2"/>
        <v/>
      </c>
      <c r="C41" s="41"/>
      <c r="D41" s="41"/>
      <c r="E41" s="41"/>
      <c r="F41" s="41"/>
      <c r="G41" s="41"/>
      <c r="H41" s="41"/>
      <c r="I41" s="42"/>
      <c r="J41" s="41"/>
      <c r="K41" s="41"/>
      <c r="L41" s="43"/>
    </row>
    <row r="42" spans="2:12" hidden="1" outlineLevel="1">
      <c r="B42" s="46" t="str">
        <f t="shared" si="2"/>
        <v/>
      </c>
      <c r="C42" s="41"/>
      <c r="D42" s="41"/>
      <c r="E42" s="41"/>
      <c r="F42" s="41"/>
      <c r="G42" s="41"/>
      <c r="H42" s="41"/>
      <c r="I42" s="42"/>
      <c r="J42" s="41"/>
      <c r="K42" s="41"/>
      <c r="L42" s="43"/>
    </row>
    <row r="43" spans="2:12" hidden="1" outlineLevel="1">
      <c r="B43" s="46" t="str">
        <f t="shared" si="2"/>
        <v/>
      </c>
      <c r="C43" s="41"/>
      <c r="D43" s="41"/>
      <c r="E43" s="41"/>
      <c r="F43" s="41"/>
      <c r="G43" s="41"/>
      <c r="H43" s="41"/>
      <c r="I43" s="42"/>
      <c r="J43" s="41"/>
      <c r="K43" s="41"/>
      <c r="L43" s="43"/>
    </row>
    <row r="44" spans="2:12" hidden="1" outlineLevel="1">
      <c r="B44" s="46" t="str">
        <f t="shared" si="2"/>
        <v/>
      </c>
      <c r="C44" s="41"/>
      <c r="D44" s="41"/>
      <c r="E44" s="41"/>
      <c r="F44" s="41"/>
      <c r="G44" s="41"/>
      <c r="H44" s="41"/>
      <c r="I44" s="42"/>
      <c r="J44" s="41"/>
      <c r="K44" s="41"/>
      <c r="L44" s="43"/>
    </row>
    <row r="45" spans="2:12" hidden="1" outlineLevel="1">
      <c r="B45" s="46" t="str">
        <f t="shared" si="2"/>
        <v/>
      </c>
      <c r="C45" s="41"/>
      <c r="D45" s="41"/>
      <c r="E45" s="41"/>
      <c r="F45" s="41"/>
      <c r="G45" s="41"/>
      <c r="H45" s="41"/>
      <c r="I45" s="42"/>
      <c r="J45" s="41"/>
      <c r="K45" s="41"/>
      <c r="L45" s="43"/>
    </row>
    <row r="46" spans="2:12" hidden="1" outlineLevel="1">
      <c r="B46" s="46" t="str">
        <f t="shared" si="2"/>
        <v/>
      </c>
      <c r="C46" s="41"/>
      <c r="D46" s="41"/>
      <c r="E46" s="41"/>
      <c r="F46" s="41"/>
      <c r="G46" s="41"/>
      <c r="H46" s="41"/>
      <c r="I46" s="42"/>
      <c r="J46" s="41"/>
      <c r="K46" s="41"/>
      <c r="L46" s="43"/>
    </row>
    <row r="47" spans="2:12" hidden="1" outlineLevel="1">
      <c r="B47" s="46" t="str">
        <f t="shared" si="2"/>
        <v/>
      </c>
      <c r="C47" s="1"/>
      <c r="D47" s="1"/>
      <c r="E47" s="1"/>
      <c r="F47" s="1"/>
      <c r="G47" s="1"/>
      <c r="H47" s="1"/>
      <c r="I47" s="36"/>
      <c r="J47" s="1"/>
      <c r="K47" s="1"/>
      <c r="L47" s="2"/>
    </row>
    <row r="48" spans="2:12" ht="15.75" hidden="1" outlineLevel="1" thickBot="1">
      <c r="B48" s="56" t="str">
        <f t="shared" si="2"/>
        <v/>
      </c>
      <c r="C48" s="38"/>
      <c r="D48" s="38"/>
      <c r="E48" s="38"/>
      <c r="F48" s="38"/>
      <c r="G48" s="38"/>
      <c r="H48" s="38"/>
      <c r="I48" s="38"/>
      <c r="J48" s="38"/>
      <c r="K48" s="38"/>
      <c r="L48" s="39"/>
    </row>
    <row r="49" spans="2:12" ht="24" customHeight="1" collapsed="1" thickBot="1">
      <c r="B49" s="320" t="s">
        <v>59</v>
      </c>
      <c r="C49" s="321"/>
      <c r="D49" s="321"/>
      <c r="E49" s="321"/>
      <c r="F49" s="321"/>
      <c r="G49" s="321"/>
      <c r="H49" s="321"/>
      <c r="I49" s="321"/>
      <c r="J49" s="321"/>
      <c r="K49" s="321"/>
      <c r="L49" s="322"/>
    </row>
    <row r="50" spans="2:12" ht="24" customHeight="1" thickBot="1">
      <c r="B50" s="26" t="s">
        <v>49</v>
      </c>
      <c r="C50" s="27" t="s">
        <v>60</v>
      </c>
      <c r="D50" s="27" t="s">
        <v>62</v>
      </c>
      <c r="E50" s="27" t="s">
        <v>63</v>
      </c>
      <c r="F50" s="27" t="s">
        <v>64</v>
      </c>
      <c r="G50" s="27" t="s">
        <v>65</v>
      </c>
      <c r="H50" s="27" t="s">
        <v>66</v>
      </c>
      <c r="I50" s="27" t="s">
        <v>67</v>
      </c>
      <c r="J50" s="27" t="s">
        <v>6</v>
      </c>
      <c r="K50" s="27" t="s">
        <v>7</v>
      </c>
      <c r="L50" s="28" t="s">
        <v>68</v>
      </c>
    </row>
    <row r="51" spans="2:12">
      <c r="B51" s="46" t="s">
        <v>8</v>
      </c>
      <c r="C51" s="41">
        <f>COUNTIFS(B19:B48,"&gt;"&amp;0,C19:C48,"="&amp;B51)</f>
        <v>0</v>
      </c>
      <c r="D51" s="41">
        <f>COUNTIFS(B19:B48,"&gt;="&amp;1,C19:C48,B51,K19:K48,"&gt;="&amp;0,K19:K48,"&lt;"&amp;50)</f>
        <v>0</v>
      </c>
      <c r="E51" s="41">
        <f>COUNTIFS(B19:B48,"&gt;="&amp;1,C19:C48,B51,K19:K48,"&gt;="&amp;50,K19:K48,"&lt;"&amp;500)</f>
        <v>0</v>
      </c>
      <c r="F51" s="41">
        <f>COUNTIFS(B19:B48,"&gt;="&amp;1,C19:C48,B51,K19:K48,"&gt;="&amp;500)</f>
        <v>0</v>
      </c>
      <c r="G51" s="41">
        <f>COUNTIFS(B19:B48,"&gt;="&amp;1,C19:C48,B51,K19:K48,"&gt;="&amp;0,I19:I48,"&gt;"&amp;DATE(2021,1,1))</f>
        <v>0</v>
      </c>
      <c r="H51" s="47" t="str">
        <f>IF(G51=0,"-",(SUM(E51,F51)/G51))</f>
        <v>-</v>
      </c>
      <c r="I51" s="41">
        <f>IF((COUNTIFS(B19:B48,"&gt;="&amp;1,C19:C48,"="&amp;B51))&gt;228,228,(COUNTIFS(B19:B48,"&gt;="&amp;1,C19:C48,"="&amp;B51)))</f>
        <v>0</v>
      </c>
      <c r="J51" s="47" t="str">
        <f>IF(I51=0,"-",(COUNTIFS(C19:C48,"="&amp;B51,I19:I48,"&lt;="&amp;DATE(2024,12,31),K19:K48,"&gt;="&amp;0)/I51))</f>
        <v>-</v>
      </c>
      <c r="K51" s="47" t="str">
        <f>IF(I51=0,"-",IF(J51=1,"-",(COUNTIFS(B19:B48,"&gt;"&amp;0,C19:C48,"="&amp;B51,I19:I48,"&gt;"&amp;DATE(2024,12,31),K19:K48,"&gt;="&amp;0)/(I51-COUNTIFS(B19:B48,"&gt;"&amp;0,C19:C48,"="&amp;B51,I19:I48,"&lt;="&amp;DATE(2024,12,31),K19:K48,"&gt;="&amp;0)))))</f>
        <v>-</v>
      </c>
      <c r="L51" s="48" t="str">
        <f>IF(I51=0,"-",G51/I51)</f>
        <v>-</v>
      </c>
    </row>
    <row r="52" spans="2:12">
      <c r="B52" s="7" t="s">
        <v>9</v>
      </c>
      <c r="C52" s="1">
        <f>COUNTIFS(B19:B48,"&gt;"&amp;0,C19:C48,"="&amp;B52)</f>
        <v>0</v>
      </c>
      <c r="D52" s="1">
        <f>COUNTIFS(B19:B48,"&gt;="&amp;1,C19:C48,B52,K19:K48,"&gt;="&amp;0,K19:K48,"&lt;"&amp;50)</f>
        <v>0</v>
      </c>
      <c r="E52" s="1">
        <f>COUNTIFS(B19:B48,"&gt;="&amp;1,C19:C48,B52,K19:K48,"&gt;="&amp;50,K19:K48,"&lt;"&amp;500)</f>
        <v>0</v>
      </c>
      <c r="F52" s="1">
        <f>COUNTIFS(B19:B48,"&gt;="&amp;1,C19:C48,B52,K19:K48,"&gt;="&amp;500)</f>
        <v>0</v>
      </c>
      <c r="G52" s="1">
        <f>COUNTIFS(B19:B48,"&gt;="&amp;1,C19:C48,B52,K19:K48,"&gt;="&amp;0,I19:I48,"&gt;"&amp;DATE(2021,1,1))</f>
        <v>0</v>
      </c>
      <c r="H52" s="44" t="str">
        <f t="shared" ref="H52:H54" si="3">IF(G52=0,"-",(SUM(E52,F52)/G52))</f>
        <v>-</v>
      </c>
      <c r="I52" s="1">
        <f>IF((COUNTIFS(B19:B48,"&gt;="&amp;1,C19:C48,"="&amp;B52))&gt;228,228,(COUNTIFS(B19:B48,"&gt;="&amp;1,C19:C48,"="&amp;B52)))</f>
        <v>0</v>
      </c>
      <c r="J52" s="44" t="str">
        <f>IF(I52=0,"-",(COUNTIFS(C19:C48,"="&amp;B52,I19:I48,"&lt;="&amp;DATE(2024,12,31),K19:K48,"&gt;="&amp;0)/I52))</f>
        <v>-</v>
      </c>
      <c r="K52" s="47" t="str">
        <f>IF(I52=0,"-",IF(J52=1,"-",(COUNTIFS(B19:B48,"&gt;"&amp;0,C19:C48,"="&amp;B52,I19:I48,"&gt;"&amp;DATE(2024,12,31),K19:K48,"&gt;="&amp;0)/(I52-COUNTIFS(B19:B48,"&gt;"&amp;0,C19:C48,"="&amp;B52,I19:I48,"&lt;="&amp;DATE(2024,12,31),K19:K48,"&gt;="&amp;0)))))</f>
        <v>-</v>
      </c>
      <c r="L52" s="45" t="str">
        <f t="shared" ref="L52:L54" si="4">IF(I52=0,"-",G52/I52)</f>
        <v>-</v>
      </c>
    </row>
    <row r="53" spans="2:12">
      <c r="B53" s="7" t="s">
        <v>69</v>
      </c>
      <c r="C53" s="1">
        <f>COUNTIFS(B19:B48,"&gt;"&amp;0,C19:C48,"="&amp;B53)</f>
        <v>0</v>
      </c>
      <c r="D53" s="1">
        <f>COUNTIFS(B19:B48,"&gt;="&amp;1,C19:C48,B53,K19:K48,"&gt;="&amp;0,K19:K48,"&lt;"&amp;50)</f>
        <v>0</v>
      </c>
      <c r="E53" s="1">
        <f>COUNTIFS(B19:B48,"&gt;="&amp;1,C19:C48,B53,K19:K48,"&gt;="&amp;50,K19:K48,"&lt;"&amp;500)</f>
        <v>0</v>
      </c>
      <c r="F53" s="1">
        <f>COUNTIFS(B19:B47,"&gt;="&amp;1,C19:C47,B53,K19:K47,"&gt;="&amp;500)</f>
        <v>0</v>
      </c>
      <c r="G53" s="1">
        <f>COUNTIFS(B19:B48,"&gt;="&amp;1,C19:C48,B53,K19:K48,"&gt;="&amp;0,I19:I48,"&gt;"&amp;DATE(2021,1,1))</f>
        <v>0</v>
      </c>
      <c r="H53" s="44" t="str">
        <f t="shared" si="3"/>
        <v>-</v>
      </c>
      <c r="I53" s="1">
        <f>IF((COUNTIFS(B19:B47,"&gt;="&amp;1,C19:C47,"="&amp;B53))&gt;228,228,(COUNTIFS(B19:B47,"&gt;="&amp;1,C19:C47,"="&amp;B53)))</f>
        <v>0</v>
      </c>
      <c r="J53" s="44" t="str">
        <f>IF(I53=0,"-",(COUNTIFS(C19:C48,"="&amp;B53,I19:I48,"&lt;="&amp;DATE(2024,12,31),K19:K48,"&gt;="&amp;0)/I53))</f>
        <v>-</v>
      </c>
      <c r="K53" s="47" t="str">
        <f>IF(I53=0,"-",IF(J53=1,"-",(COUNTIFS(B19:B48,"&gt;"&amp;0,C19:C48,"="&amp;B53,I19:I48,"&gt;"&amp;DATE(2024,12,31),K19:K48,"&gt;="&amp;0)/(I53-COUNTIFS(B19:B48,"&gt;"&amp;0,C19:C48,"="&amp;B53,I19:I48,"&lt;="&amp;DATE(2024,12,31),K19:K48,"&gt;="&amp;0)))))</f>
        <v>-</v>
      </c>
      <c r="L53" s="45" t="str">
        <f t="shared" si="4"/>
        <v>-</v>
      </c>
    </row>
    <row r="54" spans="2:12" ht="24" customHeight="1" thickBot="1">
      <c r="B54" s="49" t="s">
        <v>59</v>
      </c>
      <c r="C54" s="50">
        <f>SUM(C51:C53)</f>
        <v>0</v>
      </c>
      <c r="D54" s="50">
        <f>SUM(D51:D53)</f>
        <v>0</v>
      </c>
      <c r="E54" s="50">
        <f>SUM(E51:E53)</f>
        <v>0</v>
      </c>
      <c r="F54" s="50">
        <f>SUM(F51:F53)</f>
        <v>0</v>
      </c>
      <c r="G54" s="50">
        <f>SUM(G51:G53)</f>
        <v>0</v>
      </c>
      <c r="H54" s="51" t="str">
        <f t="shared" si="3"/>
        <v>-</v>
      </c>
      <c r="I54" s="50">
        <f>SUM(I51:I53)</f>
        <v>0</v>
      </c>
      <c r="J54" s="51" t="str">
        <f>IF(I54=0,"-",(COUNTIFS(I19:I48,"&lt;="&amp;DATE(2024,12,31),K19:K48,"&gt;="&amp;0)/I54))</f>
        <v>-</v>
      </c>
      <c r="K54" s="51" t="str">
        <f>IF(I54=0,"-",IF(J54=1,"-",(COUNTIFS(B19:B48,"&gt;"&amp;0,I19:I48,"&gt;"&amp;DATE(2024,12,31),K19:K48,"&gt;="&amp;0)/(I54-COUNTIFS(B19:B48,"&gt;"&amp;0,I19:I48,"&lt;="&amp;DATE(2024,12,31),K19:K48,"&gt;="&amp;0)))))</f>
        <v>-</v>
      </c>
      <c r="L54" s="52" t="str">
        <f t="shared" si="4"/>
        <v>-</v>
      </c>
    </row>
    <row r="56" spans="2:12" ht="15.75" thickBot="1"/>
    <row r="57" spans="2:12" ht="32.25" customHeight="1" thickBot="1">
      <c r="B57" s="320" t="str">
        <f>_xlfn.CONCAT("Religadores",TEXT(IF(SUM(I83:I85)=0," ",(SUM(G83:G85)/SUM(I83:I85))), " 0,00%"))</f>
        <v xml:space="preserve">Religadores </v>
      </c>
      <c r="C57" s="321"/>
      <c r="D57" s="321"/>
      <c r="E57" s="321"/>
      <c r="F57" s="321"/>
      <c r="G57" s="321"/>
      <c r="H57" s="321"/>
      <c r="I57" s="321"/>
      <c r="J57" s="321"/>
      <c r="K57" s="321"/>
      <c r="L57" s="322"/>
    </row>
    <row r="58" spans="2:12" ht="24" hidden="1" customHeight="1" outlineLevel="1" thickBot="1">
      <c r="B58" s="26" t="s">
        <v>48</v>
      </c>
      <c r="C58" s="27" t="s">
        <v>49</v>
      </c>
      <c r="D58" s="27" t="s">
        <v>50</v>
      </c>
      <c r="E58" s="27" t="s">
        <v>51</v>
      </c>
      <c r="F58" s="27" t="s">
        <v>52</v>
      </c>
      <c r="G58" s="27" t="s">
        <v>53</v>
      </c>
      <c r="H58" s="27" t="s">
        <v>54</v>
      </c>
      <c r="I58" s="27" t="s">
        <v>55</v>
      </c>
      <c r="J58" s="27" t="s">
        <v>56</v>
      </c>
      <c r="K58" s="27" t="s">
        <v>57</v>
      </c>
      <c r="L58" s="28" t="s">
        <v>58</v>
      </c>
    </row>
    <row r="59" spans="2:12" hidden="1" outlineLevel="1">
      <c r="B59" s="46" t="str">
        <f>IF(C59="","",ROW($A$1))</f>
        <v/>
      </c>
      <c r="C59" s="41"/>
      <c r="D59" s="41"/>
      <c r="E59" s="41"/>
      <c r="F59" s="41"/>
      <c r="G59" s="41"/>
      <c r="H59" s="41"/>
      <c r="I59" s="42"/>
      <c r="J59" s="41"/>
      <c r="K59" s="41"/>
      <c r="L59" s="43"/>
    </row>
    <row r="60" spans="2:12" hidden="1" outlineLevel="1">
      <c r="B60" s="7" t="str">
        <f>IF(C60="","",(B59+1))</f>
        <v/>
      </c>
      <c r="C60" s="1"/>
      <c r="D60" s="41"/>
      <c r="E60" s="1"/>
      <c r="F60" s="1"/>
      <c r="G60" s="1"/>
      <c r="H60" s="1"/>
      <c r="I60" s="36"/>
      <c r="J60" s="1"/>
      <c r="K60" s="1"/>
      <c r="L60" s="2"/>
    </row>
    <row r="61" spans="2:12" hidden="1" outlineLevel="1">
      <c r="B61" s="7" t="str">
        <f t="shared" ref="B61:B80" si="5">IF(C61="","",(B60+1))</f>
        <v/>
      </c>
      <c r="C61" s="53"/>
      <c r="D61" s="41"/>
      <c r="E61" s="53"/>
      <c r="F61" s="53"/>
      <c r="G61" s="53"/>
      <c r="H61" s="53"/>
      <c r="I61" s="54"/>
      <c r="J61" s="53"/>
      <c r="K61" s="53"/>
      <c r="L61" s="55"/>
    </row>
    <row r="62" spans="2:12" hidden="1" outlineLevel="1">
      <c r="B62" s="7" t="str">
        <f t="shared" si="5"/>
        <v/>
      </c>
      <c r="C62" s="53"/>
      <c r="D62" s="41"/>
      <c r="E62" s="53"/>
      <c r="F62" s="53"/>
      <c r="G62" s="53"/>
      <c r="H62" s="53"/>
      <c r="I62" s="54"/>
      <c r="J62" s="53"/>
      <c r="K62" s="53"/>
      <c r="L62" s="55"/>
    </row>
    <row r="63" spans="2:12" hidden="1" outlineLevel="1">
      <c r="B63" s="7" t="str">
        <f t="shared" si="5"/>
        <v/>
      </c>
      <c r="C63" s="53"/>
      <c r="D63" s="41"/>
      <c r="E63" s="53"/>
      <c r="F63" s="53"/>
      <c r="G63" s="53"/>
      <c r="H63" s="53"/>
      <c r="I63" s="54"/>
      <c r="J63" s="53"/>
      <c r="K63" s="53"/>
      <c r="L63" s="55"/>
    </row>
    <row r="64" spans="2:12" hidden="1" outlineLevel="1">
      <c r="B64" s="7" t="str">
        <f t="shared" si="5"/>
        <v/>
      </c>
      <c r="C64" s="53"/>
      <c r="D64" s="41"/>
      <c r="E64" s="53"/>
      <c r="F64" s="53"/>
      <c r="G64" s="53"/>
      <c r="H64" s="53"/>
      <c r="I64" s="54"/>
      <c r="J64" s="53"/>
      <c r="K64" s="53"/>
      <c r="L64" s="55"/>
    </row>
    <row r="65" spans="2:12" hidden="1" outlineLevel="1">
      <c r="B65" s="7" t="str">
        <f t="shared" si="5"/>
        <v/>
      </c>
      <c r="C65" s="53"/>
      <c r="D65" s="41"/>
      <c r="E65" s="53"/>
      <c r="F65" s="53"/>
      <c r="G65" s="53"/>
      <c r="H65" s="53"/>
      <c r="I65" s="54"/>
      <c r="J65" s="53"/>
      <c r="K65" s="53"/>
      <c r="L65" s="55"/>
    </row>
    <row r="66" spans="2:12" hidden="1" outlineLevel="1">
      <c r="B66" s="7" t="str">
        <f t="shared" si="5"/>
        <v/>
      </c>
      <c r="C66" s="53"/>
      <c r="D66" s="41"/>
      <c r="E66" s="53"/>
      <c r="F66" s="53"/>
      <c r="G66" s="53"/>
      <c r="H66" s="53"/>
      <c r="I66" s="54"/>
      <c r="J66" s="53"/>
      <c r="K66" s="53"/>
      <c r="L66" s="55"/>
    </row>
    <row r="67" spans="2:12" hidden="1" outlineLevel="1">
      <c r="B67" s="7" t="str">
        <f t="shared" si="5"/>
        <v/>
      </c>
      <c r="C67" s="53"/>
      <c r="D67" s="41"/>
      <c r="E67" s="53"/>
      <c r="F67" s="53"/>
      <c r="G67" s="53"/>
      <c r="H67" s="53"/>
      <c r="I67" s="54"/>
      <c r="J67" s="53"/>
      <c r="K67" s="53"/>
      <c r="L67" s="55"/>
    </row>
    <row r="68" spans="2:12" hidden="1" outlineLevel="1">
      <c r="B68" s="7" t="str">
        <f t="shared" si="5"/>
        <v/>
      </c>
      <c r="C68" s="53"/>
      <c r="D68" s="41"/>
      <c r="E68" s="53"/>
      <c r="F68" s="53"/>
      <c r="G68" s="53"/>
      <c r="H68" s="53"/>
      <c r="I68" s="54"/>
      <c r="J68" s="53"/>
      <c r="K68" s="53"/>
      <c r="L68" s="55"/>
    </row>
    <row r="69" spans="2:12" hidden="1" outlineLevel="1">
      <c r="B69" s="7" t="str">
        <f t="shared" si="5"/>
        <v/>
      </c>
      <c r="C69" s="53"/>
      <c r="D69" s="41"/>
      <c r="E69" s="53"/>
      <c r="F69" s="53"/>
      <c r="G69" s="53"/>
      <c r="H69" s="53"/>
      <c r="I69" s="54"/>
      <c r="J69" s="53"/>
      <c r="K69" s="53"/>
      <c r="L69" s="55"/>
    </row>
    <row r="70" spans="2:12" hidden="1" outlineLevel="1">
      <c r="B70" s="7" t="str">
        <f t="shared" si="5"/>
        <v/>
      </c>
      <c r="C70" s="53"/>
      <c r="D70" s="41"/>
      <c r="E70" s="53"/>
      <c r="F70" s="53"/>
      <c r="G70" s="53"/>
      <c r="H70" s="53"/>
      <c r="I70" s="54"/>
      <c r="J70" s="53"/>
      <c r="K70" s="53"/>
      <c r="L70" s="55"/>
    </row>
    <row r="71" spans="2:12" hidden="1" outlineLevel="1">
      <c r="B71" s="7" t="str">
        <f t="shared" si="5"/>
        <v/>
      </c>
      <c r="C71" s="53"/>
      <c r="D71" s="41"/>
      <c r="E71" s="53"/>
      <c r="F71" s="53"/>
      <c r="G71" s="53"/>
      <c r="H71" s="53"/>
      <c r="I71" s="54"/>
      <c r="J71" s="53"/>
      <c r="K71" s="53"/>
      <c r="L71" s="55"/>
    </row>
    <row r="72" spans="2:12" hidden="1" outlineLevel="1">
      <c r="B72" s="7" t="str">
        <f t="shared" si="5"/>
        <v/>
      </c>
      <c r="C72" s="53"/>
      <c r="D72" s="41"/>
      <c r="E72" s="53"/>
      <c r="F72" s="53"/>
      <c r="G72" s="53"/>
      <c r="H72" s="53"/>
      <c r="I72" s="54"/>
      <c r="J72" s="53"/>
      <c r="K72" s="53"/>
      <c r="L72" s="55"/>
    </row>
    <row r="73" spans="2:12" hidden="1" outlineLevel="1">
      <c r="B73" s="7" t="str">
        <f t="shared" si="5"/>
        <v/>
      </c>
      <c r="C73" s="53"/>
      <c r="D73" s="41"/>
      <c r="E73" s="53"/>
      <c r="F73" s="53"/>
      <c r="G73" s="53"/>
      <c r="H73" s="53"/>
      <c r="I73" s="54"/>
      <c r="J73" s="53"/>
      <c r="K73" s="53"/>
      <c r="L73" s="55"/>
    </row>
    <row r="74" spans="2:12" hidden="1" outlineLevel="1">
      <c r="B74" s="7" t="str">
        <f t="shared" si="5"/>
        <v/>
      </c>
      <c r="C74" s="53"/>
      <c r="D74" s="41"/>
      <c r="E74" s="53"/>
      <c r="F74" s="53"/>
      <c r="G74" s="53"/>
      <c r="H74" s="53"/>
      <c r="I74" s="54"/>
      <c r="J74" s="53"/>
      <c r="K74" s="53"/>
      <c r="L74" s="55"/>
    </row>
    <row r="75" spans="2:12" hidden="1" outlineLevel="1">
      <c r="B75" s="7" t="str">
        <f>IF(C75="","",(B74+1))</f>
        <v/>
      </c>
      <c r="C75" s="53"/>
      <c r="D75" s="41"/>
      <c r="E75" s="53"/>
      <c r="F75" s="53"/>
      <c r="G75" s="53"/>
      <c r="H75" s="53"/>
      <c r="I75" s="54"/>
      <c r="J75" s="53"/>
      <c r="K75" s="53"/>
      <c r="L75" s="55"/>
    </row>
    <row r="76" spans="2:12" hidden="1" outlineLevel="1">
      <c r="B76" s="7" t="str">
        <f>IF(C76="","",(B75+1))</f>
        <v/>
      </c>
      <c r="C76" s="53"/>
      <c r="D76" s="41"/>
      <c r="E76" s="53"/>
      <c r="F76" s="53"/>
      <c r="G76" s="53"/>
      <c r="H76" s="53"/>
      <c r="I76" s="54"/>
      <c r="J76" s="53"/>
      <c r="K76" s="53"/>
      <c r="L76" s="55"/>
    </row>
    <row r="77" spans="2:12" hidden="1" outlineLevel="1">
      <c r="B77" s="7" t="str">
        <f t="shared" si="5"/>
        <v/>
      </c>
      <c r="C77" s="53"/>
      <c r="D77" s="53"/>
      <c r="E77" s="53"/>
      <c r="F77" s="53"/>
      <c r="G77" s="53"/>
      <c r="H77" s="53"/>
      <c r="I77" s="54"/>
      <c r="J77" s="53"/>
      <c r="K77" s="53"/>
      <c r="L77" s="55"/>
    </row>
    <row r="78" spans="2:12" hidden="1" outlineLevel="1">
      <c r="B78" s="7" t="str">
        <f t="shared" si="5"/>
        <v/>
      </c>
      <c r="C78" s="53"/>
      <c r="D78" s="53"/>
      <c r="E78" s="53"/>
      <c r="F78" s="53"/>
      <c r="G78" s="53"/>
      <c r="H78" s="53"/>
      <c r="I78" s="54"/>
      <c r="J78" s="53"/>
      <c r="K78" s="53"/>
      <c r="L78" s="55"/>
    </row>
    <row r="79" spans="2:12" hidden="1" outlineLevel="1">
      <c r="B79" s="7" t="str">
        <f t="shared" si="5"/>
        <v/>
      </c>
      <c r="C79" s="53"/>
      <c r="D79" s="53"/>
      <c r="E79" s="53"/>
      <c r="F79" s="53"/>
      <c r="G79" s="53"/>
      <c r="H79" s="53"/>
      <c r="I79" s="54"/>
      <c r="J79" s="53"/>
      <c r="K79" s="53"/>
      <c r="L79" s="55"/>
    </row>
    <row r="80" spans="2:12" ht="15.75" hidden="1" outlineLevel="1" thickBot="1">
      <c r="B80" s="56" t="str">
        <f t="shared" si="5"/>
        <v/>
      </c>
      <c r="C80" s="38"/>
      <c r="D80" s="38"/>
      <c r="E80" s="38"/>
      <c r="F80" s="38"/>
      <c r="G80" s="38"/>
      <c r="H80" s="38"/>
      <c r="I80" s="57"/>
      <c r="J80" s="38"/>
      <c r="K80" s="38"/>
      <c r="L80" s="39"/>
    </row>
    <row r="81" spans="2:12" ht="24" customHeight="1" collapsed="1" thickBot="1">
      <c r="B81" s="320" t="s">
        <v>59</v>
      </c>
      <c r="C81" s="321"/>
      <c r="D81" s="321"/>
      <c r="E81" s="321"/>
      <c r="F81" s="321"/>
      <c r="G81" s="321"/>
      <c r="H81" s="321"/>
      <c r="I81" s="321"/>
      <c r="J81" s="321"/>
      <c r="K81" s="321"/>
      <c r="L81" s="322"/>
    </row>
    <row r="82" spans="2:12" ht="24" customHeight="1" thickBot="1">
      <c r="B82" s="26" t="s">
        <v>49</v>
      </c>
      <c r="C82" s="27" t="s">
        <v>60</v>
      </c>
      <c r="D82" s="27" t="s">
        <v>62</v>
      </c>
      <c r="E82" s="27" t="s">
        <v>63</v>
      </c>
      <c r="F82" s="27" t="s">
        <v>64</v>
      </c>
      <c r="G82" s="27" t="s">
        <v>65</v>
      </c>
      <c r="H82" s="27" t="s">
        <v>66</v>
      </c>
      <c r="I82" s="27" t="s">
        <v>67</v>
      </c>
      <c r="J82" s="27" t="s">
        <v>6</v>
      </c>
      <c r="K82" s="27" t="s">
        <v>7</v>
      </c>
      <c r="L82" s="28" t="s">
        <v>68</v>
      </c>
    </row>
    <row r="83" spans="2:12">
      <c r="B83" s="46" t="s">
        <v>8</v>
      </c>
      <c r="C83" s="41">
        <f>COUNTIFS(B59:B80,"&gt;"&amp;0,C59:C80,"="&amp;B83)</f>
        <v>0</v>
      </c>
      <c r="D83" s="41">
        <f>COUNTIFS(B59:B80,"&gt;="&amp;1,C59:C80,B83,K59:K80,"&gt;="&amp;0,K59:K80,"&lt;"&amp;50)</f>
        <v>0</v>
      </c>
      <c r="E83" s="41">
        <f>COUNTIFS(B59:B80,"&gt;="&amp;1,C59:C80,B83,K59:K80,"&gt;="&amp;50,K59:K80,"&lt;"&amp;500)</f>
        <v>0</v>
      </c>
      <c r="F83" s="41">
        <f>COUNTIFS(B59:B80,"&gt;="&amp;1,C59:C80,B83,K59:K80,"&gt;="&amp;500)</f>
        <v>0</v>
      </c>
      <c r="G83" s="41">
        <f>COUNTIFS(B59:B80,"&gt;="&amp;1,C59:C80,B83,K59:K80,"&gt;="&amp;0,I59:I80,"&gt;"&amp;DATE(2021,1,1))</f>
        <v>0</v>
      </c>
      <c r="H83" s="47" t="str">
        <f>IF(G83=0,"-",(SUM(E83,F83)/G83))</f>
        <v>-</v>
      </c>
      <c r="I83" s="41">
        <f>IF((COUNTIFS(B59:B80,"&gt;="&amp;1,C59:C80,"="&amp;B83))&gt;228,228,(COUNTIFS(B59:B80,"&gt;="&amp;1,C59:C80,"="&amp;B83)))</f>
        <v>0</v>
      </c>
      <c r="J83" s="47" t="str">
        <f>IF(I83=0,"-",(COUNTIFS(C59:C80,"="&amp;B83,I59:I80,"&lt;="&amp;DATE(2024,12,31),K59:K80,"&gt;="&amp;0)/I83))</f>
        <v>-</v>
      </c>
      <c r="K83" s="47" t="str">
        <f>IF(I83=0,"-",IF(J83=1,"-",(COUNTIFS(B59:B80,"&gt;"&amp;0,C59:C80,"="&amp;B83,I59:I80,"&gt;"&amp;DATE(2024,12,31),K59:K80,"&gt;="&amp;0)/(I83-COUNTIFS(B59:B80,"&gt;"&amp;0,C59:C80,"="&amp;B83,I59:I80,"&lt;="&amp;DATE(2024,12,31),K59:K80,"&gt;="&amp;0)))))</f>
        <v>-</v>
      </c>
      <c r="L83" s="48" t="str">
        <f>IF(I83=0,"-",G83/I83)</f>
        <v>-</v>
      </c>
    </row>
    <row r="84" spans="2:12">
      <c r="B84" s="7" t="s">
        <v>9</v>
      </c>
      <c r="C84" s="1">
        <f>COUNTIFS(B59:B80,"&gt;"&amp;0,C59:C80,"="&amp;B84)</f>
        <v>0</v>
      </c>
      <c r="D84" s="1">
        <f>COUNTIFS(B59:B80,"&gt;="&amp;1,C59:C80,B84,K59:K80,"&gt;="&amp;0,K59:K80,"&lt;"&amp;50)</f>
        <v>0</v>
      </c>
      <c r="E84" s="1">
        <f>COUNTIFS(B59:B80,"&gt;="&amp;1,C59:C80,B84,K59:K80,"&gt;="&amp;50,K59:K80,"&lt;"&amp;500)</f>
        <v>0</v>
      </c>
      <c r="F84" s="1">
        <f>COUNTIFS(B59:B80,"&gt;="&amp;1,C59:C80,B84,K59:K80,"&gt;="&amp;500)</f>
        <v>0</v>
      </c>
      <c r="G84" s="1">
        <f>COUNTIFS(B59:B80,"&gt;="&amp;1,C59:C80,B84,K59:K80,"&gt;="&amp;0,I59:I80,"&gt;"&amp;DATE(2021,1,1))</f>
        <v>0</v>
      </c>
      <c r="H84" s="44" t="str">
        <f t="shared" ref="H84:H86" si="6">IF(G84=0,"-",(SUM(E84,F84)/G84))</f>
        <v>-</v>
      </c>
      <c r="I84" s="1">
        <f>IF((COUNTIFS(B59:B80,"&gt;="&amp;1,C59:C80,"="&amp;B84))&gt;228,228,(COUNTIFS(B59:B80,"&gt;="&amp;1,C59:C80,"="&amp;B84)))</f>
        <v>0</v>
      </c>
      <c r="J84" s="44" t="str">
        <f>IF(I84=0,"-",(COUNTIFS(C59:C80,"="&amp;B84,I59:I80,"&lt;="&amp;DATE(2024,12,31),K59:K80,"&gt;="&amp;0)/I84))</f>
        <v>-</v>
      </c>
      <c r="K84" s="47" t="str">
        <f>IF(I84=0,"-",IF(J84=1,"-",(COUNTIFS(B59:B80,"&gt;"&amp;0,C59:C80,"="&amp;B84,I59:I80,"&gt;"&amp;DATE(2024,12,31),K59:K80,"&gt;="&amp;0)/(I84-COUNTIFS(B59:B80,"&gt;"&amp;0,C59:C80,"="&amp;B84,I59:I80,"&lt;="&amp;DATE(2024,12,31),K59:K80,"&gt;="&amp;0)))))</f>
        <v>-</v>
      </c>
      <c r="L84" s="45" t="str">
        <f t="shared" ref="L84:L86" si="7">IF(I84=0,"-",G84/I84)</f>
        <v>-</v>
      </c>
    </row>
    <row r="85" spans="2:12">
      <c r="B85" s="7" t="s">
        <v>69</v>
      </c>
      <c r="C85" s="1">
        <f>COUNTIFS(B59:B80,"&gt;"&amp;0,C59:C80,"="&amp;B85)</f>
        <v>0</v>
      </c>
      <c r="D85" s="1">
        <f>COUNTIFS(B59:B80,"&gt;="&amp;1,C59:C80,B85,K59:K80,"&gt;="&amp;0,K59:K80,"&lt;"&amp;50)</f>
        <v>0</v>
      </c>
      <c r="E85" s="1">
        <f>COUNTIFS(B59:B80,"&gt;="&amp;1,C59:C80,B85,K59:K80,"&gt;="&amp;50,K59:K80,"&lt;"&amp;500)</f>
        <v>0</v>
      </c>
      <c r="F85" s="1">
        <f>COUNTIFS(B59:B60,"&gt;="&amp;1,C59:C60,B85,K59:K60,"&gt;="&amp;500)</f>
        <v>0</v>
      </c>
      <c r="G85" s="1">
        <f>COUNTIFS(B59:B80,"&gt;="&amp;1,C59:C80,B85,K59:K80,"&gt;="&amp;0,I59:I80,"&gt;"&amp;DATE(2021,1,1))</f>
        <v>0</v>
      </c>
      <c r="H85" s="44" t="str">
        <f t="shared" si="6"/>
        <v>-</v>
      </c>
      <c r="I85" s="1">
        <f>IF((COUNTIFS(B59:B60,"&gt;="&amp;1,C59:C60,"="&amp;B85))&gt;228,228,(COUNTIFS(B59:B60,"&gt;="&amp;1,C59:C60,"="&amp;B85)))</f>
        <v>0</v>
      </c>
      <c r="J85" s="44" t="str">
        <f>IF(I85=0,"-",(COUNTIFS(C59:C80,"="&amp;B85,I59:I80,"&lt;="&amp;DATE(2024,12,31),K59:K80,"&gt;="&amp;0)/I85))</f>
        <v>-</v>
      </c>
      <c r="K85" s="47" t="str">
        <f>IF(I85=0,"-",IF(J85=1,"-",(COUNTIFS(B59:B80,"&gt;"&amp;0,C59:C80,"="&amp;B85,I59:I80,"&gt;"&amp;DATE(2024,12,31),K59:K80,"&gt;="&amp;0)/(I85-COUNTIFS(B59:B80,"&gt;"&amp;0,C59:C80,"="&amp;B85,I59:I80,"&lt;="&amp;DATE(2024,12,31),K59:K80,"&gt;="&amp;0)))))</f>
        <v>-</v>
      </c>
      <c r="L85" s="45" t="str">
        <f t="shared" si="7"/>
        <v>-</v>
      </c>
    </row>
    <row r="86" spans="2:12" ht="24" customHeight="1" thickBot="1">
      <c r="B86" s="49" t="s">
        <v>59</v>
      </c>
      <c r="C86" s="50">
        <f>SUM(C83:C85)</f>
        <v>0</v>
      </c>
      <c r="D86" s="50">
        <f>SUM(D83:D85)</f>
        <v>0</v>
      </c>
      <c r="E86" s="50">
        <f>SUM(E83:E85)</f>
        <v>0</v>
      </c>
      <c r="F86" s="50">
        <f>SUM(F83:F85)</f>
        <v>0</v>
      </c>
      <c r="G86" s="50">
        <f>SUM(G83:G85)</f>
        <v>0</v>
      </c>
      <c r="H86" s="51" t="str">
        <f t="shared" si="6"/>
        <v>-</v>
      </c>
      <c r="I86" s="50">
        <f>SUM(I83:I85)</f>
        <v>0</v>
      </c>
      <c r="J86" s="51" t="str">
        <f>IF(I86=0,"-",(COUNTIFS(I59:I80,"&lt;="&amp;DATE(2024,12,31),K59:K80,"&gt;="&amp;0)/I86))</f>
        <v>-</v>
      </c>
      <c r="K86" s="51" t="str">
        <f>IF(I86=0,"-",IF(J86=1,"-",(COUNTIFS(B59:B80,"&gt;"&amp;0,I59:I80,"&gt;"&amp;DATE(2024,12,31),K59:K80,"&gt;="&amp;0)/(I86-COUNTIFS(B59:B80,"&gt;"&amp;0,I59:I80,"&lt;="&amp;DATE(2024,12,31),K59:K80,"&gt;="&amp;0)))))</f>
        <v>-</v>
      </c>
      <c r="L86" s="52" t="str">
        <f t="shared" si="7"/>
        <v>-</v>
      </c>
    </row>
    <row r="88" spans="2:12" ht="15.75" thickBot="1"/>
    <row r="89" spans="2:12" ht="32.25" customHeight="1" thickBot="1">
      <c r="B89" s="320" t="str">
        <f>_xlfn.CONCAT("Reguladores de Tensão",TEXT(IF(SUM(I345:I347)=0," ",(SUM(G345:G347)/SUM(I345:I347))), " 0,00%"))</f>
        <v xml:space="preserve">Reguladores de Tensão </v>
      </c>
      <c r="C89" s="321"/>
      <c r="D89" s="321"/>
      <c r="E89" s="321"/>
      <c r="F89" s="321"/>
      <c r="G89" s="321"/>
      <c r="H89" s="321"/>
      <c r="I89" s="321"/>
      <c r="J89" s="321"/>
      <c r="K89" s="321"/>
      <c r="L89" s="322"/>
    </row>
    <row r="90" spans="2:12" ht="24" hidden="1" customHeight="1" outlineLevel="1" thickBot="1">
      <c r="B90" s="26" t="s">
        <v>48</v>
      </c>
      <c r="C90" s="27" t="s">
        <v>49</v>
      </c>
      <c r="D90" s="27" t="s">
        <v>50</v>
      </c>
      <c r="E90" s="27" t="s">
        <v>51</v>
      </c>
      <c r="F90" s="27" t="s">
        <v>52</v>
      </c>
      <c r="G90" s="27" t="s">
        <v>53</v>
      </c>
      <c r="H90" s="27" t="s">
        <v>54</v>
      </c>
      <c r="I90" s="27" t="s">
        <v>55</v>
      </c>
      <c r="J90" s="27" t="s">
        <v>56</v>
      </c>
      <c r="K90" s="27" t="s">
        <v>57</v>
      </c>
      <c r="L90" s="28" t="s">
        <v>58</v>
      </c>
    </row>
    <row r="91" spans="2:12" hidden="1" outlineLevel="1">
      <c r="B91" s="46" t="str">
        <f>IF(C91="","",ROW($A$1))</f>
        <v/>
      </c>
      <c r="C91" s="41"/>
      <c r="D91" s="41"/>
      <c r="E91" s="41"/>
      <c r="F91" s="41"/>
      <c r="G91" s="41"/>
      <c r="H91" s="41"/>
      <c r="I91" s="42"/>
      <c r="J91" s="41"/>
      <c r="K91" s="41"/>
      <c r="L91" s="43"/>
    </row>
    <row r="92" spans="2:12" hidden="1" outlineLevel="1">
      <c r="B92" s="7" t="str">
        <f>IF(C92="","",(B91+1))</f>
        <v/>
      </c>
      <c r="C92" s="41"/>
      <c r="D92" s="41"/>
      <c r="E92" s="41"/>
      <c r="F92" s="41"/>
      <c r="G92" s="41"/>
      <c r="H92" s="41"/>
      <c r="I92" s="42"/>
      <c r="J92" s="41"/>
      <c r="K92" s="41"/>
      <c r="L92" s="43"/>
    </row>
    <row r="93" spans="2:12" hidden="1" outlineLevel="1">
      <c r="B93" s="7" t="str">
        <f t="shared" ref="B93:B156" si="8">IF(C93="","",(B92+1))</f>
        <v/>
      </c>
      <c r="C93" s="41"/>
      <c r="D93" s="41"/>
      <c r="E93" s="41"/>
      <c r="F93" s="41"/>
      <c r="G93" s="41"/>
      <c r="H93" s="41"/>
      <c r="I93" s="42"/>
      <c r="J93" s="41"/>
      <c r="K93" s="41"/>
      <c r="L93" s="43"/>
    </row>
    <row r="94" spans="2:12" hidden="1" outlineLevel="1">
      <c r="B94" s="7" t="str">
        <f t="shared" si="8"/>
        <v/>
      </c>
      <c r="C94" s="41"/>
      <c r="D94" s="41"/>
      <c r="E94" s="41"/>
      <c r="F94" s="41"/>
      <c r="G94" s="41"/>
      <c r="H94" s="41"/>
      <c r="I94" s="42"/>
      <c r="J94" s="41"/>
      <c r="K94" s="41"/>
      <c r="L94" s="43"/>
    </row>
    <row r="95" spans="2:12" hidden="1" outlineLevel="1">
      <c r="B95" s="7" t="str">
        <f t="shared" si="8"/>
        <v/>
      </c>
      <c r="C95" s="41"/>
      <c r="D95" s="41"/>
      <c r="E95" s="41"/>
      <c r="F95" s="41"/>
      <c r="G95" s="41"/>
      <c r="H95" s="41"/>
      <c r="I95" s="42"/>
      <c r="J95" s="41"/>
      <c r="K95" s="41"/>
      <c r="L95" s="43"/>
    </row>
    <row r="96" spans="2:12" hidden="1" outlineLevel="1">
      <c r="B96" s="7" t="str">
        <f t="shared" si="8"/>
        <v/>
      </c>
      <c r="C96" s="41"/>
      <c r="D96" s="41"/>
      <c r="E96" s="41"/>
      <c r="F96" s="41"/>
      <c r="G96" s="41"/>
      <c r="H96" s="41"/>
      <c r="I96" s="42"/>
      <c r="J96" s="41"/>
      <c r="K96" s="41"/>
      <c r="L96" s="43"/>
    </row>
    <row r="97" spans="2:12" hidden="1" outlineLevel="1">
      <c r="B97" s="7" t="str">
        <f t="shared" si="8"/>
        <v/>
      </c>
      <c r="C97" s="41"/>
      <c r="D97" s="41"/>
      <c r="E97" s="41"/>
      <c r="F97" s="41"/>
      <c r="G97" s="41"/>
      <c r="H97" s="41"/>
      <c r="I97" s="42"/>
      <c r="J97" s="41"/>
      <c r="K97" s="41"/>
      <c r="L97" s="43"/>
    </row>
    <row r="98" spans="2:12" hidden="1" outlineLevel="1">
      <c r="B98" s="7" t="str">
        <f t="shared" si="8"/>
        <v/>
      </c>
      <c r="C98" s="41"/>
      <c r="D98" s="41"/>
      <c r="E98" s="58"/>
      <c r="F98" s="41"/>
      <c r="G98" s="41"/>
      <c r="H98" s="41"/>
      <c r="I98" s="42"/>
      <c r="J98" s="41"/>
      <c r="K98" s="41"/>
      <c r="L98" s="43"/>
    </row>
    <row r="99" spans="2:12" hidden="1" outlineLevel="1">
      <c r="B99" s="7" t="str">
        <f t="shared" si="8"/>
        <v/>
      </c>
      <c r="C99" s="41"/>
      <c r="D99" s="41"/>
      <c r="E99" s="58"/>
      <c r="F99" s="41"/>
      <c r="G99" s="41"/>
      <c r="H99" s="41"/>
      <c r="I99" s="42"/>
      <c r="J99" s="41"/>
      <c r="K99" s="41"/>
      <c r="L99" s="43"/>
    </row>
    <row r="100" spans="2:12" hidden="1" outlineLevel="1">
      <c r="B100" s="7" t="str">
        <f t="shared" si="8"/>
        <v/>
      </c>
      <c r="C100" s="41"/>
      <c r="D100" s="41"/>
      <c r="E100" s="58"/>
      <c r="F100" s="41"/>
      <c r="G100" s="41"/>
      <c r="H100" s="41"/>
      <c r="I100" s="42"/>
      <c r="J100" s="41"/>
      <c r="K100" s="41"/>
      <c r="L100" s="43"/>
    </row>
    <row r="101" spans="2:12" hidden="1" outlineLevel="1">
      <c r="B101" s="7" t="str">
        <f t="shared" si="8"/>
        <v/>
      </c>
      <c r="C101" s="41"/>
      <c r="D101" s="41"/>
      <c r="E101" s="41"/>
      <c r="F101" s="41"/>
      <c r="G101" s="41"/>
      <c r="H101" s="41"/>
      <c r="I101" s="42"/>
      <c r="J101" s="41"/>
      <c r="K101" s="41"/>
      <c r="L101" s="43"/>
    </row>
    <row r="102" spans="2:12" hidden="1" outlineLevel="1">
      <c r="B102" s="7" t="str">
        <f t="shared" si="8"/>
        <v/>
      </c>
      <c r="C102" s="41"/>
      <c r="D102" s="41"/>
      <c r="E102" s="41"/>
      <c r="F102" s="41"/>
      <c r="G102" s="41"/>
      <c r="H102" s="41"/>
      <c r="I102" s="42"/>
      <c r="J102" s="41"/>
      <c r="K102" s="41"/>
      <c r="L102" s="43"/>
    </row>
    <row r="103" spans="2:12" hidden="1" outlineLevel="1">
      <c r="B103" s="7" t="str">
        <f t="shared" si="8"/>
        <v/>
      </c>
      <c r="C103" s="41"/>
      <c r="D103" s="41"/>
      <c r="E103" s="41"/>
      <c r="F103" s="41"/>
      <c r="G103" s="41"/>
      <c r="H103" s="41"/>
      <c r="I103" s="42"/>
      <c r="J103" s="41"/>
      <c r="K103" s="41"/>
      <c r="L103" s="43"/>
    </row>
    <row r="104" spans="2:12" hidden="1" outlineLevel="1">
      <c r="B104" s="7" t="str">
        <f t="shared" si="8"/>
        <v/>
      </c>
      <c r="C104" s="41"/>
      <c r="D104" s="41"/>
      <c r="E104" s="41"/>
      <c r="F104" s="41"/>
      <c r="G104" s="41"/>
      <c r="H104" s="41"/>
      <c r="I104" s="42"/>
      <c r="J104" s="41"/>
      <c r="K104" s="41"/>
      <c r="L104" s="43"/>
    </row>
    <row r="105" spans="2:12" hidden="1" outlineLevel="1">
      <c r="B105" s="7" t="str">
        <f t="shared" si="8"/>
        <v/>
      </c>
      <c r="C105" s="41"/>
      <c r="D105" s="41"/>
      <c r="E105" s="41"/>
      <c r="F105" s="41"/>
      <c r="G105" s="41"/>
      <c r="H105" s="41"/>
      <c r="I105" s="42"/>
      <c r="J105" s="41"/>
      <c r="K105" s="41"/>
      <c r="L105" s="43"/>
    </row>
    <row r="106" spans="2:12" hidden="1" outlineLevel="1">
      <c r="B106" s="7" t="str">
        <f t="shared" si="8"/>
        <v/>
      </c>
      <c r="C106" s="41"/>
      <c r="D106" s="41"/>
      <c r="E106" s="41"/>
      <c r="F106" s="41"/>
      <c r="G106" s="41"/>
      <c r="H106" s="41"/>
      <c r="I106" s="42"/>
      <c r="J106" s="41"/>
      <c r="K106" s="41"/>
      <c r="L106" s="43"/>
    </row>
    <row r="107" spans="2:12" hidden="1" outlineLevel="1">
      <c r="B107" s="7" t="str">
        <f t="shared" si="8"/>
        <v/>
      </c>
      <c r="C107" s="41"/>
      <c r="D107" s="41"/>
      <c r="E107" s="58"/>
      <c r="F107" s="41"/>
      <c r="G107" s="41"/>
      <c r="H107" s="41"/>
      <c r="I107" s="42"/>
      <c r="J107" s="41"/>
      <c r="K107" s="41"/>
      <c r="L107" s="43"/>
    </row>
    <row r="108" spans="2:12" hidden="1" outlineLevel="1">
      <c r="B108" s="7" t="str">
        <f t="shared" si="8"/>
        <v/>
      </c>
      <c r="C108" s="41"/>
      <c r="D108" s="41"/>
      <c r="E108" s="41"/>
      <c r="F108" s="41"/>
      <c r="G108" s="41"/>
      <c r="H108" s="41"/>
      <c r="I108" s="42"/>
      <c r="J108" s="41"/>
      <c r="K108" s="41"/>
      <c r="L108" s="43"/>
    </row>
    <row r="109" spans="2:12" hidden="1" outlineLevel="1">
      <c r="B109" s="7" t="str">
        <f t="shared" si="8"/>
        <v/>
      </c>
      <c r="C109" s="41"/>
      <c r="D109" s="41"/>
      <c r="E109" s="41"/>
      <c r="F109" s="41"/>
      <c r="G109" s="41"/>
      <c r="H109" s="41"/>
      <c r="I109" s="42"/>
      <c r="J109" s="41"/>
      <c r="K109" s="41"/>
      <c r="L109" s="43"/>
    </row>
    <row r="110" spans="2:12" hidden="1" outlineLevel="1">
      <c r="B110" s="7" t="str">
        <f t="shared" si="8"/>
        <v/>
      </c>
      <c r="C110" s="41"/>
      <c r="D110" s="41"/>
      <c r="E110" s="41"/>
      <c r="F110" s="41"/>
      <c r="G110" s="41"/>
      <c r="H110" s="41"/>
      <c r="I110" s="42"/>
      <c r="J110" s="41"/>
      <c r="K110" s="41"/>
      <c r="L110" s="43"/>
    </row>
    <row r="111" spans="2:12" hidden="1" outlineLevel="1">
      <c r="B111" s="7" t="str">
        <f t="shared" si="8"/>
        <v/>
      </c>
      <c r="C111" s="41"/>
      <c r="D111" s="41"/>
      <c r="E111" s="41"/>
      <c r="F111" s="41"/>
      <c r="G111" s="41"/>
      <c r="H111" s="41"/>
      <c r="I111" s="42"/>
      <c r="J111" s="41"/>
      <c r="K111" s="41"/>
      <c r="L111" s="43"/>
    </row>
    <row r="112" spans="2:12" hidden="1" outlineLevel="1">
      <c r="B112" s="7" t="str">
        <f t="shared" si="8"/>
        <v/>
      </c>
      <c r="C112" s="41"/>
      <c r="D112" s="41"/>
      <c r="E112" s="41"/>
      <c r="F112" s="41"/>
      <c r="G112" s="41"/>
      <c r="H112" s="41"/>
      <c r="I112" s="42"/>
      <c r="J112" s="41"/>
      <c r="K112" s="41"/>
      <c r="L112" s="43"/>
    </row>
    <row r="113" spans="2:12" hidden="1" outlineLevel="1">
      <c r="B113" s="7" t="str">
        <f t="shared" si="8"/>
        <v/>
      </c>
      <c r="C113" s="41"/>
      <c r="D113" s="41"/>
      <c r="E113" s="41"/>
      <c r="F113" s="41"/>
      <c r="G113" s="41"/>
      <c r="H113" s="41"/>
      <c r="I113" s="42"/>
      <c r="J113" s="41"/>
      <c r="K113" s="41"/>
      <c r="L113" s="43"/>
    </row>
    <row r="114" spans="2:12" hidden="1" outlineLevel="1">
      <c r="B114" s="7" t="str">
        <f t="shared" si="8"/>
        <v/>
      </c>
      <c r="C114" s="41"/>
      <c r="D114" s="41"/>
      <c r="E114" s="41"/>
      <c r="F114" s="41"/>
      <c r="G114" s="41"/>
      <c r="H114" s="41"/>
      <c r="I114" s="42"/>
      <c r="J114" s="41"/>
      <c r="K114" s="41"/>
      <c r="L114" s="43"/>
    </row>
    <row r="115" spans="2:12" hidden="1" outlineLevel="1">
      <c r="B115" s="7" t="str">
        <f t="shared" si="8"/>
        <v/>
      </c>
      <c r="C115" s="41"/>
      <c r="D115" s="41"/>
      <c r="E115" s="41"/>
      <c r="F115" s="41"/>
      <c r="G115" s="41"/>
      <c r="H115" s="41"/>
      <c r="I115" s="42"/>
      <c r="J115" s="41"/>
      <c r="K115" s="41"/>
      <c r="L115" s="43"/>
    </row>
    <row r="116" spans="2:12" hidden="1" outlineLevel="1">
      <c r="B116" s="7" t="str">
        <f t="shared" si="8"/>
        <v/>
      </c>
      <c r="C116" s="41"/>
      <c r="D116" s="41"/>
      <c r="E116" s="41"/>
      <c r="F116" s="41"/>
      <c r="G116" s="41"/>
      <c r="H116" s="41"/>
      <c r="I116" s="42"/>
      <c r="J116" s="41"/>
      <c r="K116" s="41"/>
      <c r="L116" s="43"/>
    </row>
    <row r="117" spans="2:12" hidden="1" outlineLevel="1">
      <c r="B117" s="7" t="str">
        <f t="shared" si="8"/>
        <v/>
      </c>
      <c r="C117" s="41"/>
      <c r="D117" s="41"/>
      <c r="E117" s="41"/>
      <c r="F117" s="41"/>
      <c r="G117" s="41"/>
      <c r="H117" s="41"/>
      <c r="I117" s="42"/>
      <c r="J117" s="41"/>
      <c r="K117" s="41"/>
      <c r="L117" s="43"/>
    </row>
    <row r="118" spans="2:12" hidden="1" outlineLevel="1">
      <c r="B118" s="7" t="str">
        <f t="shared" si="8"/>
        <v/>
      </c>
      <c r="C118" s="41"/>
      <c r="D118" s="41"/>
      <c r="E118" s="41"/>
      <c r="F118" s="41"/>
      <c r="G118" s="41"/>
      <c r="H118" s="41"/>
      <c r="I118" s="42"/>
      <c r="J118" s="41"/>
      <c r="K118" s="41"/>
      <c r="L118" s="43"/>
    </row>
    <row r="119" spans="2:12" hidden="1" outlineLevel="1">
      <c r="B119" s="7" t="str">
        <f t="shared" si="8"/>
        <v/>
      </c>
      <c r="C119" s="41"/>
      <c r="D119" s="41"/>
      <c r="E119" s="41"/>
      <c r="F119" s="41"/>
      <c r="G119" s="41"/>
      <c r="H119" s="41"/>
      <c r="I119" s="42"/>
      <c r="J119" s="41"/>
      <c r="K119" s="41"/>
      <c r="L119" s="43"/>
    </row>
    <row r="120" spans="2:12" hidden="1" outlineLevel="1">
      <c r="B120" s="7" t="str">
        <f t="shared" si="8"/>
        <v/>
      </c>
      <c r="C120" s="41"/>
      <c r="D120" s="41"/>
      <c r="E120" s="41"/>
      <c r="F120" s="41"/>
      <c r="G120" s="41"/>
      <c r="H120" s="41"/>
      <c r="I120" s="42"/>
      <c r="J120" s="41"/>
      <c r="K120" s="41"/>
      <c r="L120" s="43"/>
    </row>
    <row r="121" spans="2:12" hidden="1" outlineLevel="1">
      <c r="B121" s="7" t="str">
        <f t="shared" si="8"/>
        <v/>
      </c>
      <c r="C121" s="41"/>
      <c r="D121" s="41"/>
      <c r="E121" s="41"/>
      <c r="F121" s="41"/>
      <c r="G121" s="41"/>
      <c r="H121" s="41"/>
      <c r="I121" s="42"/>
      <c r="J121" s="41"/>
      <c r="K121" s="41"/>
      <c r="L121" s="43"/>
    </row>
    <row r="122" spans="2:12" hidden="1" outlineLevel="1">
      <c r="B122" s="7" t="str">
        <f t="shared" si="8"/>
        <v/>
      </c>
      <c r="C122" s="41"/>
      <c r="D122" s="41"/>
      <c r="E122" s="41"/>
      <c r="F122" s="41"/>
      <c r="G122" s="41"/>
      <c r="H122" s="41"/>
      <c r="I122" s="42"/>
      <c r="J122" s="41"/>
      <c r="K122" s="41"/>
      <c r="L122" s="43"/>
    </row>
    <row r="123" spans="2:12" hidden="1" outlineLevel="1">
      <c r="B123" s="7" t="str">
        <f t="shared" si="8"/>
        <v/>
      </c>
      <c r="C123" s="41"/>
      <c r="D123" s="41"/>
      <c r="E123" s="41"/>
      <c r="F123" s="41"/>
      <c r="G123" s="41"/>
      <c r="H123" s="41"/>
      <c r="I123" s="42"/>
      <c r="J123" s="41"/>
      <c r="K123" s="41"/>
      <c r="L123" s="43"/>
    </row>
    <row r="124" spans="2:12" hidden="1" outlineLevel="1">
      <c r="B124" s="7" t="str">
        <f t="shared" si="8"/>
        <v/>
      </c>
      <c r="C124" s="41"/>
      <c r="D124" s="41"/>
      <c r="E124" s="41"/>
      <c r="F124" s="41"/>
      <c r="G124" s="41"/>
      <c r="H124" s="41"/>
      <c r="I124" s="42"/>
      <c r="J124" s="41"/>
      <c r="K124" s="41"/>
      <c r="L124" s="43"/>
    </row>
    <row r="125" spans="2:12" hidden="1" outlineLevel="1">
      <c r="B125" s="7" t="str">
        <f t="shared" si="8"/>
        <v/>
      </c>
      <c r="C125" s="41"/>
      <c r="D125" s="41"/>
      <c r="E125" s="41"/>
      <c r="F125" s="41"/>
      <c r="G125" s="41"/>
      <c r="H125" s="41"/>
      <c r="I125" s="42"/>
      <c r="J125" s="41"/>
      <c r="K125" s="41"/>
      <c r="L125" s="43"/>
    </row>
    <row r="126" spans="2:12" hidden="1" outlineLevel="1">
      <c r="B126" s="7" t="str">
        <f t="shared" si="8"/>
        <v/>
      </c>
      <c r="C126" s="41"/>
      <c r="D126" s="41"/>
      <c r="E126" s="41"/>
      <c r="F126" s="41"/>
      <c r="G126" s="41"/>
      <c r="H126" s="41"/>
      <c r="I126" s="42"/>
      <c r="J126" s="41"/>
      <c r="K126" s="41"/>
      <c r="L126" s="43"/>
    </row>
    <row r="127" spans="2:12" hidden="1" outlineLevel="1">
      <c r="B127" s="7" t="str">
        <f t="shared" si="8"/>
        <v/>
      </c>
      <c r="C127" s="41"/>
      <c r="D127" s="41"/>
      <c r="E127" s="58"/>
      <c r="F127" s="41"/>
      <c r="G127" s="41"/>
      <c r="H127" s="41"/>
      <c r="I127" s="42"/>
      <c r="J127" s="41"/>
      <c r="K127" s="41"/>
      <c r="L127" s="43"/>
    </row>
    <row r="128" spans="2:12" hidden="1" outlineLevel="1">
      <c r="B128" s="7" t="str">
        <f t="shared" si="8"/>
        <v/>
      </c>
      <c r="C128" s="41"/>
      <c r="D128" s="41"/>
      <c r="E128" s="58"/>
      <c r="F128" s="41"/>
      <c r="G128" s="41"/>
      <c r="H128" s="41"/>
      <c r="I128" s="42"/>
      <c r="J128" s="41"/>
      <c r="K128" s="41"/>
      <c r="L128" s="43"/>
    </row>
    <row r="129" spans="2:12" hidden="1" outlineLevel="1">
      <c r="B129" s="7" t="str">
        <f t="shared" si="8"/>
        <v/>
      </c>
      <c r="C129" s="41"/>
      <c r="D129" s="41"/>
      <c r="E129" s="41"/>
      <c r="F129" s="41"/>
      <c r="G129" s="41"/>
      <c r="H129" s="41"/>
      <c r="I129" s="42"/>
      <c r="J129" s="41"/>
      <c r="K129" s="41"/>
      <c r="L129" s="43"/>
    </row>
    <row r="130" spans="2:12" hidden="1" outlineLevel="1">
      <c r="B130" s="7" t="str">
        <f t="shared" si="8"/>
        <v/>
      </c>
      <c r="C130" s="41"/>
      <c r="D130" s="41"/>
      <c r="E130" s="41"/>
      <c r="F130" s="41"/>
      <c r="G130" s="41"/>
      <c r="H130" s="41"/>
      <c r="I130" s="42"/>
      <c r="J130" s="41"/>
      <c r="K130" s="41"/>
      <c r="L130" s="43"/>
    </row>
    <row r="131" spans="2:12" hidden="1" outlineLevel="1">
      <c r="B131" s="7" t="str">
        <f t="shared" si="8"/>
        <v/>
      </c>
      <c r="C131" s="41"/>
      <c r="D131" s="41"/>
      <c r="E131" s="41"/>
      <c r="F131" s="41"/>
      <c r="G131" s="41"/>
      <c r="H131" s="41"/>
      <c r="I131" s="42"/>
      <c r="J131" s="41"/>
      <c r="K131" s="41"/>
      <c r="L131" s="43"/>
    </row>
    <row r="132" spans="2:12" hidden="1" outlineLevel="1">
      <c r="B132" s="7" t="str">
        <f t="shared" si="8"/>
        <v/>
      </c>
      <c r="C132" s="41"/>
      <c r="D132" s="41"/>
      <c r="E132" s="41"/>
      <c r="F132" s="41"/>
      <c r="G132" s="41"/>
      <c r="H132" s="41"/>
      <c r="I132" s="42"/>
      <c r="J132" s="41"/>
      <c r="K132" s="41"/>
      <c r="L132" s="43"/>
    </row>
    <row r="133" spans="2:12" hidden="1" outlineLevel="1">
      <c r="B133" s="7" t="str">
        <f t="shared" si="8"/>
        <v/>
      </c>
      <c r="C133" s="41"/>
      <c r="D133" s="41"/>
      <c r="E133" s="41"/>
      <c r="F133" s="41"/>
      <c r="G133" s="41"/>
      <c r="H133" s="41"/>
      <c r="I133" s="42"/>
      <c r="J133" s="41"/>
      <c r="K133" s="41"/>
      <c r="L133" s="43"/>
    </row>
    <row r="134" spans="2:12" hidden="1" outlineLevel="1">
      <c r="B134" s="7" t="str">
        <f t="shared" si="8"/>
        <v/>
      </c>
      <c r="C134" s="41"/>
      <c r="D134" s="41"/>
      <c r="E134" s="41"/>
      <c r="F134" s="41"/>
      <c r="G134" s="41"/>
      <c r="H134" s="41"/>
      <c r="I134" s="42"/>
      <c r="J134" s="41"/>
      <c r="K134" s="41"/>
      <c r="L134" s="43"/>
    </row>
    <row r="135" spans="2:12" hidden="1" outlineLevel="1">
      <c r="B135" s="7" t="str">
        <f t="shared" si="8"/>
        <v/>
      </c>
      <c r="C135" s="41"/>
      <c r="D135" s="41"/>
      <c r="E135" s="41"/>
      <c r="F135" s="41"/>
      <c r="G135" s="41"/>
      <c r="H135" s="41"/>
      <c r="I135" s="42"/>
      <c r="J135" s="41"/>
      <c r="K135" s="41"/>
      <c r="L135" s="43"/>
    </row>
    <row r="136" spans="2:12" hidden="1" outlineLevel="1">
      <c r="B136" s="7" t="str">
        <f t="shared" si="8"/>
        <v/>
      </c>
      <c r="C136" s="41"/>
      <c r="D136" s="41"/>
      <c r="E136" s="41"/>
      <c r="F136" s="41"/>
      <c r="G136" s="41"/>
      <c r="H136" s="41"/>
      <c r="I136" s="42"/>
      <c r="J136" s="41"/>
      <c r="K136" s="41"/>
      <c r="L136" s="43"/>
    </row>
    <row r="137" spans="2:12" hidden="1" outlineLevel="1">
      <c r="B137" s="7" t="str">
        <f t="shared" si="8"/>
        <v/>
      </c>
      <c r="C137" s="41"/>
      <c r="D137" s="41"/>
      <c r="E137" s="41"/>
      <c r="F137" s="41"/>
      <c r="G137" s="41"/>
      <c r="H137" s="41"/>
      <c r="I137" s="42"/>
      <c r="J137" s="41"/>
      <c r="K137" s="41"/>
      <c r="L137" s="43"/>
    </row>
    <row r="138" spans="2:12" hidden="1" outlineLevel="1">
      <c r="B138" s="7" t="str">
        <f t="shared" si="8"/>
        <v/>
      </c>
      <c r="C138" s="41"/>
      <c r="D138" s="41"/>
      <c r="E138" s="41"/>
      <c r="F138" s="41"/>
      <c r="G138" s="41"/>
      <c r="H138" s="41"/>
      <c r="I138" s="42"/>
      <c r="J138" s="41"/>
      <c r="K138" s="41"/>
      <c r="L138" s="43"/>
    </row>
    <row r="139" spans="2:12" hidden="1" outlineLevel="1">
      <c r="B139" s="7" t="str">
        <f t="shared" si="8"/>
        <v/>
      </c>
      <c r="C139" s="41"/>
      <c r="D139" s="41"/>
      <c r="E139" s="41"/>
      <c r="F139" s="41"/>
      <c r="G139" s="41"/>
      <c r="H139" s="41"/>
      <c r="I139" s="42"/>
      <c r="J139" s="41"/>
      <c r="K139" s="41"/>
      <c r="L139" s="43"/>
    </row>
    <row r="140" spans="2:12" hidden="1" outlineLevel="1">
      <c r="B140" s="7" t="str">
        <f t="shared" si="8"/>
        <v/>
      </c>
      <c r="C140" s="41"/>
      <c r="D140" s="41"/>
      <c r="E140" s="41"/>
      <c r="F140" s="41"/>
      <c r="G140" s="41"/>
      <c r="H140" s="41"/>
      <c r="I140" s="42"/>
      <c r="J140" s="41"/>
      <c r="K140" s="41"/>
      <c r="L140" s="43"/>
    </row>
    <row r="141" spans="2:12" hidden="1" outlineLevel="1">
      <c r="B141" s="7" t="str">
        <f t="shared" si="8"/>
        <v/>
      </c>
      <c r="C141" s="41"/>
      <c r="D141" s="41"/>
      <c r="E141" s="41"/>
      <c r="F141" s="41"/>
      <c r="G141" s="41"/>
      <c r="H141" s="41"/>
      <c r="I141" s="42"/>
      <c r="J141" s="41"/>
      <c r="K141" s="41"/>
      <c r="L141" s="43"/>
    </row>
    <row r="142" spans="2:12" hidden="1" outlineLevel="1">
      <c r="B142" s="7" t="str">
        <f t="shared" si="8"/>
        <v/>
      </c>
      <c r="C142" s="41"/>
      <c r="D142" s="41"/>
      <c r="E142" s="41"/>
      <c r="F142" s="41"/>
      <c r="G142" s="41"/>
      <c r="H142" s="41"/>
      <c r="I142" s="42"/>
      <c r="J142" s="41"/>
      <c r="K142" s="41"/>
      <c r="L142" s="43"/>
    </row>
    <row r="143" spans="2:12" hidden="1" outlineLevel="1">
      <c r="B143" s="7" t="str">
        <f t="shared" si="8"/>
        <v/>
      </c>
      <c r="C143" s="41"/>
      <c r="D143" s="41"/>
      <c r="E143" s="41"/>
      <c r="F143" s="41"/>
      <c r="G143" s="41"/>
      <c r="H143" s="41"/>
      <c r="I143" s="42"/>
      <c r="J143" s="41"/>
      <c r="K143" s="41"/>
      <c r="L143" s="43"/>
    </row>
    <row r="144" spans="2:12" hidden="1" outlineLevel="1">
      <c r="B144" s="7" t="str">
        <f t="shared" si="8"/>
        <v/>
      </c>
      <c r="C144" s="41"/>
      <c r="D144" s="41"/>
      <c r="E144" s="41"/>
      <c r="F144" s="41"/>
      <c r="G144" s="41"/>
      <c r="H144" s="41"/>
      <c r="I144" s="42"/>
      <c r="J144" s="41"/>
      <c r="K144" s="41"/>
      <c r="L144" s="43"/>
    </row>
    <row r="145" spans="2:12" hidden="1" outlineLevel="1">
      <c r="B145" s="7" t="str">
        <f t="shared" si="8"/>
        <v/>
      </c>
      <c r="C145" s="41"/>
      <c r="D145" s="41"/>
      <c r="E145" s="41"/>
      <c r="F145" s="41"/>
      <c r="G145" s="41"/>
      <c r="H145" s="41"/>
      <c r="I145" s="42"/>
      <c r="J145" s="41"/>
      <c r="K145" s="41"/>
      <c r="L145" s="43"/>
    </row>
    <row r="146" spans="2:12" hidden="1" outlineLevel="1">
      <c r="B146" s="7" t="str">
        <f t="shared" si="8"/>
        <v/>
      </c>
      <c r="C146" s="41"/>
      <c r="D146" s="41"/>
      <c r="E146" s="41"/>
      <c r="F146" s="41"/>
      <c r="G146" s="41"/>
      <c r="H146" s="41"/>
      <c r="I146" s="42"/>
      <c r="J146" s="41"/>
      <c r="K146" s="41"/>
      <c r="L146" s="43"/>
    </row>
    <row r="147" spans="2:12" hidden="1" outlineLevel="1">
      <c r="B147" s="7" t="str">
        <f t="shared" si="8"/>
        <v/>
      </c>
      <c r="C147" s="41"/>
      <c r="D147" s="41"/>
      <c r="E147" s="41"/>
      <c r="F147" s="41"/>
      <c r="G147" s="41"/>
      <c r="H147" s="41"/>
      <c r="I147" s="42"/>
      <c r="J147" s="41"/>
      <c r="K147" s="41"/>
      <c r="L147" s="43"/>
    </row>
    <row r="148" spans="2:12" hidden="1" outlineLevel="1">
      <c r="B148" s="7" t="str">
        <f t="shared" si="8"/>
        <v/>
      </c>
      <c r="C148" s="41"/>
      <c r="D148" s="41"/>
      <c r="E148" s="41"/>
      <c r="F148" s="41"/>
      <c r="G148" s="41"/>
      <c r="H148" s="41"/>
      <c r="I148" s="42"/>
      <c r="J148" s="41"/>
      <c r="K148" s="41"/>
      <c r="L148" s="43"/>
    </row>
    <row r="149" spans="2:12" hidden="1" outlineLevel="1">
      <c r="B149" s="7" t="str">
        <f t="shared" si="8"/>
        <v/>
      </c>
      <c r="C149" s="41"/>
      <c r="D149" s="41"/>
      <c r="E149" s="41"/>
      <c r="F149" s="41"/>
      <c r="G149" s="41"/>
      <c r="H149" s="41"/>
      <c r="I149" s="42"/>
      <c r="J149" s="41"/>
      <c r="K149" s="41"/>
      <c r="L149" s="43"/>
    </row>
    <row r="150" spans="2:12" hidden="1" outlineLevel="1">
      <c r="B150" s="7" t="str">
        <f t="shared" si="8"/>
        <v/>
      </c>
      <c r="C150" s="41"/>
      <c r="D150" s="41"/>
      <c r="E150" s="41"/>
      <c r="F150" s="41"/>
      <c r="G150" s="41"/>
      <c r="H150" s="41"/>
      <c r="I150" s="42"/>
      <c r="J150" s="41"/>
      <c r="K150" s="41"/>
      <c r="L150" s="43"/>
    </row>
    <row r="151" spans="2:12" hidden="1" outlineLevel="1">
      <c r="B151" s="7" t="str">
        <f t="shared" si="8"/>
        <v/>
      </c>
      <c r="C151" s="41"/>
      <c r="D151" s="41"/>
      <c r="E151" s="41"/>
      <c r="F151" s="41"/>
      <c r="G151" s="41"/>
      <c r="H151" s="41"/>
      <c r="I151" s="42"/>
      <c r="J151" s="41"/>
      <c r="K151" s="41"/>
      <c r="L151" s="43"/>
    </row>
    <row r="152" spans="2:12" hidden="1" outlineLevel="1">
      <c r="B152" s="7" t="str">
        <f t="shared" si="8"/>
        <v/>
      </c>
      <c r="C152" s="41"/>
      <c r="D152" s="41"/>
      <c r="E152" s="58"/>
      <c r="F152" s="41"/>
      <c r="G152" s="41"/>
      <c r="H152" s="41"/>
      <c r="I152" s="42"/>
      <c r="J152" s="41"/>
      <c r="K152" s="41"/>
      <c r="L152" s="43"/>
    </row>
    <row r="153" spans="2:12" hidden="1" outlineLevel="1">
      <c r="B153" s="7" t="str">
        <f t="shared" si="8"/>
        <v/>
      </c>
      <c r="C153" s="41"/>
      <c r="D153" s="41"/>
      <c r="E153" s="41"/>
      <c r="F153" s="41"/>
      <c r="G153" s="41"/>
      <c r="H153" s="41"/>
      <c r="I153" s="42"/>
      <c r="J153" s="41"/>
      <c r="K153" s="41"/>
      <c r="L153" s="43"/>
    </row>
    <row r="154" spans="2:12" hidden="1" outlineLevel="1">
      <c r="B154" s="7" t="str">
        <f t="shared" si="8"/>
        <v/>
      </c>
      <c r="C154" s="41"/>
      <c r="D154" s="41"/>
      <c r="E154" s="41"/>
      <c r="F154" s="41"/>
      <c r="G154" s="41"/>
      <c r="H154" s="41"/>
      <c r="I154" s="42"/>
      <c r="J154" s="41"/>
      <c r="K154" s="41"/>
      <c r="L154" s="43"/>
    </row>
    <row r="155" spans="2:12" hidden="1" outlineLevel="1">
      <c r="B155" s="7" t="str">
        <f t="shared" si="8"/>
        <v/>
      </c>
      <c r="C155" s="41"/>
      <c r="D155" s="41"/>
      <c r="E155" s="41"/>
      <c r="F155" s="41"/>
      <c r="G155" s="41"/>
      <c r="H155" s="41"/>
      <c r="I155" s="42"/>
      <c r="J155" s="41"/>
      <c r="K155" s="41"/>
      <c r="L155" s="43"/>
    </row>
    <row r="156" spans="2:12" hidden="1" outlineLevel="1">
      <c r="B156" s="7" t="str">
        <f t="shared" si="8"/>
        <v/>
      </c>
      <c r="C156" s="41"/>
      <c r="D156" s="41"/>
      <c r="E156" s="41"/>
      <c r="F156" s="41"/>
      <c r="G156" s="41"/>
      <c r="H156" s="41"/>
      <c r="I156" s="42"/>
      <c r="J156" s="41"/>
      <c r="K156" s="41"/>
      <c r="L156" s="43"/>
    </row>
    <row r="157" spans="2:12" hidden="1" outlineLevel="1">
      <c r="B157" s="7" t="str">
        <f t="shared" ref="B157:B220" si="9">IF(C157="","",(B156+1))</f>
        <v/>
      </c>
      <c r="C157" s="41"/>
      <c r="D157" s="41"/>
      <c r="E157" s="41"/>
      <c r="F157" s="41"/>
      <c r="G157" s="41"/>
      <c r="H157" s="41"/>
      <c r="I157" s="42"/>
      <c r="J157" s="41"/>
      <c r="K157" s="41"/>
      <c r="L157" s="43"/>
    </row>
    <row r="158" spans="2:12" hidden="1" outlineLevel="1">
      <c r="B158" s="7" t="str">
        <f t="shared" si="9"/>
        <v/>
      </c>
      <c r="C158" s="41"/>
      <c r="D158" s="41"/>
      <c r="E158" s="41"/>
      <c r="F158" s="41"/>
      <c r="G158" s="41"/>
      <c r="H158" s="41"/>
      <c r="I158" s="42"/>
      <c r="J158" s="41"/>
      <c r="K158" s="41"/>
      <c r="L158" s="43"/>
    </row>
    <row r="159" spans="2:12" hidden="1" outlineLevel="1">
      <c r="B159" s="7" t="str">
        <f t="shared" si="9"/>
        <v/>
      </c>
      <c r="C159" s="41"/>
      <c r="D159" s="41"/>
      <c r="E159" s="58"/>
      <c r="F159" s="41"/>
      <c r="G159" s="41"/>
      <c r="H159" s="41"/>
      <c r="I159" s="42"/>
      <c r="J159" s="41"/>
      <c r="K159" s="41"/>
      <c r="L159" s="43"/>
    </row>
    <row r="160" spans="2:12" hidden="1" outlineLevel="1">
      <c r="B160" s="7" t="str">
        <f t="shared" si="9"/>
        <v/>
      </c>
      <c r="C160" s="41"/>
      <c r="D160" s="41"/>
      <c r="E160" s="41"/>
      <c r="F160" s="41"/>
      <c r="G160" s="41"/>
      <c r="H160" s="41"/>
      <c r="I160" s="42"/>
      <c r="J160" s="41"/>
      <c r="K160" s="41"/>
      <c r="L160" s="43"/>
    </row>
    <row r="161" spans="2:12" hidden="1" outlineLevel="1">
      <c r="B161" s="7" t="str">
        <f t="shared" si="9"/>
        <v/>
      </c>
      <c r="C161" s="41"/>
      <c r="D161" s="41"/>
      <c r="E161" s="58"/>
      <c r="F161" s="41"/>
      <c r="G161" s="41"/>
      <c r="H161" s="41"/>
      <c r="I161" s="42"/>
      <c r="J161" s="41"/>
      <c r="K161" s="41"/>
      <c r="L161" s="43"/>
    </row>
    <row r="162" spans="2:12" hidden="1" outlineLevel="1">
      <c r="B162" s="7" t="str">
        <f t="shared" si="9"/>
        <v/>
      </c>
      <c r="C162" s="41"/>
      <c r="D162" s="41"/>
      <c r="E162" s="41"/>
      <c r="F162" s="41"/>
      <c r="G162" s="41"/>
      <c r="H162" s="41"/>
      <c r="I162" s="42"/>
      <c r="J162" s="41"/>
      <c r="K162" s="41"/>
      <c r="L162" s="43"/>
    </row>
    <row r="163" spans="2:12" hidden="1" outlineLevel="1">
      <c r="B163" s="7" t="str">
        <f t="shared" si="9"/>
        <v/>
      </c>
      <c r="C163" s="41"/>
      <c r="D163" s="41"/>
      <c r="E163" s="41"/>
      <c r="F163" s="41"/>
      <c r="G163" s="41"/>
      <c r="H163" s="41"/>
      <c r="I163" s="42"/>
      <c r="J163" s="41"/>
      <c r="K163" s="41"/>
      <c r="L163" s="43"/>
    </row>
    <row r="164" spans="2:12" hidden="1" outlineLevel="1">
      <c r="B164" s="7" t="str">
        <f t="shared" si="9"/>
        <v/>
      </c>
      <c r="C164" s="41"/>
      <c r="D164" s="41"/>
      <c r="E164" s="41"/>
      <c r="F164" s="41"/>
      <c r="G164" s="41"/>
      <c r="H164" s="41"/>
      <c r="I164" s="42"/>
      <c r="J164" s="41"/>
      <c r="K164" s="41"/>
      <c r="L164" s="43"/>
    </row>
    <row r="165" spans="2:12" hidden="1" outlineLevel="1">
      <c r="B165" s="7" t="str">
        <f t="shared" si="9"/>
        <v/>
      </c>
      <c r="C165" s="41"/>
      <c r="D165" s="41"/>
      <c r="E165" s="41"/>
      <c r="F165" s="41"/>
      <c r="G165" s="41"/>
      <c r="H165" s="41"/>
      <c r="I165" s="42"/>
      <c r="J165" s="41"/>
      <c r="K165" s="41"/>
      <c r="L165" s="43"/>
    </row>
    <row r="166" spans="2:12" hidden="1" outlineLevel="1">
      <c r="B166" s="7" t="str">
        <f t="shared" si="9"/>
        <v/>
      </c>
      <c r="C166" s="41"/>
      <c r="D166" s="41"/>
      <c r="E166" s="41"/>
      <c r="F166" s="41"/>
      <c r="G166" s="41"/>
      <c r="H166" s="41"/>
      <c r="I166" s="42"/>
      <c r="J166" s="41"/>
      <c r="K166" s="41"/>
      <c r="L166" s="43"/>
    </row>
    <row r="167" spans="2:12" hidden="1" outlineLevel="1">
      <c r="B167" s="7" t="str">
        <f t="shared" si="9"/>
        <v/>
      </c>
      <c r="C167" s="41"/>
      <c r="D167" s="41"/>
      <c r="E167" s="58"/>
      <c r="F167" s="41"/>
      <c r="G167" s="41"/>
      <c r="H167" s="41"/>
      <c r="I167" s="42"/>
      <c r="J167" s="41"/>
      <c r="K167" s="41"/>
      <c r="L167" s="43"/>
    </row>
    <row r="168" spans="2:12" hidden="1" outlineLevel="1">
      <c r="B168" s="7" t="str">
        <f t="shared" si="9"/>
        <v/>
      </c>
      <c r="C168" s="41"/>
      <c r="D168" s="41"/>
      <c r="E168" s="41"/>
      <c r="F168" s="41"/>
      <c r="G168" s="41"/>
      <c r="H168" s="41"/>
      <c r="I168" s="42"/>
      <c r="J168" s="41"/>
      <c r="K168" s="41"/>
      <c r="L168" s="43"/>
    </row>
    <row r="169" spans="2:12" hidden="1" outlineLevel="1">
      <c r="B169" s="7" t="str">
        <f t="shared" si="9"/>
        <v/>
      </c>
      <c r="C169" s="41"/>
      <c r="D169" s="41"/>
      <c r="E169" s="41"/>
      <c r="F169" s="41"/>
      <c r="G169" s="41"/>
      <c r="H169" s="41"/>
      <c r="I169" s="42"/>
      <c r="J169" s="41"/>
      <c r="K169" s="41"/>
      <c r="L169" s="43"/>
    </row>
    <row r="170" spans="2:12" hidden="1" outlineLevel="1">
      <c r="B170" s="7" t="str">
        <f t="shared" si="9"/>
        <v/>
      </c>
      <c r="C170" s="41"/>
      <c r="D170" s="41"/>
      <c r="E170" s="41"/>
      <c r="F170" s="41"/>
      <c r="G170" s="41"/>
      <c r="H170" s="41"/>
      <c r="I170" s="42"/>
      <c r="J170" s="41"/>
      <c r="K170" s="41"/>
      <c r="L170" s="43"/>
    </row>
    <row r="171" spans="2:12" hidden="1" outlineLevel="1">
      <c r="B171" s="7" t="str">
        <f t="shared" si="9"/>
        <v/>
      </c>
      <c r="C171" s="41"/>
      <c r="D171" s="41"/>
      <c r="E171" s="41"/>
      <c r="F171" s="41"/>
      <c r="G171" s="41"/>
      <c r="H171" s="41"/>
      <c r="I171" s="42"/>
      <c r="J171" s="41"/>
      <c r="K171" s="41"/>
      <c r="L171" s="43"/>
    </row>
    <row r="172" spans="2:12" hidden="1" outlineLevel="1">
      <c r="B172" s="7" t="str">
        <f t="shared" si="9"/>
        <v/>
      </c>
      <c r="C172" s="41"/>
      <c r="D172" s="41"/>
      <c r="E172" s="58"/>
      <c r="F172" s="41"/>
      <c r="G172" s="41"/>
      <c r="H172" s="41"/>
      <c r="I172" s="42"/>
      <c r="J172" s="41"/>
      <c r="K172" s="41"/>
      <c r="L172" s="43"/>
    </row>
    <row r="173" spans="2:12" hidden="1" outlineLevel="1">
      <c r="B173" s="7" t="str">
        <f t="shared" si="9"/>
        <v/>
      </c>
      <c r="C173" s="41"/>
      <c r="D173" s="41"/>
      <c r="E173" s="41"/>
      <c r="F173" s="41"/>
      <c r="G173" s="41"/>
      <c r="H173" s="41"/>
      <c r="I173" s="42"/>
      <c r="J173" s="41"/>
      <c r="K173" s="41"/>
      <c r="L173" s="43"/>
    </row>
    <row r="174" spans="2:12" hidden="1" outlineLevel="1">
      <c r="B174" s="7" t="str">
        <f t="shared" si="9"/>
        <v/>
      </c>
      <c r="C174" s="41"/>
      <c r="D174" s="41"/>
      <c r="E174" s="41"/>
      <c r="F174" s="41"/>
      <c r="G174" s="41"/>
      <c r="H174" s="41"/>
      <c r="I174" s="42"/>
      <c r="J174" s="41"/>
      <c r="K174" s="41"/>
      <c r="L174" s="43"/>
    </row>
    <row r="175" spans="2:12" hidden="1" outlineLevel="1">
      <c r="B175" s="7" t="str">
        <f t="shared" si="9"/>
        <v/>
      </c>
      <c r="C175" s="41"/>
      <c r="D175" s="41"/>
      <c r="E175" s="41"/>
      <c r="F175" s="41"/>
      <c r="G175" s="41"/>
      <c r="H175" s="41"/>
      <c r="I175" s="42"/>
      <c r="J175" s="41"/>
      <c r="K175" s="41"/>
      <c r="L175" s="43"/>
    </row>
    <row r="176" spans="2:12" hidden="1" outlineLevel="1">
      <c r="B176" s="7" t="str">
        <f t="shared" si="9"/>
        <v/>
      </c>
      <c r="C176" s="41"/>
      <c r="D176" s="41"/>
      <c r="E176" s="41"/>
      <c r="F176" s="41"/>
      <c r="G176" s="41"/>
      <c r="H176" s="41"/>
      <c r="I176" s="42"/>
      <c r="J176" s="41"/>
      <c r="K176" s="41"/>
      <c r="L176" s="43"/>
    </row>
    <row r="177" spans="2:12" hidden="1" outlineLevel="1">
      <c r="B177" s="7" t="str">
        <f t="shared" si="9"/>
        <v/>
      </c>
      <c r="C177" s="41"/>
      <c r="D177" s="41"/>
      <c r="E177" s="41"/>
      <c r="F177" s="41"/>
      <c r="G177" s="41"/>
      <c r="H177" s="41"/>
      <c r="I177" s="42"/>
      <c r="J177" s="41"/>
      <c r="K177" s="41"/>
      <c r="L177" s="43"/>
    </row>
    <row r="178" spans="2:12" hidden="1" outlineLevel="1">
      <c r="B178" s="7" t="str">
        <f t="shared" si="9"/>
        <v/>
      </c>
      <c r="C178" s="41"/>
      <c r="D178" s="41"/>
      <c r="E178" s="41"/>
      <c r="F178" s="41"/>
      <c r="G178" s="41"/>
      <c r="H178" s="41"/>
      <c r="I178" s="42"/>
      <c r="J178" s="41"/>
      <c r="K178" s="41"/>
      <c r="L178" s="43"/>
    </row>
    <row r="179" spans="2:12" hidden="1" outlineLevel="1">
      <c r="B179" s="7" t="str">
        <f t="shared" si="9"/>
        <v/>
      </c>
      <c r="C179" s="41"/>
      <c r="D179" s="41"/>
      <c r="E179" s="41"/>
      <c r="F179" s="41"/>
      <c r="G179" s="41"/>
      <c r="H179" s="41"/>
      <c r="I179" s="42"/>
      <c r="J179" s="41"/>
      <c r="K179" s="41"/>
      <c r="L179" s="43"/>
    </row>
    <row r="180" spans="2:12" hidden="1" outlineLevel="1">
      <c r="B180" s="7" t="str">
        <f t="shared" si="9"/>
        <v/>
      </c>
      <c r="C180" s="41"/>
      <c r="D180" s="41"/>
      <c r="E180" s="41"/>
      <c r="F180" s="41"/>
      <c r="G180" s="41"/>
      <c r="H180" s="41"/>
      <c r="I180" s="42"/>
      <c r="J180" s="41"/>
      <c r="K180" s="41"/>
      <c r="L180" s="43"/>
    </row>
    <row r="181" spans="2:12" hidden="1" outlineLevel="1">
      <c r="B181" s="7" t="str">
        <f t="shared" si="9"/>
        <v/>
      </c>
      <c r="C181" s="41"/>
      <c r="D181" s="41"/>
      <c r="E181" s="41"/>
      <c r="F181" s="41"/>
      <c r="G181" s="41"/>
      <c r="H181" s="41"/>
      <c r="I181" s="42"/>
      <c r="J181" s="41"/>
      <c r="K181" s="41"/>
      <c r="L181" s="43"/>
    </row>
    <row r="182" spans="2:12" hidden="1" outlineLevel="1">
      <c r="B182" s="7" t="str">
        <f t="shared" si="9"/>
        <v/>
      </c>
      <c r="C182" s="41"/>
      <c r="D182" s="41"/>
      <c r="E182" s="41"/>
      <c r="F182" s="41"/>
      <c r="G182" s="41"/>
      <c r="H182" s="41"/>
      <c r="I182" s="42"/>
      <c r="J182" s="41"/>
      <c r="K182" s="41"/>
      <c r="L182" s="43"/>
    </row>
    <row r="183" spans="2:12" hidden="1" outlineLevel="1">
      <c r="B183" s="7" t="str">
        <f t="shared" si="9"/>
        <v/>
      </c>
      <c r="C183" s="41"/>
      <c r="D183" s="41"/>
      <c r="E183" s="41"/>
      <c r="F183" s="41"/>
      <c r="G183" s="41"/>
      <c r="H183" s="41"/>
      <c r="I183" s="42"/>
      <c r="J183" s="41"/>
      <c r="K183" s="41"/>
      <c r="L183" s="43"/>
    </row>
    <row r="184" spans="2:12" hidden="1" outlineLevel="1">
      <c r="B184" s="7" t="str">
        <f t="shared" si="9"/>
        <v/>
      </c>
      <c r="C184" s="41"/>
      <c r="D184" s="41"/>
      <c r="E184" s="41"/>
      <c r="F184" s="41"/>
      <c r="G184" s="41"/>
      <c r="H184" s="41"/>
      <c r="I184" s="42"/>
      <c r="J184" s="41"/>
      <c r="K184" s="41"/>
      <c r="L184" s="43"/>
    </row>
    <row r="185" spans="2:12" hidden="1" outlineLevel="1">
      <c r="B185" s="7" t="str">
        <f t="shared" si="9"/>
        <v/>
      </c>
      <c r="C185" s="41"/>
      <c r="D185" s="41"/>
      <c r="E185" s="41"/>
      <c r="F185" s="41"/>
      <c r="G185" s="41"/>
      <c r="H185" s="41"/>
      <c r="I185" s="42"/>
      <c r="J185" s="41"/>
      <c r="K185" s="41"/>
      <c r="L185" s="43"/>
    </row>
    <row r="186" spans="2:12" hidden="1" outlineLevel="1">
      <c r="B186" s="7" t="str">
        <f t="shared" si="9"/>
        <v/>
      </c>
      <c r="C186" s="41"/>
      <c r="D186" s="41"/>
      <c r="E186" s="41"/>
      <c r="F186" s="41"/>
      <c r="G186" s="41"/>
      <c r="H186" s="41"/>
      <c r="I186" s="42"/>
      <c r="J186" s="41"/>
      <c r="K186" s="41"/>
      <c r="L186" s="43"/>
    </row>
    <row r="187" spans="2:12" hidden="1" outlineLevel="1">
      <c r="B187" s="7" t="str">
        <f t="shared" si="9"/>
        <v/>
      </c>
      <c r="C187" s="41"/>
      <c r="D187" s="41"/>
      <c r="E187" s="41"/>
      <c r="F187" s="41"/>
      <c r="G187" s="41"/>
      <c r="H187" s="41"/>
      <c r="I187" s="42"/>
      <c r="J187" s="41"/>
      <c r="K187" s="41"/>
      <c r="L187" s="43"/>
    </row>
    <row r="188" spans="2:12" hidden="1" outlineLevel="1">
      <c r="B188" s="7" t="str">
        <f t="shared" si="9"/>
        <v/>
      </c>
      <c r="C188" s="41"/>
      <c r="D188" s="41"/>
      <c r="E188" s="41"/>
      <c r="F188" s="41"/>
      <c r="G188" s="41"/>
      <c r="H188" s="41"/>
      <c r="I188" s="42"/>
      <c r="J188" s="41"/>
      <c r="K188" s="41"/>
      <c r="L188" s="43"/>
    </row>
    <row r="189" spans="2:12" hidden="1" outlineLevel="1">
      <c r="B189" s="7" t="str">
        <f t="shared" si="9"/>
        <v/>
      </c>
      <c r="C189" s="41"/>
      <c r="D189" s="41"/>
      <c r="E189" s="41"/>
      <c r="F189" s="41"/>
      <c r="G189" s="41"/>
      <c r="H189" s="41"/>
      <c r="I189" s="42"/>
      <c r="J189" s="41"/>
      <c r="K189" s="41"/>
      <c r="L189" s="43"/>
    </row>
    <row r="190" spans="2:12" hidden="1" outlineLevel="1">
      <c r="B190" s="7" t="str">
        <f t="shared" si="9"/>
        <v/>
      </c>
      <c r="C190" s="41"/>
      <c r="D190" s="41"/>
      <c r="E190" s="41"/>
      <c r="F190" s="41"/>
      <c r="G190" s="41"/>
      <c r="H190" s="41"/>
      <c r="I190" s="42"/>
      <c r="J190" s="41"/>
      <c r="K190" s="41"/>
      <c r="L190" s="43"/>
    </row>
    <row r="191" spans="2:12" hidden="1" outlineLevel="1">
      <c r="B191" s="7" t="str">
        <f t="shared" si="9"/>
        <v/>
      </c>
      <c r="C191" s="41"/>
      <c r="D191" s="41"/>
      <c r="E191" s="41"/>
      <c r="F191" s="41"/>
      <c r="G191" s="41"/>
      <c r="H191" s="41"/>
      <c r="I191" s="42"/>
      <c r="J191" s="41"/>
      <c r="K191" s="41"/>
      <c r="L191" s="43"/>
    </row>
    <row r="192" spans="2:12" hidden="1" outlineLevel="1">
      <c r="B192" s="7" t="str">
        <f t="shared" si="9"/>
        <v/>
      </c>
      <c r="C192" s="41"/>
      <c r="D192" s="41"/>
      <c r="E192" s="41"/>
      <c r="F192" s="41"/>
      <c r="G192" s="41"/>
      <c r="H192" s="41"/>
      <c r="I192" s="42"/>
      <c r="J192" s="41"/>
      <c r="K192" s="41"/>
      <c r="L192" s="43"/>
    </row>
    <row r="193" spans="2:12" hidden="1" outlineLevel="1">
      <c r="B193" s="7" t="str">
        <f t="shared" si="9"/>
        <v/>
      </c>
      <c r="C193" s="41"/>
      <c r="D193" s="41"/>
      <c r="E193" s="41"/>
      <c r="F193" s="41"/>
      <c r="G193" s="41"/>
      <c r="H193" s="41"/>
      <c r="I193" s="42"/>
      <c r="J193" s="41"/>
      <c r="K193" s="41"/>
      <c r="L193" s="43"/>
    </row>
    <row r="194" spans="2:12" hidden="1" outlineLevel="1">
      <c r="B194" s="7" t="str">
        <f t="shared" si="9"/>
        <v/>
      </c>
      <c r="C194" s="41"/>
      <c r="D194" s="41"/>
      <c r="E194" s="41"/>
      <c r="F194" s="41"/>
      <c r="G194" s="41"/>
      <c r="H194" s="41"/>
      <c r="I194" s="42"/>
      <c r="J194" s="41"/>
      <c r="K194" s="41"/>
      <c r="L194" s="43"/>
    </row>
    <row r="195" spans="2:12" hidden="1" outlineLevel="1">
      <c r="B195" s="7" t="str">
        <f t="shared" si="9"/>
        <v/>
      </c>
      <c r="C195" s="41"/>
      <c r="D195" s="41"/>
      <c r="E195" s="41"/>
      <c r="F195" s="41"/>
      <c r="G195" s="41"/>
      <c r="H195" s="41"/>
      <c r="I195" s="42"/>
      <c r="J195" s="41"/>
      <c r="K195" s="41"/>
      <c r="L195" s="43"/>
    </row>
    <row r="196" spans="2:12" hidden="1" outlineLevel="1">
      <c r="B196" s="7" t="str">
        <f t="shared" si="9"/>
        <v/>
      </c>
      <c r="C196" s="41"/>
      <c r="D196" s="41"/>
      <c r="E196" s="41"/>
      <c r="F196" s="41"/>
      <c r="G196" s="41"/>
      <c r="H196" s="41"/>
      <c r="I196" s="42"/>
      <c r="J196" s="41"/>
      <c r="K196" s="41"/>
      <c r="L196" s="43"/>
    </row>
    <row r="197" spans="2:12" hidden="1" outlineLevel="1">
      <c r="B197" s="7" t="str">
        <f t="shared" si="9"/>
        <v/>
      </c>
      <c r="C197" s="41"/>
      <c r="D197" s="41"/>
      <c r="E197" s="41"/>
      <c r="F197" s="41"/>
      <c r="G197" s="41"/>
      <c r="H197" s="41"/>
      <c r="I197" s="42"/>
      <c r="J197" s="41"/>
      <c r="K197" s="41"/>
      <c r="L197" s="43"/>
    </row>
    <row r="198" spans="2:12" hidden="1" outlineLevel="1">
      <c r="B198" s="7" t="str">
        <f t="shared" si="9"/>
        <v/>
      </c>
      <c r="C198" s="41"/>
      <c r="D198" s="41"/>
      <c r="E198" s="41"/>
      <c r="F198" s="41"/>
      <c r="G198" s="41"/>
      <c r="H198" s="41"/>
      <c r="I198" s="42"/>
      <c r="J198" s="41"/>
      <c r="K198" s="41"/>
      <c r="L198" s="43"/>
    </row>
    <row r="199" spans="2:12" hidden="1" outlineLevel="1">
      <c r="B199" s="7" t="str">
        <f t="shared" si="9"/>
        <v/>
      </c>
      <c r="C199" s="41"/>
      <c r="D199" s="41"/>
      <c r="E199" s="41"/>
      <c r="F199" s="41"/>
      <c r="G199" s="41"/>
      <c r="H199" s="41"/>
      <c r="I199" s="42"/>
      <c r="J199" s="41"/>
      <c r="K199" s="41"/>
      <c r="L199" s="43"/>
    </row>
    <row r="200" spans="2:12" hidden="1" outlineLevel="1">
      <c r="B200" s="7" t="str">
        <f t="shared" si="9"/>
        <v/>
      </c>
      <c r="C200" s="41"/>
      <c r="D200" s="41"/>
      <c r="E200" s="41"/>
      <c r="F200" s="41"/>
      <c r="G200" s="41"/>
      <c r="H200" s="41"/>
      <c r="I200" s="42"/>
      <c r="J200" s="41"/>
      <c r="K200" s="41"/>
      <c r="L200" s="43"/>
    </row>
    <row r="201" spans="2:12" hidden="1" outlineLevel="1">
      <c r="B201" s="7" t="str">
        <f t="shared" si="9"/>
        <v/>
      </c>
      <c r="C201" s="41"/>
      <c r="D201" s="41"/>
      <c r="E201" s="41"/>
      <c r="F201" s="41"/>
      <c r="G201" s="41"/>
      <c r="H201" s="41"/>
      <c r="I201" s="42"/>
      <c r="J201" s="41"/>
      <c r="K201" s="41"/>
      <c r="L201" s="43"/>
    </row>
    <row r="202" spans="2:12" hidden="1" outlineLevel="1">
      <c r="B202" s="7" t="str">
        <f t="shared" si="9"/>
        <v/>
      </c>
      <c r="C202" s="41"/>
      <c r="D202" s="41"/>
      <c r="E202" s="41"/>
      <c r="F202" s="41"/>
      <c r="G202" s="41"/>
      <c r="H202" s="41"/>
      <c r="I202" s="42"/>
      <c r="J202" s="41"/>
      <c r="K202" s="41"/>
      <c r="L202" s="43"/>
    </row>
    <row r="203" spans="2:12" hidden="1" outlineLevel="1">
      <c r="B203" s="7" t="str">
        <f t="shared" si="9"/>
        <v/>
      </c>
      <c r="C203" s="41"/>
      <c r="D203" s="41"/>
      <c r="E203" s="41"/>
      <c r="F203" s="41"/>
      <c r="G203" s="41"/>
      <c r="H203" s="41"/>
      <c r="I203" s="42"/>
      <c r="J203" s="41"/>
      <c r="K203" s="41"/>
      <c r="L203" s="43"/>
    </row>
    <row r="204" spans="2:12" hidden="1" outlineLevel="1">
      <c r="B204" s="7" t="str">
        <f t="shared" si="9"/>
        <v/>
      </c>
      <c r="C204" s="41"/>
      <c r="D204" s="41"/>
      <c r="E204" s="41"/>
      <c r="F204" s="41"/>
      <c r="G204" s="41"/>
      <c r="H204" s="41"/>
      <c r="I204" s="42"/>
      <c r="J204" s="41"/>
      <c r="K204" s="41"/>
      <c r="L204" s="43"/>
    </row>
    <row r="205" spans="2:12" hidden="1" outlineLevel="1">
      <c r="B205" s="7" t="str">
        <f t="shared" si="9"/>
        <v/>
      </c>
      <c r="C205" s="41"/>
      <c r="D205" s="41"/>
      <c r="E205" s="41"/>
      <c r="F205" s="41"/>
      <c r="G205" s="41"/>
      <c r="H205" s="41"/>
      <c r="I205" s="42"/>
      <c r="J205" s="41"/>
      <c r="K205" s="41"/>
      <c r="L205" s="43"/>
    </row>
    <row r="206" spans="2:12" hidden="1" outlineLevel="1">
      <c r="B206" s="7" t="str">
        <f t="shared" si="9"/>
        <v/>
      </c>
      <c r="C206" s="41"/>
      <c r="D206" s="41"/>
      <c r="E206" s="41"/>
      <c r="F206" s="41"/>
      <c r="G206" s="41"/>
      <c r="H206" s="41"/>
      <c r="I206" s="42"/>
      <c r="J206" s="41"/>
      <c r="K206" s="41"/>
      <c r="L206" s="43"/>
    </row>
    <row r="207" spans="2:12" hidden="1" outlineLevel="1">
      <c r="B207" s="7" t="str">
        <f t="shared" si="9"/>
        <v/>
      </c>
      <c r="C207" s="41"/>
      <c r="D207" s="41"/>
      <c r="E207" s="41"/>
      <c r="F207" s="41"/>
      <c r="G207" s="41"/>
      <c r="H207" s="41"/>
      <c r="I207" s="42"/>
      <c r="J207" s="41"/>
      <c r="K207" s="41"/>
      <c r="L207" s="43"/>
    </row>
    <row r="208" spans="2:12" hidden="1" outlineLevel="1">
      <c r="B208" s="7" t="str">
        <f t="shared" si="9"/>
        <v/>
      </c>
      <c r="C208" s="41"/>
      <c r="D208" s="41"/>
      <c r="E208" s="41"/>
      <c r="F208" s="41"/>
      <c r="G208" s="41"/>
      <c r="H208" s="41"/>
      <c r="I208" s="42"/>
      <c r="J208" s="41"/>
      <c r="K208" s="41"/>
      <c r="L208" s="43"/>
    </row>
    <row r="209" spans="2:12" hidden="1" outlineLevel="1">
      <c r="B209" s="7" t="str">
        <f t="shared" si="9"/>
        <v/>
      </c>
      <c r="C209" s="41"/>
      <c r="D209" s="41"/>
      <c r="E209" s="41"/>
      <c r="F209" s="41"/>
      <c r="G209" s="41"/>
      <c r="H209" s="41"/>
      <c r="I209" s="42"/>
      <c r="J209" s="41"/>
      <c r="K209" s="41"/>
      <c r="L209" s="43"/>
    </row>
    <row r="210" spans="2:12" hidden="1" outlineLevel="1">
      <c r="B210" s="7" t="str">
        <f t="shared" si="9"/>
        <v/>
      </c>
      <c r="C210" s="41"/>
      <c r="D210" s="41"/>
      <c r="E210" s="41"/>
      <c r="F210" s="41"/>
      <c r="G210" s="41"/>
      <c r="H210" s="41"/>
      <c r="I210" s="42"/>
      <c r="J210" s="41"/>
      <c r="K210" s="41"/>
      <c r="L210" s="43"/>
    </row>
    <row r="211" spans="2:12" hidden="1" outlineLevel="1">
      <c r="B211" s="7" t="str">
        <f t="shared" si="9"/>
        <v/>
      </c>
      <c r="C211" s="41"/>
      <c r="D211" s="41"/>
      <c r="E211" s="41"/>
      <c r="F211" s="41"/>
      <c r="G211" s="41"/>
      <c r="H211" s="41"/>
      <c r="I211" s="42"/>
      <c r="J211" s="41"/>
      <c r="K211" s="41"/>
      <c r="L211" s="43"/>
    </row>
    <row r="212" spans="2:12" hidden="1" outlineLevel="1">
      <c r="B212" s="7" t="str">
        <f t="shared" si="9"/>
        <v/>
      </c>
      <c r="C212" s="41"/>
      <c r="D212" s="41"/>
      <c r="E212" s="41"/>
      <c r="F212" s="41"/>
      <c r="G212" s="41"/>
      <c r="H212" s="41"/>
      <c r="I212" s="42"/>
      <c r="J212" s="41"/>
      <c r="K212" s="41"/>
      <c r="L212" s="43"/>
    </row>
    <row r="213" spans="2:12" hidden="1" outlineLevel="1">
      <c r="B213" s="7" t="str">
        <f t="shared" si="9"/>
        <v/>
      </c>
      <c r="C213" s="41"/>
      <c r="D213" s="41"/>
      <c r="E213" s="41"/>
      <c r="F213" s="41"/>
      <c r="G213" s="41"/>
      <c r="H213" s="41"/>
      <c r="I213" s="42"/>
      <c r="J213" s="41"/>
      <c r="K213" s="41"/>
      <c r="L213" s="43"/>
    </row>
    <row r="214" spans="2:12" hidden="1" outlineLevel="1">
      <c r="B214" s="7" t="str">
        <f t="shared" si="9"/>
        <v/>
      </c>
      <c r="C214" s="41"/>
      <c r="D214" s="41"/>
      <c r="E214" s="41"/>
      <c r="F214" s="41"/>
      <c r="G214" s="41"/>
      <c r="H214" s="41"/>
      <c r="I214" s="42"/>
      <c r="J214" s="41"/>
      <c r="K214" s="41"/>
      <c r="L214" s="43"/>
    </row>
    <row r="215" spans="2:12" hidden="1" outlineLevel="1">
      <c r="B215" s="7" t="str">
        <f t="shared" si="9"/>
        <v/>
      </c>
      <c r="C215" s="41"/>
      <c r="D215" s="41"/>
      <c r="E215" s="41"/>
      <c r="F215" s="41"/>
      <c r="G215" s="41"/>
      <c r="H215" s="41"/>
      <c r="I215" s="42"/>
      <c r="J215" s="41"/>
      <c r="K215" s="41"/>
      <c r="L215" s="43"/>
    </row>
    <row r="216" spans="2:12" hidden="1" outlineLevel="1">
      <c r="B216" s="7" t="str">
        <f t="shared" si="9"/>
        <v/>
      </c>
      <c r="C216" s="41"/>
      <c r="D216" s="41"/>
      <c r="E216" s="41"/>
      <c r="F216" s="41"/>
      <c r="G216" s="41"/>
      <c r="H216" s="41"/>
      <c r="I216" s="42"/>
      <c r="J216" s="41"/>
      <c r="K216" s="41"/>
      <c r="L216" s="43"/>
    </row>
    <row r="217" spans="2:12" hidden="1" outlineLevel="1">
      <c r="B217" s="7" t="str">
        <f t="shared" si="9"/>
        <v/>
      </c>
      <c r="C217" s="41"/>
      <c r="D217" s="41"/>
      <c r="E217" s="41"/>
      <c r="F217" s="41"/>
      <c r="G217" s="41"/>
      <c r="H217" s="41"/>
      <c r="I217" s="42"/>
      <c r="J217" s="41"/>
      <c r="K217" s="41"/>
      <c r="L217" s="43"/>
    </row>
    <row r="218" spans="2:12" hidden="1" outlineLevel="1">
      <c r="B218" s="7" t="str">
        <f t="shared" si="9"/>
        <v/>
      </c>
      <c r="C218" s="41"/>
      <c r="D218" s="41"/>
      <c r="E218" s="41"/>
      <c r="F218" s="41"/>
      <c r="G218" s="41"/>
      <c r="H218" s="41"/>
      <c r="I218" s="42"/>
      <c r="J218" s="41"/>
      <c r="K218" s="41"/>
      <c r="L218" s="43"/>
    </row>
    <row r="219" spans="2:12" hidden="1" outlineLevel="1">
      <c r="B219" s="7" t="str">
        <f t="shared" si="9"/>
        <v/>
      </c>
      <c r="C219" s="41"/>
      <c r="D219" s="41"/>
      <c r="E219" s="41"/>
      <c r="F219" s="41"/>
      <c r="G219" s="41"/>
      <c r="H219" s="41"/>
      <c r="I219" s="42"/>
      <c r="J219" s="41"/>
      <c r="K219" s="41"/>
      <c r="L219" s="43"/>
    </row>
    <row r="220" spans="2:12" hidden="1" outlineLevel="1">
      <c r="B220" s="7" t="str">
        <f t="shared" si="9"/>
        <v/>
      </c>
      <c r="C220" s="41"/>
      <c r="D220" s="41"/>
      <c r="E220" s="41"/>
      <c r="F220" s="41"/>
      <c r="G220" s="41"/>
      <c r="H220" s="41"/>
      <c r="I220" s="42"/>
      <c r="J220" s="41"/>
      <c r="K220" s="41"/>
      <c r="L220" s="43"/>
    </row>
    <row r="221" spans="2:12" hidden="1" outlineLevel="1">
      <c r="B221" s="7" t="str">
        <f t="shared" ref="B221:B284" si="10">IF(C221="","",(B220+1))</f>
        <v/>
      </c>
      <c r="C221" s="41"/>
      <c r="D221" s="41"/>
      <c r="E221" s="41"/>
      <c r="F221" s="41"/>
      <c r="G221" s="41"/>
      <c r="H221" s="41"/>
      <c r="I221" s="42"/>
      <c r="J221" s="41"/>
      <c r="K221" s="41"/>
      <c r="L221" s="43"/>
    </row>
    <row r="222" spans="2:12" hidden="1" outlineLevel="1">
      <c r="B222" s="7" t="str">
        <f t="shared" si="10"/>
        <v/>
      </c>
      <c r="C222" s="41"/>
      <c r="D222" s="41"/>
      <c r="E222" s="41"/>
      <c r="F222" s="41"/>
      <c r="G222" s="41"/>
      <c r="H222" s="41"/>
      <c r="I222" s="42"/>
      <c r="J222" s="41"/>
      <c r="K222" s="41"/>
      <c r="L222" s="43"/>
    </row>
    <row r="223" spans="2:12" hidden="1" outlineLevel="1">
      <c r="B223" s="7" t="str">
        <f t="shared" si="10"/>
        <v/>
      </c>
      <c r="C223" s="41"/>
      <c r="D223" s="41"/>
      <c r="E223" s="58"/>
      <c r="F223" s="41"/>
      <c r="G223" s="41"/>
      <c r="H223" s="41"/>
      <c r="I223" s="42"/>
      <c r="J223" s="41"/>
      <c r="K223" s="41"/>
      <c r="L223" s="43"/>
    </row>
    <row r="224" spans="2:12" hidden="1" outlineLevel="1">
      <c r="B224" s="7" t="str">
        <f t="shared" si="10"/>
        <v/>
      </c>
      <c r="C224" s="41"/>
      <c r="D224" s="41"/>
      <c r="E224" s="41"/>
      <c r="F224" s="41"/>
      <c r="G224" s="41"/>
      <c r="H224" s="41"/>
      <c r="I224" s="42"/>
      <c r="J224" s="41"/>
      <c r="K224" s="41"/>
      <c r="L224" s="43"/>
    </row>
    <row r="225" spans="2:12" hidden="1" outlineLevel="1">
      <c r="B225" s="7" t="str">
        <f t="shared" si="10"/>
        <v/>
      </c>
      <c r="C225" s="41"/>
      <c r="D225" s="41"/>
      <c r="E225" s="41"/>
      <c r="F225" s="41"/>
      <c r="G225" s="41"/>
      <c r="H225" s="41"/>
      <c r="I225" s="42"/>
      <c r="J225" s="41"/>
      <c r="K225" s="41"/>
      <c r="L225" s="43"/>
    </row>
    <row r="226" spans="2:12" hidden="1" outlineLevel="1">
      <c r="B226" s="7" t="str">
        <f t="shared" si="10"/>
        <v/>
      </c>
      <c r="C226" s="41"/>
      <c r="D226" s="41"/>
      <c r="E226" s="58"/>
      <c r="F226" s="41"/>
      <c r="G226" s="41"/>
      <c r="H226" s="41"/>
      <c r="I226" s="42"/>
      <c r="J226" s="41"/>
      <c r="K226" s="41"/>
      <c r="L226" s="43"/>
    </row>
    <row r="227" spans="2:12" hidden="1" outlineLevel="1">
      <c r="B227" s="7" t="str">
        <f t="shared" si="10"/>
        <v/>
      </c>
      <c r="C227" s="41"/>
      <c r="D227" s="41"/>
      <c r="E227" s="41"/>
      <c r="F227" s="41"/>
      <c r="G227" s="41"/>
      <c r="H227" s="41"/>
      <c r="I227" s="42"/>
      <c r="J227" s="41"/>
      <c r="K227" s="41"/>
      <c r="L227" s="43"/>
    </row>
    <row r="228" spans="2:12" hidden="1" outlineLevel="1">
      <c r="B228" s="7" t="str">
        <f t="shared" si="10"/>
        <v/>
      </c>
      <c r="C228" s="41"/>
      <c r="D228" s="41"/>
      <c r="E228" s="41"/>
      <c r="F228" s="41"/>
      <c r="G228" s="41"/>
      <c r="H228" s="41"/>
      <c r="I228" s="42"/>
      <c r="J228" s="41"/>
      <c r="K228" s="41"/>
      <c r="L228" s="43"/>
    </row>
    <row r="229" spans="2:12" hidden="1" outlineLevel="1">
      <c r="B229" s="7" t="str">
        <f t="shared" si="10"/>
        <v/>
      </c>
      <c r="C229" s="41"/>
      <c r="D229" s="41"/>
      <c r="E229" s="41"/>
      <c r="F229" s="41"/>
      <c r="G229" s="41"/>
      <c r="H229" s="41"/>
      <c r="I229" s="42"/>
      <c r="J229" s="41"/>
      <c r="K229" s="41"/>
      <c r="L229" s="43"/>
    </row>
    <row r="230" spans="2:12" hidden="1" outlineLevel="1">
      <c r="B230" s="7" t="str">
        <f t="shared" si="10"/>
        <v/>
      </c>
      <c r="C230" s="41"/>
      <c r="D230" s="41"/>
      <c r="E230" s="41"/>
      <c r="F230" s="41"/>
      <c r="G230" s="41"/>
      <c r="H230" s="41"/>
      <c r="I230" s="42"/>
      <c r="J230" s="41"/>
      <c r="K230" s="41"/>
      <c r="L230" s="43"/>
    </row>
    <row r="231" spans="2:12" hidden="1" outlineLevel="1">
      <c r="B231" s="7" t="str">
        <f t="shared" si="10"/>
        <v/>
      </c>
      <c r="C231" s="41"/>
      <c r="D231" s="41"/>
      <c r="E231" s="41"/>
      <c r="F231" s="41"/>
      <c r="G231" s="41"/>
      <c r="H231" s="41"/>
      <c r="I231" s="42"/>
      <c r="J231" s="41"/>
      <c r="K231" s="41"/>
      <c r="L231" s="43"/>
    </row>
    <row r="232" spans="2:12" hidden="1" outlineLevel="1">
      <c r="B232" s="7" t="str">
        <f t="shared" si="10"/>
        <v/>
      </c>
      <c r="C232" s="41"/>
      <c r="D232" s="41"/>
      <c r="E232" s="41"/>
      <c r="F232" s="41"/>
      <c r="G232" s="41"/>
      <c r="H232" s="41"/>
      <c r="I232" s="42"/>
      <c r="J232" s="41"/>
      <c r="K232" s="41"/>
      <c r="L232" s="43"/>
    </row>
    <row r="233" spans="2:12" hidden="1" outlineLevel="1">
      <c r="B233" s="7" t="str">
        <f t="shared" si="10"/>
        <v/>
      </c>
      <c r="C233" s="41"/>
      <c r="D233" s="41"/>
      <c r="E233" s="41"/>
      <c r="F233" s="41"/>
      <c r="G233" s="41"/>
      <c r="H233" s="41"/>
      <c r="I233" s="42"/>
      <c r="J233" s="41"/>
      <c r="K233" s="41"/>
      <c r="L233" s="43"/>
    </row>
    <row r="234" spans="2:12" hidden="1" outlineLevel="1">
      <c r="B234" s="7" t="str">
        <f t="shared" si="10"/>
        <v/>
      </c>
      <c r="C234" s="41"/>
      <c r="D234" s="41"/>
      <c r="E234" s="41"/>
      <c r="F234" s="41"/>
      <c r="G234" s="41"/>
      <c r="H234" s="41"/>
      <c r="I234" s="42"/>
      <c r="J234" s="41"/>
      <c r="K234" s="41"/>
      <c r="L234" s="43"/>
    </row>
    <row r="235" spans="2:12" hidden="1" outlineLevel="1">
      <c r="B235" s="7" t="str">
        <f t="shared" si="10"/>
        <v/>
      </c>
      <c r="C235" s="41"/>
      <c r="D235" s="41"/>
      <c r="E235" s="41"/>
      <c r="F235" s="41"/>
      <c r="G235" s="41"/>
      <c r="H235" s="41"/>
      <c r="I235" s="42"/>
      <c r="J235" s="41"/>
      <c r="K235" s="41"/>
      <c r="L235" s="43"/>
    </row>
    <row r="236" spans="2:12" hidden="1" outlineLevel="1">
      <c r="B236" s="7" t="str">
        <f t="shared" si="10"/>
        <v/>
      </c>
      <c r="C236" s="41"/>
      <c r="D236" s="41"/>
      <c r="E236" s="41"/>
      <c r="F236" s="41"/>
      <c r="G236" s="41"/>
      <c r="H236" s="41"/>
      <c r="I236" s="42"/>
      <c r="J236" s="41"/>
      <c r="K236" s="41"/>
      <c r="L236" s="43"/>
    </row>
    <row r="237" spans="2:12" hidden="1" outlineLevel="1">
      <c r="B237" s="7" t="str">
        <f t="shared" si="10"/>
        <v/>
      </c>
      <c r="C237" s="41"/>
      <c r="D237" s="41"/>
      <c r="E237" s="41"/>
      <c r="F237" s="41"/>
      <c r="G237" s="41"/>
      <c r="H237" s="41"/>
      <c r="I237" s="42"/>
      <c r="J237" s="41"/>
      <c r="K237" s="41"/>
      <c r="L237" s="43"/>
    </row>
    <row r="238" spans="2:12" hidden="1" outlineLevel="1">
      <c r="B238" s="7" t="str">
        <f t="shared" si="10"/>
        <v/>
      </c>
      <c r="C238" s="41"/>
      <c r="D238" s="41"/>
      <c r="E238" s="41"/>
      <c r="F238" s="41"/>
      <c r="G238" s="41"/>
      <c r="H238" s="41"/>
      <c r="I238" s="42"/>
      <c r="J238" s="41"/>
      <c r="K238" s="41"/>
      <c r="L238" s="43"/>
    </row>
    <row r="239" spans="2:12" hidden="1" outlineLevel="1">
      <c r="B239" s="7" t="str">
        <f t="shared" si="10"/>
        <v/>
      </c>
      <c r="C239" s="41"/>
      <c r="D239" s="41"/>
      <c r="E239" s="41"/>
      <c r="F239" s="41"/>
      <c r="G239" s="41"/>
      <c r="H239" s="41"/>
      <c r="I239" s="42"/>
      <c r="J239" s="41"/>
      <c r="K239" s="41"/>
      <c r="L239" s="43"/>
    </row>
    <row r="240" spans="2:12" hidden="1" outlineLevel="1">
      <c r="B240" s="7" t="str">
        <f t="shared" si="10"/>
        <v/>
      </c>
      <c r="C240" s="41"/>
      <c r="D240" s="41"/>
      <c r="E240" s="41"/>
      <c r="F240" s="41"/>
      <c r="G240" s="41"/>
      <c r="H240" s="41"/>
      <c r="I240" s="42"/>
      <c r="J240" s="41"/>
      <c r="K240" s="41"/>
      <c r="L240" s="43"/>
    </row>
    <row r="241" spans="2:12" hidden="1" outlineLevel="1">
      <c r="B241" s="7" t="str">
        <f t="shared" si="10"/>
        <v/>
      </c>
      <c r="C241" s="41"/>
      <c r="D241" s="41"/>
      <c r="E241" s="41"/>
      <c r="F241" s="41"/>
      <c r="G241" s="41"/>
      <c r="H241" s="41"/>
      <c r="I241" s="42"/>
      <c r="J241" s="41"/>
      <c r="K241" s="41"/>
      <c r="L241" s="43"/>
    </row>
    <row r="242" spans="2:12" hidden="1" outlineLevel="1">
      <c r="B242" s="7" t="str">
        <f t="shared" si="10"/>
        <v/>
      </c>
      <c r="C242" s="41"/>
      <c r="D242" s="41"/>
      <c r="E242" s="41"/>
      <c r="F242" s="41"/>
      <c r="G242" s="41"/>
      <c r="H242" s="41"/>
      <c r="I242" s="42"/>
      <c r="J242" s="41"/>
      <c r="K242" s="41"/>
      <c r="L242" s="43"/>
    </row>
    <row r="243" spans="2:12" hidden="1" outlineLevel="1">
      <c r="B243" s="7" t="str">
        <f t="shared" si="10"/>
        <v/>
      </c>
      <c r="C243" s="41"/>
      <c r="D243" s="41"/>
      <c r="E243" s="58"/>
      <c r="F243" s="41"/>
      <c r="G243" s="41"/>
      <c r="H243" s="41"/>
      <c r="I243" s="42"/>
      <c r="J243" s="41"/>
      <c r="K243" s="41"/>
      <c r="L243" s="43"/>
    </row>
    <row r="244" spans="2:12" hidden="1" outlineLevel="1">
      <c r="B244" s="7" t="str">
        <f t="shared" si="10"/>
        <v/>
      </c>
      <c r="C244" s="41"/>
      <c r="D244" s="41"/>
      <c r="E244" s="41"/>
      <c r="F244" s="41"/>
      <c r="G244" s="41"/>
      <c r="H244" s="41"/>
      <c r="I244" s="42"/>
      <c r="J244" s="41"/>
      <c r="K244" s="41"/>
      <c r="L244" s="43"/>
    </row>
    <row r="245" spans="2:12" hidden="1" outlineLevel="1">
      <c r="B245" s="7" t="str">
        <f t="shared" si="10"/>
        <v/>
      </c>
      <c r="C245" s="41"/>
      <c r="D245" s="41"/>
      <c r="E245" s="41"/>
      <c r="F245" s="41"/>
      <c r="G245" s="41"/>
      <c r="H245" s="41"/>
      <c r="I245" s="42"/>
      <c r="J245" s="41"/>
      <c r="K245" s="41"/>
      <c r="L245" s="43"/>
    </row>
    <row r="246" spans="2:12" hidden="1" outlineLevel="1">
      <c r="B246" s="7" t="str">
        <f t="shared" si="10"/>
        <v/>
      </c>
      <c r="C246" s="41"/>
      <c r="D246" s="41"/>
      <c r="E246" s="41"/>
      <c r="F246" s="41"/>
      <c r="G246" s="41"/>
      <c r="H246" s="41"/>
      <c r="I246" s="42"/>
      <c r="J246" s="41"/>
      <c r="K246" s="41"/>
      <c r="L246" s="43"/>
    </row>
    <row r="247" spans="2:12" hidden="1" outlineLevel="1">
      <c r="B247" s="7" t="str">
        <f t="shared" si="10"/>
        <v/>
      </c>
      <c r="C247" s="41"/>
      <c r="D247" s="41"/>
      <c r="E247" s="41"/>
      <c r="F247" s="41"/>
      <c r="G247" s="41"/>
      <c r="H247" s="41"/>
      <c r="I247" s="42"/>
      <c r="J247" s="41"/>
      <c r="K247" s="41"/>
      <c r="L247" s="43"/>
    </row>
    <row r="248" spans="2:12" hidden="1" outlineLevel="1">
      <c r="B248" s="7" t="str">
        <f t="shared" si="10"/>
        <v/>
      </c>
      <c r="C248" s="41"/>
      <c r="D248" s="41"/>
      <c r="E248" s="41"/>
      <c r="F248" s="41"/>
      <c r="G248" s="41"/>
      <c r="H248" s="41"/>
      <c r="I248" s="42"/>
      <c r="J248" s="41"/>
      <c r="K248" s="41"/>
      <c r="L248" s="43"/>
    </row>
    <row r="249" spans="2:12" hidden="1" outlineLevel="1">
      <c r="B249" s="7" t="str">
        <f t="shared" si="10"/>
        <v/>
      </c>
      <c r="C249" s="41"/>
      <c r="D249" s="41"/>
      <c r="E249" s="58"/>
      <c r="F249" s="41"/>
      <c r="G249" s="41"/>
      <c r="H249" s="41"/>
      <c r="I249" s="42"/>
      <c r="J249" s="41"/>
      <c r="K249" s="41"/>
      <c r="L249" s="43"/>
    </row>
    <row r="250" spans="2:12" hidden="1" outlineLevel="1">
      <c r="B250" s="7" t="str">
        <f t="shared" si="10"/>
        <v/>
      </c>
      <c r="C250" s="41"/>
      <c r="D250" s="41"/>
      <c r="E250" s="41"/>
      <c r="F250" s="41"/>
      <c r="G250" s="41"/>
      <c r="H250" s="41"/>
      <c r="I250" s="42"/>
      <c r="J250" s="41"/>
      <c r="K250" s="41"/>
      <c r="L250" s="43"/>
    </row>
    <row r="251" spans="2:12" hidden="1" outlineLevel="1">
      <c r="B251" s="7" t="str">
        <f t="shared" si="10"/>
        <v/>
      </c>
      <c r="C251" s="41"/>
      <c r="D251" s="41"/>
      <c r="E251" s="41"/>
      <c r="F251" s="41"/>
      <c r="G251" s="41"/>
      <c r="H251" s="41"/>
      <c r="I251" s="42"/>
      <c r="J251" s="41"/>
      <c r="K251" s="41"/>
      <c r="L251" s="43"/>
    </row>
    <row r="252" spans="2:12" hidden="1" outlineLevel="1">
      <c r="B252" s="7" t="str">
        <f t="shared" si="10"/>
        <v/>
      </c>
      <c r="C252" s="41"/>
      <c r="D252" s="41"/>
      <c r="E252" s="58"/>
      <c r="F252" s="41"/>
      <c r="G252" s="41"/>
      <c r="H252" s="41"/>
      <c r="I252" s="42"/>
      <c r="J252" s="41"/>
      <c r="K252" s="41"/>
      <c r="L252" s="43"/>
    </row>
    <row r="253" spans="2:12" hidden="1" outlineLevel="1">
      <c r="B253" s="7" t="str">
        <f t="shared" si="10"/>
        <v/>
      </c>
      <c r="C253" s="41"/>
      <c r="D253" s="41"/>
      <c r="E253" s="58"/>
      <c r="F253" s="41"/>
      <c r="G253" s="41"/>
      <c r="H253" s="41"/>
      <c r="I253" s="42"/>
      <c r="J253" s="41"/>
      <c r="K253" s="41"/>
      <c r="L253" s="43"/>
    </row>
    <row r="254" spans="2:12" hidden="1" outlineLevel="1">
      <c r="B254" s="7" t="str">
        <f t="shared" si="10"/>
        <v/>
      </c>
      <c r="C254" s="41"/>
      <c r="D254" s="41"/>
      <c r="E254" s="58"/>
      <c r="F254" s="41"/>
      <c r="G254" s="41"/>
      <c r="H254" s="41"/>
      <c r="I254" s="42"/>
      <c r="J254" s="41"/>
      <c r="K254" s="41"/>
      <c r="L254" s="43"/>
    </row>
    <row r="255" spans="2:12" hidden="1" outlineLevel="1">
      <c r="B255" s="7" t="str">
        <f t="shared" si="10"/>
        <v/>
      </c>
      <c r="C255" s="41"/>
      <c r="D255" s="41"/>
      <c r="E255" s="41"/>
      <c r="F255" s="41"/>
      <c r="G255" s="41"/>
      <c r="H255" s="41"/>
      <c r="I255" s="42"/>
      <c r="J255" s="41"/>
      <c r="K255" s="41"/>
      <c r="L255" s="43"/>
    </row>
    <row r="256" spans="2:12" hidden="1" outlineLevel="1">
      <c r="B256" s="7" t="str">
        <f t="shared" si="10"/>
        <v/>
      </c>
      <c r="C256" s="41"/>
      <c r="D256" s="41"/>
      <c r="E256" s="41"/>
      <c r="F256" s="41"/>
      <c r="G256" s="41"/>
      <c r="H256" s="41"/>
      <c r="I256" s="42"/>
      <c r="J256" s="41"/>
      <c r="K256" s="41"/>
      <c r="L256" s="43"/>
    </row>
    <row r="257" spans="2:12" hidden="1" outlineLevel="1">
      <c r="B257" s="7" t="str">
        <f t="shared" si="10"/>
        <v/>
      </c>
      <c r="C257" s="41"/>
      <c r="D257" s="41"/>
      <c r="E257" s="41"/>
      <c r="F257" s="41"/>
      <c r="G257" s="41"/>
      <c r="H257" s="41"/>
      <c r="I257" s="42"/>
      <c r="J257" s="41"/>
      <c r="K257" s="41"/>
      <c r="L257" s="43"/>
    </row>
    <row r="258" spans="2:12" hidden="1" outlineLevel="1">
      <c r="B258" s="7" t="str">
        <f t="shared" si="10"/>
        <v/>
      </c>
      <c r="C258" s="41"/>
      <c r="D258" s="41"/>
      <c r="E258" s="41"/>
      <c r="F258" s="41"/>
      <c r="G258" s="41"/>
      <c r="H258" s="41"/>
      <c r="I258" s="42"/>
      <c r="J258" s="41"/>
      <c r="K258" s="41"/>
      <c r="L258" s="43"/>
    </row>
    <row r="259" spans="2:12" hidden="1" outlineLevel="1">
      <c r="B259" s="7" t="str">
        <f t="shared" si="10"/>
        <v/>
      </c>
      <c r="C259" s="41"/>
      <c r="D259" s="41"/>
      <c r="E259" s="41"/>
      <c r="F259" s="41"/>
      <c r="G259" s="41"/>
      <c r="H259" s="41"/>
      <c r="I259" s="42"/>
      <c r="J259" s="41"/>
      <c r="K259" s="41"/>
      <c r="L259" s="43"/>
    </row>
    <row r="260" spans="2:12" hidden="1" outlineLevel="1">
      <c r="B260" s="7" t="str">
        <f t="shared" si="10"/>
        <v/>
      </c>
      <c r="C260" s="41"/>
      <c r="D260" s="41"/>
      <c r="E260" s="41"/>
      <c r="F260" s="41"/>
      <c r="G260" s="41"/>
      <c r="H260" s="41"/>
      <c r="I260" s="42"/>
      <c r="J260" s="41"/>
      <c r="K260" s="41"/>
      <c r="L260" s="43"/>
    </row>
    <row r="261" spans="2:12" hidden="1" outlineLevel="1">
      <c r="B261" s="7" t="str">
        <f t="shared" si="10"/>
        <v/>
      </c>
      <c r="C261" s="41"/>
      <c r="D261" s="41"/>
      <c r="E261" s="41"/>
      <c r="F261" s="41"/>
      <c r="G261" s="41"/>
      <c r="H261" s="41"/>
      <c r="I261" s="42"/>
      <c r="J261" s="41"/>
      <c r="K261" s="41"/>
      <c r="L261" s="43"/>
    </row>
    <row r="262" spans="2:12" hidden="1" outlineLevel="1">
      <c r="B262" s="7" t="str">
        <f t="shared" si="10"/>
        <v/>
      </c>
      <c r="C262" s="41"/>
      <c r="D262" s="41"/>
      <c r="E262" s="41"/>
      <c r="F262" s="41"/>
      <c r="G262" s="41"/>
      <c r="H262" s="41"/>
      <c r="I262" s="42"/>
      <c r="J262" s="41"/>
      <c r="K262" s="41"/>
      <c r="L262" s="43"/>
    </row>
    <row r="263" spans="2:12" hidden="1" outlineLevel="1">
      <c r="B263" s="7" t="str">
        <f t="shared" si="10"/>
        <v/>
      </c>
      <c r="C263" s="41"/>
      <c r="D263" s="41"/>
      <c r="E263" s="41"/>
      <c r="F263" s="41"/>
      <c r="G263" s="41"/>
      <c r="H263" s="41"/>
      <c r="I263" s="42"/>
      <c r="J263" s="41"/>
      <c r="K263" s="41"/>
      <c r="L263" s="43"/>
    </row>
    <row r="264" spans="2:12" hidden="1" outlineLevel="1">
      <c r="B264" s="7" t="str">
        <f t="shared" si="10"/>
        <v/>
      </c>
      <c r="C264" s="41"/>
      <c r="D264" s="41"/>
      <c r="E264" s="41"/>
      <c r="F264" s="41"/>
      <c r="G264" s="41"/>
      <c r="H264" s="41"/>
      <c r="I264" s="42"/>
      <c r="J264" s="41"/>
      <c r="K264" s="41"/>
      <c r="L264" s="43"/>
    </row>
    <row r="265" spans="2:12" hidden="1" outlineLevel="1">
      <c r="B265" s="7" t="str">
        <f t="shared" si="10"/>
        <v/>
      </c>
      <c r="C265" s="41"/>
      <c r="D265" s="41"/>
      <c r="E265" s="41"/>
      <c r="F265" s="41"/>
      <c r="G265" s="41"/>
      <c r="H265" s="41"/>
      <c r="I265" s="42"/>
      <c r="J265" s="41"/>
      <c r="K265" s="41"/>
      <c r="L265" s="43"/>
    </row>
    <row r="266" spans="2:12" hidden="1" outlineLevel="1">
      <c r="B266" s="7" t="str">
        <f t="shared" si="10"/>
        <v/>
      </c>
      <c r="C266" s="41"/>
      <c r="D266" s="41"/>
      <c r="E266" s="58"/>
      <c r="F266" s="41"/>
      <c r="G266" s="41"/>
      <c r="H266" s="41"/>
      <c r="I266" s="42"/>
      <c r="J266" s="41"/>
      <c r="K266" s="41"/>
      <c r="L266" s="43"/>
    </row>
    <row r="267" spans="2:12" hidden="1" outlineLevel="1">
      <c r="B267" s="7" t="str">
        <f t="shared" si="10"/>
        <v/>
      </c>
      <c r="C267" s="41"/>
      <c r="D267" s="41"/>
      <c r="E267" s="41"/>
      <c r="F267" s="41"/>
      <c r="G267" s="41"/>
      <c r="H267" s="41"/>
      <c r="I267" s="42"/>
      <c r="J267" s="41"/>
      <c r="K267" s="41"/>
      <c r="L267" s="43"/>
    </row>
    <row r="268" spans="2:12" hidden="1" outlineLevel="1">
      <c r="B268" s="7" t="str">
        <f t="shared" si="10"/>
        <v/>
      </c>
      <c r="C268" s="41"/>
      <c r="D268" s="41"/>
      <c r="E268" s="58"/>
      <c r="F268" s="41"/>
      <c r="G268" s="41"/>
      <c r="H268" s="41"/>
      <c r="I268" s="42"/>
      <c r="J268" s="41"/>
      <c r="K268" s="41"/>
      <c r="L268" s="43"/>
    </row>
    <row r="269" spans="2:12" hidden="1" outlineLevel="1">
      <c r="B269" s="7" t="str">
        <f t="shared" si="10"/>
        <v/>
      </c>
      <c r="C269" s="41"/>
      <c r="D269" s="41"/>
      <c r="E269" s="41"/>
      <c r="F269" s="41"/>
      <c r="G269" s="41"/>
      <c r="H269" s="41"/>
      <c r="I269" s="42"/>
      <c r="J269" s="41"/>
      <c r="K269" s="41"/>
      <c r="L269" s="43"/>
    </row>
    <row r="270" spans="2:12" hidden="1" outlineLevel="1">
      <c r="B270" s="7" t="str">
        <f t="shared" si="10"/>
        <v/>
      </c>
      <c r="C270" s="41"/>
      <c r="D270" s="41"/>
      <c r="E270" s="58"/>
      <c r="F270" s="41"/>
      <c r="G270" s="41"/>
      <c r="H270" s="41"/>
      <c r="I270" s="42"/>
      <c r="J270" s="41"/>
      <c r="K270" s="41"/>
      <c r="L270" s="43"/>
    </row>
    <row r="271" spans="2:12" hidden="1" outlineLevel="1">
      <c r="B271" s="7" t="str">
        <f t="shared" si="10"/>
        <v/>
      </c>
      <c r="C271" s="41"/>
      <c r="D271" s="41"/>
      <c r="E271" s="41"/>
      <c r="F271" s="41"/>
      <c r="G271" s="41"/>
      <c r="H271" s="41"/>
      <c r="I271" s="42"/>
      <c r="J271" s="41"/>
      <c r="K271" s="41"/>
      <c r="L271" s="43"/>
    </row>
    <row r="272" spans="2:12" hidden="1" outlineLevel="1">
      <c r="B272" s="7" t="str">
        <f t="shared" si="10"/>
        <v/>
      </c>
      <c r="C272" s="41"/>
      <c r="D272" s="41"/>
      <c r="E272" s="58"/>
      <c r="F272" s="41"/>
      <c r="G272" s="41"/>
      <c r="H272" s="41"/>
      <c r="I272" s="42"/>
      <c r="J272" s="41"/>
      <c r="K272" s="41"/>
      <c r="L272" s="43"/>
    </row>
    <row r="273" spans="2:12" hidden="1" outlineLevel="1">
      <c r="B273" s="7" t="str">
        <f t="shared" si="10"/>
        <v/>
      </c>
      <c r="C273" s="41"/>
      <c r="D273" s="41"/>
      <c r="E273" s="41"/>
      <c r="F273" s="41"/>
      <c r="G273" s="41"/>
      <c r="H273" s="41"/>
      <c r="I273" s="42"/>
      <c r="J273" s="41"/>
      <c r="K273" s="41"/>
      <c r="L273" s="43"/>
    </row>
    <row r="274" spans="2:12" hidden="1" outlineLevel="1">
      <c r="B274" s="7" t="str">
        <f t="shared" si="10"/>
        <v/>
      </c>
      <c r="C274" s="41"/>
      <c r="D274" s="41"/>
      <c r="E274" s="41"/>
      <c r="F274" s="41"/>
      <c r="G274" s="41"/>
      <c r="H274" s="41"/>
      <c r="I274" s="42"/>
      <c r="J274" s="41"/>
      <c r="K274" s="41"/>
      <c r="L274" s="43"/>
    </row>
    <row r="275" spans="2:12" hidden="1" outlineLevel="1">
      <c r="B275" s="7" t="str">
        <f t="shared" si="10"/>
        <v/>
      </c>
      <c r="C275" s="41"/>
      <c r="D275" s="41"/>
      <c r="E275" s="41"/>
      <c r="F275" s="41"/>
      <c r="G275" s="41"/>
      <c r="H275" s="41"/>
      <c r="I275" s="42"/>
      <c r="J275" s="41"/>
      <c r="K275" s="41"/>
      <c r="L275" s="43"/>
    </row>
    <row r="276" spans="2:12" hidden="1" outlineLevel="1">
      <c r="B276" s="7" t="str">
        <f t="shared" si="10"/>
        <v/>
      </c>
      <c r="C276" s="41"/>
      <c r="D276" s="41"/>
      <c r="E276" s="58"/>
      <c r="F276" s="41"/>
      <c r="G276" s="41"/>
      <c r="H276" s="41"/>
      <c r="I276" s="42"/>
      <c r="J276" s="41"/>
      <c r="K276" s="41"/>
      <c r="L276" s="43"/>
    </row>
    <row r="277" spans="2:12" hidden="1" outlineLevel="1">
      <c r="B277" s="7" t="str">
        <f t="shared" si="10"/>
        <v/>
      </c>
      <c r="C277" s="41"/>
      <c r="D277" s="41"/>
      <c r="E277" s="41"/>
      <c r="F277" s="41"/>
      <c r="G277" s="41"/>
      <c r="H277" s="41"/>
      <c r="I277" s="42"/>
      <c r="J277" s="41"/>
      <c r="K277" s="41"/>
      <c r="L277" s="43"/>
    </row>
    <row r="278" spans="2:12" hidden="1" outlineLevel="1">
      <c r="B278" s="7" t="str">
        <f t="shared" si="10"/>
        <v/>
      </c>
      <c r="C278" s="41"/>
      <c r="D278" s="41"/>
      <c r="E278" s="41"/>
      <c r="F278" s="41"/>
      <c r="G278" s="41"/>
      <c r="H278" s="41"/>
      <c r="I278" s="42"/>
      <c r="J278" s="41"/>
      <c r="K278" s="41"/>
      <c r="L278" s="43"/>
    </row>
    <row r="279" spans="2:12" hidden="1" outlineLevel="1">
      <c r="B279" s="7" t="str">
        <f t="shared" si="10"/>
        <v/>
      </c>
      <c r="C279" s="41"/>
      <c r="D279" s="41"/>
      <c r="E279" s="58"/>
      <c r="F279" s="41"/>
      <c r="G279" s="41"/>
      <c r="H279" s="41"/>
      <c r="I279" s="42"/>
      <c r="J279" s="41"/>
      <c r="K279" s="41"/>
      <c r="L279" s="43"/>
    </row>
    <row r="280" spans="2:12" hidden="1" outlineLevel="1">
      <c r="B280" s="7" t="str">
        <f t="shared" si="10"/>
        <v/>
      </c>
      <c r="C280" s="41"/>
      <c r="D280" s="41"/>
      <c r="E280" s="41"/>
      <c r="F280" s="41"/>
      <c r="G280" s="41"/>
      <c r="H280" s="41"/>
      <c r="I280" s="42"/>
      <c r="J280" s="41"/>
      <c r="K280" s="41"/>
      <c r="L280" s="43"/>
    </row>
    <row r="281" spans="2:12" hidden="1" outlineLevel="1">
      <c r="B281" s="7" t="str">
        <f t="shared" si="10"/>
        <v/>
      </c>
      <c r="C281" s="41"/>
      <c r="D281" s="41"/>
      <c r="E281" s="41"/>
      <c r="F281" s="41"/>
      <c r="G281" s="41"/>
      <c r="H281" s="41"/>
      <c r="I281" s="42"/>
      <c r="J281" s="41"/>
      <c r="K281" s="41"/>
      <c r="L281" s="43"/>
    </row>
    <row r="282" spans="2:12" hidden="1" outlineLevel="1">
      <c r="B282" s="7" t="str">
        <f t="shared" si="10"/>
        <v/>
      </c>
      <c r="C282" s="41"/>
      <c r="D282" s="41"/>
      <c r="E282" s="41"/>
      <c r="F282" s="41"/>
      <c r="G282" s="41"/>
      <c r="H282" s="41"/>
      <c r="I282" s="42"/>
      <c r="J282" s="41"/>
      <c r="K282" s="41"/>
      <c r="L282" s="43"/>
    </row>
    <row r="283" spans="2:12" hidden="1" outlineLevel="1">
      <c r="B283" s="7" t="str">
        <f t="shared" si="10"/>
        <v/>
      </c>
      <c r="C283" s="41"/>
      <c r="D283" s="41"/>
      <c r="E283" s="41"/>
      <c r="F283" s="41"/>
      <c r="G283" s="41"/>
      <c r="H283" s="41"/>
      <c r="I283" s="42"/>
      <c r="J283" s="41"/>
      <c r="K283" s="41"/>
      <c r="L283" s="43"/>
    </row>
    <row r="284" spans="2:12" hidden="1" outlineLevel="1">
      <c r="B284" s="7" t="str">
        <f t="shared" si="10"/>
        <v/>
      </c>
      <c r="C284" s="41"/>
      <c r="D284" s="41"/>
      <c r="E284" s="41"/>
      <c r="F284" s="41"/>
      <c r="G284" s="41"/>
      <c r="H284" s="41"/>
      <c r="I284" s="42"/>
      <c r="J284" s="41"/>
      <c r="K284" s="41"/>
      <c r="L284" s="43"/>
    </row>
    <row r="285" spans="2:12" hidden="1" outlineLevel="1">
      <c r="B285" s="7" t="str">
        <f t="shared" ref="B285:B324" si="11">IF(C285="","",(B284+1))</f>
        <v/>
      </c>
      <c r="C285" s="41"/>
      <c r="D285" s="41"/>
      <c r="E285" s="58"/>
      <c r="F285" s="41"/>
      <c r="G285" s="41"/>
      <c r="H285" s="41"/>
      <c r="I285" s="42"/>
      <c r="J285" s="41"/>
      <c r="K285" s="41"/>
      <c r="L285" s="43"/>
    </row>
    <row r="286" spans="2:12" hidden="1" outlineLevel="1">
      <c r="B286" s="7" t="str">
        <f t="shared" si="11"/>
        <v/>
      </c>
      <c r="C286" s="41"/>
      <c r="D286" s="41"/>
      <c r="E286" s="41"/>
      <c r="F286" s="41"/>
      <c r="G286" s="41"/>
      <c r="H286" s="41"/>
      <c r="I286" s="42"/>
      <c r="J286" s="41"/>
      <c r="K286" s="41"/>
      <c r="L286" s="43"/>
    </row>
    <row r="287" spans="2:12" hidden="1" outlineLevel="1">
      <c r="B287" s="7" t="str">
        <f t="shared" si="11"/>
        <v/>
      </c>
      <c r="C287" s="41"/>
      <c r="D287" s="41"/>
      <c r="E287" s="58"/>
      <c r="F287" s="41"/>
      <c r="G287" s="41"/>
      <c r="H287" s="41"/>
      <c r="I287" s="42"/>
      <c r="J287" s="41"/>
      <c r="K287" s="41"/>
      <c r="L287" s="43"/>
    </row>
    <row r="288" spans="2:12" hidden="1" outlineLevel="1">
      <c r="B288" s="7" t="str">
        <f t="shared" si="11"/>
        <v/>
      </c>
      <c r="C288" s="41"/>
      <c r="D288" s="41"/>
      <c r="E288" s="41"/>
      <c r="F288" s="41"/>
      <c r="G288" s="41"/>
      <c r="H288" s="41"/>
      <c r="I288" s="42"/>
      <c r="J288" s="41"/>
      <c r="K288" s="41"/>
      <c r="L288" s="43"/>
    </row>
    <row r="289" spans="2:12" hidden="1" outlineLevel="1">
      <c r="B289" s="7" t="str">
        <f t="shared" si="11"/>
        <v/>
      </c>
      <c r="C289" s="41"/>
      <c r="D289" s="41"/>
      <c r="E289" s="41"/>
      <c r="F289" s="41"/>
      <c r="G289" s="41"/>
      <c r="H289" s="41"/>
      <c r="I289" s="42"/>
      <c r="J289" s="41"/>
      <c r="K289" s="41"/>
      <c r="L289" s="43"/>
    </row>
    <row r="290" spans="2:12" hidden="1" outlineLevel="1">
      <c r="B290" s="7" t="str">
        <f t="shared" si="11"/>
        <v/>
      </c>
      <c r="C290" s="41"/>
      <c r="D290" s="41"/>
      <c r="E290" s="41"/>
      <c r="F290" s="41"/>
      <c r="G290" s="41"/>
      <c r="H290" s="41"/>
      <c r="I290" s="42"/>
      <c r="J290" s="41"/>
      <c r="K290" s="41"/>
      <c r="L290" s="43"/>
    </row>
    <row r="291" spans="2:12" hidden="1" outlineLevel="1">
      <c r="B291" s="7" t="str">
        <f t="shared" si="11"/>
        <v/>
      </c>
      <c r="C291" s="41"/>
      <c r="D291" s="41"/>
      <c r="E291" s="41"/>
      <c r="F291" s="41"/>
      <c r="G291" s="41"/>
      <c r="H291" s="41"/>
      <c r="I291" s="42"/>
      <c r="J291" s="41"/>
      <c r="K291" s="41"/>
      <c r="L291" s="43"/>
    </row>
    <row r="292" spans="2:12" hidden="1" outlineLevel="1">
      <c r="B292" s="7" t="str">
        <f t="shared" si="11"/>
        <v/>
      </c>
      <c r="C292" s="41"/>
      <c r="D292" s="41"/>
      <c r="E292" s="41"/>
      <c r="F292" s="41"/>
      <c r="G292" s="41"/>
      <c r="H292" s="41"/>
      <c r="I292" s="42"/>
      <c r="J292" s="41"/>
      <c r="K292" s="41"/>
      <c r="L292" s="43"/>
    </row>
    <row r="293" spans="2:12" hidden="1" outlineLevel="1">
      <c r="B293" s="7" t="str">
        <f t="shared" si="11"/>
        <v/>
      </c>
      <c r="C293" s="41"/>
      <c r="D293" s="41"/>
      <c r="E293" s="41"/>
      <c r="F293" s="41"/>
      <c r="G293" s="41"/>
      <c r="H293" s="41"/>
      <c r="I293" s="42"/>
      <c r="J293" s="41"/>
      <c r="K293" s="41"/>
      <c r="L293" s="43"/>
    </row>
    <row r="294" spans="2:12" hidden="1" outlineLevel="1">
      <c r="B294" s="7" t="str">
        <f t="shared" si="11"/>
        <v/>
      </c>
      <c r="C294" s="41"/>
      <c r="D294" s="41"/>
      <c r="E294" s="41"/>
      <c r="F294" s="41"/>
      <c r="G294" s="41"/>
      <c r="H294" s="41"/>
      <c r="I294" s="42"/>
      <c r="J294" s="41"/>
      <c r="K294" s="41"/>
      <c r="L294" s="43"/>
    </row>
    <row r="295" spans="2:12" hidden="1" outlineLevel="1">
      <c r="B295" s="7" t="str">
        <f t="shared" si="11"/>
        <v/>
      </c>
      <c r="C295" s="41"/>
      <c r="D295" s="41"/>
      <c r="E295" s="41"/>
      <c r="F295" s="41"/>
      <c r="G295" s="41"/>
      <c r="H295" s="41"/>
      <c r="I295" s="42"/>
      <c r="J295" s="41"/>
      <c r="K295" s="41"/>
      <c r="L295" s="43"/>
    </row>
    <row r="296" spans="2:12" hidden="1" outlineLevel="1">
      <c r="B296" s="7" t="str">
        <f t="shared" si="11"/>
        <v/>
      </c>
      <c r="C296" s="41"/>
      <c r="D296" s="41"/>
      <c r="E296" s="41"/>
      <c r="F296" s="41"/>
      <c r="G296" s="41"/>
      <c r="H296" s="41"/>
      <c r="I296" s="42"/>
      <c r="J296" s="41"/>
      <c r="K296" s="41"/>
      <c r="L296" s="43"/>
    </row>
    <row r="297" spans="2:12" hidden="1" outlineLevel="1">
      <c r="B297" s="7" t="str">
        <f t="shared" si="11"/>
        <v/>
      </c>
      <c r="C297" s="41"/>
      <c r="D297" s="41"/>
      <c r="E297" s="41"/>
      <c r="F297" s="41"/>
      <c r="G297" s="41"/>
      <c r="H297" s="41"/>
      <c r="I297" s="42"/>
      <c r="J297" s="41"/>
      <c r="K297" s="41"/>
      <c r="L297" s="43"/>
    </row>
    <row r="298" spans="2:12" hidden="1" outlineLevel="1">
      <c r="B298" s="7" t="str">
        <f t="shared" si="11"/>
        <v/>
      </c>
      <c r="C298" s="41"/>
      <c r="D298" s="41"/>
      <c r="E298" s="41"/>
      <c r="F298" s="41"/>
      <c r="G298" s="41"/>
      <c r="H298" s="41"/>
      <c r="I298" s="42"/>
      <c r="J298" s="41"/>
      <c r="K298" s="41"/>
      <c r="L298" s="43"/>
    </row>
    <row r="299" spans="2:12" hidden="1" outlineLevel="1">
      <c r="B299" s="7" t="str">
        <f t="shared" si="11"/>
        <v/>
      </c>
      <c r="C299" s="41"/>
      <c r="D299" s="41"/>
      <c r="E299" s="41"/>
      <c r="F299" s="41"/>
      <c r="G299" s="41"/>
      <c r="H299" s="41"/>
      <c r="I299" s="42"/>
      <c r="J299" s="41"/>
      <c r="K299" s="41"/>
      <c r="L299" s="43"/>
    </row>
    <row r="300" spans="2:12" hidden="1" outlineLevel="1">
      <c r="B300" s="7" t="str">
        <f t="shared" si="11"/>
        <v/>
      </c>
      <c r="C300" s="41"/>
      <c r="D300" s="41"/>
      <c r="E300" s="41"/>
      <c r="F300" s="41"/>
      <c r="G300" s="41"/>
      <c r="H300" s="41"/>
      <c r="I300" s="42"/>
      <c r="J300" s="41"/>
      <c r="K300" s="41"/>
      <c r="L300" s="43"/>
    </row>
    <row r="301" spans="2:12" hidden="1" outlineLevel="1">
      <c r="B301" s="7" t="str">
        <f t="shared" si="11"/>
        <v/>
      </c>
      <c r="C301" s="41"/>
      <c r="D301" s="41"/>
      <c r="E301" s="41"/>
      <c r="F301" s="41"/>
      <c r="G301" s="41"/>
      <c r="H301" s="41"/>
      <c r="I301" s="42"/>
      <c r="J301" s="41"/>
      <c r="K301" s="41"/>
      <c r="L301" s="43"/>
    </row>
    <row r="302" spans="2:12" hidden="1" outlineLevel="1">
      <c r="B302" s="7" t="str">
        <f t="shared" si="11"/>
        <v/>
      </c>
      <c r="C302" s="41"/>
      <c r="D302" s="41"/>
      <c r="E302" s="41"/>
      <c r="F302" s="41"/>
      <c r="G302" s="41"/>
      <c r="H302" s="41"/>
      <c r="I302" s="42"/>
      <c r="J302" s="41"/>
      <c r="K302" s="41"/>
      <c r="L302" s="43"/>
    </row>
    <row r="303" spans="2:12" hidden="1" outlineLevel="1">
      <c r="B303" s="7" t="str">
        <f t="shared" si="11"/>
        <v/>
      </c>
      <c r="C303" s="41"/>
      <c r="D303" s="41"/>
      <c r="E303" s="41"/>
      <c r="F303" s="41"/>
      <c r="G303" s="41"/>
      <c r="H303" s="41"/>
      <c r="I303" s="42"/>
      <c r="J303" s="41"/>
      <c r="K303" s="41"/>
      <c r="L303" s="43"/>
    </row>
    <row r="304" spans="2:12" hidden="1" outlineLevel="1">
      <c r="B304" s="7" t="str">
        <f t="shared" si="11"/>
        <v/>
      </c>
      <c r="C304" s="41"/>
      <c r="D304" s="41"/>
      <c r="E304" s="41"/>
      <c r="F304" s="41"/>
      <c r="G304" s="41"/>
      <c r="H304" s="41"/>
      <c r="I304" s="42"/>
      <c r="J304" s="41"/>
      <c r="K304" s="41"/>
      <c r="L304" s="43"/>
    </row>
    <row r="305" spans="2:12" hidden="1" outlineLevel="1">
      <c r="B305" s="7" t="str">
        <f t="shared" si="11"/>
        <v/>
      </c>
      <c r="C305" s="41"/>
      <c r="D305" s="41"/>
      <c r="E305" s="41"/>
      <c r="F305" s="41"/>
      <c r="G305" s="41"/>
      <c r="H305" s="41"/>
      <c r="I305" s="42"/>
      <c r="J305" s="41"/>
      <c r="K305" s="41"/>
      <c r="L305" s="43"/>
    </row>
    <row r="306" spans="2:12" hidden="1" outlineLevel="1">
      <c r="B306" s="7" t="str">
        <f t="shared" si="11"/>
        <v/>
      </c>
      <c r="C306" s="41"/>
      <c r="D306" s="41"/>
      <c r="E306" s="41"/>
      <c r="F306" s="41"/>
      <c r="G306" s="41"/>
      <c r="H306" s="41"/>
      <c r="I306" s="42"/>
      <c r="J306" s="41"/>
      <c r="K306" s="41"/>
      <c r="L306" s="43"/>
    </row>
    <row r="307" spans="2:12" hidden="1" outlineLevel="1">
      <c r="B307" s="7" t="str">
        <f t="shared" si="11"/>
        <v/>
      </c>
      <c r="C307" s="41"/>
      <c r="D307" s="41"/>
      <c r="E307" s="41"/>
      <c r="F307" s="41"/>
      <c r="G307" s="41"/>
      <c r="H307" s="41"/>
      <c r="I307" s="42"/>
      <c r="J307" s="41"/>
      <c r="K307" s="41"/>
      <c r="L307" s="43"/>
    </row>
    <row r="308" spans="2:12" hidden="1" outlineLevel="1">
      <c r="B308" s="7" t="str">
        <f t="shared" si="11"/>
        <v/>
      </c>
      <c r="C308" s="41"/>
      <c r="D308" s="41"/>
      <c r="E308" s="41"/>
      <c r="F308" s="41"/>
      <c r="G308" s="41"/>
      <c r="H308" s="41"/>
      <c r="I308" s="42"/>
      <c r="J308" s="41"/>
      <c r="K308" s="41"/>
      <c r="L308" s="43"/>
    </row>
    <row r="309" spans="2:12" hidden="1" outlineLevel="1">
      <c r="B309" s="7" t="str">
        <f t="shared" si="11"/>
        <v/>
      </c>
      <c r="C309" s="41"/>
      <c r="D309" s="41"/>
      <c r="E309" s="41"/>
      <c r="F309" s="41"/>
      <c r="G309" s="41"/>
      <c r="H309" s="41"/>
      <c r="I309" s="42"/>
      <c r="J309" s="41"/>
      <c r="K309" s="41"/>
      <c r="L309" s="43"/>
    </row>
    <row r="310" spans="2:12" hidden="1" outlineLevel="1">
      <c r="B310" s="7" t="str">
        <f t="shared" si="11"/>
        <v/>
      </c>
      <c r="C310" s="41"/>
      <c r="D310" s="41"/>
      <c r="E310" s="41"/>
      <c r="F310" s="41"/>
      <c r="G310" s="41"/>
      <c r="H310" s="41"/>
      <c r="I310" s="42"/>
      <c r="J310" s="41"/>
      <c r="K310" s="41"/>
      <c r="L310" s="43"/>
    </row>
    <row r="311" spans="2:12" hidden="1" outlineLevel="1">
      <c r="B311" s="7" t="str">
        <f t="shared" si="11"/>
        <v/>
      </c>
      <c r="C311" s="41"/>
      <c r="D311" s="41"/>
      <c r="E311" s="41"/>
      <c r="F311" s="41"/>
      <c r="G311" s="41"/>
      <c r="H311" s="41"/>
      <c r="I311" s="42"/>
      <c r="J311" s="41"/>
      <c r="K311" s="41"/>
      <c r="L311" s="43"/>
    </row>
    <row r="312" spans="2:12" hidden="1" outlineLevel="1">
      <c r="B312" s="7" t="str">
        <f t="shared" si="11"/>
        <v/>
      </c>
      <c r="C312" s="41"/>
      <c r="D312" s="41"/>
      <c r="E312" s="41"/>
      <c r="F312" s="41"/>
      <c r="G312" s="41"/>
      <c r="H312" s="41"/>
      <c r="I312" s="42"/>
      <c r="J312" s="41"/>
      <c r="K312" s="41"/>
      <c r="L312" s="43"/>
    </row>
    <row r="313" spans="2:12" hidden="1" outlineLevel="1">
      <c r="B313" s="7" t="str">
        <f t="shared" si="11"/>
        <v/>
      </c>
      <c r="C313" s="41"/>
      <c r="D313" s="41"/>
      <c r="E313" s="41"/>
      <c r="F313" s="41"/>
      <c r="G313" s="41"/>
      <c r="H313" s="41"/>
      <c r="I313" s="42"/>
      <c r="J313" s="41"/>
      <c r="K313" s="41"/>
      <c r="L313" s="43"/>
    </row>
    <row r="314" spans="2:12" hidden="1" outlineLevel="1">
      <c r="B314" s="7" t="str">
        <f t="shared" si="11"/>
        <v/>
      </c>
      <c r="C314" s="41"/>
      <c r="D314" s="41"/>
      <c r="E314" s="41"/>
      <c r="F314" s="41"/>
      <c r="G314" s="41"/>
      <c r="H314" s="41"/>
      <c r="I314" s="42"/>
      <c r="J314" s="41"/>
      <c r="K314" s="41"/>
      <c r="L314" s="43"/>
    </row>
    <row r="315" spans="2:12" hidden="1" outlineLevel="1">
      <c r="B315" s="7" t="str">
        <f t="shared" si="11"/>
        <v/>
      </c>
      <c r="C315" s="41"/>
      <c r="D315" s="41"/>
      <c r="E315" s="41"/>
      <c r="F315" s="41"/>
      <c r="G315" s="41"/>
      <c r="H315" s="41"/>
      <c r="I315" s="42"/>
      <c r="J315" s="41"/>
      <c r="K315" s="41"/>
      <c r="L315" s="43"/>
    </row>
    <row r="316" spans="2:12" hidden="1" outlineLevel="1">
      <c r="B316" s="7" t="str">
        <f t="shared" si="11"/>
        <v/>
      </c>
      <c r="C316" s="41"/>
      <c r="D316" s="41"/>
      <c r="E316" s="41"/>
      <c r="F316" s="41"/>
      <c r="G316" s="41"/>
      <c r="H316" s="41"/>
      <c r="I316" s="42"/>
      <c r="J316" s="41"/>
      <c r="K316" s="41"/>
      <c r="L316" s="43"/>
    </row>
    <row r="317" spans="2:12" hidden="1" outlineLevel="1">
      <c r="B317" s="7" t="str">
        <f t="shared" si="11"/>
        <v/>
      </c>
      <c r="C317" s="41"/>
      <c r="D317" s="41"/>
      <c r="E317" s="41"/>
      <c r="F317" s="41"/>
      <c r="G317" s="41"/>
      <c r="H317" s="41"/>
      <c r="I317" s="42"/>
      <c r="J317" s="41"/>
      <c r="K317" s="41"/>
      <c r="L317" s="43"/>
    </row>
    <row r="318" spans="2:12" hidden="1" outlineLevel="1">
      <c r="B318" s="7" t="str">
        <f t="shared" si="11"/>
        <v/>
      </c>
      <c r="C318" s="41"/>
      <c r="D318" s="41"/>
      <c r="E318" s="41"/>
      <c r="F318" s="41"/>
      <c r="G318" s="41"/>
      <c r="H318" s="41"/>
      <c r="I318" s="42"/>
      <c r="J318" s="41"/>
      <c r="K318" s="41"/>
      <c r="L318" s="43"/>
    </row>
    <row r="319" spans="2:12" hidden="1" outlineLevel="1">
      <c r="B319" s="7" t="str">
        <f t="shared" si="11"/>
        <v/>
      </c>
      <c r="C319" s="41"/>
      <c r="D319" s="41"/>
      <c r="E319" s="41"/>
      <c r="F319" s="41"/>
      <c r="G319" s="41"/>
      <c r="H319" s="41"/>
      <c r="I319" s="42"/>
      <c r="J319" s="41"/>
      <c r="K319" s="41"/>
      <c r="L319" s="43"/>
    </row>
    <row r="320" spans="2:12" hidden="1" outlineLevel="1">
      <c r="B320" s="7" t="str">
        <f t="shared" si="11"/>
        <v/>
      </c>
      <c r="C320" s="41"/>
      <c r="D320" s="41"/>
      <c r="E320" s="41"/>
      <c r="F320" s="41"/>
      <c r="G320" s="41"/>
      <c r="H320" s="41"/>
      <c r="I320" s="42"/>
      <c r="J320" s="41"/>
      <c r="K320" s="41"/>
      <c r="L320" s="43"/>
    </row>
    <row r="321" spans="2:12" hidden="1" outlineLevel="1">
      <c r="B321" s="7" t="str">
        <f t="shared" si="11"/>
        <v/>
      </c>
      <c r="C321" s="41"/>
      <c r="D321" s="41"/>
      <c r="E321" s="41"/>
      <c r="F321" s="41"/>
      <c r="G321" s="41"/>
      <c r="H321" s="41"/>
      <c r="I321" s="42"/>
      <c r="J321" s="41"/>
      <c r="K321" s="41"/>
      <c r="L321" s="43"/>
    </row>
    <row r="322" spans="2:12" hidden="1" outlineLevel="1">
      <c r="B322" s="7" t="str">
        <f t="shared" si="11"/>
        <v/>
      </c>
      <c r="C322" s="41"/>
      <c r="D322" s="41"/>
      <c r="E322" s="41"/>
      <c r="F322" s="41"/>
      <c r="G322" s="41"/>
      <c r="H322" s="41"/>
      <c r="I322" s="42"/>
      <c r="J322" s="41"/>
      <c r="K322" s="41"/>
      <c r="L322" s="43"/>
    </row>
    <row r="323" spans="2:12" hidden="1" outlineLevel="1">
      <c r="B323" s="7" t="str">
        <f t="shared" si="11"/>
        <v/>
      </c>
      <c r="C323" s="41"/>
      <c r="D323" s="41"/>
      <c r="E323" s="41"/>
      <c r="F323" s="41"/>
      <c r="G323" s="41"/>
      <c r="H323" s="41"/>
      <c r="I323" s="42"/>
      <c r="J323" s="41"/>
      <c r="K323" s="41"/>
      <c r="L323" s="43"/>
    </row>
    <row r="324" spans="2:12" hidden="1" outlineLevel="1">
      <c r="B324" s="7" t="str">
        <f t="shared" si="11"/>
        <v/>
      </c>
      <c r="C324" s="41"/>
      <c r="D324" s="41"/>
      <c r="E324" s="41"/>
      <c r="F324" s="41"/>
      <c r="G324" s="41"/>
      <c r="H324" s="41"/>
      <c r="I324" s="42"/>
      <c r="J324" s="41"/>
      <c r="K324" s="41"/>
      <c r="L324" s="43"/>
    </row>
    <row r="325" spans="2:12" hidden="1" outlineLevel="1">
      <c r="B325" s="7" t="str">
        <f>IF(C325="","",(#REF!+1))</f>
        <v/>
      </c>
      <c r="C325" s="41"/>
      <c r="D325" s="41"/>
      <c r="E325" s="41"/>
      <c r="F325" s="41"/>
      <c r="G325" s="41"/>
      <c r="H325" s="41"/>
      <c r="I325" s="42"/>
      <c r="J325" s="41"/>
      <c r="K325" s="41"/>
      <c r="L325" s="43"/>
    </row>
    <row r="326" spans="2:12" hidden="1" outlineLevel="1">
      <c r="B326" s="7" t="str">
        <f t="shared" ref="B326:B342" si="12">IF(C326="","",(B325+1))</f>
        <v/>
      </c>
      <c r="C326" s="41"/>
      <c r="D326" s="41"/>
      <c r="E326" s="41"/>
      <c r="F326" s="41"/>
      <c r="G326" s="41"/>
      <c r="H326" s="41"/>
      <c r="I326" s="42"/>
      <c r="J326" s="41"/>
      <c r="K326" s="41"/>
      <c r="L326" s="43"/>
    </row>
    <row r="327" spans="2:12" hidden="1" outlineLevel="1">
      <c r="B327" s="7" t="str">
        <f t="shared" si="12"/>
        <v/>
      </c>
      <c r="C327" s="41"/>
      <c r="D327" s="41"/>
      <c r="E327" s="41"/>
      <c r="F327" s="41"/>
      <c r="G327" s="41"/>
      <c r="H327" s="41"/>
      <c r="I327" s="42"/>
      <c r="J327" s="41"/>
      <c r="K327" s="41"/>
      <c r="L327" s="43"/>
    </row>
    <row r="328" spans="2:12" hidden="1" outlineLevel="1">
      <c r="B328" s="7" t="str">
        <f t="shared" si="12"/>
        <v/>
      </c>
      <c r="C328" s="41"/>
      <c r="D328" s="41"/>
      <c r="E328" s="41"/>
      <c r="F328" s="41"/>
      <c r="G328" s="41"/>
      <c r="H328" s="41"/>
      <c r="I328" s="42"/>
      <c r="J328" s="41"/>
      <c r="K328" s="41"/>
      <c r="L328" s="43"/>
    </row>
    <row r="329" spans="2:12" hidden="1" outlineLevel="1">
      <c r="B329" s="7" t="str">
        <f t="shared" si="12"/>
        <v/>
      </c>
      <c r="C329" s="41"/>
      <c r="D329" s="41"/>
      <c r="E329" s="41"/>
      <c r="F329" s="41"/>
      <c r="G329" s="41"/>
      <c r="H329" s="41"/>
      <c r="I329" s="42"/>
      <c r="J329" s="41"/>
      <c r="K329" s="41"/>
      <c r="L329" s="43"/>
    </row>
    <row r="330" spans="2:12" hidden="1" outlineLevel="1">
      <c r="B330" s="7" t="str">
        <f t="shared" si="12"/>
        <v/>
      </c>
      <c r="C330" s="41"/>
      <c r="D330" s="41"/>
      <c r="E330" s="41"/>
      <c r="F330" s="41"/>
      <c r="G330" s="41"/>
      <c r="H330" s="41"/>
      <c r="I330" s="42"/>
      <c r="J330" s="41"/>
      <c r="K330" s="41"/>
      <c r="L330" s="43"/>
    </row>
    <row r="331" spans="2:12" hidden="1" outlineLevel="1">
      <c r="B331" s="7" t="str">
        <f t="shared" si="12"/>
        <v/>
      </c>
      <c r="C331" s="41"/>
      <c r="D331" s="41"/>
      <c r="E331" s="41"/>
      <c r="F331" s="41"/>
      <c r="G331" s="41"/>
      <c r="H331" s="41"/>
      <c r="I331" s="42"/>
      <c r="J331" s="41"/>
      <c r="K331" s="41"/>
      <c r="L331" s="43"/>
    </row>
    <row r="332" spans="2:12" hidden="1" outlineLevel="1">
      <c r="B332" s="7" t="str">
        <f t="shared" si="12"/>
        <v/>
      </c>
      <c r="C332" s="41"/>
      <c r="D332" s="41"/>
      <c r="E332" s="41"/>
      <c r="F332" s="41"/>
      <c r="G332" s="41"/>
      <c r="H332" s="41"/>
      <c r="I332" s="42"/>
      <c r="J332" s="41"/>
      <c r="K332" s="41"/>
      <c r="L332" s="43"/>
    </row>
    <row r="333" spans="2:12" hidden="1" outlineLevel="1">
      <c r="B333" s="7" t="str">
        <f t="shared" si="12"/>
        <v/>
      </c>
      <c r="C333" s="41"/>
      <c r="D333" s="41"/>
      <c r="E333" s="41"/>
      <c r="F333" s="41"/>
      <c r="G333" s="41"/>
      <c r="H333" s="41"/>
      <c r="I333" s="42"/>
      <c r="J333" s="41"/>
      <c r="K333" s="41"/>
      <c r="L333" s="43"/>
    </row>
    <row r="334" spans="2:12" hidden="1" outlineLevel="1">
      <c r="B334" s="7" t="str">
        <f t="shared" si="12"/>
        <v/>
      </c>
      <c r="C334" s="41"/>
      <c r="D334" s="41"/>
      <c r="E334" s="41"/>
      <c r="F334" s="41"/>
      <c r="G334" s="41"/>
      <c r="H334" s="41"/>
      <c r="I334" s="42"/>
      <c r="J334" s="41"/>
      <c r="K334" s="41"/>
      <c r="L334" s="43"/>
    </row>
    <row r="335" spans="2:12" hidden="1" outlineLevel="1">
      <c r="B335" s="7" t="str">
        <f t="shared" si="12"/>
        <v/>
      </c>
      <c r="C335" s="41"/>
      <c r="D335" s="41"/>
      <c r="E335" s="41"/>
      <c r="F335" s="41"/>
      <c r="G335" s="41"/>
      <c r="H335" s="41"/>
      <c r="I335" s="42"/>
      <c r="J335" s="41"/>
      <c r="K335" s="41"/>
      <c r="L335" s="43"/>
    </row>
    <row r="336" spans="2:12" hidden="1" outlineLevel="1">
      <c r="B336" s="7" t="str">
        <f t="shared" si="12"/>
        <v/>
      </c>
      <c r="C336" s="41"/>
      <c r="D336" s="41"/>
      <c r="E336" s="41"/>
      <c r="F336" s="41"/>
      <c r="G336" s="41"/>
      <c r="H336" s="41"/>
      <c r="I336" s="42"/>
      <c r="J336" s="41"/>
      <c r="K336" s="41"/>
      <c r="L336" s="43"/>
    </row>
    <row r="337" spans="2:12" hidden="1" outlineLevel="1">
      <c r="B337" s="7" t="str">
        <f t="shared" si="12"/>
        <v/>
      </c>
      <c r="C337" s="41"/>
      <c r="D337" s="41"/>
      <c r="E337" s="41"/>
      <c r="F337" s="41"/>
      <c r="G337" s="41"/>
      <c r="H337" s="41"/>
      <c r="I337" s="42"/>
      <c r="J337" s="41"/>
      <c r="K337" s="41"/>
      <c r="L337" s="43"/>
    </row>
    <row r="338" spans="2:12" hidden="1" outlineLevel="1">
      <c r="B338" s="7" t="str">
        <f t="shared" si="12"/>
        <v/>
      </c>
      <c r="C338" s="41"/>
      <c r="D338" s="41"/>
      <c r="E338" s="41"/>
      <c r="F338" s="41"/>
      <c r="G338" s="41"/>
      <c r="H338" s="41"/>
      <c r="I338" s="42"/>
      <c r="J338" s="41"/>
      <c r="K338" s="41"/>
      <c r="L338" s="43"/>
    </row>
    <row r="339" spans="2:12" hidden="1" outlineLevel="1">
      <c r="B339" s="7" t="str">
        <f t="shared" si="12"/>
        <v/>
      </c>
      <c r="C339" s="41"/>
      <c r="D339" s="41"/>
      <c r="E339" s="41"/>
      <c r="F339" s="41"/>
      <c r="G339" s="41"/>
      <c r="H339" s="41"/>
      <c r="I339" s="42"/>
      <c r="J339" s="41"/>
      <c r="K339" s="41"/>
      <c r="L339" s="43"/>
    </row>
    <row r="340" spans="2:12" hidden="1" outlineLevel="1">
      <c r="B340" s="7" t="str">
        <f t="shared" si="12"/>
        <v/>
      </c>
      <c r="C340" s="41"/>
      <c r="D340" s="41"/>
      <c r="E340" s="41"/>
      <c r="F340" s="41"/>
      <c r="G340" s="41"/>
      <c r="H340" s="41"/>
      <c r="I340" s="42"/>
      <c r="J340" s="41"/>
      <c r="K340" s="41"/>
      <c r="L340" s="43"/>
    </row>
    <row r="341" spans="2:12" hidden="1" outlineLevel="1">
      <c r="B341" s="7" t="str">
        <f t="shared" si="12"/>
        <v/>
      </c>
      <c r="C341" s="1"/>
      <c r="D341" s="1"/>
      <c r="E341" s="1"/>
      <c r="F341" s="1"/>
      <c r="G341" s="1"/>
      <c r="H341" s="1"/>
      <c r="I341" s="36"/>
      <c r="J341" s="1"/>
      <c r="K341" s="1"/>
      <c r="L341" s="2"/>
    </row>
    <row r="342" spans="2:12" ht="15.75" hidden="1" outlineLevel="1" thickBot="1">
      <c r="B342" s="7" t="str">
        <f t="shared" si="12"/>
        <v/>
      </c>
      <c r="C342" s="38"/>
      <c r="D342" s="38"/>
      <c r="E342" s="38"/>
      <c r="F342" s="38"/>
      <c r="G342" s="38"/>
      <c r="H342" s="38"/>
      <c r="I342" s="38"/>
      <c r="J342" s="38"/>
      <c r="K342" s="38"/>
      <c r="L342" s="39"/>
    </row>
    <row r="343" spans="2:12" ht="24" customHeight="1" collapsed="1" thickBot="1">
      <c r="B343" s="320" t="s">
        <v>59</v>
      </c>
      <c r="C343" s="321"/>
      <c r="D343" s="321"/>
      <c r="E343" s="321"/>
      <c r="F343" s="321"/>
      <c r="G343" s="321"/>
      <c r="H343" s="321"/>
      <c r="I343" s="321"/>
      <c r="J343" s="321"/>
      <c r="K343" s="321"/>
      <c r="L343" s="322"/>
    </row>
    <row r="344" spans="2:12" ht="24" customHeight="1" thickBot="1">
      <c r="B344" s="26" t="s">
        <v>49</v>
      </c>
      <c r="C344" s="27" t="s">
        <v>60</v>
      </c>
      <c r="D344" s="27" t="s">
        <v>62</v>
      </c>
      <c r="E344" s="27" t="s">
        <v>63</v>
      </c>
      <c r="F344" s="27" t="s">
        <v>64</v>
      </c>
      <c r="G344" s="27" t="s">
        <v>65</v>
      </c>
      <c r="H344" s="27" t="s">
        <v>66</v>
      </c>
      <c r="I344" s="27" t="s">
        <v>67</v>
      </c>
      <c r="J344" s="27" t="s">
        <v>6</v>
      </c>
      <c r="K344" s="27" t="s">
        <v>7</v>
      </c>
      <c r="L344" s="28" t="s">
        <v>68</v>
      </c>
    </row>
    <row r="345" spans="2:12">
      <c r="B345" s="46" t="s">
        <v>8</v>
      </c>
      <c r="C345" s="41">
        <f>COUNTIFS(B91:B342,"&gt;"&amp;0,C91:C342,"="&amp;B345)</f>
        <v>0</v>
      </c>
      <c r="D345" s="41">
        <f>COUNTIFS(B91:B342,"&gt;="&amp;1,C91:C342,B345,K91:K342,"&gt;="&amp;0,K91:K342,"&lt;"&amp;50)</f>
        <v>0</v>
      </c>
      <c r="E345" s="41">
        <f>COUNTIFS(B91:B342,"&gt;="&amp;1,C91:C342,B345,K91:K342,"&gt;="&amp;50,K91:K342,"&lt;"&amp;500)</f>
        <v>0</v>
      </c>
      <c r="F345" s="41">
        <f>COUNTIFS(B91:B342,"&gt;="&amp;1,C91:C342,B345,K91:K342,"&gt;="&amp;500)</f>
        <v>0</v>
      </c>
      <c r="G345" s="41">
        <f>COUNTIFS(B91:B342,"&gt;="&amp;1,C91:C342,B345,K91:K342,"&gt;="&amp;0,I91:I342,"&gt;"&amp;DATE(2021,1,1))</f>
        <v>0</v>
      </c>
      <c r="H345" s="47" t="str">
        <f>IF(G345=0,"-",(SUM(E345,F345)/G345))</f>
        <v>-</v>
      </c>
      <c r="I345" s="41">
        <f>IF((COUNTIFS(B91:B342,"&gt;="&amp;1,C91:C342,"="&amp;B345))&gt;228,228,(COUNTIFS(B91:B342,"&gt;="&amp;1,C91:C342,"="&amp;B345)))</f>
        <v>0</v>
      </c>
      <c r="J345" s="47" t="str">
        <f>IF(I345=0,"-",(COUNTIFS(C91:C342,"="&amp;B345,I91:I342,"&lt;="&amp;DATE(2024,12,31),K91:K342,"&gt;="&amp;0)/I345))</f>
        <v>-</v>
      </c>
      <c r="K345" s="47" t="str">
        <f>IF(I345=0,"-",IF(J345=1,"-",(COUNTIFS(B91:B342,"&gt;"&amp;0,C91:C342,"="&amp;B345,I91:I342,"&gt;"&amp;DATE(2024,12,31),K91:K342,"&gt;="&amp;0)/(I345-COUNTIFS(B91:B342,"&gt;"&amp;0,C91:C342,"="&amp;B345,I91:I342,"&lt;="&amp;DATE(2024,12,31),K91:K342,"&gt;="&amp;0)))))</f>
        <v>-</v>
      </c>
      <c r="L345" s="48" t="str">
        <f>IF(I345=0,"-",G345/I345)</f>
        <v>-</v>
      </c>
    </row>
    <row r="346" spans="2:12">
      <c r="B346" s="7" t="s">
        <v>9</v>
      </c>
      <c r="C346" s="1">
        <f>COUNTIFS(B91:B342,"&gt;"&amp;0,C91:C342,"="&amp;B346)</f>
        <v>0</v>
      </c>
      <c r="D346" s="1">
        <f>COUNTIFS(B91:B342,"&gt;="&amp;1,C91:C342,B346,K91:K342,"&gt;="&amp;0,K91:K342,"&lt;"&amp;50)</f>
        <v>0</v>
      </c>
      <c r="E346" s="1">
        <f>COUNTIFS(B91:B342,"&gt;="&amp;1,C91:C342,B346,K91:K342,"&gt;="&amp;50,K91:K342,"&lt;"&amp;500)</f>
        <v>0</v>
      </c>
      <c r="F346" s="1">
        <f>COUNTIFS(B91:B342,"&gt;="&amp;1,C91:C342,B346,K91:K342,"&gt;="&amp;500)</f>
        <v>0</v>
      </c>
      <c r="G346" s="1">
        <f>COUNTIFS(B91:B342,"&gt;="&amp;1,C91:C342,B346,K91:K342,"&gt;="&amp;0,I91:I342,"&gt;"&amp;DATE(2021,1,1))</f>
        <v>0</v>
      </c>
      <c r="H346" s="44" t="str">
        <f t="shared" ref="H346:H348" si="13">IF(G346=0,"-",(SUM(E346,F346)/G346))</f>
        <v>-</v>
      </c>
      <c r="I346" s="1">
        <f>IF((COUNTIFS(B91:B342,"&gt;="&amp;1,C91:C342,"="&amp;B346))&gt;228,228,(COUNTIFS(B91:B342,"&gt;="&amp;1,C91:C342,"="&amp;B346)))</f>
        <v>0</v>
      </c>
      <c r="J346" s="44" t="str">
        <f>IF(I346=0,"-",(COUNTIFS(C91:C342,"="&amp;B346,I91:I342,"&lt;="&amp;DATE(2024,12,31),K91:K342,"&gt;="&amp;0)/I346))</f>
        <v>-</v>
      </c>
      <c r="K346" s="47" t="str">
        <f>IF(I346=0,"-",IF(J346=1,"-",(COUNTIFS(B91:B342,"&gt;"&amp;0,C91:C342,"="&amp;B346,I91:I342,"&gt;"&amp;DATE(2024,12,31),K91:K342,"&gt;="&amp;0)/(I346-COUNTIFS(B91:B342,"&gt;"&amp;0,C91:C342,"="&amp;B346,I91:I342,"&lt;="&amp;DATE(2024,12,31),K91:K342,"&gt;="&amp;0)))))</f>
        <v>-</v>
      </c>
      <c r="L346" s="45" t="str">
        <f t="shared" ref="L346:L348" si="14">IF(I346=0,"-",G346/I346)</f>
        <v>-</v>
      </c>
    </row>
    <row r="347" spans="2:12">
      <c r="B347" s="7" t="s">
        <v>69</v>
      </c>
      <c r="C347" s="1">
        <f>COUNTIFS(B91:B342,"&gt;"&amp;0,C91:C342,"="&amp;B347)</f>
        <v>0</v>
      </c>
      <c r="D347" s="1">
        <f>COUNTIFS(B91:B342,"&gt;="&amp;1,C91:C342,B347,K91:K342,"&gt;="&amp;0,K91:K342,"&lt;"&amp;50)</f>
        <v>0</v>
      </c>
      <c r="E347" s="1">
        <f>COUNTIFS(B91:B342,"&gt;="&amp;1,C91:C342,B347,K91:K342,"&gt;="&amp;50,K91:K342,"&lt;"&amp;500)</f>
        <v>0</v>
      </c>
      <c r="F347" s="1">
        <f>COUNTIFS(B91:B341,"&gt;="&amp;1,C91:C341,B347,K91:K341,"&gt;="&amp;500)</f>
        <v>0</v>
      </c>
      <c r="G347" s="1">
        <f>COUNTIFS(B91:B342,"&gt;="&amp;1,C91:C342,B347,K91:K342,"&gt;="&amp;0,I91:I342,"&gt;"&amp;DATE(2021,1,1))</f>
        <v>0</v>
      </c>
      <c r="H347" s="44" t="str">
        <f t="shared" si="13"/>
        <v>-</v>
      </c>
      <c r="I347" s="1">
        <f>IF((COUNTIFS(B91:B341,"&gt;="&amp;1,C91:C341,"="&amp;B347))&gt;228,228,(COUNTIFS(B91:B341,"&gt;="&amp;1,C91:C341,"="&amp;B347)))</f>
        <v>0</v>
      </c>
      <c r="J347" s="44" t="str">
        <f>IF(I347=0,"-",(COUNTIFS(C91:C342,"="&amp;B347,I91:I342,"&lt;="&amp;DATE(2024,12,31),K91:K342,"&gt;="&amp;0)/I347))</f>
        <v>-</v>
      </c>
      <c r="K347" s="47" t="str">
        <f>IF(I347=0,"-",IF(J347=1,"-",(COUNTIFS(B91:B342,"&gt;"&amp;0,C91:C342,"="&amp;B347,I91:I342,"&gt;"&amp;DATE(2024,12,31),K91:K342,"&gt;="&amp;0)/(I347-COUNTIFS(B91:B342,"&gt;"&amp;0,C91:C342,"="&amp;B347,I91:I342,"&lt;="&amp;DATE(2024,12,31),K91:K342,"&gt;="&amp;0)))))</f>
        <v>-</v>
      </c>
      <c r="L347" s="45" t="str">
        <f t="shared" si="14"/>
        <v>-</v>
      </c>
    </row>
    <row r="348" spans="2:12" ht="24" customHeight="1" thickBot="1">
      <c r="B348" s="49" t="s">
        <v>59</v>
      </c>
      <c r="C348" s="50">
        <f>SUM(C345:C347)</f>
        <v>0</v>
      </c>
      <c r="D348" s="50">
        <f>SUM(D345:D347)</f>
        <v>0</v>
      </c>
      <c r="E348" s="50">
        <f>SUM(E345:E347)</f>
        <v>0</v>
      </c>
      <c r="F348" s="50">
        <f>SUM(F345:F347)</f>
        <v>0</v>
      </c>
      <c r="G348" s="50">
        <f>SUM(G345:G347)</f>
        <v>0</v>
      </c>
      <c r="H348" s="51" t="str">
        <f t="shared" si="13"/>
        <v>-</v>
      </c>
      <c r="I348" s="50">
        <f>SUM(I345:I347)</f>
        <v>0</v>
      </c>
      <c r="J348" s="51" t="str">
        <f>IF(I348=0,"-",(COUNTIFS(I91:I342,"&lt;="&amp;DATE(2024,12,31),K91:K342,"&gt;="&amp;0)/I348))</f>
        <v>-</v>
      </c>
      <c r="K348" s="51" t="str">
        <f>IF(I348=0,"-",IF(J348=1,"-",(COUNTIFS(B91:B342,"&gt;"&amp;0,I91:I342,"&gt;"&amp;DATE(2024,12,31),K91:K342,"&gt;="&amp;0)/(I348-COUNTIFS(B91:B342,"&gt;"&amp;0,I91:I342,"&lt;="&amp;DATE(2024,12,31),K91:K342,"&gt;="&amp;0)))))</f>
        <v>-</v>
      </c>
      <c r="L348" s="52" t="str">
        <f t="shared" si="14"/>
        <v>-</v>
      </c>
    </row>
    <row r="350" spans="2:12" ht="15.75" thickBot="1"/>
    <row r="351" spans="2:12" ht="32.25" customHeight="1" thickBot="1">
      <c r="B351" s="320" t="str">
        <f>_xlfn.CONCAT("Outros Equipamentos ( TSAs,Chaves a Óleo entre Outros)",TEXT(IF(SUM(I455:I457)=0," ",(SUM(G455:G457)/SUM(I455:I457))), " 0,00%"))</f>
        <v xml:space="preserve">Outros Equipamentos ( TSAs,Chaves a Óleo entre Outros) </v>
      </c>
      <c r="C351" s="321"/>
      <c r="D351" s="321"/>
      <c r="E351" s="321"/>
      <c r="F351" s="321"/>
      <c r="G351" s="321"/>
      <c r="H351" s="321"/>
      <c r="I351" s="321"/>
      <c r="J351" s="321"/>
      <c r="K351" s="321"/>
      <c r="L351" s="322"/>
    </row>
    <row r="352" spans="2:12" ht="24" hidden="1" customHeight="1" outlineLevel="1" thickBot="1">
      <c r="B352" s="26" t="s">
        <v>48</v>
      </c>
      <c r="C352" s="27" t="s">
        <v>49</v>
      </c>
      <c r="D352" s="27" t="s">
        <v>50</v>
      </c>
      <c r="E352" s="27" t="s">
        <v>51</v>
      </c>
      <c r="F352" s="27" t="s">
        <v>52</v>
      </c>
      <c r="G352" s="27" t="s">
        <v>53</v>
      </c>
      <c r="H352" s="27" t="s">
        <v>54</v>
      </c>
      <c r="I352" s="27" t="s">
        <v>55</v>
      </c>
      <c r="J352" s="27" t="s">
        <v>56</v>
      </c>
      <c r="K352" s="27" t="s">
        <v>57</v>
      </c>
      <c r="L352" s="28" t="s">
        <v>58</v>
      </c>
    </row>
    <row r="353" spans="2:12" ht="15.75" hidden="1" outlineLevel="1" thickBot="1">
      <c r="B353" s="40" t="str">
        <f>IF(C353="","",ROW($A$1))</f>
        <v/>
      </c>
      <c r="C353" s="41"/>
      <c r="D353" s="41"/>
      <c r="E353" s="41"/>
      <c r="F353" s="41"/>
      <c r="G353" s="41"/>
      <c r="H353" s="41"/>
      <c r="I353" s="42"/>
      <c r="J353" s="41"/>
      <c r="K353" s="41"/>
      <c r="L353" s="43"/>
    </row>
    <row r="354" spans="2:12" ht="15.75" hidden="1" outlineLevel="1" thickBot="1">
      <c r="B354" s="35" t="str">
        <f>IF(C354="","",(B353+1))</f>
        <v/>
      </c>
      <c r="C354" s="41"/>
      <c r="D354" s="41"/>
      <c r="E354" s="41"/>
      <c r="F354" s="41"/>
      <c r="G354" s="41"/>
      <c r="H354" s="41"/>
      <c r="I354" s="42"/>
      <c r="J354" s="41"/>
      <c r="K354" s="41"/>
      <c r="L354" s="43"/>
    </row>
    <row r="355" spans="2:12" ht="15.75" hidden="1" outlineLevel="1" thickBot="1">
      <c r="B355" s="35" t="str">
        <f t="shared" ref="B355:B418" si="15">IF(C355="","",(B354+1))</f>
        <v/>
      </c>
      <c r="C355" s="41"/>
      <c r="D355" s="41"/>
      <c r="E355" s="41"/>
      <c r="F355" s="41"/>
      <c r="G355" s="41"/>
      <c r="H355" s="41"/>
      <c r="I355" s="42"/>
      <c r="J355" s="41"/>
      <c r="K355" s="41"/>
      <c r="L355" s="43"/>
    </row>
    <row r="356" spans="2:12" ht="15.75" hidden="1" outlineLevel="1" thickBot="1">
      <c r="B356" s="35" t="str">
        <f t="shared" si="15"/>
        <v/>
      </c>
      <c r="C356" s="41"/>
      <c r="D356" s="41"/>
      <c r="E356" s="41"/>
      <c r="F356" s="41"/>
      <c r="G356" s="41"/>
      <c r="H356" s="41"/>
      <c r="I356" s="42"/>
      <c r="J356" s="41"/>
      <c r="K356" s="41"/>
      <c r="L356" s="43"/>
    </row>
    <row r="357" spans="2:12" ht="15.75" hidden="1" outlineLevel="1" thickBot="1">
      <c r="B357" s="35" t="str">
        <f t="shared" si="15"/>
        <v/>
      </c>
      <c r="C357" s="41"/>
      <c r="D357" s="41"/>
      <c r="E357" s="41"/>
      <c r="F357" s="41"/>
      <c r="G357" s="41"/>
      <c r="H357" s="41"/>
      <c r="I357" s="42"/>
      <c r="J357" s="41"/>
      <c r="K357" s="41"/>
      <c r="L357" s="43"/>
    </row>
    <row r="358" spans="2:12" ht="15.75" hidden="1" outlineLevel="1" thickBot="1">
      <c r="B358" s="35" t="str">
        <f t="shared" si="15"/>
        <v/>
      </c>
      <c r="C358" s="41"/>
      <c r="D358" s="41"/>
      <c r="E358" s="41"/>
      <c r="F358" s="41"/>
      <c r="G358" s="41"/>
      <c r="H358" s="41"/>
      <c r="I358" s="42"/>
      <c r="J358" s="41"/>
      <c r="K358" s="41"/>
      <c r="L358" s="43"/>
    </row>
    <row r="359" spans="2:12" ht="15.75" hidden="1" outlineLevel="1" thickBot="1">
      <c r="B359" s="35" t="str">
        <f t="shared" si="15"/>
        <v/>
      </c>
      <c r="C359" s="41"/>
      <c r="D359" s="41"/>
      <c r="E359" s="41"/>
      <c r="F359" s="41"/>
      <c r="G359" s="41"/>
      <c r="H359" s="41"/>
      <c r="I359" s="42"/>
      <c r="J359" s="41"/>
      <c r="K359" s="41"/>
      <c r="L359" s="43"/>
    </row>
    <row r="360" spans="2:12" ht="15.75" hidden="1" outlineLevel="1" thickBot="1">
      <c r="B360" s="35" t="str">
        <f t="shared" si="15"/>
        <v/>
      </c>
      <c r="C360" s="41"/>
      <c r="D360" s="41"/>
      <c r="E360" s="41"/>
      <c r="F360" s="41"/>
      <c r="G360" s="41"/>
      <c r="H360" s="41"/>
      <c r="I360" s="42"/>
      <c r="J360" s="41"/>
      <c r="K360" s="41"/>
      <c r="L360" s="43"/>
    </row>
    <row r="361" spans="2:12" ht="15.75" hidden="1" outlineLevel="1" thickBot="1">
      <c r="B361" s="35" t="str">
        <f t="shared" si="15"/>
        <v/>
      </c>
      <c r="C361" s="41"/>
      <c r="D361" s="41"/>
      <c r="E361" s="41"/>
      <c r="F361" s="41"/>
      <c r="G361" s="41"/>
      <c r="H361" s="41"/>
      <c r="I361" s="42"/>
      <c r="J361" s="41"/>
      <c r="K361" s="41"/>
      <c r="L361" s="43"/>
    </row>
    <row r="362" spans="2:12" ht="15.75" hidden="1" outlineLevel="1" thickBot="1">
      <c r="B362" s="35" t="str">
        <f t="shared" si="15"/>
        <v/>
      </c>
      <c r="C362" s="41"/>
      <c r="D362" s="41"/>
      <c r="E362" s="41"/>
      <c r="F362" s="41"/>
      <c r="G362" s="41"/>
      <c r="H362" s="41"/>
      <c r="I362" s="42"/>
      <c r="J362" s="41"/>
      <c r="K362" s="41"/>
      <c r="L362" s="43"/>
    </row>
    <row r="363" spans="2:12" ht="15.75" hidden="1" outlineLevel="1" thickBot="1">
      <c r="B363" s="35" t="str">
        <f t="shared" si="15"/>
        <v/>
      </c>
      <c r="C363" s="41"/>
      <c r="D363" s="41"/>
      <c r="E363" s="41"/>
      <c r="F363" s="41"/>
      <c r="G363" s="41"/>
      <c r="H363" s="41"/>
      <c r="I363" s="42"/>
      <c r="J363" s="41"/>
      <c r="K363" s="41"/>
      <c r="L363" s="43"/>
    </row>
    <row r="364" spans="2:12" ht="15.75" hidden="1" outlineLevel="1" thickBot="1">
      <c r="B364" s="40" t="str">
        <f t="shared" si="15"/>
        <v/>
      </c>
      <c r="C364" s="41"/>
      <c r="D364" s="41"/>
      <c r="E364" s="41"/>
      <c r="F364" s="41"/>
      <c r="G364" s="41"/>
      <c r="H364" s="41"/>
      <c r="I364" s="42"/>
      <c r="J364" s="41"/>
      <c r="K364" s="41"/>
      <c r="L364" s="43"/>
    </row>
    <row r="365" spans="2:12" ht="15.75" hidden="1" outlineLevel="1" thickBot="1">
      <c r="B365" s="40" t="str">
        <f t="shared" si="15"/>
        <v/>
      </c>
      <c r="C365" s="41"/>
      <c r="D365" s="41"/>
      <c r="E365" s="41"/>
      <c r="F365" s="41"/>
      <c r="G365" s="41"/>
      <c r="H365" s="41"/>
      <c r="I365" s="42"/>
      <c r="J365" s="41"/>
      <c r="K365" s="41"/>
      <c r="L365" s="43"/>
    </row>
    <row r="366" spans="2:12" ht="15.75" hidden="1" outlineLevel="1" thickBot="1">
      <c r="B366" s="40" t="str">
        <f t="shared" si="15"/>
        <v/>
      </c>
      <c r="C366" s="41"/>
      <c r="D366" s="41"/>
      <c r="E366" s="41"/>
      <c r="F366" s="41"/>
      <c r="G366" s="41"/>
      <c r="H366" s="41"/>
      <c r="I366" s="42"/>
      <c r="J366" s="41"/>
      <c r="K366" s="41"/>
      <c r="L366" s="43"/>
    </row>
    <row r="367" spans="2:12" ht="15.75" hidden="1" outlineLevel="1" thickBot="1">
      <c r="B367" s="40" t="str">
        <f t="shared" si="15"/>
        <v/>
      </c>
      <c r="C367" s="41"/>
      <c r="D367" s="41"/>
      <c r="E367" s="41"/>
      <c r="F367" s="41"/>
      <c r="G367" s="41"/>
      <c r="H367" s="41"/>
      <c r="I367" s="42"/>
      <c r="J367" s="41"/>
      <c r="K367" s="41"/>
      <c r="L367" s="43"/>
    </row>
    <row r="368" spans="2:12" ht="15.75" hidden="1" outlineLevel="1" thickBot="1">
      <c r="B368" s="40" t="str">
        <f t="shared" si="15"/>
        <v/>
      </c>
      <c r="C368" s="41"/>
      <c r="D368" s="41"/>
      <c r="E368" s="41"/>
      <c r="F368" s="41"/>
      <c r="G368" s="41"/>
      <c r="H368" s="41"/>
      <c r="I368" s="42"/>
      <c r="J368" s="41"/>
      <c r="K368" s="41"/>
      <c r="L368" s="43"/>
    </row>
    <row r="369" spans="2:12" ht="15.75" hidden="1" outlineLevel="1" thickBot="1">
      <c r="B369" s="40" t="str">
        <f t="shared" si="15"/>
        <v/>
      </c>
      <c r="C369" s="41"/>
      <c r="D369" s="41"/>
      <c r="E369" s="41"/>
      <c r="F369" s="41"/>
      <c r="G369" s="41"/>
      <c r="H369" s="41"/>
      <c r="I369" s="42"/>
      <c r="J369" s="41"/>
      <c r="K369" s="41"/>
      <c r="L369" s="43"/>
    </row>
    <row r="370" spans="2:12" ht="15.75" hidden="1" outlineLevel="1" thickBot="1">
      <c r="B370" s="40" t="str">
        <f t="shared" si="15"/>
        <v/>
      </c>
      <c r="C370" s="41"/>
      <c r="D370" s="41"/>
      <c r="E370" s="41"/>
      <c r="F370" s="41"/>
      <c r="G370" s="41"/>
      <c r="H370" s="41"/>
      <c r="I370" s="42"/>
      <c r="J370" s="41"/>
      <c r="K370" s="41"/>
      <c r="L370" s="43"/>
    </row>
    <row r="371" spans="2:12" ht="15.75" hidden="1" outlineLevel="1" thickBot="1">
      <c r="B371" s="40" t="str">
        <f t="shared" si="15"/>
        <v/>
      </c>
      <c r="C371" s="41"/>
      <c r="D371" s="41"/>
      <c r="E371" s="41"/>
      <c r="F371" s="41"/>
      <c r="G371" s="41"/>
      <c r="H371" s="41"/>
      <c r="I371" s="42"/>
      <c r="J371" s="41"/>
      <c r="K371" s="41"/>
      <c r="L371" s="43"/>
    </row>
    <row r="372" spans="2:12" ht="15.75" hidden="1" outlineLevel="1" thickBot="1">
      <c r="B372" s="40" t="str">
        <f t="shared" si="15"/>
        <v/>
      </c>
      <c r="C372" s="41"/>
      <c r="D372" s="41"/>
      <c r="E372" s="41"/>
      <c r="F372" s="41"/>
      <c r="G372" s="41"/>
      <c r="H372" s="41"/>
      <c r="I372" s="42"/>
      <c r="J372" s="41"/>
      <c r="K372" s="41"/>
      <c r="L372" s="43"/>
    </row>
    <row r="373" spans="2:12" ht="15.75" hidden="1" outlineLevel="1" thickBot="1">
      <c r="B373" s="40" t="str">
        <f t="shared" si="15"/>
        <v/>
      </c>
      <c r="C373" s="41"/>
      <c r="D373" s="41"/>
      <c r="E373" s="41"/>
      <c r="F373" s="41"/>
      <c r="G373" s="41"/>
      <c r="H373" s="41"/>
      <c r="I373" s="42"/>
      <c r="J373" s="41"/>
      <c r="K373" s="41"/>
      <c r="L373" s="43"/>
    </row>
    <row r="374" spans="2:12" ht="15.75" hidden="1" outlineLevel="1" thickBot="1">
      <c r="B374" s="40" t="str">
        <f t="shared" si="15"/>
        <v/>
      </c>
      <c r="C374" s="41"/>
      <c r="D374" s="41"/>
      <c r="E374" s="41"/>
      <c r="F374" s="41"/>
      <c r="G374" s="41"/>
      <c r="H374" s="41"/>
      <c r="I374" s="42"/>
      <c r="J374" s="41"/>
      <c r="K374" s="41"/>
      <c r="L374" s="43"/>
    </row>
    <row r="375" spans="2:12" ht="15.75" hidden="1" outlineLevel="1" thickBot="1">
      <c r="B375" s="40" t="str">
        <f t="shared" si="15"/>
        <v/>
      </c>
      <c r="C375" s="41"/>
      <c r="D375" s="41"/>
      <c r="E375" s="41"/>
      <c r="F375" s="41"/>
      <c r="G375" s="41"/>
      <c r="H375" s="41"/>
      <c r="I375" s="42"/>
      <c r="J375" s="41"/>
      <c r="K375" s="41"/>
      <c r="L375" s="43"/>
    </row>
    <row r="376" spans="2:12" ht="15.75" hidden="1" outlineLevel="1" thickBot="1">
      <c r="B376" s="40" t="str">
        <f t="shared" si="15"/>
        <v/>
      </c>
      <c r="C376" s="41"/>
      <c r="D376" s="41"/>
      <c r="E376" s="41"/>
      <c r="F376" s="41"/>
      <c r="G376" s="41"/>
      <c r="H376" s="41"/>
      <c r="I376" s="42"/>
      <c r="J376" s="41"/>
      <c r="K376" s="41"/>
      <c r="L376" s="43"/>
    </row>
    <row r="377" spans="2:12" ht="15.75" hidden="1" outlineLevel="1" thickBot="1">
      <c r="B377" s="40" t="str">
        <f t="shared" si="15"/>
        <v/>
      </c>
      <c r="C377" s="41"/>
      <c r="D377" s="41"/>
      <c r="E377" s="41"/>
      <c r="F377" s="41"/>
      <c r="G377" s="41"/>
      <c r="H377" s="41"/>
      <c r="I377" s="42"/>
      <c r="J377" s="41"/>
      <c r="K377" s="41"/>
      <c r="L377" s="43"/>
    </row>
    <row r="378" spans="2:12" ht="15.75" hidden="1" outlineLevel="1" thickBot="1">
      <c r="B378" s="40" t="str">
        <f t="shared" si="15"/>
        <v/>
      </c>
      <c r="C378" s="41"/>
      <c r="D378" s="41"/>
      <c r="E378" s="41"/>
      <c r="F378" s="41"/>
      <c r="G378" s="41"/>
      <c r="H378" s="41"/>
      <c r="I378" s="42"/>
      <c r="J378" s="41"/>
      <c r="K378" s="41"/>
      <c r="L378" s="43"/>
    </row>
    <row r="379" spans="2:12" ht="15.75" hidden="1" outlineLevel="1" thickBot="1">
      <c r="B379" s="40" t="str">
        <f t="shared" si="15"/>
        <v/>
      </c>
      <c r="C379" s="41"/>
      <c r="D379" s="41"/>
      <c r="E379" s="41"/>
      <c r="F379" s="41"/>
      <c r="G379" s="41"/>
      <c r="H379" s="41"/>
      <c r="I379" s="42"/>
      <c r="J379" s="41"/>
      <c r="K379" s="41"/>
      <c r="L379" s="43"/>
    </row>
    <row r="380" spans="2:12" ht="15.75" hidden="1" outlineLevel="1" thickBot="1">
      <c r="B380" s="40" t="str">
        <f t="shared" si="15"/>
        <v/>
      </c>
      <c r="C380" s="41"/>
      <c r="D380" s="41"/>
      <c r="E380" s="41"/>
      <c r="F380" s="41"/>
      <c r="G380" s="41"/>
      <c r="H380" s="41"/>
      <c r="I380" s="42"/>
      <c r="J380" s="41"/>
      <c r="K380" s="41"/>
      <c r="L380" s="43"/>
    </row>
    <row r="381" spans="2:12" ht="15.75" hidden="1" outlineLevel="1" thickBot="1">
      <c r="B381" s="40" t="str">
        <f t="shared" si="15"/>
        <v/>
      </c>
      <c r="C381" s="41"/>
      <c r="D381" s="41"/>
      <c r="E381" s="41"/>
      <c r="F381" s="41"/>
      <c r="G381" s="41"/>
      <c r="H381" s="41"/>
      <c r="I381" s="42"/>
      <c r="J381" s="41"/>
      <c r="K381" s="41"/>
      <c r="L381" s="43"/>
    </row>
    <row r="382" spans="2:12" ht="15.75" hidden="1" outlineLevel="1" thickBot="1">
      <c r="B382" s="40" t="str">
        <f t="shared" si="15"/>
        <v/>
      </c>
      <c r="C382" s="41"/>
      <c r="D382" s="41"/>
      <c r="E382" s="41"/>
      <c r="F382" s="41"/>
      <c r="G382" s="41"/>
      <c r="H382" s="41"/>
      <c r="I382" s="42"/>
      <c r="J382" s="41"/>
      <c r="K382" s="41"/>
      <c r="L382" s="43"/>
    </row>
    <row r="383" spans="2:12" ht="15.75" hidden="1" outlineLevel="1" thickBot="1">
      <c r="B383" s="40" t="str">
        <f t="shared" si="15"/>
        <v/>
      </c>
      <c r="C383" s="41"/>
      <c r="D383" s="41"/>
      <c r="E383" s="41"/>
      <c r="F383" s="41"/>
      <c r="G383" s="41"/>
      <c r="H383" s="41"/>
      <c r="I383" s="42"/>
      <c r="J383" s="41"/>
      <c r="K383" s="41"/>
      <c r="L383" s="43"/>
    </row>
    <row r="384" spans="2:12" ht="15.75" hidden="1" outlineLevel="1" thickBot="1">
      <c r="B384" s="40" t="str">
        <f t="shared" si="15"/>
        <v/>
      </c>
      <c r="C384" s="41"/>
      <c r="D384" s="41"/>
      <c r="E384" s="41"/>
      <c r="F384" s="41"/>
      <c r="G384" s="41"/>
      <c r="H384" s="41"/>
      <c r="I384" s="42"/>
      <c r="J384" s="41"/>
      <c r="K384" s="41"/>
      <c r="L384" s="43"/>
    </row>
    <row r="385" spans="2:12" ht="15.75" hidden="1" outlineLevel="1" thickBot="1">
      <c r="B385" s="40" t="str">
        <f t="shared" si="15"/>
        <v/>
      </c>
      <c r="C385" s="41"/>
      <c r="D385" s="41"/>
      <c r="E385" s="41"/>
      <c r="F385" s="41"/>
      <c r="G385" s="41"/>
      <c r="H385" s="41"/>
      <c r="I385" s="42"/>
      <c r="J385" s="41"/>
      <c r="K385" s="41"/>
      <c r="L385" s="43"/>
    </row>
    <row r="386" spans="2:12" ht="15.75" hidden="1" outlineLevel="1" thickBot="1">
      <c r="B386" s="40" t="str">
        <f t="shared" si="15"/>
        <v/>
      </c>
      <c r="C386" s="41"/>
      <c r="D386" s="41"/>
      <c r="E386" s="41"/>
      <c r="F386" s="41"/>
      <c r="G386" s="41"/>
      <c r="H386" s="41"/>
      <c r="I386" s="42"/>
      <c r="J386" s="41"/>
      <c r="K386" s="41"/>
      <c r="L386" s="43"/>
    </row>
    <row r="387" spans="2:12" ht="15.75" hidden="1" outlineLevel="1" thickBot="1">
      <c r="B387" s="40" t="str">
        <f t="shared" si="15"/>
        <v/>
      </c>
      <c r="C387" s="41"/>
      <c r="D387" s="41"/>
      <c r="E387" s="41"/>
      <c r="F387" s="41"/>
      <c r="G387" s="41"/>
      <c r="H387" s="41"/>
      <c r="I387" s="42"/>
      <c r="J387" s="41"/>
      <c r="K387" s="41"/>
      <c r="L387" s="43"/>
    </row>
    <row r="388" spans="2:12" ht="15.75" hidden="1" outlineLevel="1" thickBot="1">
      <c r="B388" s="40" t="str">
        <f t="shared" si="15"/>
        <v/>
      </c>
      <c r="C388" s="41"/>
      <c r="D388" s="41"/>
      <c r="E388" s="41"/>
      <c r="F388" s="41"/>
      <c r="G388" s="41"/>
      <c r="H388" s="41"/>
      <c r="I388" s="42"/>
      <c r="J388" s="41"/>
      <c r="K388" s="41"/>
      <c r="L388" s="43"/>
    </row>
    <row r="389" spans="2:12" ht="15.75" hidden="1" outlineLevel="1" thickBot="1">
      <c r="B389" s="40" t="str">
        <f t="shared" si="15"/>
        <v/>
      </c>
      <c r="C389" s="41"/>
      <c r="D389" s="41"/>
      <c r="E389" s="41"/>
      <c r="F389" s="41"/>
      <c r="G389" s="41"/>
      <c r="H389" s="41"/>
      <c r="I389" s="42"/>
      <c r="J389" s="41"/>
      <c r="K389" s="41"/>
      <c r="L389" s="43"/>
    </row>
    <row r="390" spans="2:12" ht="15.75" hidden="1" outlineLevel="1" thickBot="1">
      <c r="B390" s="40" t="str">
        <f t="shared" si="15"/>
        <v/>
      </c>
      <c r="C390" s="41"/>
      <c r="D390" s="41"/>
      <c r="E390" s="41"/>
      <c r="F390" s="41"/>
      <c r="G390" s="41"/>
      <c r="H390" s="41"/>
      <c r="I390" s="42"/>
      <c r="J390" s="41"/>
      <c r="K390" s="41"/>
      <c r="L390" s="43"/>
    </row>
    <row r="391" spans="2:12" ht="15.75" hidden="1" outlineLevel="1" thickBot="1">
      <c r="B391" s="40" t="str">
        <f t="shared" si="15"/>
        <v/>
      </c>
      <c r="C391" s="41"/>
      <c r="D391" s="41"/>
      <c r="E391" s="41"/>
      <c r="F391" s="41"/>
      <c r="G391" s="41"/>
      <c r="H391" s="41"/>
      <c r="I391" s="42"/>
      <c r="J391" s="41"/>
      <c r="K391" s="41"/>
      <c r="L391" s="43"/>
    </row>
    <row r="392" spans="2:12" ht="15.75" hidden="1" outlineLevel="1" thickBot="1">
      <c r="B392" s="40" t="str">
        <f t="shared" si="15"/>
        <v/>
      </c>
      <c r="C392" s="41"/>
      <c r="D392" s="41"/>
      <c r="E392" s="41"/>
      <c r="F392" s="41"/>
      <c r="G392" s="41"/>
      <c r="H392" s="41"/>
      <c r="I392" s="42"/>
      <c r="J392" s="41"/>
      <c r="K392" s="41"/>
      <c r="L392" s="43"/>
    </row>
    <row r="393" spans="2:12" ht="15.75" hidden="1" outlineLevel="1" thickBot="1">
      <c r="B393" s="40" t="str">
        <f t="shared" si="15"/>
        <v/>
      </c>
      <c r="C393" s="41"/>
      <c r="D393" s="41"/>
      <c r="E393" s="41"/>
      <c r="F393" s="41"/>
      <c r="G393" s="41"/>
      <c r="H393" s="41"/>
      <c r="I393" s="42"/>
      <c r="J393" s="41"/>
      <c r="K393" s="41"/>
      <c r="L393" s="43"/>
    </row>
    <row r="394" spans="2:12" ht="15.75" hidden="1" outlineLevel="1" thickBot="1">
      <c r="B394" s="40" t="str">
        <f t="shared" si="15"/>
        <v/>
      </c>
      <c r="C394" s="41"/>
      <c r="D394" s="41"/>
      <c r="E394" s="41"/>
      <c r="F394" s="41"/>
      <c r="G394" s="41"/>
      <c r="H394" s="41"/>
      <c r="I394" s="42"/>
      <c r="J394" s="41"/>
      <c r="K394" s="41"/>
      <c r="L394" s="43"/>
    </row>
    <row r="395" spans="2:12" ht="15.75" hidden="1" outlineLevel="1" thickBot="1">
      <c r="B395" s="40" t="str">
        <f t="shared" si="15"/>
        <v/>
      </c>
      <c r="C395" s="41"/>
      <c r="D395" s="41"/>
      <c r="E395" s="41"/>
      <c r="F395" s="41"/>
      <c r="G395" s="41"/>
      <c r="H395" s="41"/>
      <c r="I395" s="42"/>
      <c r="J395" s="41"/>
      <c r="K395" s="41"/>
      <c r="L395" s="43"/>
    </row>
    <row r="396" spans="2:12" ht="15.75" hidden="1" outlineLevel="1" thickBot="1">
      <c r="B396" s="40" t="str">
        <f t="shared" si="15"/>
        <v/>
      </c>
      <c r="C396" s="41"/>
      <c r="D396" s="41"/>
      <c r="E396" s="41"/>
      <c r="F396" s="41"/>
      <c r="G396" s="41"/>
      <c r="H396" s="41"/>
      <c r="I396" s="42"/>
      <c r="J396" s="41"/>
      <c r="K396" s="41"/>
      <c r="L396" s="43"/>
    </row>
    <row r="397" spans="2:12" ht="15.75" hidden="1" outlineLevel="1" thickBot="1">
      <c r="B397" s="40" t="str">
        <f t="shared" si="15"/>
        <v/>
      </c>
      <c r="C397" s="41"/>
      <c r="D397" s="41"/>
      <c r="E397" s="41"/>
      <c r="F397" s="41"/>
      <c r="G397" s="41"/>
      <c r="H397" s="41"/>
      <c r="I397" s="42"/>
      <c r="J397" s="41"/>
      <c r="K397" s="41"/>
      <c r="L397" s="43"/>
    </row>
    <row r="398" spans="2:12" ht="15.75" hidden="1" outlineLevel="1" thickBot="1">
      <c r="B398" s="40" t="str">
        <f t="shared" si="15"/>
        <v/>
      </c>
      <c r="C398" s="41"/>
      <c r="D398" s="41"/>
      <c r="E398" s="41"/>
      <c r="F398" s="41"/>
      <c r="G398" s="41"/>
      <c r="H398" s="41"/>
      <c r="I398" s="42"/>
      <c r="J398" s="41"/>
      <c r="K398" s="41"/>
      <c r="L398" s="43"/>
    </row>
    <row r="399" spans="2:12" ht="15.75" hidden="1" outlineLevel="1" thickBot="1">
      <c r="B399" s="40" t="str">
        <f t="shared" si="15"/>
        <v/>
      </c>
      <c r="C399" s="41"/>
      <c r="D399" s="41"/>
      <c r="E399" s="41"/>
      <c r="F399" s="41"/>
      <c r="G399" s="41"/>
      <c r="H399" s="41"/>
      <c r="I399" s="42"/>
      <c r="J399" s="41"/>
      <c r="K399" s="41"/>
      <c r="L399" s="43"/>
    </row>
    <row r="400" spans="2:12" ht="15.75" hidden="1" outlineLevel="1" thickBot="1">
      <c r="B400" s="40" t="str">
        <f t="shared" si="15"/>
        <v/>
      </c>
      <c r="C400" s="41"/>
      <c r="D400" s="41"/>
      <c r="E400" s="41"/>
      <c r="F400" s="41"/>
      <c r="G400" s="41"/>
      <c r="H400" s="41"/>
      <c r="I400" s="42"/>
      <c r="J400" s="41"/>
      <c r="K400" s="41"/>
      <c r="L400" s="43"/>
    </row>
    <row r="401" spans="2:12" ht="15.75" hidden="1" outlineLevel="1" thickBot="1">
      <c r="B401" s="40" t="str">
        <f t="shared" si="15"/>
        <v/>
      </c>
      <c r="C401" s="41"/>
      <c r="D401" s="41"/>
      <c r="E401" s="41"/>
      <c r="F401" s="41"/>
      <c r="G401" s="41"/>
      <c r="H401" s="41"/>
      <c r="I401" s="42"/>
      <c r="J401" s="41"/>
      <c r="K401" s="41"/>
      <c r="L401" s="43"/>
    </row>
    <row r="402" spans="2:12" ht="15.75" hidden="1" outlineLevel="1" thickBot="1">
      <c r="B402" s="40" t="str">
        <f t="shared" si="15"/>
        <v/>
      </c>
      <c r="C402" s="41"/>
      <c r="D402" s="41"/>
      <c r="E402" s="41"/>
      <c r="F402" s="41"/>
      <c r="G402" s="41"/>
      <c r="H402" s="41"/>
      <c r="I402" s="42"/>
      <c r="J402" s="41"/>
      <c r="K402" s="41"/>
      <c r="L402" s="43"/>
    </row>
    <row r="403" spans="2:12" ht="15.75" hidden="1" outlineLevel="1" thickBot="1">
      <c r="B403" s="40" t="str">
        <f t="shared" si="15"/>
        <v/>
      </c>
      <c r="C403" s="41"/>
      <c r="D403" s="41"/>
      <c r="E403" s="41"/>
      <c r="F403" s="41"/>
      <c r="G403" s="41"/>
      <c r="H403" s="41"/>
      <c r="I403" s="42"/>
      <c r="J403" s="41"/>
      <c r="K403" s="41"/>
      <c r="L403" s="43"/>
    </row>
    <row r="404" spans="2:12" ht="15.75" hidden="1" outlineLevel="1" thickBot="1">
      <c r="B404" s="40" t="str">
        <f t="shared" si="15"/>
        <v/>
      </c>
      <c r="C404" s="41"/>
      <c r="D404" s="41"/>
      <c r="E404" s="41"/>
      <c r="F404" s="41"/>
      <c r="G404" s="41"/>
      <c r="H404" s="41"/>
      <c r="I404" s="42"/>
      <c r="J404" s="41"/>
      <c r="K404" s="41"/>
      <c r="L404" s="43"/>
    </row>
    <row r="405" spans="2:12" ht="15.75" hidden="1" outlineLevel="1" thickBot="1">
      <c r="B405" s="40" t="str">
        <f t="shared" si="15"/>
        <v/>
      </c>
      <c r="C405" s="41"/>
      <c r="D405" s="41"/>
      <c r="E405" s="41"/>
      <c r="F405" s="41"/>
      <c r="G405" s="41"/>
      <c r="H405" s="41"/>
      <c r="I405" s="42"/>
      <c r="J405" s="41"/>
      <c r="K405" s="41"/>
      <c r="L405" s="43"/>
    </row>
    <row r="406" spans="2:12" ht="15.75" hidden="1" outlineLevel="1" thickBot="1">
      <c r="B406" s="40" t="str">
        <f t="shared" si="15"/>
        <v/>
      </c>
      <c r="C406" s="41"/>
      <c r="D406" s="41"/>
      <c r="E406" s="41"/>
      <c r="F406" s="41"/>
      <c r="G406" s="41"/>
      <c r="H406" s="41"/>
      <c r="I406" s="42"/>
      <c r="J406" s="41"/>
      <c r="K406" s="41"/>
      <c r="L406" s="43"/>
    </row>
    <row r="407" spans="2:12" ht="15.75" hidden="1" outlineLevel="1" thickBot="1">
      <c r="B407" s="40" t="str">
        <f t="shared" si="15"/>
        <v/>
      </c>
      <c r="C407" s="41"/>
      <c r="D407" s="41"/>
      <c r="E407" s="41"/>
      <c r="F407" s="41"/>
      <c r="G407" s="41"/>
      <c r="H407" s="41"/>
      <c r="I407" s="42"/>
      <c r="J407" s="41"/>
      <c r="K407" s="41"/>
      <c r="L407" s="43"/>
    </row>
    <row r="408" spans="2:12" ht="15.75" hidden="1" outlineLevel="1" thickBot="1">
      <c r="B408" s="40" t="str">
        <f t="shared" si="15"/>
        <v/>
      </c>
      <c r="C408" s="41"/>
      <c r="D408" s="41"/>
      <c r="E408" s="41"/>
      <c r="F408" s="41"/>
      <c r="G408" s="41"/>
      <c r="H408" s="41"/>
      <c r="I408" s="42"/>
      <c r="J408" s="41"/>
      <c r="K408" s="41"/>
      <c r="L408" s="43"/>
    </row>
    <row r="409" spans="2:12" ht="15.75" hidden="1" outlineLevel="1" thickBot="1">
      <c r="B409" s="40" t="str">
        <f t="shared" si="15"/>
        <v/>
      </c>
      <c r="C409" s="41"/>
      <c r="D409" s="41"/>
      <c r="E409" s="41"/>
      <c r="F409" s="41"/>
      <c r="G409" s="41"/>
      <c r="H409" s="41"/>
      <c r="I409" s="42"/>
      <c r="J409" s="41"/>
      <c r="K409" s="41"/>
      <c r="L409" s="43"/>
    </row>
    <row r="410" spans="2:12" ht="15.75" hidden="1" outlineLevel="1" thickBot="1">
      <c r="B410" s="40" t="str">
        <f t="shared" si="15"/>
        <v/>
      </c>
      <c r="C410" s="41"/>
      <c r="D410" s="41"/>
      <c r="E410" s="41"/>
      <c r="F410" s="41"/>
      <c r="G410" s="41"/>
      <c r="H410" s="41"/>
      <c r="I410" s="42"/>
      <c r="J410" s="41"/>
      <c r="K410" s="41"/>
      <c r="L410" s="43"/>
    </row>
    <row r="411" spans="2:12" ht="15.75" hidden="1" outlineLevel="1" thickBot="1">
      <c r="B411" s="40" t="str">
        <f t="shared" si="15"/>
        <v/>
      </c>
      <c r="C411" s="41"/>
      <c r="D411" s="41"/>
      <c r="E411" s="41"/>
      <c r="F411" s="41"/>
      <c r="G411" s="41"/>
      <c r="H411" s="41"/>
      <c r="I411" s="42"/>
      <c r="J411" s="41"/>
      <c r="K411" s="41"/>
      <c r="L411" s="43"/>
    </row>
    <row r="412" spans="2:12" ht="15.75" hidden="1" outlineLevel="1" thickBot="1">
      <c r="B412" s="40" t="str">
        <f t="shared" si="15"/>
        <v/>
      </c>
      <c r="C412" s="41"/>
      <c r="D412" s="41"/>
      <c r="E412" s="41"/>
      <c r="F412" s="41"/>
      <c r="G412" s="41"/>
      <c r="H412" s="41"/>
      <c r="I412" s="42"/>
      <c r="J412" s="41"/>
      <c r="K412" s="41"/>
      <c r="L412" s="43"/>
    </row>
    <row r="413" spans="2:12" ht="15.75" hidden="1" outlineLevel="1" thickBot="1">
      <c r="B413" s="40" t="str">
        <f t="shared" si="15"/>
        <v/>
      </c>
      <c r="C413" s="41"/>
      <c r="D413" s="41"/>
      <c r="E413" s="41"/>
      <c r="F413" s="41"/>
      <c r="G413" s="41"/>
      <c r="H413" s="41"/>
      <c r="I413" s="42"/>
      <c r="J413" s="41"/>
      <c r="K413" s="41"/>
      <c r="L413" s="43"/>
    </row>
    <row r="414" spans="2:12" ht="15.75" hidden="1" outlineLevel="1" thickBot="1">
      <c r="B414" s="40" t="str">
        <f t="shared" si="15"/>
        <v/>
      </c>
      <c r="C414" s="41"/>
      <c r="D414" s="41"/>
      <c r="E414" s="41"/>
      <c r="F414" s="41"/>
      <c r="G414" s="41"/>
      <c r="H414" s="41"/>
      <c r="I414" s="42"/>
      <c r="J414" s="41"/>
      <c r="K414" s="41"/>
      <c r="L414" s="43"/>
    </row>
    <row r="415" spans="2:12" ht="15.75" hidden="1" outlineLevel="1" thickBot="1">
      <c r="B415" s="40" t="str">
        <f t="shared" si="15"/>
        <v/>
      </c>
      <c r="C415" s="41"/>
      <c r="D415" s="41"/>
      <c r="E415" s="41"/>
      <c r="F415" s="41"/>
      <c r="G415" s="41"/>
      <c r="H415" s="41"/>
      <c r="I415" s="42"/>
      <c r="J415" s="41"/>
      <c r="K415" s="41"/>
      <c r="L415" s="43"/>
    </row>
    <row r="416" spans="2:12" ht="15.75" hidden="1" outlineLevel="1" thickBot="1">
      <c r="B416" s="40" t="str">
        <f t="shared" si="15"/>
        <v/>
      </c>
      <c r="C416" s="41"/>
      <c r="D416" s="41"/>
      <c r="E416" s="41"/>
      <c r="F416" s="41"/>
      <c r="G416" s="41"/>
      <c r="H416" s="41"/>
      <c r="I416" s="42"/>
      <c r="J416" s="41"/>
      <c r="K416" s="41"/>
      <c r="L416" s="43"/>
    </row>
    <row r="417" spans="2:12" ht="15.75" hidden="1" outlineLevel="1" thickBot="1">
      <c r="B417" s="40" t="str">
        <f t="shared" si="15"/>
        <v/>
      </c>
      <c r="C417" s="41"/>
      <c r="D417" s="41"/>
      <c r="E417" s="41"/>
      <c r="F417" s="41"/>
      <c r="G417" s="41"/>
      <c r="H417" s="41"/>
      <c r="I417" s="42"/>
      <c r="J417" s="41"/>
      <c r="K417" s="41"/>
      <c r="L417" s="43"/>
    </row>
    <row r="418" spans="2:12" ht="15.75" hidden="1" outlineLevel="1" thickBot="1">
      <c r="B418" s="40" t="str">
        <f t="shared" si="15"/>
        <v/>
      </c>
      <c r="C418" s="41"/>
      <c r="D418" s="41"/>
      <c r="E418" s="41"/>
      <c r="F418" s="41"/>
      <c r="G418" s="41"/>
      <c r="H418" s="41"/>
      <c r="I418" s="42"/>
      <c r="J418" s="41"/>
      <c r="K418" s="41"/>
      <c r="L418" s="43"/>
    </row>
    <row r="419" spans="2:12" ht="15.75" hidden="1" outlineLevel="1" thickBot="1">
      <c r="B419" s="40" t="str">
        <f t="shared" ref="B419:B452" si="16">IF(C419="","",(B418+1))</f>
        <v/>
      </c>
      <c r="C419" s="41"/>
      <c r="D419" s="41"/>
      <c r="E419" s="41"/>
      <c r="F419" s="41"/>
      <c r="G419" s="41"/>
      <c r="H419" s="41"/>
      <c r="I419" s="42"/>
      <c r="J419" s="41"/>
      <c r="K419" s="41"/>
      <c r="L419" s="43"/>
    </row>
    <row r="420" spans="2:12" ht="15.75" hidden="1" outlineLevel="1" thickBot="1">
      <c r="B420" s="40" t="str">
        <f t="shared" si="16"/>
        <v/>
      </c>
      <c r="C420" s="41"/>
      <c r="D420" s="41"/>
      <c r="E420" s="41"/>
      <c r="F420" s="41"/>
      <c r="G420" s="41"/>
      <c r="H420" s="41"/>
      <c r="I420" s="42"/>
      <c r="J420" s="41"/>
      <c r="K420" s="41"/>
      <c r="L420" s="43"/>
    </row>
    <row r="421" spans="2:12" ht="15.75" hidden="1" outlineLevel="1" thickBot="1">
      <c r="B421" s="40" t="str">
        <f t="shared" si="16"/>
        <v/>
      </c>
      <c r="C421" s="41"/>
      <c r="D421" s="41"/>
      <c r="E421" s="41"/>
      <c r="F421" s="41"/>
      <c r="G421" s="41"/>
      <c r="H421" s="41"/>
      <c r="I421" s="42"/>
      <c r="J421" s="41"/>
      <c r="K421" s="41"/>
      <c r="L421" s="43"/>
    </row>
    <row r="422" spans="2:12" ht="15.75" hidden="1" outlineLevel="1" thickBot="1">
      <c r="B422" s="40" t="str">
        <f t="shared" si="16"/>
        <v/>
      </c>
      <c r="C422" s="41"/>
      <c r="D422" s="41"/>
      <c r="E422" s="41"/>
      <c r="F422" s="41"/>
      <c r="G422" s="41"/>
      <c r="H422" s="41"/>
      <c r="I422" s="42"/>
      <c r="J422" s="41"/>
      <c r="K422" s="41"/>
      <c r="L422" s="43"/>
    </row>
    <row r="423" spans="2:12" ht="15.75" hidden="1" outlineLevel="1" thickBot="1">
      <c r="B423" s="40" t="str">
        <f t="shared" si="16"/>
        <v/>
      </c>
      <c r="C423" s="41"/>
      <c r="D423" s="41"/>
      <c r="E423" s="41"/>
      <c r="F423" s="41"/>
      <c r="G423" s="41"/>
      <c r="H423" s="41"/>
      <c r="I423" s="42"/>
      <c r="J423" s="41"/>
      <c r="K423" s="41"/>
      <c r="L423" s="43"/>
    </row>
    <row r="424" spans="2:12" ht="15.75" hidden="1" outlineLevel="1" thickBot="1">
      <c r="B424" s="40" t="str">
        <f t="shared" si="16"/>
        <v/>
      </c>
      <c r="C424" s="41"/>
      <c r="D424" s="41"/>
      <c r="E424" s="41"/>
      <c r="F424" s="41"/>
      <c r="G424" s="41"/>
      <c r="H424" s="41"/>
      <c r="I424" s="42"/>
      <c r="J424" s="41"/>
      <c r="K424" s="41"/>
      <c r="L424" s="43"/>
    </row>
    <row r="425" spans="2:12" ht="15.75" hidden="1" outlineLevel="1" thickBot="1">
      <c r="B425" s="40" t="str">
        <f t="shared" si="16"/>
        <v/>
      </c>
      <c r="C425" s="41"/>
      <c r="D425" s="41"/>
      <c r="E425" s="41"/>
      <c r="F425" s="41"/>
      <c r="G425" s="41"/>
      <c r="H425" s="41"/>
      <c r="I425" s="42"/>
      <c r="J425" s="41"/>
      <c r="K425" s="41"/>
      <c r="L425" s="43"/>
    </row>
    <row r="426" spans="2:12" ht="15.75" hidden="1" outlineLevel="1" thickBot="1">
      <c r="B426" s="40" t="str">
        <f t="shared" si="16"/>
        <v/>
      </c>
      <c r="C426" s="41"/>
      <c r="D426" s="41"/>
      <c r="E426" s="41"/>
      <c r="F426" s="41"/>
      <c r="G426" s="41"/>
      <c r="H426" s="41"/>
      <c r="I426" s="42"/>
      <c r="J426" s="41"/>
      <c r="K426" s="41"/>
      <c r="L426" s="43"/>
    </row>
    <row r="427" spans="2:12" ht="15.75" hidden="1" outlineLevel="1" thickBot="1">
      <c r="B427" s="40" t="str">
        <f t="shared" si="16"/>
        <v/>
      </c>
      <c r="C427" s="41"/>
      <c r="D427" s="41"/>
      <c r="E427" s="41"/>
      <c r="F427" s="41"/>
      <c r="G427" s="41"/>
      <c r="H427" s="41"/>
      <c r="I427" s="42"/>
      <c r="J427" s="41"/>
      <c r="K427" s="41"/>
      <c r="L427" s="43"/>
    </row>
    <row r="428" spans="2:12" ht="15.75" hidden="1" outlineLevel="1" thickBot="1">
      <c r="B428" s="40" t="str">
        <f t="shared" si="16"/>
        <v/>
      </c>
      <c r="C428" s="41"/>
      <c r="D428" s="41"/>
      <c r="E428" s="41"/>
      <c r="F428" s="41"/>
      <c r="G428" s="41"/>
      <c r="H428" s="41"/>
      <c r="I428" s="42"/>
      <c r="J428" s="41"/>
      <c r="K428" s="41"/>
      <c r="L428" s="43"/>
    </row>
    <row r="429" spans="2:12" ht="15.75" hidden="1" outlineLevel="1" thickBot="1">
      <c r="B429" s="40" t="str">
        <f t="shared" si="16"/>
        <v/>
      </c>
      <c r="C429" s="41"/>
      <c r="D429" s="41"/>
      <c r="E429" s="41"/>
      <c r="F429" s="41"/>
      <c r="G429" s="41"/>
      <c r="H429" s="41"/>
      <c r="I429" s="42"/>
      <c r="J429" s="41"/>
      <c r="K429" s="41"/>
      <c r="L429" s="43"/>
    </row>
    <row r="430" spans="2:12" ht="15.75" hidden="1" outlineLevel="1" thickBot="1">
      <c r="B430" s="40" t="str">
        <f t="shared" si="16"/>
        <v/>
      </c>
      <c r="C430" s="41"/>
      <c r="D430" s="41"/>
      <c r="E430" s="41"/>
      <c r="F430" s="41"/>
      <c r="G430" s="41"/>
      <c r="H430" s="41"/>
      <c r="I430" s="42"/>
      <c r="J430" s="41"/>
      <c r="K430" s="41"/>
      <c r="L430" s="43"/>
    </row>
    <row r="431" spans="2:12" ht="15.75" hidden="1" outlineLevel="1" thickBot="1">
      <c r="B431" s="40" t="str">
        <f t="shared" si="16"/>
        <v/>
      </c>
      <c r="C431" s="41"/>
      <c r="D431" s="41"/>
      <c r="E431" s="41"/>
      <c r="F431" s="41"/>
      <c r="G431" s="41"/>
      <c r="H431" s="41"/>
      <c r="I431" s="42"/>
      <c r="J431" s="41"/>
      <c r="K431" s="41"/>
      <c r="L431" s="43"/>
    </row>
    <row r="432" spans="2:12" ht="15.75" hidden="1" outlineLevel="1" thickBot="1">
      <c r="B432" s="40" t="str">
        <f t="shared" si="16"/>
        <v/>
      </c>
      <c r="C432" s="41"/>
      <c r="D432" s="41"/>
      <c r="E432" s="41"/>
      <c r="F432" s="41"/>
      <c r="G432" s="41"/>
      <c r="H432" s="41"/>
      <c r="I432" s="42"/>
      <c r="J432" s="41"/>
      <c r="K432" s="41"/>
      <c r="L432" s="43"/>
    </row>
    <row r="433" spans="2:12" ht="15.75" hidden="1" outlineLevel="1" thickBot="1">
      <c r="B433" s="40" t="str">
        <f t="shared" si="16"/>
        <v/>
      </c>
      <c r="C433" s="41"/>
      <c r="D433" s="41"/>
      <c r="E433" s="41"/>
      <c r="F433" s="41"/>
      <c r="G433" s="41"/>
      <c r="H433" s="41"/>
      <c r="I433" s="42"/>
      <c r="J433" s="41"/>
      <c r="K433" s="41"/>
      <c r="L433" s="43"/>
    </row>
    <row r="434" spans="2:12" ht="15.75" hidden="1" outlineLevel="1" thickBot="1">
      <c r="B434" s="40" t="str">
        <f t="shared" si="16"/>
        <v/>
      </c>
      <c r="C434" s="41"/>
      <c r="D434" s="41"/>
      <c r="E434" s="41"/>
      <c r="F434" s="41"/>
      <c r="G434" s="41"/>
      <c r="H434" s="41"/>
      <c r="I434" s="42"/>
      <c r="J434" s="41"/>
      <c r="K434" s="41"/>
      <c r="L434" s="43"/>
    </row>
    <row r="435" spans="2:12" ht="15.75" hidden="1" outlineLevel="1" thickBot="1">
      <c r="B435" s="40" t="str">
        <f t="shared" si="16"/>
        <v/>
      </c>
      <c r="C435" s="41"/>
      <c r="D435" s="41"/>
      <c r="E435" s="41"/>
      <c r="F435" s="41"/>
      <c r="G435" s="41"/>
      <c r="H435" s="41"/>
      <c r="I435" s="42"/>
      <c r="J435" s="41"/>
      <c r="K435" s="41"/>
      <c r="L435" s="43"/>
    </row>
    <row r="436" spans="2:12" ht="15.75" hidden="1" outlineLevel="1" thickBot="1">
      <c r="B436" s="40" t="str">
        <f t="shared" si="16"/>
        <v/>
      </c>
      <c r="C436" s="41"/>
      <c r="D436" s="41"/>
      <c r="E436" s="41"/>
      <c r="F436" s="41"/>
      <c r="G436" s="41"/>
      <c r="H436" s="41"/>
      <c r="I436" s="42"/>
      <c r="J436" s="41"/>
      <c r="K436" s="41"/>
      <c r="L436" s="43"/>
    </row>
    <row r="437" spans="2:12" ht="15.75" hidden="1" outlineLevel="1" thickBot="1">
      <c r="B437" s="40" t="str">
        <f t="shared" si="16"/>
        <v/>
      </c>
      <c r="C437" s="41"/>
      <c r="D437" s="41"/>
      <c r="E437" s="41"/>
      <c r="F437" s="41"/>
      <c r="G437" s="41"/>
      <c r="H437" s="41"/>
      <c r="I437" s="42"/>
      <c r="J437" s="41"/>
      <c r="K437" s="41"/>
      <c r="L437" s="43"/>
    </row>
    <row r="438" spans="2:12" ht="15.75" hidden="1" outlineLevel="1" thickBot="1">
      <c r="B438" s="40" t="str">
        <f t="shared" si="16"/>
        <v/>
      </c>
      <c r="C438" s="41"/>
      <c r="D438" s="41"/>
      <c r="E438" s="41"/>
      <c r="F438" s="41"/>
      <c r="G438" s="41"/>
      <c r="H438" s="41"/>
      <c r="I438" s="42"/>
      <c r="J438" s="41"/>
      <c r="K438" s="41"/>
      <c r="L438" s="43"/>
    </row>
    <row r="439" spans="2:12" ht="15.75" hidden="1" outlineLevel="1" thickBot="1">
      <c r="B439" s="40" t="str">
        <f t="shared" si="16"/>
        <v/>
      </c>
      <c r="C439" s="41"/>
      <c r="D439" s="41"/>
      <c r="E439" s="41"/>
      <c r="F439" s="41"/>
      <c r="G439" s="41"/>
      <c r="H439" s="41"/>
      <c r="I439" s="42"/>
      <c r="J439" s="41"/>
      <c r="K439" s="41"/>
      <c r="L439" s="43"/>
    </row>
    <row r="440" spans="2:12" ht="15.75" hidden="1" outlineLevel="1" thickBot="1">
      <c r="B440" s="40" t="str">
        <f t="shared" si="16"/>
        <v/>
      </c>
      <c r="C440" s="41"/>
      <c r="D440" s="41"/>
      <c r="E440" s="41"/>
      <c r="F440" s="41"/>
      <c r="G440" s="41"/>
      <c r="H440" s="41"/>
      <c r="I440" s="42"/>
      <c r="J440" s="41"/>
      <c r="K440" s="41"/>
      <c r="L440" s="43"/>
    </row>
    <row r="441" spans="2:12" ht="15.75" hidden="1" outlineLevel="1" thickBot="1">
      <c r="B441" s="40" t="str">
        <f t="shared" si="16"/>
        <v/>
      </c>
      <c r="C441" s="41"/>
      <c r="D441" s="41"/>
      <c r="E441" s="41"/>
      <c r="F441" s="41"/>
      <c r="G441" s="41"/>
      <c r="H441" s="41"/>
      <c r="I441" s="42"/>
      <c r="J441" s="41"/>
      <c r="K441" s="41"/>
      <c r="L441" s="43"/>
    </row>
    <row r="442" spans="2:12" ht="15.75" hidden="1" outlineLevel="1" thickBot="1">
      <c r="B442" s="40" t="str">
        <f t="shared" si="16"/>
        <v/>
      </c>
      <c r="C442" s="41"/>
      <c r="D442" s="41"/>
      <c r="E442" s="41"/>
      <c r="F442" s="41"/>
      <c r="G442" s="41"/>
      <c r="H442" s="41"/>
      <c r="I442" s="42"/>
      <c r="J442" s="41"/>
      <c r="K442" s="41"/>
      <c r="L442" s="43"/>
    </row>
    <row r="443" spans="2:12" ht="15.75" hidden="1" outlineLevel="1" thickBot="1">
      <c r="B443" s="40" t="str">
        <f t="shared" si="16"/>
        <v/>
      </c>
      <c r="C443" s="41"/>
      <c r="D443" s="41"/>
      <c r="E443" s="41"/>
      <c r="F443" s="41"/>
      <c r="G443" s="41"/>
      <c r="H443" s="41"/>
      <c r="I443" s="42"/>
      <c r="J443" s="41"/>
      <c r="K443" s="41"/>
      <c r="L443" s="43"/>
    </row>
    <row r="444" spans="2:12" ht="15.75" hidden="1" outlineLevel="1" thickBot="1">
      <c r="B444" s="40" t="str">
        <f t="shared" si="16"/>
        <v/>
      </c>
      <c r="C444" s="41"/>
      <c r="D444" s="41"/>
      <c r="E444" s="41"/>
      <c r="F444" s="41"/>
      <c r="G444" s="41"/>
      <c r="H444" s="41"/>
      <c r="I444" s="42"/>
      <c r="J444" s="41"/>
      <c r="K444" s="41"/>
      <c r="L444" s="43"/>
    </row>
    <row r="445" spans="2:12" ht="15.75" hidden="1" outlineLevel="1" thickBot="1">
      <c r="B445" s="40" t="str">
        <f t="shared" si="16"/>
        <v/>
      </c>
      <c r="C445" s="41"/>
      <c r="D445" s="41"/>
      <c r="E445" s="41"/>
      <c r="F445" s="41"/>
      <c r="G445" s="41"/>
      <c r="H445" s="41"/>
      <c r="I445" s="42"/>
      <c r="J445" s="41"/>
      <c r="K445" s="41"/>
      <c r="L445" s="43"/>
    </row>
    <row r="446" spans="2:12" ht="15.75" hidden="1" outlineLevel="1" thickBot="1">
      <c r="B446" s="40" t="str">
        <f t="shared" si="16"/>
        <v/>
      </c>
      <c r="C446" s="41"/>
      <c r="D446" s="41"/>
      <c r="E446" s="41"/>
      <c r="F446" s="41"/>
      <c r="G446" s="41"/>
      <c r="H446" s="41"/>
      <c r="I446" s="42"/>
      <c r="J446" s="41"/>
      <c r="K446" s="41"/>
      <c r="L446" s="43"/>
    </row>
    <row r="447" spans="2:12" ht="15.75" hidden="1" outlineLevel="1" thickBot="1">
      <c r="B447" s="40" t="str">
        <f t="shared" si="16"/>
        <v/>
      </c>
      <c r="C447" s="41"/>
      <c r="D447" s="41"/>
      <c r="E447" s="41"/>
      <c r="F447" s="41"/>
      <c r="G447" s="41"/>
      <c r="H447" s="41"/>
      <c r="I447" s="42"/>
      <c r="J447" s="41"/>
      <c r="K447" s="41"/>
      <c r="L447" s="43"/>
    </row>
    <row r="448" spans="2:12" ht="15.75" hidden="1" outlineLevel="1" thickBot="1">
      <c r="B448" s="40" t="str">
        <f t="shared" si="16"/>
        <v/>
      </c>
      <c r="C448" s="41"/>
      <c r="D448" s="41"/>
      <c r="E448" s="41"/>
      <c r="F448" s="41"/>
      <c r="G448" s="41"/>
      <c r="H448" s="41"/>
      <c r="I448" s="42"/>
      <c r="J448" s="41"/>
      <c r="K448" s="41"/>
      <c r="L448" s="43"/>
    </row>
    <row r="449" spans="2:12" ht="15.75" hidden="1" outlineLevel="1" thickBot="1">
      <c r="B449" s="40" t="str">
        <f t="shared" si="16"/>
        <v/>
      </c>
      <c r="C449" s="41"/>
      <c r="D449" s="41"/>
      <c r="E449" s="41"/>
      <c r="F449" s="41"/>
      <c r="G449" s="41"/>
      <c r="H449" s="41"/>
      <c r="I449" s="42"/>
      <c r="J449" s="41"/>
      <c r="K449" s="41"/>
      <c r="L449" s="43"/>
    </row>
    <row r="450" spans="2:12" ht="15.75" hidden="1" outlineLevel="1" thickBot="1">
      <c r="B450" s="40" t="str">
        <f t="shared" si="16"/>
        <v/>
      </c>
      <c r="C450" s="41"/>
      <c r="D450" s="41"/>
      <c r="E450" s="41"/>
      <c r="F450" s="41"/>
      <c r="G450" s="41"/>
      <c r="H450" s="41"/>
      <c r="I450" s="42"/>
      <c r="J450" s="41"/>
      <c r="K450" s="41"/>
      <c r="L450" s="43"/>
    </row>
    <row r="451" spans="2:12" ht="15.75" hidden="1" outlineLevel="1" thickBot="1">
      <c r="B451" s="35" t="str">
        <f t="shared" si="16"/>
        <v/>
      </c>
      <c r="C451" s="41"/>
      <c r="D451" s="1"/>
      <c r="E451" s="1"/>
      <c r="F451" s="1"/>
      <c r="G451" s="1"/>
      <c r="H451" s="1"/>
      <c r="I451" s="36"/>
      <c r="J451" s="1"/>
      <c r="K451" s="1"/>
      <c r="L451" s="2"/>
    </row>
    <row r="452" spans="2:12" ht="15.75" hidden="1" outlineLevel="1" thickBot="1">
      <c r="B452" s="37" t="str">
        <f t="shared" si="16"/>
        <v/>
      </c>
      <c r="C452" s="38"/>
      <c r="D452" s="38"/>
      <c r="E452" s="38"/>
      <c r="F452" s="38"/>
      <c r="G452" s="38"/>
      <c r="H452" s="38"/>
      <c r="I452" s="38"/>
      <c r="J452" s="38"/>
      <c r="K452" s="38"/>
      <c r="L452" s="39"/>
    </row>
    <row r="453" spans="2:12" ht="24" customHeight="1" collapsed="1" thickBot="1">
      <c r="B453" s="320" t="s">
        <v>59</v>
      </c>
      <c r="C453" s="321"/>
      <c r="D453" s="321"/>
      <c r="E453" s="321"/>
      <c r="F453" s="321"/>
      <c r="G453" s="321"/>
      <c r="H453" s="321"/>
      <c r="I453" s="321"/>
      <c r="J453" s="321"/>
      <c r="K453" s="321"/>
      <c r="L453" s="322"/>
    </row>
    <row r="454" spans="2:12" ht="24" customHeight="1" thickBot="1">
      <c r="B454" s="26" t="s">
        <v>49</v>
      </c>
      <c r="C454" s="27" t="s">
        <v>60</v>
      </c>
      <c r="D454" s="27" t="s">
        <v>62</v>
      </c>
      <c r="E454" s="27" t="s">
        <v>63</v>
      </c>
      <c r="F454" s="27" t="s">
        <v>64</v>
      </c>
      <c r="G454" s="27" t="s">
        <v>65</v>
      </c>
      <c r="H454" s="27" t="s">
        <v>66</v>
      </c>
      <c r="I454" s="27" t="s">
        <v>67</v>
      </c>
      <c r="J454" s="27" t="s">
        <v>6</v>
      </c>
      <c r="K454" s="27" t="s">
        <v>7</v>
      </c>
      <c r="L454" s="28" t="s">
        <v>68</v>
      </c>
    </row>
    <row r="455" spans="2:12">
      <c r="B455" s="46" t="s">
        <v>8</v>
      </c>
      <c r="C455" s="41">
        <f>COUNTIFS(B353:B452,"&gt;"&amp;0,C353:C452,"="&amp;B455)</f>
        <v>0</v>
      </c>
      <c r="D455" s="41">
        <f>COUNTIFS(B353:B452,"&gt;="&amp;1,C353:C452,B455,K353:K452,"&gt;="&amp;0,K353:K452,"&lt;"&amp;50)</f>
        <v>0</v>
      </c>
      <c r="E455" s="41">
        <f>COUNTIFS(B353:B452,"&gt;="&amp;1,C353:C452,B455,K353:K452,"&gt;="&amp;50,K353:K452,"&lt;"&amp;500)</f>
        <v>0</v>
      </c>
      <c r="F455" s="41">
        <f>COUNTIFS(B353:B452,"&gt;="&amp;1,C353:C452,B455,K353:K452,"&gt;="&amp;500)</f>
        <v>0</v>
      </c>
      <c r="G455" s="41">
        <f>COUNTIFS(B353:B452,"&gt;="&amp;1,C353:C452,B455,K353:K452,"&gt;="&amp;0,I353:I452,"&gt;"&amp;DATE(2021,1,1))</f>
        <v>0</v>
      </c>
      <c r="H455" s="47" t="str">
        <f>IF(G455=0,"-",(SUM(E455,F455)/G455))</f>
        <v>-</v>
      </c>
      <c r="I455" s="41">
        <f>IF((COUNTIFS(B353:B452,"&gt;="&amp;1,C353:C452,"="&amp;B455))&gt;228,228,(COUNTIFS(B353:B452,"&gt;="&amp;1,C353:C452,"="&amp;B455)))</f>
        <v>0</v>
      </c>
      <c r="J455" s="47" t="str">
        <f>IF(I455=0,"-",(COUNTIFS(C353:C452,"="&amp;B455,I353:I452,"&lt;="&amp;DATE(2024,12,31),K353:K452,"&gt;="&amp;0)/I455))</f>
        <v>-</v>
      </c>
      <c r="K455" s="47" t="str">
        <f>IF(I455=0,"-",IF(J455=1,"-",(COUNTIFS(B353:B452,"&gt;"&amp;0,C353:C452,"="&amp;B455,I353:I452,"&gt;"&amp;DATE(2024,12,31),K353:K452,"&gt;="&amp;0)/(I455-COUNTIFS(B353:B452,"&gt;"&amp;0,C353:C452,"="&amp;B455,I353:I452,"&lt;="&amp;DATE(2024,12,31),K353:K452,"&gt;="&amp;0)))))</f>
        <v>-</v>
      </c>
      <c r="L455" s="48" t="str">
        <f>IF(I455=0,"-",G455/I455)</f>
        <v>-</v>
      </c>
    </row>
    <row r="456" spans="2:12">
      <c r="B456" s="7" t="s">
        <v>9</v>
      </c>
      <c r="C456" s="1">
        <f>COUNTIFS(B353:B452,"&gt;"&amp;0,C353:C452,"="&amp;B456)</f>
        <v>0</v>
      </c>
      <c r="D456" s="1">
        <f>COUNTIFS(B353:B452,"&gt;="&amp;1,C353:C452,B456,K353:K452,"&gt;="&amp;0,K353:K452,"&lt;"&amp;50)</f>
        <v>0</v>
      </c>
      <c r="E456" s="1">
        <f>COUNTIFS(B353:B452,"&gt;="&amp;1,C353:C452,B456,K353:K452,"&gt;="&amp;50,K353:K452,"&lt;"&amp;500)</f>
        <v>0</v>
      </c>
      <c r="F456" s="1">
        <f>COUNTIFS(B353:B452,"&gt;="&amp;1,C353:C452,B456,K353:K452,"&gt;="&amp;500)</f>
        <v>0</v>
      </c>
      <c r="G456" s="1">
        <f>COUNTIFS(B353:B452,"&gt;="&amp;1,C353:C452,B456,K353:K452,"&gt;="&amp;0,I353:I452,"&gt;"&amp;DATE(2021,1,1))</f>
        <v>0</v>
      </c>
      <c r="H456" s="44" t="str">
        <f t="shared" ref="H456:H458" si="17">IF(G456=0,"-",(SUM(E456,F456)/G456))</f>
        <v>-</v>
      </c>
      <c r="I456" s="1">
        <f>IF((COUNTIFS(B353:B452,"&gt;="&amp;1,C353:C452,"="&amp;B456))&gt;228,228,(COUNTIFS(B353:B452,"&gt;="&amp;1,C353:C452,"="&amp;B456)))</f>
        <v>0</v>
      </c>
      <c r="J456" s="44" t="str">
        <f>IF(I456=0,"-",(COUNTIFS(C353:C452,"="&amp;B456,I353:I452,"&lt;="&amp;DATE(2024,12,31),K353:K452,"&gt;="&amp;0)/I456))</f>
        <v>-</v>
      </c>
      <c r="K456" s="47" t="str">
        <f>IF(I456=0,"-",IF(J456=1,"-",(COUNTIFS(B353:B452,"&gt;"&amp;0,C353:C452,"="&amp;B456,I353:I452,"&gt;"&amp;DATE(2024,12,31),K353:K452,"&gt;="&amp;0)/(I456-COUNTIFS(B353:B452,"&gt;"&amp;0,C353:C452,"="&amp;B456,I353:I452,"&lt;="&amp;DATE(2024,12,31),K353:K452,"&gt;="&amp;0)))))</f>
        <v>-</v>
      </c>
      <c r="L456" s="45" t="str">
        <f t="shared" ref="L456:L458" si="18">IF(I456=0,"-",G456/I456)</f>
        <v>-</v>
      </c>
    </row>
    <row r="457" spans="2:12">
      <c r="B457" s="7" t="s">
        <v>69</v>
      </c>
      <c r="C457" s="1">
        <f>COUNTIFS(B353:B452,"&gt;"&amp;0,C353:C452,"="&amp;B457)</f>
        <v>0</v>
      </c>
      <c r="D457" s="1">
        <f>COUNTIFS(B353:B452,"&gt;="&amp;1,C353:C452,B457,K353:K452,"&gt;="&amp;0,K353:K452,"&lt;"&amp;50)</f>
        <v>0</v>
      </c>
      <c r="E457" s="1">
        <f>COUNTIFS(B353:B452,"&gt;="&amp;1,C353:C452,B457,K353:K452,"&gt;="&amp;50,K353:K452,"&lt;"&amp;500)</f>
        <v>0</v>
      </c>
      <c r="F457" s="1">
        <f>COUNTIFS(B353:B451,"&gt;="&amp;1,C353:C451,B457,K353:K451,"&gt;="&amp;500)</f>
        <v>0</v>
      </c>
      <c r="G457" s="1">
        <f>COUNTIFS(B353:B452,"&gt;="&amp;1,C353:C452,B457,K353:K452,"&gt;="&amp;0,I353:I452,"&gt;"&amp;DATE(2021,1,1))</f>
        <v>0</v>
      </c>
      <c r="H457" s="44" t="str">
        <f t="shared" si="17"/>
        <v>-</v>
      </c>
      <c r="I457" s="1">
        <f>IF((COUNTIFS(B353:B451,"&gt;="&amp;1,C353:C451,"="&amp;B457))&gt;228,228,(COUNTIFS(B353:B451,"&gt;="&amp;1,C353:C451,"="&amp;B457)))</f>
        <v>0</v>
      </c>
      <c r="J457" s="44" t="str">
        <f>IF(I457=0,"-",(COUNTIFS(C353:C452,"="&amp;B457,I353:I452,"&lt;="&amp;DATE(2024,12,31),K353:K452,"&gt;="&amp;0)/I457))</f>
        <v>-</v>
      </c>
      <c r="K457" s="47" t="str">
        <f>IF(I457=0,"-",IF(J457=1,"-",(COUNTIFS(B353:B452,"&gt;"&amp;0,C353:C452,"="&amp;B457,I353:I452,"&gt;"&amp;DATE(2024,12,31),K353:K452,"&gt;="&amp;0)/(I457-COUNTIFS(B353:B452,"&gt;"&amp;0,C353:C452,"="&amp;B457,I353:I452,"&lt;="&amp;DATE(2024,12,31),K353:K452,"&gt;="&amp;0)))))</f>
        <v>-</v>
      </c>
      <c r="L457" s="45" t="str">
        <f t="shared" si="18"/>
        <v>-</v>
      </c>
    </row>
    <row r="458" spans="2:12" ht="24" customHeight="1" thickBot="1">
      <c r="B458" s="49" t="s">
        <v>59</v>
      </c>
      <c r="C458" s="50">
        <f>SUM(C455:C457)</f>
        <v>0</v>
      </c>
      <c r="D458" s="50">
        <f>SUM(D455:D457)</f>
        <v>0</v>
      </c>
      <c r="E458" s="50">
        <f>SUM(E455:E457)</f>
        <v>0</v>
      </c>
      <c r="F458" s="50">
        <f>SUM(F455:F457)</f>
        <v>0</v>
      </c>
      <c r="G458" s="50">
        <f>SUM(G455:G457)</f>
        <v>0</v>
      </c>
      <c r="H458" s="51" t="str">
        <f t="shared" si="17"/>
        <v>-</v>
      </c>
      <c r="I458" s="50">
        <f>SUM(I455:I457)</f>
        <v>0</v>
      </c>
      <c r="J458" s="51" t="str">
        <f>IF(I458=0,"-",(COUNTIFS(I353:I452,"&lt;="&amp;DATE(2024,12,31),K353:K452,"&gt;="&amp;0)/I458))</f>
        <v>-</v>
      </c>
      <c r="K458" s="51" t="str">
        <f>IF(I458=0,"-",IF(J458=1,"-",(COUNTIFS(B353:B452,"&gt;"&amp;0,I353:I452,"&gt;"&amp;DATE(2024,12,31),K353:K452,"&gt;="&amp;0)/(I458-COUNTIFS(B353:B452,"&gt;"&amp;0,I353:I452,"&lt;="&amp;DATE(2024,12,31),K353:K452,"&gt;="&amp;0)))))</f>
        <v>-</v>
      </c>
      <c r="L458" s="52" t="str">
        <f t="shared" si="18"/>
        <v>-</v>
      </c>
    </row>
    <row r="460" spans="2:12" ht="15.75" thickBot="1"/>
    <row r="461" spans="2:12" ht="33.75" customHeight="1" thickBot="1">
      <c r="B461" s="320" t="str">
        <f>_xlfn.CONCAT("Transformadores de Distribuição - TD's",TEXT(IF(SUM(I1382:I1385)=0," ",(SUM(G1382:G1385)/SUM(I1382:I1385))), " 0,00%"))</f>
        <v>Transformadores de Distribuição - TD's 9,76%</v>
      </c>
      <c r="C461" s="321"/>
      <c r="D461" s="321"/>
      <c r="E461" s="321"/>
      <c r="F461" s="321"/>
      <c r="G461" s="321"/>
      <c r="H461" s="321"/>
      <c r="I461" s="321"/>
      <c r="J461" s="321"/>
      <c r="K461" s="321"/>
      <c r="L461" s="322"/>
    </row>
    <row r="462" spans="2:12" ht="23.25" customHeight="1" thickBot="1">
      <c r="B462" s="26" t="s">
        <v>48</v>
      </c>
      <c r="C462" s="27" t="s">
        <v>49</v>
      </c>
      <c r="D462" s="27" t="s">
        <v>50</v>
      </c>
      <c r="E462" s="27" t="s">
        <v>51</v>
      </c>
      <c r="F462" s="27" t="s">
        <v>52</v>
      </c>
      <c r="G462" s="27" t="s">
        <v>53</v>
      </c>
      <c r="H462" s="27" t="s">
        <v>54</v>
      </c>
      <c r="I462" s="27" t="s">
        <v>55</v>
      </c>
      <c r="J462" s="27" t="s">
        <v>56</v>
      </c>
      <c r="K462" s="27" t="s">
        <v>57</v>
      </c>
      <c r="L462" s="28" t="s">
        <v>58</v>
      </c>
    </row>
    <row r="463" spans="2:12" outlineLevel="2">
      <c r="B463" s="40">
        <f>ROW(A1)</f>
        <v>1</v>
      </c>
      <c r="C463" s="41" t="s">
        <v>8</v>
      </c>
      <c r="D463" s="277" t="s">
        <v>139</v>
      </c>
      <c r="E463" s="274">
        <v>78216</v>
      </c>
      <c r="F463" s="275">
        <v>78216</v>
      </c>
      <c r="G463" s="276">
        <v>1987</v>
      </c>
      <c r="H463" s="41"/>
      <c r="I463" s="42"/>
      <c r="J463" s="41"/>
      <c r="K463" s="275">
        <v>39</v>
      </c>
      <c r="L463" s="275">
        <v>74628</v>
      </c>
    </row>
    <row r="464" spans="2:12" outlineLevel="2">
      <c r="B464" s="40">
        <f t="shared" ref="B464" si="19">ROW(A2)</f>
        <v>2</v>
      </c>
      <c r="C464" s="41" t="s">
        <v>8</v>
      </c>
      <c r="D464" s="163" t="s">
        <v>129</v>
      </c>
      <c r="E464" s="94">
        <v>5928</v>
      </c>
      <c r="F464" s="163">
        <v>1</v>
      </c>
      <c r="G464" s="85">
        <v>1981</v>
      </c>
      <c r="H464" s="41"/>
      <c r="I464" s="42"/>
      <c r="J464" s="41"/>
      <c r="K464" s="135">
        <v>47</v>
      </c>
      <c r="L464" s="135">
        <v>62624</v>
      </c>
    </row>
    <row r="465" spans="2:12" outlineLevel="2">
      <c r="B465" s="40">
        <f t="shared" ref="B465:B528" si="20">ROW(A3)</f>
        <v>3</v>
      </c>
      <c r="C465" s="41" t="s">
        <v>8</v>
      </c>
      <c r="D465" s="129" t="s">
        <v>143</v>
      </c>
      <c r="E465" s="129">
        <v>7605</v>
      </c>
      <c r="F465" s="129">
        <v>1</v>
      </c>
      <c r="G465" s="124">
        <v>1976</v>
      </c>
      <c r="H465" s="41"/>
      <c r="I465" s="42"/>
      <c r="J465" s="41"/>
      <c r="K465" s="129">
        <v>2</v>
      </c>
      <c r="L465" s="129">
        <v>45119</v>
      </c>
    </row>
    <row r="466" spans="2:12" outlineLevel="2">
      <c r="B466" s="40">
        <f t="shared" si="20"/>
        <v>4</v>
      </c>
      <c r="C466" s="41" t="s">
        <v>8</v>
      </c>
      <c r="D466" s="129" t="s">
        <v>126</v>
      </c>
      <c r="E466" s="129">
        <v>8538209</v>
      </c>
      <c r="F466" s="129">
        <v>8538209</v>
      </c>
      <c r="G466" s="124">
        <v>1985</v>
      </c>
      <c r="H466" s="41"/>
      <c r="I466" s="42"/>
      <c r="J466" s="41"/>
      <c r="K466" s="129">
        <v>2</v>
      </c>
      <c r="L466" s="129">
        <v>45119</v>
      </c>
    </row>
    <row r="467" spans="2:12" outlineLevel="2">
      <c r="B467" s="40">
        <f t="shared" si="20"/>
        <v>5</v>
      </c>
      <c r="C467" s="41" t="s">
        <v>8</v>
      </c>
      <c r="D467" s="129" t="s">
        <v>139</v>
      </c>
      <c r="E467" s="129">
        <v>78095</v>
      </c>
      <c r="F467" s="129">
        <v>6874</v>
      </c>
      <c r="G467" s="133">
        <v>1987</v>
      </c>
      <c r="H467" s="41"/>
      <c r="I467" s="42"/>
      <c r="J467" s="41"/>
      <c r="K467" s="129">
        <v>30</v>
      </c>
      <c r="L467" s="129">
        <v>45119</v>
      </c>
    </row>
    <row r="468" spans="2:12" outlineLevel="2">
      <c r="B468" s="40">
        <f t="shared" si="20"/>
        <v>6</v>
      </c>
      <c r="C468" s="41" t="s">
        <v>8</v>
      </c>
      <c r="D468" s="129" t="s">
        <v>139</v>
      </c>
      <c r="E468" s="129">
        <v>21537</v>
      </c>
      <c r="F468" s="129">
        <v>11866</v>
      </c>
      <c r="G468" s="85">
        <v>1980</v>
      </c>
      <c r="H468" s="41"/>
      <c r="I468" s="42"/>
      <c r="J468" s="41"/>
      <c r="K468" s="129">
        <v>25</v>
      </c>
      <c r="L468" s="129">
        <v>45119</v>
      </c>
    </row>
    <row r="469" spans="2:12" outlineLevel="2">
      <c r="B469" s="40">
        <f t="shared" si="20"/>
        <v>7</v>
      </c>
      <c r="C469" s="41" t="s">
        <v>8</v>
      </c>
      <c r="D469" s="129" t="s">
        <v>132</v>
      </c>
      <c r="E469" s="129">
        <v>45913</v>
      </c>
      <c r="F469" s="129">
        <v>1</v>
      </c>
      <c r="G469" s="127">
        <v>1977</v>
      </c>
      <c r="H469" s="41"/>
      <c r="I469" s="42"/>
      <c r="J469" s="41"/>
      <c r="K469" s="129">
        <v>22</v>
      </c>
      <c r="L469" s="129">
        <v>45119</v>
      </c>
    </row>
    <row r="470" spans="2:12" outlineLevel="2">
      <c r="B470" s="40">
        <f t="shared" si="20"/>
        <v>8</v>
      </c>
      <c r="C470" s="41" t="s">
        <v>8</v>
      </c>
      <c r="D470" s="129" t="s">
        <v>150</v>
      </c>
      <c r="E470" s="129">
        <v>5660</v>
      </c>
      <c r="F470" s="129">
        <v>8749395</v>
      </c>
      <c r="G470" s="133">
        <v>1987</v>
      </c>
      <c r="H470" s="41"/>
      <c r="I470" s="42"/>
      <c r="J470" s="41"/>
      <c r="K470" s="129">
        <v>2</v>
      </c>
      <c r="L470" s="129">
        <v>45119</v>
      </c>
    </row>
    <row r="471" spans="2:12" outlineLevel="2">
      <c r="B471" s="40">
        <f t="shared" si="20"/>
        <v>9</v>
      </c>
      <c r="C471" s="41" t="s">
        <v>8</v>
      </c>
      <c r="D471" s="129" t="s">
        <v>132</v>
      </c>
      <c r="E471" s="129">
        <v>43477</v>
      </c>
      <c r="F471" s="129">
        <v>1</v>
      </c>
      <c r="G471" s="124">
        <v>1982</v>
      </c>
      <c r="H471" s="41"/>
      <c r="I471" s="42"/>
      <c r="J471" s="41"/>
      <c r="K471" s="129">
        <v>9</v>
      </c>
      <c r="L471" s="129">
        <v>45119</v>
      </c>
    </row>
    <row r="472" spans="2:12" outlineLevel="2">
      <c r="B472" s="40">
        <f t="shared" si="20"/>
        <v>10</v>
      </c>
      <c r="C472" s="41" t="s">
        <v>8</v>
      </c>
      <c r="D472" s="123" t="s">
        <v>126</v>
      </c>
      <c r="E472" s="123">
        <v>15864</v>
      </c>
      <c r="F472" s="123">
        <v>0</v>
      </c>
      <c r="G472" s="124">
        <v>1976</v>
      </c>
      <c r="H472" s="41"/>
      <c r="I472" s="42"/>
      <c r="J472" s="41"/>
      <c r="K472" s="123">
        <v>22</v>
      </c>
      <c r="L472" s="123">
        <v>74627</v>
      </c>
    </row>
    <row r="473" spans="2:12" outlineLevel="2">
      <c r="B473" s="40">
        <f t="shared" si="20"/>
        <v>11</v>
      </c>
      <c r="C473" s="41" t="s">
        <v>8</v>
      </c>
      <c r="D473" s="123" t="s">
        <v>139</v>
      </c>
      <c r="E473" s="123">
        <v>36287</v>
      </c>
      <c r="F473" s="123">
        <v>3665</v>
      </c>
      <c r="G473" s="85">
        <v>1981</v>
      </c>
      <c r="H473" s="41"/>
      <c r="I473" s="42"/>
      <c r="J473" s="41"/>
      <c r="K473" s="123">
        <v>26</v>
      </c>
      <c r="L473" s="123">
        <v>74623</v>
      </c>
    </row>
    <row r="474" spans="2:12" outlineLevel="2">
      <c r="B474" s="40">
        <f t="shared" si="20"/>
        <v>12</v>
      </c>
      <c r="C474" s="41" t="s">
        <v>8</v>
      </c>
      <c r="D474" s="123" t="s">
        <v>139</v>
      </c>
      <c r="E474" s="123">
        <v>12941</v>
      </c>
      <c r="F474" s="123">
        <v>12941</v>
      </c>
      <c r="G474" s="85">
        <v>1981</v>
      </c>
      <c r="H474" s="41"/>
      <c r="I474" s="42"/>
      <c r="J474" s="41"/>
      <c r="K474" s="123">
        <v>28</v>
      </c>
      <c r="L474" s="123">
        <v>74620</v>
      </c>
    </row>
    <row r="475" spans="2:12" outlineLevel="2">
      <c r="B475" s="40">
        <f t="shared" si="20"/>
        <v>13</v>
      </c>
      <c r="C475" s="41" t="s">
        <v>8</v>
      </c>
      <c r="D475" s="123" t="s">
        <v>135</v>
      </c>
      <c r="E475" s="123">
        <v>477</v>
      </c>
      <c r="F475" s="123">
        <v>47777</v>
      </c>
      <c r="G475" s="127">
        <v>1986</v>
      </c>
      <c r="H475" s="41"/>
      <c r="I475" s="42"/>
      <c r="J475" s="41"/>
      <c r="K475" s="123">
        <v>25</v>
      </c>
      <c r="L475" s="123">
        <v>74612</v>
      </c>
    </row>
    <row r="476" spans="2:12" outlineLevel="2">
      <c r="B476" s="40">
        <f t="shared" si="20"/>
        <v>14</v>
      </c>
      <c r="C476" s="41" t="s">
        <v>8</v>
      </c>
      <c r="D476" s="123" t="s">
        <v>139</v>
      </c>
      <c r="E476" s="123">
        <v>21429</v>
      </c>
      <c r="F476" s="123">
        <v>21429</v>
      </c>
      <c r="G476" s="124">
        <v>1979</v>
      </c>
      <c r="H476" s="41"/>
      <c r="I476" s="42"/>
      <c r="J476" s="41"/>
      <c r="K476" s="123">
        <v>38</v>
      </c>
      <c r="L476" s="123">
        <v>74607</v>
      </c>
    </row>
    <row r="477" spans="2:12" outlineLevel="2">
      <c r="B477" s="40">
        <f t="shared" si="20"/>
        <v>15</v>
      </c>
      <c r="C477" s="41" t="s">
        <v>8</v>
      </c>
      <c r="D477" s="123" t="s">
        <v>139</v>
      </c>
      <c r="E477" s="123">
        <v>170440</v>
      </c>
      <c r="F477" s="123">
        <v>0</v>
      </c>
      <c r="G477" s="124">
        <v>1976</v>
      </c>
      <c r="H477" s="41"/>
      <c r="I477" s="42"/>
      <c r="J477" s="41"/>
      <c r="K477" s="123">
        <v>18</v>
      </c>
      <c r="L477" s="123">
        <v>74599</v>
      </c>
    </row>
    <row r="478" spans="2:12" outlineLevel="2">
      <c r="B478" s="40">
        <f t="shared" si="20"/>
        <v>16</v>
      </c>
      <c r="C478" s="41" t="s">
        <v>8</v>
      </c>
      <c r="D478" s="123" t="s">
        <v>139</v>
      </c>
      <c r="E478" s="123">
        <v>48494</v>
      </c>
      <c r="F478" s="123">
        <v>0</v>
      </c>
      <c r="G478" s="124">
        <v>1983</v>
      </c>
      <c r="H478" s="41"/>
      <c r="I478" s="42"/>
      <c r="J478" s="41"/>
      <c r="K478" s="123">
        <v>2</v>
      </c>
      <c r="L478" s="123">
        <v>74596</v>
      </c>
    </row>
    <row r="479" spans="2:12" outlineLevel="2">
      <c r="B479" s="40">
        <f t="shared" si="20"/>
        <v>17</v>
      </c>
      <c r="C479" s="41" t="s">
        <v>8</v>
      </c>
      <c r="D479" s="123" t="s">
        <v>144</v>
      </c>
      <c r="E479" s="123">
        <v>15057</v>
      </c>
      <c r="F479" s="123">
        <v>1088</v>
      </c>
      <c r="G479" s="123">
        <v>1988</v>
      </c>
      <c r="H479" s="41"/>
      <c r="I479" s="42"/>
      <c r="J479" s="41"/>
      <c r="K479" s="123">
        <v>12</v>
      </c>
      <c r="L479" s="123">
        <v>77408</v>
      </c>
    </row>
    <row r="480" spans="2:12" outlineLevel="2">
      <c r="B480" s="40">
        <f t="shared" si="20"/>
        <v>18</v>
      </c>
      <c r="C480" s="41" t="s">
        <v>8</v>
      </c>
      <c r="D480" s="123" t="s">
        <v>143</v>
      </c>
      <c r="E480" s="123">
        <v>500669</v>
      </c>
      <c r="F480" s="123">
        <v>0</v>
      </c>
      <c r="G480" s="124">
        <v>1979</v>
      </c>
      <c r="H480" s="41"/>
      <c r="I480" s="42"/>
      <c r="J480" s="41"/>
      <c r="K480" s="123">
        <v>3</v>
      </c>
      <c r="L480" s="123">
        <v>77393</v>
      </c>
    </row>
    <row r="481" spans="2:12" outlineLevel="2">
      <c r="B481" s="40">
        <f t="shared" si="20"/>
        <v>19</v>
      </c>
      <c r="C481" s="41" t="s">
        <v>8</v>
      </c>
      <c r="D481" s="123" t="s">
        <v>137</v>
      </c>
      <c r="E481" s="123">
        <v>56550</v>
      </c>
      <c r="F481" s="123">
        <v>56550</v>
      </c>
      <c r="G481" s="123">
        <v>1987</v>
      </c>
      <c r="H481" s="41"/>
      <c r="I481" s="42"/>
      <c r="J481" s="41"/>
      <c r="K481" s="123">
        <v>4</v>
      </c>
      <c r="L481" s="123">
        <v>77375</v>
      </c>
    </row>
    <row r="482" spans="2:12" outlineLevel="2">
      <c r="B482" s="40">
        <f t="shared" si="20"/>
        <v>20</v>
      </c>
      <c r="C482" s="41" t="s">
        <v>8</v>
      </c>
      <c r="D482" s="123" t="s">
        <v>140</v>
      </c>
      <c r="E482" s="123">
        <v>8810124</v>
      </c>
      <c r="F482" s="123">
        <v>0</v>
      </c>
      <c r="G482" s="123">
        <v>1988</v>
      </c>
      <c r="H482" s="41"/>
      <c r="I482" s="42"/>
      <c r="J482" s="41"/>
      <c r="K482" s="123">
        <v>47</v>
      </c>
      <c r="L482" s="123">
        <v>77360</v>
      </c>
    </row>
    <row r="483" spans="2:12" outlineLevel="2">
      <c r="B483" s="40">
        <f t="shared" si="20"/>
        <v>21</v>
      </c>
      <c r="C483" s="41" t="s">
        <v>8</v>
      </c>
      <c r="D483" s="221" t="s">
        <v>125</v>
      </c>
      <c r="E483" s="221">
        <v>31256</v>
      </c>
      <c r="F483" s="221">
        <v>0</v>
      </c>
      <c r="G483" s="124">
        <v>1982</v>
      </c>
      <c r="H483" s="41"/>
      <c r="I483" s="42"/>
      <c r="J483" s="41"/>
      <c r="K483" s="221">
        <v>8</v>
      </c>
      <c r="L483" s="221">
        <v>81184</v>
      </c>
    </row>
    <row r="484" spans="2:12" outlineLevel="2">
      <c r="B484" s="40">
        <f t="shared" si="20"/>
        <v>22</v>
      </c>
      <c r="C484" s="41" t="s">
        <v>8</v>
      </c>
      <c r="D484" s="221" t="s">
        <v>143</v>
      </c>
      <c r="E484" s="221">
        <v>108276803</v>
      </c>
      <c r="F484" s="221">
        <v>0</v>
      </c>
      <c r="G484" s="124">
        <v>1983</v>
      </c>
      <c r="H484" s="41"/>
      <c r="I484" s="42"/>
      <c r="J484" s="41"/>
      <c r="K484" s="221">
        <v>36</v>
      </c>
      <c r="L484" s="221">
        <v>81081</v>
      </c>
    </row>
    <row r="485" spans="2:12" outlineLevel="2">
      <c r="B485" s="40">
        <f t="shared" si="20"/>
        <v>23</v>
      </c>
      <c r="C485" s="41" t="s">
        <v>8</v>
      </c>
      <c r="D485" s="221" t="s">
        <v>123</v>
      </c>
      <c r="E485" s="221">
        <v>63889</v>
      </c>
      <c r="F485" s="221">
        <v>78965450</v>
      </c>
      <c r="G485" s="221">
        <v>1988</v>
      </c>
      <c r="H485" s="41"/>
      <c r="I485" s="42"/>
      <c r="J485" s="41"/>
      <c r="K485" s="221">
        <v>170</v>
      </c>
      <c r="L485" s="221">
        <v>81079</v>
      </c>
    </row>
    <row r="486" spans="2:12" outlineLevel="2">
      <c r="B486" s="40">
        <f t="shared" si="20"/>
        <v>24</v>
      </c>
      <c r="C486" s="41" t="s">
        <v>8</v>
      </c>
      <c r="D486" s="102" t="s">
        <v>143</v>
      </c>
      <c r="E486" s="102">
        <v>7937707</v>
      </c>
      <c r="F486" s="102">
        <v>294610</v>
      </c>
      <c r="G486" s="85">
        <v>1981</v>
      </c>
      <c r="H486" s="41"/>
      <c r="I486" s="42"/>
      <c r="J486" s="41"/>
      <c r="K486" s="102">
        <v>44</v>
      </c>
      <c r="L486" s="102">
        <v>83528</v>
      </c>
    </row>
    <row r="487" spans="2:12" outlineLevel="2">
      <c r="B487" s="40">
        <f t="shared" si="20"/>
        <v>25</v>
      </c>
      <c r="C487" s="41" t="s">
        <v>8</v>
      </c>
      <c r="D487" s="102" t="s">
        <v>132</v>
      </c>
      <c r="E487" s="102">
        <v>2302</v>
      </c>
      <c r="F487" s="102">
        <v>293885</v>
      </c>
      <c r="G487" s="124">
        <v>1979</v>
      </c>
      <c r="H487" s="41"/>
      <c r="I487" s="42"/>
      <c r="J487" s="41"/>
      <c r="K487" s="102">
        <v>28</v>
      </c>
      <c r="L487" s="102">
        <v>83316</v>
      </c>
    </row>
    <row r="488" spans="2:12" outlineLevel="2">
      <c r="B488" s="40">
        <f t="shared" si="20"/>
        <v>26</v>
      </c>
      <c r="C488" s="41" t="s">
        <v>8</v>
      </c>
      <c r="D488" s="102" t="s">
        <v>143</v>
      </c>
      <c r="E488" s="102">
        <v>79820</v>
      </c>
      <c r="F488" s="102">
        <v>0</v>
      </c>
      <c r="G488" s="102">
        <v>1987</v>
      </c>
      <c r="H488" s="41"/>
      <c r="I488" s="42"/>
      <c r="J488" s="41"/>
      <c r="K488" s="102">
        <v>11</v>
      </c>
      <c r="L488" s="102">
        <v>83315</v>
      </c>
    </row>
    <row r="489" spans="2:12" outlineLevel="2">
      <c r="B489" s="40">
        <f t="shared" si="20"/>
        <v>27</v>
      </c>
      <c r="C489" s="41" t="s">
        <v>8</v>
      </c>
      <c r="D489" s="102" t="s">
        <v>139</v>
      </c>
      <c r="E489" s="102">
        <v>36819</v>
      </c>
      <c r="F489" s="102">
        <v>294499</v>
      </c>
      <c r="G489" s="124">
        <v>1975</v>
      </c>
      <c r="H489" s="41"/>
      <c r="I489" s="42"/>
      <c r="J489" s="41"/>
      <c r="K489" s="102">
        <v>40</v>
      </c>
      <c r="L489" s="102">
        <v>83308</v>
      </c>
    </row>
    <row r="490" spans="2:12" outlineLevel="2">
      <c r="B490" s="40">
        <f t="shared" si="20"/>
        <v>28</v>
      </c>
      <c r="C490" s="41" t="s">
        <v>8</v>
      </c>
      <c r="D490" s="102" t="s">
        <v>137</v>
      </c>
      <c r="E490" s="102">
        <v>4638269</v>
      </c>
      <c r="F490" s="102">
        <v>294622</v>
      </c>
      <c r="G490" s="124">
        <v>1982</v>
      </c>
      <c r="H490" s="41"/>
      <c r="I490" s="42"/>
      <c r="J490" s="41"/>
      <c r="K490" s="102">
        <v>43</v>
      </c>
      <c r="L490" s="102">
        <v>83306</v>
      </c>
    </row>
    <row r="491" spans="2:12" outlineLevel="2">
      <c r="B491" s="40">
        <f t="shared" si="20"/>
        <v>29</v>
      </c>
      <c r="C491" s="41" t="s">
        <v>8</v>
      </c>
      <c r="D491" s="102" t="s">
        <v>137</v>
      </c>
      <c r="E491" s="102">
        <v>81267903107</v>
      </c>
      <c r="F491" s="102">
        <v>294548</v>
      </c>
      <c r="G491" s="85">
        <v>1981</v>
      </c>
      <c r="H491" s="41"/>
      <c r="I491" s="42"/>
      <c r="J491" s="41"/>
      <c r="K491" s="102">
        <v>38</v>
      </c>
      <c r="L491" s="102">
        <v>83302</v>
      </c>
    </row>
    <row r="492" spans="2:12" outlineLevel="2">
      <c r="B492" s="40">
        <f t="shared" si="20"/>
        <v>30</v>
      </c>
      <c r="C492" s="41" t="s">
        <v>8</v>
      </c>
      <c r="D492" s="102" t="s">
        <v>316</v>
      </c>
      <c r="E492" s="102">
        <v>37882</v>
      </c>
      <c r="F492" s="102">
        <v>37882</v>
      </c>
      <c r="G492" s="124">
        <v>1982</v>
      </c>
      <c r="H492" s="41"/>
      <c r="I492" s="42"/>
      <c r="J492" s="41"/>
      <c r="K492" s="102">
        <v>18</v>
      </c>
      <c r="L492" s="102">
        <v>85696</v>
      </c>
    </row>
    <row r="493" spans="2:12" outlineLevel="2">
      <c r="B493" s="40">
        <f t="shared" si="20"/>
        <v>31</v>
      </c>
      <c r="C493" s="41" t="s">
        <v>8</v>
      </c>
      <c r="D493" s="102" t="s">
        <v>150</v>
      </c>
      <c r="E493" s="102">
        <v>36574</v>
      </c>
      <c r="F493" s="102">
        <v>299249</v>
      </c>
      <c r="G493" s="124">
        <v>1982</v>
      </c>
      <c r="H493" s="41"/>
      <c r="I493" s="42"/>
      <c r="J493" s="41"/>
      <c r="K493" s="102">
        <v>39</v>
      </c>
      <c r="L493" s="102">
        <v>89634</v>
      </c>
    </row>
    <row r="494" spans="2:12" outlineLevel="2">
      <c r="B494" s="40">
        <f t="shared" si="20"/>
        <v>32</v>
      </c>
      <c r="C494" s="41" t="s">
        <v>8</v>
      </c>
      <c r="D494" s="102" t="s">
        <v>139</v>
      </c>
      <c r="E494" s="102">
        <v>112679</v>
      </c>
      <c r="F494" s="102">
        <v>299310</v>
      </c>
      <c r="G494" s="124">
        <v>1979</v>
      </c>
      <c r="H494" s="41"/>
      <c r="I494" s="42"/>
      <c r="J494" s="41"/>
      <c r="K494" s="102">
        <v>45</v>
      </c>
      <c r="L494" s="102">
        <v>89580</v>
      </c>
    </row>
    <row r="495" spans="2:12" outlineLevel="2">
      <c r="B495" s="40">
        <f t="shared" si="20"/>
        <v>33</v>
      </c>
      <c r="C495" s="41" t="s">
        <v>8</v>
      </c>
      <c r="D495" s="102" t="s">
        <v>150</v>
      </c>
      <c r="E495" s="102">
        <v>45264</v>
      </c>
      <c r="F495" s="102">
        <v>20124</v>
      </c>
      <c r="G495" s="102">
        <v>1987</v>
      </c>
      <c r="H495" s="41"/>
      <c r="I495" s="42"/>
      <c r="J495" s="41"/>
      <c r="K495" s="102">
        <v>21</v>
      </c>
      <c r="L495" s="102">
        <v>89573</v>
      </c>
    </row>
    <row r="496" spans="2:12" outlineLevel="2">
      <c r="B496" s="40">
        <f t="shared" si="20"/>
        <v>34</v>
      </c>
      <c r="C496" s="41" t="s">
        <v>8</v>
      </c>
      <c r="D496" s="102" t="s">
        <v>150</v>
      </c>
      <c r="E496" s="102">
        <v>42455</v>
      </c>
      <c r="F496" s="102">
        <v>0</v>
      </c>
      <c r="G496" s="127">
        <v>1986</v>
      </c>
      <c r="H496" s="41"/>
      <c r="I496" s="42"/>
      <c r="J496" s="41"/>
      <c r="K496" s="102">
        <v>22</v>
      </c>
      <c r="L496" s="102">
        <v>89568</v>
      </c>
    </row>
    <row r="497" spans="2:12" outlineLevel="2">
      <c r="B497" s="40">
        <f t="shared" si="20"/>
        <v>35</v>
      </c>
      <c r="C497" s="41" t="s">
        <v>8</v>
      </c>
      <c r="D497" s="41"/>
      <c r="E497" s="104">
        <v>48515</v>
      </c>
      <c r="F497" s="104">
        <v>2296</v>
      </c>
      <c r="G497" s="124">
        <v>1983</v>
      </c>
      <c r="H497" s="41"/>
      <c r="I497" s="42"/>
      <c r="J497" s="41"/>
      <c r="K497" s="104">
        <v>8</v>
      </c>
      <c r="L497" s="104">
        <v>106795</v>
      </c>
    </row>
    <row r="498" spans="2:12" outlineLevel="2">
      <c r="B498" s="40">
        <f t="shared" si="20"/>
        <v>36</v>
      </c>
      <c r="C498" s="41" t="s">
        <v>8</v>
      </c>
      <c r="D498" s="41"/>
      <c r="E498" s="104">
        <v>27358</v>
      </c>
      <c r="F498" s="104">
        <v>313885</v>
      </c>
      <c r="G498" s="124">
        <v>1983</v>
      </c>
      <c r="H498" s="41"/>
      <c r="I498" s="42"/>
      <c r="J498" s="41"/>
      <c r="K498" s="104">
        <v>5</v>
      </c>
      <c r="L498" s="104">
        <v>106792</v>
      </c>
    </row>
    <row r="499" spans="2:12" outlineLevel="2">
      <c r="B499" s="40">
        <f t="shared" si="20"/>
        <v>37</v>
      </c>
      <c r="C499" s="41" t="s">
        <v>8</v>
      </c>
      <c r="D499" s="41"/>
      <c r="E499" s="104">
        <v>1761</v>
      </c>
      <c r="F499" s="104">
        <v>856062</v>
      </c>
      <c r="G499" s="124">
        <v>1985</v>
      </c>
      <c r="H499" s="41"/>
      <c r="I499" s="42"/>
      <c r="J499" s="41"/>
      <c r="K499" s="104">
        <v>4</v>
      </c>
      <c r="L499" s="104">
        <v>106788</v>
      </c>
    </row>
    <row r="500" spans="2:12" outlineLevel="2">
      <c r="B500" s="40">
        <f t="shared" si="20"/>
        <v>38</v>
      </c>
      <c r="C500" s="41" t="s">
        <v>8</v>
      </c>
      <c r="D500" s="41"/>
      <c r="E500" s="104">
        <v>557099</v>
      </c>
      <c r="F500" s="104">
        <v>313883</v>
      </c>
      <c r="G500" s="85">
        <v>1980</v>
      </c>
      <c r="H500" s="41"/>
      <c r="I500" s="42"/>
      <c r="J500" s="41"/>
      <c r="K500" s="104">
        <v>2</v>
      </c>
      <c r="L500" s="104">
        <v>106785</v>
      </c>
    </row>
    <row r="501" spans="2:12" outlineLevel="2">
      <c r="B501" s="40">
        <f t="shared" si="20"/>
        <v>39</v>
      </c>
      <c r="C501" s="41" t="s">
        <v>8</v>
      </c>
      <c r="D501" s="41"/>
      <c r="E501" s="104">
        <v>12925</v>
      </c>
      <c r="F501" s="104">
        <v>315722</v>
      </c>
      <c r="G501" s="85">
        <v>1981</v>
      </c>
      <c r="H501" s="41"/>
      <c r="I501" s="42"/>
      <c r="J501" s="41"/>
      <c r="K501" s="104">
        <v>22</v>
      </c>
      <c r="L501" s="104">
        <v>107877</v>
      </c>
    </row>
    <row r="502" spans="2:12" outlineLevel="2">
      <c r="B502" s="40">
        <f t="shared" si="20"/>
        <v>40</v>
      </c>
      <c r="C502" s="41" t="s">
        <v>8</v>
      </c>
      <c r="D502" s="41"/>
      <c r="E502" s="104">
        <v>844547</v>
      </c>
      <c r="F502" s="104">
        <v>315723</v>
      </c>
      <c r="G502" s="124">
        <v>1984</v>
      </c>
      <c r="H502" s="41"/>
      <c r="I502" s="42"/>
      <c r="J502" s="41"/>
      <c r="K502" s="104">
        <v>14</v>
      </c>
      <c r="L502" s="104">
        <v>107875</v>
      </c>
    </row>
    <row r="503" spans="2:12" outlineLevel="2">
      <c r="B503" s="40">
        <f t="shared" si="20"/>
        <v>41</v>
      </c>
      <c r="C503" s="41" t="s">
        <v>8</v>
      </c>
      <c r="D503" s="41"/>
      <c r="E503" s="104">
        <v>15101</v>
      </c>
      <c r="F503" s="104">
        <v>315670</v>
      </c>
      <c r="G503" s="124">
        <v>30106</v>
      </c>
      <c r="H503" s="41"/>
      <c r="I503" s="42"/>
      <c r="J503" s="41"/>
      <c r="K503" s="104">
        <v>174</v>
      </c>
      <c r="L503" s="104">
        <v>107975</v>
      </c>
    </row>
    <row r="504" spans="2:12" outlineLevel="2">
      <c r="B504" s="40">
        <f t="shared" si="20"/>
        <v>42</v>
      </c>
      <c r="C504" s="41" t="s">
        <v>8</v>
      </c>
      <c r="D504" s="41"/>
      <c r="E504" s="104">
        <v>7290</v>
      </c>
      <c r="F504" s="104">
        <v>316542</v>
      </c>
      <c r="G504" s="124">
        <v>1979</v>
      </c>
      <c r="H504" s="41"/>
      <c r="I504" s="42"/>
      <c r="J504" s="41"/>
      <c r="K504" s="104">
        <v>4</v>
      </c>
      <c r="L504" s="104">
        <v>108389</v>
      </c>
    </row>
    <row r="505" spans="2:12" outlineLevel="2">
      <c r="B505" s="40">
        <f t="shared" si="20"/>
        <v>43</v>
      </c>
      <c r="C505" s="41" t="s">
        <v>8</v>
      </c>
      <c r="D505" s="41"/>
      <c r="E505" s="104">
        <v>45853</v>
      </c>
      <c r="F505" s="104">
        <v>316544</v>
      </c>
      <c r="G505" s="104">
        <v>1987</v>
      </c>
      <c r="H505" s="41"/>
      <c r="I505" s="42"/>
      <c r="J505" s="41"/>
      <c r="K505" s="104">
        <v>2</v>
      </c>
      <c r="L505" s="104">
        <v>108371</v>
      </c>
    </row>
    <row r="506" spans="2:12" outlineLevel="2">
      <c r="B506" s="40">
        <f t="shared" si="20"/>
        <v>44</v>
      </c>
      <c r="C506" s="41" t="s">
        <v>8</v>
      </c>
      <c r="D506" s="41"/>
      <c r="E506" s="104">
        <v>37959</v>
      </c>
      <c r="F506" s="104">
        <v>316541</v>
      </c>
      <c r="G506" s="124">
        <v>1982</v>
      </c>
      <c r="H506" s="41"/>
      <c r="I506" s="42"/>
      <c r="J506" s="41"/>
      <c r="K506" s="104">
        <v>17</v>
      </c>
      <c r="L506" s="104">
        <v>108347</v>
      </c>
    </row>
    <row r="507" spans="2:12" outlineLevel="2">
      <c r="B507" s="40">
        <f t="shared" si="20"/>
        <v>45</v>
      </c>
      <c r="C507" s="41" t="s">
        <v>8</v>
      </c>
      <c r="D507" s="41"/>
      <c r="E507" s="104">
        <v>8540014</v>
      </c>
      <c r="F507" s="104">
        <v>454630</v>
      </c>
      <c r="G507" s="124">
        <v>1985</v>
      </c>
      <c r="H507" s="41"/>
      <c r="I507" s="42"/>
      <c r="J507" s="41"/>
      <c r="K507" s="104">
        <v>29</v>
      </c>
      <c r="L507" s="104">
        <v>108337</v>
      </c>
    </row>
    <row r="508" spans="2:12" outlineLevel="2">
      <c r="B508" s="40">
        <f t="shared" si="20"/>
        <v>46</v>
      </c>
      <c r="C508" s="41" t="s">
        <v>8</v>
      </c>
      <c r="D508" s="41"/>
      <c r="E508" s="104">
        <v>70328</v>
      </c>
      <c r="F508" s="104">
        <v>316547</v>
      </c>
      <c r="G508" s="85">
        <v>1980</v>
      </c>
      <c r="H508" s="41"/>
      <c r="I508" s="42"/>
      <c r="J508" s="41"/>
      <c r="K508" s="104">
        <v>4</v>
      </c>
      <c r="L508" s="104">
        <v>108335</v>
      </c>
    </row>
    <row r="509" spans="2:12" outlineLevel="2">
      <c r="B509" s="40">
        <f t="shared" si="20"/>
        <v>47</v>
      </c>
      <c r="C509" s="41" t="s">
        <v>8</v>
      </c>
      <c r="D509" s="41"/>
      <c r="E509" s="104">
        <v>55272</v>
      </c>
      <c r="F509" s="104">
        <v>4245</v>
      </c>
      <c r="G509" s="124">
        <v>1984</v>
      </c>
      <c r="H509" s="41"/>
      <c r="I509" s="42"/>
      <c r="J509" s="41"/>
      <c r="K509" s="104">
        <v>4</v>
      </c>
      <c r="L509" s="104">
        <v>108865</v>
      </c>
    </row>
    <row r="510" spans="2:12" outlineLevel="2">
      <c r="B510" s="40">
        <f t="shared" si="20"/>
        <v>48</v>
      </c>
      <c r="C510" s="41" t="s">
        <v>8</v>
      </c>
      <c r="D510" s="41"/>
      <c r="E510" s="104">
        <v>80817</v>
      </c>
      <c r="F510" s="104">
        <v>316742</v>
      </c>
      <c r="G510" s="104">
        <v>1988</v>
      </c>
      <c r="H510" s="41"/>
      <c r="I510" s="42"/>
      <c r="J510" s="41"/>
      <c r="K510" s="104">
        <v>14</v>
      </c>
      <c r="L510" s="104">
        <v>108837</v>
      </c>
    </row>
    <row r="511" spans="2:12" outlineLevel="2">
      <c r="B511" s="40">
        <f t="shared" si="20"/>
        <v>49</v>
      </c>
      <c r="C511" s="41" t="s">
        <v>8</v>
      </c>
      <c r="D511" s="41"/>
      <c r="E511" s="104">
        <v>37954</v>
      </c>
      <c r="F511" s="104">
        <v>316774</v>
      </c>
      <c r="G511" s="124">
        <v>1982</v>
      </c>
      <c r="H511" s="41"/>
      <c r="I511" s="42"/>
      <c r="J511" s="41"/>
      <c r="K511" s="104">
        <v>3</v>
      </c>
      <c r="L511" s="104">
        <v>108820</v>
      </c>
    </row>
    <row r="512" spans="2:12" outlineLevel="2">
      <c r="B512" s="40">
        <f t="shared" si="20"/>
        <v>50</v>
      </c>
      <c r="C512" s="41" t="s">
        <v>8</v>
      </c>
      <c r="D512" s="41"/>
      <c r="E512" s="123">
        <v>221500</v>
      </c>
      <c r="F512" s="123">
        <v>316861</v>
      </c>
      <c r="G512" s="124">
        <v>1975</v>
      </c>
      <c r="H512" s="41"/>
      <c r="I512" s="42"/>
      <c r="J512" s="41"/>
      <c r="K512" s="123">
        <v>11</v>
      </c>
      <c r="L512" s="123">
        <v>109553</v>
      </c>
    </row>
    <row r="513" spans="2:12" outlineLevel="2">
      <c r="B513" s="40">
        <f t="shared" si="20"/>
        <v>51</v>
      </c>
      <c r="C513" s="41" t="s">
        <v>8</v>
      </c>
      <c r="D513" s="41"/>
      <c r="E513" s="123">
        <v>86844</v>
      </c>
      <c r="F513" s="123">
        <v>316857</v>
      </c>
      <c r="G513" s="123">
        <v>1988</v>
      </c>
      <c r="H513" s="41"/>
      <c r="I513" s="42"/>
      <c r="J513" s="41"/>
      <c r="K513" s="123">
        <v>4</v>
      </c>
      <c r="L513" s="123">
        <v>109548</v>
      </c>
    </row>
    <row r="514" spans="2:12" outlineLevel="2">
      <c r="B514" s="40">
        <f t="shared" si="20"/>
        <v>52</v>
      </c>
      <c r="C514" s="41" t="s">
        <v>8</v>
      </c>
      <c r="D514" s="41"/>
      <c r="E514" s="123">
        <v>24018</v>
      </c>
      <c r="F514" s="123">
        <v>316867</v>
      </c>
      <c r="G514" s="124">
        <v>1983</v>
      </c>
      <c r="H514" s="41"/>
      <c r="I514" s="42"/>
      <c r="J514" s="41"/>
      <c r="K514" s="123">
        <v>17</v>
      </c>
      <c r="L514" s="123">
        <v>109546</v>
      </c>
    </row>
    <row r="515" spans="2:12" outlineLevel="2">
      <c r="B515" s="40">
        <f t="shared" si="20"/>
        <v>53</v>
      </c>
      <c r="C515" s="41" t="s">
        <v>8</v>
      </c>
      <c r="D515" s="41"/>
      <c r="E515" s="123" t="s">
        <v>317</v>
      </c>
      <c r="F515" s="123">
        <v>24177</v>
      </c>
      <c r="G515" s="123">
        <v>1983</v>
      </c>
      <c r="H515" s="41"/>
      <c r="I515" s="42"/>
      <c r="J515" s="41"/>
      <c r="K515" s="123">
        <v>30</v>
      </c>
      <c r="L515" s="123">
        <v>110353</v>
      </c>
    </row>
    <row r="516" spans="2:12" outlineLevel="2">
      <c r="B516" s="40">
        <f t="shared" si="20"/>
        <v>54</v>
      </c>
      <c r="C516" s="41" t="s">
        <v>8</v>
      </c>
      <c r="D516" s="41"/>
      <c r="E516" s="123" t="s">
        <v>318</v>
      </c>
      <c r="F516" s="123">
        <v>317871</v>
      </c>
      <c r="G516" s="123">
        <v>1987</v>
      </c>
      <c r="H516" s="41"/>
      <c r="I516" s="42"/>
      <c r="J516" s="41"/>
      <c r="K516" s="123">
        <v>15</v>
      </c>
      <c r="L516" s="123">
        <v>111926</v>
      </c>
    </row>
    <row r="517" spans="2:12" outlineLevel="2">
      <c r="B517" s="40">
        <f t="shared" si="20"/>
        <v>55</v>
      </c>
      <c r="C517" s="41" t="s">
        <v>8</v>
      </c>
      <c r="D517" s="41"/>
      <c r="E517" s="123">
        <v>55803</v>
      </c>
      <c r="F517" s="123">
        <v>40218</v>
      </c>
      <c r="G517" s="123">
        <v>1987</v>
      </c>
      <c r="H517" s="41"/>
      <c r="I517" s="42"/>
      <c r="J517" s="41"/>
      <c r="K517" s="123">
        <v>2</v>
      </c>
      <c r="L517" s="123">
        <v>111867</v>
      </c>
    </row>
    <row r="518" spans="2:12" outlineLevel="2">
      <c r="B518" s="40">
        <f t="shared" si="20"/>
        <v>56</v>
      </c>
      <c r="C518" s="41" t="s">
        <v>8</v>
      </c>
      <c r="D518" s="41"/>
      <c r="E518" s="123">
        <v>9414</v>
      </c>
      <c r="F518" s="123">
        <v>1</v>
      </c>
      <c r="G518" s="123">
        <v>1985</v>
      </c>
      <c r="H518" s="41"/>
      <c r="I518" s="42"/>
      <c r="J518" s="41"/>
      <c r="K518" s="123">
        <v>17</v>
      </c>
      <c r="L518" s="123">
        <v>111866</v>
      </c>
    </row>
    <row r="519" spans="2:12" outlineLevel="2">
      <c r="B519" s="40">
        <f t="shared" si="20"/>
        <v>57</v>
      </c>
      <c r="C519" s="41" t="s">
        <v>8</v>
      </c>
      <c r="D519" s="41"/>
      <c r="E519" s="123">
        <v>9483</v>
      </c>
      <c r="F519" s="123">
        <v>317868</v>
      </c>
      <c r="G519" s="123">
        <v>1985</v>
      </c>
      <c r="H519" s="41"/>
      <c r="I519" s="42"/>
      <c r="J519" s="41"/>
      <c r="K519" s="123">
        <v>7</v>
      </c>
      <c r="L519" s="123">
        <v>111849</v>
      </c>
    </row>
    <row r="520" spans="2:12" outlineLevel="2">
      <c r="B520" s="40">
        <f t="shared" si="20"/>
        <v>58</v>
      </c>
      <c r="C520" s="41" t="s">
        <v>8</v>
      </c>
      <c r="D520" s="41"/>
      <c r="E520" s="123">
        <v>8855160</v>
      </c>
      <c r="F520" s="123">
        <v>317866</v>
      </c>
      <c r="G520" s="123">
        <v>1988</v>
      </c>
      <c r="H520" s="41"/>
      <c r="I520" s="42"/>
      <c r="J520" s="41"/>
      <c r="K520" s="123">
        <v>7</v>
      </c>
      <c r="L520" s="123">
        <v>111840</v>
      </c>
    </row>
    <row r="521" spans="2:12" outlineLevel="2">
      <c r="B521" s="40">
        <f t="shared" si="20"/>
        <v>59</v>
      </c>
      <c r="C521" s="41" t="s">
        <v>8</v>
      </c>
      <c r="D521" s="41"/>
      <c r="E521" s="104">
        <v>40684</v>
      </c>
      <c r="F521" s="104">
        <v>318605</v>
      </c>
      <c r="G521" s="104">
        <v>1982</v>
      </c>
      <c r="H521" s="41"/>
      <c r="I521" s="42"/>
      <c r="J521" s="41"/>
      <c r="K521" s="104">
        <v>2</v>
      </c>
      <c r="L521" s="104">
        <v>6876</v>
      </c>
    </row>
    <row r="522" spans="2:12" outlineLevel="2">
      <c r="B522" s="40">
        <f t="shared" si="20"/>
        <v>60</v>
      </c>
      <c r="C522" s="41" t="s">
        <v>8</v>
      </c>
      <c r="D522" s="41"/>
      <c r="E522" s="104" t="s">
        <v>319</v>
      </c>
      <c r="F522" s="104">
        <v>15153</v>
      </c>
      <c r="G522" s="104">
        <v>1983</v>
      </c>
      <c r="H522" s="41"/>
      <c r="I522" s="42"/>
      <c r="J522" s="41"/>
      <c r="K522" s="104">
        <v>48</v>
      </c>
      <c r="L522" s="104">
        <v>6852</v>
      </c>
    </row>
    <row r="523" spans="2:12" outlineLevel="2">
      <c r="B523" s="40">
        <f t="shared" si="20"/>
        <v>61</v>
      </c>
      <c r="C523" s="41" t="s">
        <v>8</v>
      </c>
      <c r="D523" s="41"/>
      <c r="E523" s="104" t="s">
        <v>320</v>
      </c>
      <c r="F523" s="104">
        <v>21850</v>
      </c>
      <c r="G523" s="104">
        <v>1987</v>
      </c>
      <c r="H523" s="41"/>
      <c r="I523" s="42"/>
      <c r="J523" s="41"/>
      <c r="K523" s="104">
        <v>48</v>
      </c>
      <c r="L523" s="104">
        <v>6850</v>
      </c>
    </row>
    <row r="524" spans="2:12" outlineLevel="2">
      <c r="B524" s="40">
        <f t="shared" si="20"/>
        <v>62</v>
      </c>
      <c r="C524" s="41" t="s">
        <v>8</v>
      </c>
      <c r="D524" s="41"/>
      <c r="E524" s="104">
        <v>9618</v>
      </c>
      <c r="F524" s="104">
        <v>319679</v>
      </c>
      <c r="G524" s="104">
        <v>1985</v>
      </c>
      <c r="H524" s="41"/>
      <c r="I524" s="42"/>
      <c r="J524" s="41"/>
      <c r="K524" s="104">
        <v>18</v>
      </c>
      <c r="L524" s="104">
        <v>7763</v>
      </c>
    </row>
    <row r="525" spans="2:12" outlineLevel="2">
      <c r="B525" s="40">
        <f t="shared" si="20"/>
        <v>63</v>
      </c>
      <c r="C525" s="41" t="s">
        <v>8</v>
      </c>
      <c r="D525" s="41"/>
      <c r="E525" s="104">
        <v>78113</v>
      </c>
      <c r="F525" s="104">
        <v>319674</v>
      </c>
      <c r="G525" s="104">
        <v>1987</v>
      </c>
      <c r="H525" s="41"/>
      <c r="I525" s="42"/>
      <c r="J525" s="41"/>
      <c r="K525" s="104">
        <v>30</v>
      </c>
      <c r="L525" s="104">
        <v>7761</v>
      </c>
    </row>
    <row r="526" spans="2:12" outlineLevel="2">
      <c r="B526" s="40">
        <f t="shared" si="20"/>
        <v>64</v>
      </c>
      <c r="C526" s="41" t="s">
        <v>8</v>
      </c>
      <c r="D526" s="41"/>
      <c r="E526" s="104">
        <v>210983</v>
      </c>
      <c r="F526" s="104">
        <v>11016</v>
      </c>
      <c r="G526" s="104">
        <v>1974</v>
      </c>
      <c r="H526" s="41"/>
      <c r="I526" s="42"/>
      <c r="J526" s="41"/>
      <c r="K526" s="104">
        <v>23</v>
      </c>
      <c r="L526" s="104">
        <v>7749</v>
      </c>
    </row>
    <row r="527" spans="2:12" outlineLevel="2">
      <c r="B527" s="40">
        <f t="shared" si="20"/>
        <v>65</v>
      </c>
      <c r="C527" s="41" t="s">
        <v>8</v>
      </c>
      <c r="D527" s="41"/>
      <c r="E527" s="104">
        <v>40</v>
      </c>
      <c r="F527" s="104">
        <v>319925</v>
      </c>
      <c r="G527" s="104">
        <v>1967</v>
      </c>
      <c r="H527" s="41"/>
      <c r="I527" s="42"/>
      <c r="J527" s="41"/>
      <c r="K527" s="104">
        <v>36</v>
      </c>
      <c r="L527" s="104">
        <v>8343</v>
      </c>
    </row>
    <row r="528" spans="2:12" outlineLevel="2">
      <c r="B528" s="40">
        <f t="shared" si="20"/>
        <v>66</v>
      </c>
      <c r="C528" s="41" t="s">
        <v>8</v>
      </c>
      <c r="D528" s="41"/>
      <c r="E528" s="104">
        <v>6024</v>
      </c>
      <c r="F528" s="104">
        <v>8852309</v>
      </c>
      <c r="G528" s="104">
        <v>1988</v>
      </c>
      <c r="H528" s="41"/>
      <c r="I528" s="42"/>
      <c r="J528" s="41"/>
      <c r="K528" s="104">
        <v>7</v>
      </c>
      <c r="L528" s="104">
        <v>8336</v>
      </c>
    </row>
    <row r="529" spans="2:12" outlineLevel="2">
      <c r="B529" s="40">
        <f t="shared" ref="B529:B592" si="21">ROW(A67)</f>
        <v>67</v>
      </c>
      <c r="C529" s="41" t="s">
        <v>8</v>
      </c>
      <c r="D529" s="41"/>
      <c r="E529" s="104" t="s">
        <v>321</v>
      </c>
      <c r="F529" s="104">
        <v>319935</v>
      </c>
      <c r="G529" s="104">
        <v>1986</v>
      </c>
      <c r="H529" s="41"/>
      <c r="I529" s="42"/>
      <c r="J529" s="41"/>
      <c r="K529" s="104">
        <v>2</v>
      </c>
      <c r="L529" s="104">
        <v>8284</v>
      </c>
    </row>
    <row r="530" spans="2:12" outlineLevel="2">
      <c r="B530" s="40">
        <f t="shared" si="21"/>
        <v>68</v>
      </c>
      <c r="C530" s="41" t="s">
        <v>8</v>
      </c>
      <c r="D530" s="41"/>
      <c r="E530" s="118" t="s">
        <v>322</v>
      </c>
      <c r="F530" s="118"/>
      <c r="G530" s="119">
        <v>32112</v>
      </c>
      <c r="H530" s="41"/>
      <c r="I530" s="212">
        <v>44498</v>
      </c>
      <c r="J530" s="41"/>
      <c r="K530" s="120">
        <v>38</v>
      </c>
      <c r="L530" s="213">
        <v>614</v>
      </c>
    </row>
    <row r="531" spans="2:12" outlineLevel="2">
      <c r="B531" s="40">
        <f t="shared" si="21"/>
        <v>69</v>
      </c>
      <c r="C531" s="41" t="s">
        <v>8</v>
      </c>
      <c r="D531" s="41"/>
      <c r="E531" s="118" t="s">
        <v>323</v>
      </c>
      <c r="F531" s="118"/>
      <c r="G531" s="119">
        <v>30195</v>
      </c>
      <c r="H531" s="41"/>
      <c r="I531" s="212">
        <v>44498</v>
      </c>
      <c r="J531" s="41"/>
      <c r="K531" s="120">
        <v>32</v>
      </c>
      <c r="L531" s="213">
        <v>616</v>
      </c>
    </row>
    <row r="532" spans="2:12" outlineLevel="2">
      <c r="B532" s="40">
        <f t="shared" si="21"/>
        <v>70</v>
      </c>
      <c r="C532" s="41" t="s">
        <v>8</v>
      </c>
      <c r="D532" s="41"/>
      <c r="E532" s="118" t="s">
        <v>324</v>
      </c>
      <c r="F532" s="118"/>
      <c r="G532" s="119">
        <v>32112</v>
      </c>
      <c r="H532" s="41"/>
      <c r="I532" s="212">
        <v>44498</v>
      </c>
      <c r="J532" s="41"/>
      <c r="K532" s="120">
        <v>40</v>
      </c>
      <c r="L532" s="213">
        <v>617</v>
      </c>
    </row>
    <row r="533" spans="2:12" outlineLevel="2">
      <c r="B533" s="40">
        <f t="shared" si="21"/>
        <v>71</v>
      </c>
      <c r="C533" s="41" t="s">
        <v>8</v>
      </c>
      <c r="D533" s="41"/>
      <c r="E533" s="118">
        <v>46531</v>
      </c>
      <c r="F533" s="118"/>
      <c r="G533" s="119">
        <v>29252</v>
      </c>
      <c r="H533" s="41"/>
      <c r="I533" s="212">
        <v>44498</v>
      </c>
      <c r="J533" s="41"/>
      <c r="K533" s="120">
        <v>12</v>
      </c>
      <c r="L533" s="213">
        <v>619</v>
      </c>
    </row>
    <row r="534" spans="2:12" outlineLevel="2">
      <c r="B534" s="40">
        <f t="shared" si="21"/>
        <v>72</v>
      </c>
      <c r="C534" s="41" t="s">
        <v>8</v>
      </c>
      <c r="D534" s="41"/>
      <c r="E534" s="118">
        <v>36256</v>
      </c>
      <c r="F534" s="118"/>
      <c r="G534" s="119">
        <v>29891</v>
      </c>
      <c r="H534" s="41"/>
      <c r="I534" s="212">
        <v>44498</v>
      </c>
      <c r="J534" s="41"/>
      <c r="K534" s="120">
        <v>28</v>
      </c>
      <c r="L534" s="213">
        <v>621</v>
      </c>
    </row>
    <row r="535" spans="2:12" outlineLevel="2">
      <c r="B535" s="40">
        <f t="shared" si="21"/>
        <v>73</v>
      </c>
      <c r="C535" s="41" t="s">
        <v>8</v>
      </c>
      <c r="D535" s="41"/>
      <c r="E535" s="118">
        <v>45744</v>
      </c>
      <c r="F535" s="118"/>
      <c r="G535" s="119">
        <v>32082</v>
      </c>
      <c r="H535" s="41"/>
      <c r="I535" s="212">
        <v>44499</v>
      </c>
      <c r="J535" s="41"/>
      <c r="K535" s="120">
        <v>42</v>
      </c>
      <c r="L535" s="213">
        <v>627</v>
      </c>
    </row>
    <row r="536" spans="2:12" outlineLevel="2">
      <c r="B536" s="40">
        <f t="shared" si="21"/>
        <v>74</v>
      </c>
      <c r="C536" s="41" t="s">
        <v>8</v>
      </c>
      <c r="D536" s="41"/>
      <c r="E536" s="118">
        <v>24048</v>
      </c>
      <c r="F536" s="118"/>
      <c r="G536" s="119">
        <v>30407</v>
      </c>
      <c r="H536" s="41"/>
      <c r="I536" s="212">
        <v>44481</v>
      </c>
      <c r="J536" s="41"/>
      <c r="K536" s="120">
        <v>8</v>
      </c>
      <c r="L536" s="213">
        <v>631</v>
      </c>
    </row>
    <row r="537" spans="2:12" outlineLevel="2">
      <c r="B537" s="40">
        <f t="shared" si="21"/>
        <v>75</v>
      </c>
      <c r="C537" s="41" t="s">
        <v>8</v>
      </c>
      <c r="D537" s="41"/>
      <c r="E537" s="118">
        <v>573366</v>
      </c>
      <c r="F537" s="118"/>
      <c r="G537" s="119">
        <v>29921</v>
      </c>
      <c r="H537" s="41"/>
      <c r="I537" s="212">
        <v>44481</v>
      </c>
      <c r="J537" s="41"/>
      <c r="K537" s="120">
        <v>22</v>
      </c>
      <c r="L537" s="213">
        <v>640</v>
      </c>
    </row>
    <row r="538" spans="2:12" outlineLevel="2">
      <c r="B538" s="40">
        <f t="shared" si="21"/>
        <v>76</v>
      </c>
      <c r="C538" s="41" t="s">
        <v>8</v>
      </c>
      <c r="D538" s="41"/>
      <c r="E538" s="118">
        <v>8822562</v>
      </c>
      <c r="F538" s="118"/>
      <c r="G538" s="119">
        <v>32203</v>
      </c>
      <c r="H538" s="41"/>
      <c r="I538" s="212">
        <v>44501</v>
      </c>
      <c r="J538" s="41"/>
      <c r="K538" s="120">
        <v>10</v>
      </c>
      <c r="L538" s="213">
        <v>647</v>
      </c>
    </row>
    <row r="539" spans="2:12" outlineLevel="2">
      <c r="B539" s="40">
        <f t="shared" si="21"/>
        <v>77</v>
      </c>
      <c r="C539" s="41" t="s">
        <v>8</v>
      </c>
      <c r="D539" s="41"/>
      <c r="E539" s="118">
        <v>44995</v>
      </c>
      <c r="F539" s="118"/>
      <c r="G539" s="119">
        <v>30956</v>
      </c>
      <c r="H539" s="41"/>
      <c r="I539" s="212">
        <v>44501</v>
      </c>
      <c r="J539" s="41"/>
      <c r="K539" s="120">
        <v>15</v>
      </c>
      <c r="L539" s="213">
        <v>649</v>
      </c>
    </row>
    <row r="540" spans="2:12" outlineLevel="2">
      <c r="B540" s="40">
        <f t="shared" si="21"/>
        <v>78</v>
      </c>
      <c r="C540" s="41" t="s">
        <v>8</v>
      </c>
      <c r="D540" s="41"/>
      <c r="E540" s="118">
        <v>8852996</v>
      </c>
      <c r="F540" s="118"/>
      <c r="G540" s="119">
        <v>32174</v>
      </c>
      <c r="H540" s="41"/>
      <c r="I540" s="212">
        <v>44501</v>
      </c>
      <c r="J540" s="41"/>
      <c r="K540" s="120">
        <v>45</v>
      </c>
      <c r="L540" s="213">
        <v>650</v>
      </c>
    </row>
    <row r="541" spans="2:12" outlineLevel="2">
      <c r="B541" s="40">
        <f t="shared" si="21"/>
        <v>79</v>
      </c>
      <c r="C541" s="41" t="s">
        <v>8</v>
      </c>
      <c r="D541" s="41"/>
      <c r="E541" s="118">
        <v>46145</v>
      </c>
      <c r="F541" s="118"/>
      <c r="G541" s="119">
        <v>28460</v>
      </c>
      <c r="H541" s="41"/>
      <c r="I541" s="212">
        <v>44501</v>
      </c>
      <c r="J541" s="41"/>
      <c r="K541" s="120">
        <v>10</v>
      </c>
      <c r="L541" s="213">
        <v>659</v>
      </c>
    </row>
    <row r="542" spans="2:12" outlineLevel="2">
      <c r="B542" s="40">
        <f t="shared" si="21"/>
        <v>80</v>
      </c>
      <c r="C542" s="41" t="s">
        <v>8</v>
      </c>
      <c r="D542" s="41"/>
      <c r="E542" s="118">
        <v>27209</v>
      </c>
      <c r="F542" s="118"/>
      <c r="G542" s="119">
        <v>30529</v>
      </c>
      <c r="H542" s="41"/>
      <c r="I542" s="212">
        <v>44502</v>
      </c>
      <c r="J542" s="41"/>
      <c r="K542" s="120">
        <v>8</v>
      </c>
      <c r="L542" s="213">
        <v>663</v>
      </c>
    </row>
    <row r="543" spans="2:12" outlineLevel="2">
      <c r="B543" s="40">
        <f t="shared" si="21"/>
        <v>81</v>
      </c>
      <c r="C543" s="41" t="s">
        <v>8</v>
      </c>
      <c r="D543" s="41"/>
      <c r="E543" s="118">
        <v>99258</v>
      </c>
      <c r="F543" s="118"/>
      <c r="G543" s="119">
        <v>30682</v>
      </c>
      <c r="H543" s="41"/>
      <c r="I543" s="212">
        <v>44513</v>
      </c>
      <c r="J543" s="41"/>
      <c r="K543" s="120">
        <v>12</v>
      </c>
      <c r="L543" s="213">
        <v>802</v>
      </c>
    </row>
    <row r="544" spans="2:12" outlineLevel="2">
      <c r="B544" s="40">
        <f t="shared" si="21"/>
        <v>82</v>
      </c>
      <c r="C544" s="41" t="s">
        <v>8</v>
      </c>
      <c r="D544" s="41"/>
      <c r="E544" s="118">
        <v>37892</v>
      </c>
      <c r="F544" s="118"/>
      <c r="G544" s="164">
        <v>29983</v>
      </c>
      <c r="H544" s="41"/>
      <c r="I544" s="211">
        <v>44489</v>
      </c>
      <c r="J544" s="41"/>
      <c r="K544" s="214">
        <v>16</v>
      </c>
      <c r="L544" s="213">
        <v>1281</v>
      </c>
    </row>
    <row r="545" spans="2:12" outlineLevel="2">
      <c r="B545" s="40">
        <f t="shared" si="21"/>
        <v>83</v>
      </c>
      <c r="C545" s="41" t="s">
        <v>8</v>
      </c>
      <c r="D545" s="41"/>
      <c r="E545" s="118">
        <v>52911</v>
      </c>
      <c r="F545" s="118"/>
      <c r="G545" s="164">
        <v>28185</v>
      </c>
      <c r="H545" s="41"/>
      <c r="I545" s="211">
        <v>44494</v>
      </c>
      <c r="J545" s="41"/>
      <c r="K545" s="214">
        <v>10</v>
      </c>
      <c r="L545" s="213">
        <v>1303</v>
      </c>
    </row>
    <row r="546" spans="2:12" outlineLevel="2">
      <c r="B546" s="40">
        <f t="shared" si="21"/>
        <v>84</v>
      </c>
      <c r="C546" s="41" t="s">
        <v>8</v>
      </c>
      <c r="D546" s="41"/>
      <c r="E546" s="118">
        <v>16824</v>
      </c>
      <c r="F546" s="118"/>
      <c r="G546" s="164">
        <v>32417</v>
      </c>
      <c r="H546" s="41"/>
      <c r="I546" s="211">
        <v>44494</v>
      </c>
      <c r="J546" s="41"/>
      <c r="K546" s="214">
        <v>8</v>
      </c>
      <c r="L546" s="213">
        <v>1319</v>
      </c>
    </row>
    <row r="547" spans="2:12" outlineLevel="2">
      <c r="B547" s="40">
        <f t="shared" si="21"/>
        <v>85</v>
      </c>
      <c r="C547" s="41" t="s">
        <v>8</v>
      </c>
      <c r="D547" s="41"/>
      <c r="E547" s="118" t="s">
        <v>325</v>
      </c>
      <c r="F547" s="250"/>
      <c r="G547" s="164">
        <v>31260</v>
      </c>
      <c r="H547" s="41"/>
      <c r="I547" s="211">
        <v>44499</v>
      </c>
      <c r="J547" s="41"/>
      <c r="K547" s="214">
        <v>10</v>
      </c>
      <c r="L547" s="213">
        <v>1390</v>
      </c>
    </row>
    <row r="548" spans="2:12" outlineLevel="2">
      <c r="B548" s="40">
        <f t="shared" si="21"/>
        <v>86</v>
      </c>
      <c r="C548" s="41" t="s">
        <v>8</v>
      </c>
      <c r="D548" s="41"/>
      <c r="E548" s="118">
        <v>2351</v>
      </c>
      <c r="F548" s="118"/>
      <c r="G548" s="164">
        <v>29403</v>
      </c>
      <c r="H548" s="41"/>
      <c r="I548" s="211">
        <v>44503</v>
      </c>
      <c r="J548" s="41"/>
      <c r="K548" s="214">
        <v>12</v>
      </c>
      <c r="L548" s="213">
        <v>1494</v>
      </c>
    </row>
    <row r="549" spans="2:12" outlineLevel="2">
      <c r="B549" s="40">
        <f t="shared" si="21"/>
        <v>87</v>
      </c>
      <c r="C549" s="41" t="s">
        <v>8</v>
      </c>
      <c r="D549" s="41"/>
      <c r="E549" s="118" t="s">
        <v>326</v>
      </c>
      <c r="F549" s="118"/>
      <c r="G549" s="164">
        <v>31898</v>
      </c>
      <c r="H549" s="41"/>
      <c r="I549" s="211">
        <v>44504</v>
      </c>
      <c r="J549" s="41"/>
      <c r="K549" s="214">
        <v>12</v>
      </c>
      <c r="L549" s="213">
        <v>1500</v>
      </c>
    </row>
    <row r="550" spans="2:12" outlineLevel="2">
      <c r="B550" s="40">
        <f t="shared" si="21"/>
        <v>88</v>
      </c>
      <c r="C550" s="41" t="s">
        <v>8</v>
      </c>
      <c r="D550" s="41"/>
      <c r="E550" s="118">
        <v>78212</v>
      </c>
      <c r="F550" s="118"/>
      <c r="G550" s="164">
        <v>32112</v>
      </c>
      <c r="H550" s="41"/>
      <c r="I550" s="211">
        <v>44504</v>
      </c>
      <c r="J550" s="41"/>
      <c r="K550" s="241" t="s">
        <v>199</v>
      </c>
      <c r="L550" s="213">
        <v>1504</v>
      </c>
    </row>
    <row r="551" spans="2:12" outlineLevel="2">
      <c r="B551" s="40">
        <f t="shared" si="21"/>
        <v>89</v>
      </c>
      <c r="C551" s="41" t="s">
        <v>8</v>
      </c>
      <c r="D551" s="41"/>
      <c r="E551" s="118" t="s">
        <v>327</v>
      </c>
      <c r="F551" s="118"/>
      <c r="G551" s="164">
        <v>32051</v>
      </c>
      <c r="H551" s="41"/>
      <c r="I551" s="211">
        <v>44792</v>
      </c>
      <c r="J551" s="41"/>
      <c r="K551" s="214">
        <v>47</v>
      </c>
      <c r="L551" s="213">
        <v>1512</v>
      </c>
    </row>
    <row r="552" spans="2:12" outlineLevel="2">
      <c r="B552" s="40">
        <f t="shared" si="21"/>
        <v>90</v>
      </c>
      <c r="C552" s="41" t="s">
        <v>8</v>
      </c>
      <c r="D552" s="41"/>
      <c r="E552" s="118">
        <v>770935667</v>
      </c>
      <c r="F552" s="118"/>
      <c r="G552" s="164">
        <v>28369</v>
      </c>
      <c r="H552" s="41"/>
      <c r="I552" s="211">
        <v>44792</v>
      </c>
      <c r="J552" s="41"/>
      <c r="K552" s="214">
        <v>42</v>
      </c>
      <c r="L552" s="213">
        <v>1565</v>
      </c>
    </row>
    <row r="553" spans="2:12" outlineLevel="2">
      <c r="B553" s="40">
        <f t="shared" si="21"/>
        <v>91</v>
      </c>
      <c r="C553" s="41" t="s">
        <v>8</v>
      </c>
      <c r="D553" s="41"/>
      <c r="E553" s="118">
        <v>3968</v>
      </c>
      <c r="F553" s="118"/>
      <c r="G553" s="164">
        <v>25569</v>
      </c>
      <c r="H553" s="41"/>
      <c r="I553" s="211">
        <v>44792</v>
      </c>
      <c r="J553" s="41"/>
      <c r="K553" s="241">
        <v>25</v>
      </c>
      <c r="L553" s="213">
        <v>1580</v>
      </c>
    </row>
    <row r="554" spans="2:12" outlineLevel="2">
      <c r="B554" s="40">
        <f t="shared" si="21"/>
        <v>92</v>
      </c>
      <c r="C554" s="41" t="s">
        <v>8</v>
      </c>
      <c r="D554" s="41"/>
      <c r="E554" s="118" t="s">
        <v>328</v>
      </c>
      <c r="F554" s="118"/>
      <c r="G554" s="164">
        <v>30560</v>
      </c>
      <c r="H554" s="41"/>
      <c r="I554" s="211">
        <v>44792</v>
      </c>
      <c r="J554" s="41"/>
      <c r="K554" s="214">
        <v>33</v>
      </c>
      <c r="L554" s="213">
        <v>1582</v>
      </c>
    </row>
    <row r="555" spans="2:12" outlineLevel="2">
      <c r="B555" s="40">
        <f t="shared" si="21"/>
        <v>93</v>
      </c>
      <c r="C555" s="41" t="s">
        <v>8</v>
      </c>
      <c r="D555" s="41"/>
      <c r="E555" s="118">
        <v>36305</v>
      </c>
      <c r="F555" s="250"/>
      <c r="G555" s="164">
        <v>29891</v>
      </c>
      <c r="H555" s="41"/>
      <c r="I555" s="211">
        <v>44792</v>
      </c>
      <c r="J555" s="41"/>
      <c r="K555" s="214">
        <v>39</v>
      </c>
      <c r="L555" s="213">
        <v>1584</v>
      </c>
    </row>
    <row r="556" spans="2:12" outlineLevel="2">
      <c r="B556" s="40">
        <f t="shared" si="21"/>
        <v>94</v>
      </c>
      <c r="C556" s="41" t="s">
        <v>8</v>
      </c>
      <c r="D556" s="41"/>
      <c r="E556" s="118">
        <v>40767</v>
      </c>
      <c r="F556" s="118"/>
      <c r="G556" s="164">
        <v>30011</v>
      </c>
      <c r="H556" s="41"/>
      <c r="I556" s="211">
        <v>44792</v>
      </c>
      <c r="J556" s="41"/>
      <c r="K556" s="214">
        <v>25</v>
      </c>
      <c r="L556" s="213">
        <v>1591</v>
      </c>
    </row>
    <row r="557" spans="2:12" outlineLevel="2">
      <c r="B557" s="40">
        <f t="shared" si="21"/>
        <v>95</v>
      </c>
      <c r="C557" s="41" t="s">
        <v>8</v>
      </c>
      <c r="D557" s="41"/>
      <c r="E557" s="118">
        <v>4265</v>
      </c>
      <c r="F557" s="250"/>
      <c r="G557" s="164">
        <v>31929</v>
      </c>
      <c r="H557" s="41"/>
      <c r="I557" s="211">
        <v>44795</v>
      </c>
      <c r="J557" s="41"/>
      <c r="K557" s="214">
        <v>25</v>
      </c>
      <c r="L557" s="213">
        <v>1836</v>
      </c>
    </row>
    <row r="558" spans="2:12" outlineLevel="2">
      <c r="B558" s="40">
        <f t="shared" si="21"/>
        <v>96</v>
      </c>
      <c r="C558" s="41" t="s">
        <v>8</v>
      </c>
      <c r="D558" s="41"/>
      <c r="E558" s="118">
        <v>45849</v>
      </c>
      <c r="F558" s="250"/>
      <c r="G558" s="164">
        <v>32051</v>
      </c>
      <c r="H558" s="41"/>
      <c r="I558" s="211">
        <v>44795</v>
      </c>
      <c r="J558" s="41"/>
      <c r="K558" s="214">
        <v>47</v>
      </c>
      <c r="L558" s="213">
        <v>1871</v>
      </c>
    </row>
    <row r="559" spans="2:12" outlineLevel="2">
      <c r="B559" s="40">
        <f t="shared" si="21"/>
        <v>97</v>
      </c>
      <c r="C559" s="41" t="s">
        <v>8</v>
      </c>
      <c r="D559" s="41"/>
      <c r="E559" s="118" t="s">
        <v>329</v>
      </c>
      <c r="F559" s="250"/>
      <c r="G559" s="250">
        <v>31747</v>
      </c>
      <c r="H559" s="41"/>
      <c r="I559" s="211">
        <v>44795</v>
      </c>
      <c r="J559" s="41"/>
      <c r="K559" s="214">
        <v>25</v>
      </c>
      <c r="L559" s="213">
        <v>1873</v>
      </c>
    </row>
    <row r="560" spans="2:12" outlineLevel="2">
      <c r="B560" s="40">
        <f t="shared" si="21"/>
        <v>98</v>
      </c>
      <c r="C560" s="41" t="s">
        <v>8</v>
      </c>
      <c r="D560" s="41"/>
      <c r="E560" s="118">
        <v>30083</v>
      </c>
      <c r="F560" s="250"/>
      <c r="G560" s="164">
        <v>30773</v>
      </c>
      <c r="H560" s="41"/>
      <c r="I560" s="211">
        <v>44746</v>
      </c>
      <c r="J560" s="41"/>
      <c r="K560" s="214" t="s">
        <v>199</v>
      </c>
      <c r="L560" s="213">
        <v>1956</v>
      </c>
    </row>
    <row r="561" spans="2:12" outlineLevel="2">
      <c r="B561" s="40">
        <f t="shared" si="21"/>
        <v>99</v>
      </c>
      <c r="C561" s="41" t="s">
        <v>8</v>
      </c>
      <c r="D561" s="41"/>
      <c r="E561" s="118">
        <v>36862</v>
      </c>
      <c r="F561" s="118"/>
      <c r="G561" s="164">
        <v>27334</v>
      </c>
      <c r="H561" s="41"/>
      <c r="I561" s="212">
        <v>44795</v>
      </c>
      <c r="J561" s="41"/>
      <c r="K561" s="120">
        <v>29</v>
      </c>
      <c r="L561" s="213">
        <v>2055</v>
      </c>
    </row>
    <row r="562" spans="2:12" outlineLevel="2">
      <c r="B562" s="40">
        <f t="shared" si="21"/>
        <v>100</v>
      </c>
      <c r="C562" s="41" t="s">
        <v>8</v>
      </c>
      <c r="D562" s="41"/>
      <c r="E562" s="118">
        <v>8749118</v>
      </c>
      <c r="F562" s="118"/>
      <c r="G562" s="164">
        <v>31868</v>
      </c>
      <c r="H562" s="41"/>
      <c r="I562" s="212">
        <v>44795</v>
      </c>
      <c r="J562" s="41"/>
      <c r="K562" s="120">
        <v>39</v>
      </c>
      <c r="L562" s="213">
        <v>2059</v>
      </c>
    </row>
    <row r="563" spans="2:12" outlineLevel="2">
      <c r="B563" s="40">
        <f t="shared" si="21"/>
        <v>101</v>
      </c>
      <c r="C563" s="41" t="s">
        <v>8</v>
      </c>
      <c r="D563" s="41"/>
      <c r="E563" s="118">
        <v>8617749</v>
      </c>
      <c r="F563" s="41"/>
      <c r="G563" s="164">
        <v>31472</v>
      </c>
      <c r="H563" s="41"/>
      <c r="I563" s="212">
        <v>44869</v>
      </c>
      <c r="J563" s="41"/>
      <c r="K563" s="120">
        <v>35</v>
      </c>
      <c r="L563" s="213">
        <v>4820</v>
      </c>
    </row>
    <row r="564" spans="2:12" outlineLevel="2">
      <c r="B564" s="40">
        <f t="shared" si="21"/>
        <v>102</v>
      </c>
      <c r="C564" s="41" t="s">
        <v>8</v>
      </c>
      <c r="D564" s="41"/>
      <c r="E564" s="118">
        <v>8645691</v>
      </c>
      <c r="F564" s="41"/>
      <c r="G564" s="164">
        <v>31686</v>
      </c>
      <c r="H564" s="41"/>
      <c r="I564" s="212">
        <v>44872</v>
      </c>
      <c r="J564" s="41"/>
      <c r="K564" s="120">
        <v>26</v>
      </c>
      <c r="L564" s="213">
        <v>4907</v>
      </c>
    </row>
    <row r="565" spans="2:12" outlineLevel="2">
      <c r="B565" s="40">
        <f t="shared" si="21"/>
        <v>103</v>
      </c>
      <c r="C565" s="41" t="s">
        <v>8</v>
      </c>
      <c r="D565" s="41"/>
      <c r="E565" s="118">
        <v>8538220</v>
      </c>
      <c r="F565" s="41"/>
      <c r="G565" s="164">
        <v>1985</v>
      </c>
      <c r="H565" s="41"/>
      <c r="I565" s="212">
        <v>44872</v>
      </c>
      <c r="J565" s="41"/>
      <c r="K565" s="120">
        <v>25</v>
      </c>
      <c r="L565" s="213">
        <v>4908</v>
      </c>
    </row>
    <row r="566" spans="2:12" outlineLevel="2">
      <c r="B566" s="40">
        <f t="shared" si="21"/>
        <v>104</v>
      </c>
      <c r="C566" s="41" t="s">
        <v>8</v>
      </c>
      <c r="D566" s="41"/>
      <c r="E566" s="118">
        <v>13001</v>
      </c>
      <c r="F566" s="41"/>
      <c r="G566" s="164">
        <v>29891</v>
      </c>
      <c r="H566" s="41"/>
      <c r="I566" s="212">
        <v>44783</v>
      </c>
      <c r="J566" s="41"/>
      <c r="K566" s="120" t="s">
        <v>199</v>
      </c>
      <c r="L566" s="213">
        <v>4929</v>
      </c>
    </row>
    <row r="567" spans="2:12" outlineLevel="2">
      <c r="B567" s="40">
        <f t="shared" si="21"/>
        <v>105</v>
      </c>
      <c r="C567" s="41" t="s">
        <v>8</v>
      </c>
      <c r="D567" s="41"/>
      <c r="E567" s="118">
        <v>105554</v>
      </c>
      <c r="F567" s="41"/>
      <c r="G567" s="164">
        <v>30987</v>
      </c>
      <c r="H567" s="41"/>
      <c r="I567" s="212">
        <v>44872</v>
      </c>
      <c r="J567" s="41"/>
      <c r="K567" s="120">
        <v>43</v>
      </c>
      <c r="L567" s="213">
        <v>4932</v>
      </c>
    </row>
    <row r="568" spans="2:12" outlineLevel="2">
      <c r="B568" s="40">
        <f t="shared" si="21"/>
        <v>106</v>
      </c>
      <c r="C568" s="41" t="s">
        <v>8</v>
      </c>
      <c r="D568" s="41"/>
      <c r="E568" s="118">
        <v>8853100</v>
      </c>
      <c r="F568" s="41"/>
      <c r="G568" s="164">
        <v>32203</v>
      </c>
      <c r="H568" s="41"/>
      <c r="I568" s="212">
        <v>44872</v>
      </c>
      <c r="J568" s="41"/>
      <c r="K568" s="120">
        <v>35</v>
      </c>
      <c r="L568" s="213">
        <v>4933</v>
      </c>
    </row>
    <row r="569" spans="2:12" outlineLevel="2">
      <c r="B569" s="40">
        <f t="shared" si="21"/>
        <v>107</v>
      </c>
      <c r="C569" s="41" t="s">
        <v>8</v>
      </c>
      <c r="D569" s="41"/>
      <c r="E569" s="118">
        <v>8407343</v>
      </c>
      <c r="F569" s="41"/>
      <c r="G569" s="164">
        <v>30926</v>
      </c>
      <c r="H569" s="41"/>
      <c r="I569" s="212">
        <v>44872</v>
      </c>
      <c r="J569" s="41"/>
      <c r="K569" s="120">
        <v>14</v>
      </c>
      <c r="L569" s="213">
        <v>4964</v>
      </c>
    </row>
    <row r="570" spans="2:12" outlineLevel="2">
      <c r="B570" s="40">
        <f t="shared" si="21"/>
        <v>108</v>
      </c>
      <c r="C570" s="41" t="s">
        <v>8</v>
      </c>
      <c r="D570" s="41"/>
      <c r="E570" s="118">
        <v>158036</v>
      </c>
      <c r="F570" s="41"/>
      <c r="G570" s="164">
        <v>1975</v>
      </c>
      <c r="H570" s="41"/>
      <c r="I570" s="212">
        <v>44872</v>
      </c>
      <c r="J570" s="41"/>
      <c r="K570" s="120">
        <v>38</v>
      </c>
      <c r="L570" s="213">
        <v>4980</v>
      </c>
    </row>
    <row r="571" spans="2:12" outlineLevel="2">
      <c r="B571" s="40">
        <f t="shared" si="21"/>
        <v>109</v>
      </c>
      <c r="C571" s="41" t="s">
        <v>8</v>
      </c>
      <c r="D571" s="41"/>
      <c r="E571" s="118">
        <v>6431</v>
      </c>
      <c r="F571" s="41"/>
      <c r="G571" s="164">
        <v>29556</v>
      </c>
      <c r="H571" s="41"/>
      <c r="I571" s="212">
        <v>44872</v>
      </c>
      <c r="J571" s="41"/>
      <c r="K571" s="120">
        <v>16</v>
      </c>
      <c r="L571" s="213">
        <v>4981</v>
      </c>
    </row>
    <row r="572" spans="2:12" outlineLevel="2">
      <c r="B572" s="40">
        <f t="shared" si="21"/>
        <v>110</v>
      </c>
      <c r="C572" s="41" t="s">
        <v>8</v>
      </c>
      <c r="D572" s="41"/>
      <c r="E572" s="118">
        <v>8853031</v>
      </c>
      <c r="F572" s="41"/>
      <c r="G572" s="164">
        <v>32174</v>
      </c>
      <c r="H572" s="41"/>
      <c r="I572" s="212">
        <v>44873</v>
      </c>
      <c r="J572" s="41"/>
      <c r="K572" s="120">
        <v>17</v>
      </c>
      <c r="L572" s="213">
        <v>4986</v>
      </c>
    </row>
    <row r="573" spans="2:12" outlineLevel="2">
      <c r="B573" s="40">
        <f t="shared" si="21"/>
        <v>111</v>
      </c>
      <c r="C573" s="41" t="s">
        <v>8</v>
      </c>
      <c r="D573" s="41"/>
      <c r="E573" s="118">
        <v>78125</v>
      </c>
      <c r="F573" s="41"/>
      <c r="G573" s="119">
        <v>32082</v>
      </c>
      <c r="H573" s="41"/>
      <c r="I573" s="212">
        <v>44784</v>
      </c>
      <c r="J573" s="41"/>
      <c r="K573" s="120" t="s">
        <v>199</v>
      </c>
      <c r="L573" s="213">
        <v>4987</v>
      </c>
    </row>
    <row r="574" spans="2:12" outlineLevel="2">
      <c r="B574" s="40">
        <f t="shared" si="21"/>
        <v>112</v>
      </c>
      <c r="C574" s="41" t="s">
        <v>8</v>
      </c>
      <c r="D574" s="41"/>
      <c r="E574" s="118">
        <v>881007</v>
      </c>
      <c r="F574" s="41"/>
      <c r="G574" s="119">
        <v>1988</v>
      </c>
      <c r="H574" s="41"/>
      <c r="I574" s="212">
        <v>44873</v>
      </c>
      <c r="J574" s="41"/>
      <c r="K574" s="120">
        <v>5</v>
      </c>
      <c r="L574" s="213">
        <v>5008</v>
      </c>
    </row>
    <row r="575" spans="2:12" outlineLevel="2">
      <c r="B575" s="40">
        <f t="shared" si="21"/>
        <v>113</v>
      </c>
      <c r="C575" s="41" t="s">
        <v>8</v>
      </c>
      <c r="D575" s="41"/>
      <c r="E575" s="118">
        <v>19507</v>
      </c>
      <c r="F575" s="41"/>
      <c r="G575" s="119">
        <v>29068</v>
      </c>
      <c r="H575" s="41"/>
      <c r="I575" s="212">
        <v>44873</v>
      </c>
      <c r="J575" s="41"/>
      <c r="K575" s="120">
        <v>14</v>
      </c>
      <c r="L575" s="213">
        <v>5062</v>
      </c>
    </row>
    <row r="576" spans="2:12" outlineLevel="2">
      <c r="B576" s="40">
        <f t="shared" si="21"/>
        <v>114</v>
      </c>
      <c r="C576" s="41" t="s">
        <v>8</v>
      </c>
      <c r="D576" s="41"/>
      <c r="E576" s="118">
        <v>8855249</v>
      </c>
      <c r="F576" s="41"/>
      <c r="G576" s="119">
        <v>32387</v>
      </c>
      <c r="H576" s="41"/>
      <c r="I576" s="212">
        <v>44873</v>
      </c>
      <c r="J576" s="41"/>
      <c r="K576" s="120">
        <v>15</v>
      </c>
      <c r="L576" s="213">
        <v>5064</v>
      </c>
    </row>
    <row r="577" spans="2:12" outlineLevel="2">
      <c r="B577" s="40">
        <f t="shared" si="21"/>
        <v>115</v>
      </c>
      <c r="C577" s="41" t="s">
        <v>8</v>
      </c>
      <c r="D577" s="41"/>
      <c r="E577" s="118">
        <v>26982</v>
      </c>
      <c r="F577" s="41"/>
      <c r="G577" s="119">
        <v>29952</v>
      </c>
      <c r="H577" s="41"/>
      <c r="I577" s="212">
        <v>44873</v>
      </c>
      <c r="J577" s="41"/>
      <c r="K577" s="120">
        <v>10</v>
      </c>
      <c r="L577" s="213">
        <v>5081</v>
      </c>
    </row>
    <row r="578" spans="2:12" outlineLevel="2">
      <c r="B578" s="40">
        <f t="shared" si="21"/>
        <v>116</v>
      </c>
      <c r="C578" s="41" t="s">
        <v>8</v>
      </c>
      <c r="D578" s="41"/>
      <c r="E578" s="118">
        <v>126509</v>
      </c>
      <c r="F578" s="41"/>
      <c r="G578" s="164">
        <v>32478</v>
      </c>
      <c r="H578" s="41"/>
      <c r="I578" s="212">
        <v>44788</v>
      </c>
      <c r="J578" s="41"/>
      <c r="K578" s="120" t="s">
        <v>199</v>
      </c>
      <c r="L578" s="213">
        <v>5138</v>
      </c>
    </row>
    <row r="579" spans="2:12" outlineLevel="2">
      <c r="B579" s="40">
        <f t="shared" si="21"/>
        <v>117</v>
      </c>
      <c r="C579" s="41" t="s">
        <v>8</v>
      </c>
      <c r="D579" s="41"/>
      <c r="E579" s="118">
        <v>362436</v>
      </c>
      <c r="F579" s="41"/>
      <c r="G579" s="164">
        <v>30682</v>
      </c>
      <c r="H579" s="41"/>
      <c r="I579" s="212">
        <v>44777</v>
      </c>
      <c r="J579" s="41"/>
      <c r="K579" s="120" t="s">
        <v>199</v>
      </c>
      <c r="L579" s="213">
        <v>5164</v>
      </c>
    </row>
    <row r="580" spans="2:12" outlineLevel="2">
      <c r="B580" s="40">
        <f t="shared" si="21"/>
        <v>118</v>
      </c>
      <c r="C580" s="41" t="s">
        <v>8</v>
      </c>
      <c r="D580" s="41"/>
      <c r="E580" s="118">
        <v>3375</v>
      </c>
      <c r="F580" s="41"/>
      <c r="G580" s="164">
        <v>1987</v>
      </c>
      <c r="H580" s="41"/>
      <c r="I580" s="212">
        <v>44874</v>
      </c>
      <c r="J580" s="41"/>
      <c r="K580" s="120">
        <v>25</v>
      </c>
      <c r="L580" s="213">
        <v>5214</v>
      </c>
    </row>
    <row r="581" spans="2:12" outlineLevel="2">
      <c r="B581" s="40">
        <f t="shared" si="21"/>
        <v>119</v>
      </c>
      <c r="C581" s="41" t="s">
        <v>8</v>
      </c>
      <c r="D581" s="41"/>
      <c r="E581" s="118">
        <v>7470</v>
      </c>
      <c r="F581" s="41"/>
      <c r="G581" s="164">
        <v>1980</v>
      </c>
      <c r="H581" s="41"/>
      <c r="I581" s="212">
        <v>44868</v>
      </c>
      <c r="J581" s="41"/>
      <c r="K581" s="120">
        <v>37</v>
      </c>
      <c r="L581" s="213">
        <v>5222</v>
      </c>
    </row>
    <row r="582" spans="2:12" outlineLevel="2">
      <c r="B582" s="40">
        <f t="shared" si="21"/>
        <v>120</v>
      </c>
      <c r="C582" s="41" t="s">
        <v>8</v>
      </c>
      <c r="D582" s="41"/>
      <c r="E582" s="118">
        <v>2646</v>
      </c>
      <c r="F582" s="41"/>
      <c r="G582" s="164">
        <v>29403</v>
      </c>
      <c r="H582" s="41"/>
      <c r="I582" s="212">
        <v>44799</v>
      </c>
      <c r="J582" s="41"/>
      <c r="K582" s="120" t="s">
        <v>199</v>
      </c>
      <c r="L582" s="213">
        <v>5223</v>
      </c>
    </row>
    <row r="583" spans="2:12" outlineLevel="2">
      <c r="B583" s="40">
        <f t="shared" si="21"/>
        <v>121</v>
      </c>
      <c r="C583" s="41" t="s">
        <v>8</v>
      </c>
      <c r="D583" s="41"/>
      <c r="E583" s="118" t="s">
        <v>330</v>
      </c>
      <c r="F583" s="41"/>
      <c r="G583" s="164">
        <v>32021</v>
      </c>
      <c r="H583" s="41"/>
      <c r="I583" s="212">
        <v>44868</v>
      </c>
      <c r="J583" s="41"/>
      <c r="K583" s="120">
        <v>44</v>
      </c>
      <c r="L583" s="213">
        <v>5224</v>
      </c>
    </row>
    <row r="584" spans="2:12" outlineLevel="2">
      <c r="B584" s="40">
        <f t="shared" si="21"/>
        <v>122</v>
      </c>
      <c r="C584" s="41" t="s">
        <v>8</v>
      </c>
      <c r="D584" s="41"/>
      <c r="E584" s="118">
        <v>8352</v>
      </c>
      <c r="F584" s="41"/>
      <c r="G584" s="164">
        <v>29738</v>
      </c>
      <c r="H584" s="41"/>
      <c r="I584" s="212">
        <v>44868</v>
      </c>
      <c r="J584" s="41"/>
      <c r="K584" s="120">
        <v>29</v>
      </c>
      <c r="L584" s="213">
        <v>5226</v>
      </c>
    </row>
    <row r="585" spans="2:12" outlineLevel="2">
      <c r="B585" s="40">
        <f t="shared" si="21"/>
        <v>123</v>
      </c>
      <c r="C585" s="41" t="s">
        <v>8</v>
      </c>
      <c r="D585" s="41"/>
      <c r="E585" s="118" t="s">
        <v>331</v>
      </c>
      <c r="F585" s="41"/>
      <c r="G585" s="164">
        <v>30164</v>
      </c>
      <c r="H585" s="41"/>
      <c r="I585" s="212">
        <v>44868</v>
      </c>
      <c r="J585" s="41"/>
      <c r="K585" s="120">
        <v>48</v>
      </c>
      <c r="L585" s="213">
        <v>5228</v>
      </c>
    </row>
    <row r="586" spans="2:12" outlineLevel="2">
      <c r="B586" s="40">
        <f t="shared" si="21"/>
        <v>124</v>
      </c>
      <c r="C586" s="41" t="s">
        <v>8</v>
      </c>
      <c r="D586" s="41"/>
      <c r="E586" s="118">
        <v>50428</v>
      </c>
      <c r="F586" s="41"/>
      <c r="G586" s="164">
        <v>1973</v>
      </c>
      <c r="H586" s="41"/>
      <c r="I586" s="212">
        <v>44868</v>
      </c>
      <c r="J586" s="41"/>
      <c r="K586" s="120">
        <v>47</v>
      </c>
      <c r="L586" s="213">
        <v>5230</v>
      </c>
    </row>
    <row r="587" spans="2:12" outlineLevel="2">
      <c r="B587" s="40">
        <f t="shared" si="21"/>
        <v>125</v>
      </c>
      <c r="C587" s="41" t="s">
        <v>8</v>
      </c>
      <c r="D587" s="41"/>
      <c r="E587" s="118">
        <v>5672</v>
      </c>
      <c r="F587" s="41"/>
      <c r="G587" s="119">
        <v>29556</v>
      </c>
      <c r="H587" s="41"/>
      <c r="I587" s="212">
        <v>44749</v>
      </c>
      <c r="J587" s="41"/>
      <c r="K587" s="120">
        <v>34</v>
      </c>
      <c r="L587" s="213">
        <v>6002</v>
      </c>
    </row>
    <row r="588" spans="2:12" outlineLevel="2">
      <c r="B588" s="40">
        <f t="shared" si="21"/>
        <v>126</v>
      </c>
      <c r="C588" s="41" t="s">
        <v>8</v>
      </c>
      <c r="D588" s="41"/>
      <c r="E588" s="118">
        <v>37962</v>
      </c>
      <c r="F588" s="41"/>
      <c r="G588" s="164">
        <v>29983</v>
      </c>
      <c r="H588" s="41"/>
      <c r="I588" s="212">
        <v>44755</v>
      </c>
      <c r="J588" s="41"/>
      <c r="K588" s="120">
        <v>17</v>
      </c>
      <c r="L588" s="213">
        <v>6126</v>
      </c>
    </row>
    <row r="589" spans="2:12" outlineLevel="2">
      <c r="B589" s="40">
        <f t="shared" si="21"/>
        <v>127</v>
      </c>
      <c r="C589" s="41" t="s">
        <v>8</v>
      </c>
      <c r="D589" s="41"/>
      <c r="E589" s="118">
        <v>10552</v>
      </c>
      <c r="F589" s="41"/>
      <c r="G589" s="118">
        <v>1980</v>
      </c>
      <c r="H589" s="41"/>
      <c r="I589" s="212">
        <v>44755</v>
      </c>
      <c r="J589" s="41"/>
      <c r="K589" s="120">
        <v>67</v>
      </c>
      <c r="L589" s="213">
        <v>6136</v>
      </c>
    </row>
    <row r="590" spans="2:12" outlineLevel="2">
      <c r="B590" s="40">
        <f t="shared" si="21"/>
        <v>128</v>
      </c>
      <c r="C590" s="41" t="s">
        <v>8</v>
      </c>
      <c r="D590" s="41"/>
      <c r="E590" s="118">
        <v>77393</v>
      </c>
      <c r="F590" s="41"/>
      <c r="G590" s="164">
        <v>29646</v>
      </c>
      <c r="H590" s="41"/>
      <c r="I590" s="212">
        <v>44866</v>
      </c>
      <c r="J590" s="41"/>
      <c r="K590" s="120">
        <v>12</v>
      </c>
      <c r="L590" s="213">
        <v>6137</v>
      </c>
    </row>
    <row r="591" spans="2:12" outlineLevel="2">
      <c r="B591" s="40">
        <f t="shared" si="21"/>
        <v>129</v>
      </c>
      <c r="C591" s="41" t="s">
        <v>8</v>
      </c>
      <c r="D591" s="41"/>
      <c r="E591" s="118">
        <v>40649</v>
      </c>
      <c r="F591" s="41"/>
      <c r="G591" s="164">
        <v>30164</v>
      </c>
      <c r="H591" s="41"/>
      <c r="I591" s="212">
        <v>44866</v>
      </c>
      <c r="J591" s="41"/>
      <c r="K591" s="120">
        <v>37</v>
      </c>
      <c r="L591" s="213">
        <v>6142</v>
      </c>
    </row>
    <row r="592" spans="2:12" outlineLevel="2">
      <c r="B592" s="40">
        <f t="shared" si="21"/>
        <v>130</v>
      </c>
      <c r="C592" s="41" t="s">
        <v>8</v>
      </c>
      <c r="D592" s="41"/>
      <c r="E592" s="118" t="s">
        <v>332</v>
      </c>
      <c r="F592" s="41"/>
      <c r="G592" s="119">
        <v>31260</v>
      </c>
      <c r="H592" s="41"/>
      <c r="I592" s="212">
        <v>44866</v>
      </c>
      <c r="J592" s="41"/>
      <c r="K592" s="120">
        <v>39</v>
      </c>
      <c r="L592" s="213">
        <v>6215</v>
      </c>
    </row>
    <row r="593" spans="2:12" outlineLevel="2">
      <c r="B593" s="40">
        <f t="shared" ref="B593:B656" si="22">ROW(A131)</f>
        <v>131</v>
      </c>
      <c r="C593" s="41" t="s">
        <v>8</v>
      </c>
      <c r="D593" s="41"/>
      <c r="E593" s="118">
        <v>36918</v>
      </c>
      <c r="F593" s="41"/>
      <c r="G593" s="119">
        <v>27364</v>
      </c>
      <c r="H593" s="41"/>
      <c r="I593" s="212">
        <v>44817</v>
      </c>
      <c r="J593" s="41"/>
      <c r="K593" s="120" t="s">
        <v>199</v>
      </c>
      <c r="L593" s="213">
        <v>6273</v>
      </c>
    </row>
    <row r="594" spans="2:12" outlineLevel="2">
      <c r="B594" s="40">
        <f t="shared" si="22"/>
        <v>132</v>
      </c>
      <c r="C594" s="41" t="s">
        <v>8</v>
      </c>
      <c r="D594" s="41"/>
      <c r="E594" s="216">
        <v>144487</v>
      </c>
      <c r="F594" s="41"/>
      <c r="G594" s="164">
        <v>32264</v>
      </c>
      <c r="H594" s="41"/>
      <c r="I594" s="211">
        <v>44865</v>
      </c>
      <c r="J594" s="41"/>
      <c r="K594" s="214">
        <v>41</v>
      </c>
      <c r="L594" s="213">
        <v>6398</v>
      </c>
    </row>
    <row r="595" spans="2:12" outlineLevel="2">
      <c r="B595" s="40">
        <f t="shared" si="22"/>
        <v>133</v>
      </c>
      <c r="C595" s="41" t="s">
        <v>8</v>
      </c>
      <c r="D595" s="41"/>
      <c r="E595" s="118">
        <v>8855764</v>
      </c>
      <c r="F595" s="41"/>
      <c r="G595" s="119">
        <v>32448</v>
      </c>
      <c r="H595" s="41"/>
      <c r="I595" s="212">
        <v>44747</v>
      </c>
      <c r="J595" s="41"/>
      <c r="K595" s="120">
        <v>13</v>
      </c>
      <c r="L595" s="213">
        <v>6459</v>
      </c>
    </row>
    <row r="596" spans="2:12" outlineLevel="2">
      <c r="B596" s="40">
        <f t="shared" si="22"/>
        <v>134</v>
      </c>
      <c r="C596" s="41" t="s">
        <v>8</v>
      </c>
      <c r="D596" s="41"/>
      <c r="E596" s="118">
        <v>24435</v>
      </c>
      <c r="F596" s="41"/>
      <c r="G596" s="119">
        <v>31717</v>
      </c>
      <c r="H596" s="41"/>
      <c r="I596" s="212">
        <v>44805</v>
      </c>
      <c r="J596" s="41"/>
      <c r="K596" s="120" t="s">
        <v>199</v>
      </c>
      <c r="L596" s="213">
        <v>6502</v>
      </c>
    </row>
    <row r="597" spans="2:12" outlineLevel="2">
      <c r="B597" s="40">
        <f t="shared" si="22"/>
        <v>135</v>
      </c>
      <c r="C597" s="41" t="s">
        <v>8</v>
      </c>
      <c r="D597" s="41"/>
      <c r="E597" s="216">
        <v>20863</v>
      </c>
      <c r="F597" s="41"/>
      <c r="G597" s="216">
        <v>1986</v>
      </c>
      <c r="H597" s="41"/>
      <c r="I597" s="212">
        <v>44798</v>
      </c>
      <c r="J597" s="41"/>
      <c r="K597" s="120" t="s">
        <v>199</v>
      </c>
      <c r="L597" s="120">
        <v>12429</v>
      </c>
    </row>
    <row r="598" spans="2:12" outlineLevel="2">
      <c r="B598" s="40">
        <f t="shared" si="22"/>
        <v>136</v>
      </c>
      <c r="C598" s="41" t="s">
        <v>8</v>
      </c>
      <c r="D598" s="41"/>
      <c r="E598" s="216">
        <v>29338</v>
      </c>
      <c r="F598" s="41"/>
      <c r="G598" s="223">
        <v>29465</v>
      </c>
      <c r="H598" s="41"/>
      <c r="I598" s="212">
        <v>44799</v>
      </c>
      <c r="J598" s="41"/>
      <c r="K598" s="213">
        <v>48</v>
      </c>
      <c r="L598" s="120">
        <v>12435</v>
      </c>
    </row>
    <row r="599" spans="2:12" outlineLevel="2">
      <c r="B599" s="40">
        <f t="shared" si="22"/>
        <v>137</v>
      </c>
      <c r="C599" s="41" t="s">
        <v>8</v>
      </c>
      <c r="D599" s="41"/>
      <c r="E599" s="217">
        <v>201482</v>
      </c>
      <c r="F599" s="41"/>
      <c r="G599" s="222">
        <v>32143</v>
      </c>
      <c r="H599" s="41"/>
      <c r="I599" s="211">
        <v>44907</v>
      </c>
      <c r="J599" s="41"/>
      <c r="K599" s="214">
        <v>31</v>
      </c>
      <c r="L599" s="241">
        <v>12853</v>
      </c>
    </row>
    <row r="600" spans="2:12" outlineLevel="2">
      <c r="B600" s="40">
        <f t="shared" si="22"/>
        <v>138</v>
      </c>
      <c r="C600" s="41" t="s">
        <v>8</v>
      </c>
      <c r="D600" s="41"/>
      <c r="E600" s="216">
        <v>7494</v>
      </c>
      <c r="F600" s="41"/>
      <c r="G600" s="223">
        <v>1980</v>
      </c>
      <c r="H600" s="41"/>
      <c r="I600" s="212">
        <v>44902</v>
      </c>
      <c r="J600" s="41"/>
      <c r="K600" s="120">
        <v>41</v>
      </c>
      <c r="L600" s="120">
        <v>13010</v>
      </c>
    </row>
    <row r="601" spans="2:12" outlineLevel="2">
      <c r="B601" s="40">
        <f t="shared" si="22"/>
        <v>139</v>
      </c>
      <c r="C601" s="41" t="s">
        <v>8</v>
      </c>
      <c r="D601" s="41"/>
      <c r="E601" s="216">
        <v>36874</v>
      </c>
      <c r="F601" s="41"/>
      <c r="G601" s="223">
        <v>27334</v>
      </c>
      <c r="H601" s="41"/>
      <c r="I601" s="212">
        <v>44831</v>
      </c>
      <c r="J601" s="41"/>
      <c r="K601" s="120">
        <v>10</v>
      </c>
      <c r="L601" s="120">
        <v>13013</v>
      </c>
    </row>
    <row r="602" spans="2:12" outlineLevel="2">
      <c r="B602" s="40">
        <f t="shared" si="22"/>
        <v>140</v>
      </c>
      <c r="C602" s="41" t="s">
        <v>8</v>
      </c>
      <c r="D602" s="41"/>
      <c r="E602" s="216">
        <v>8748682</v>
      </c>
      <c r="F602" s="41"/>
      <c r="G602" s="223">
        <v>31837</v>
      </c>
      <c r="H602" s="41"/>
      <c r="I602" s="212">
        <v>44832</v>
      </c>
      <c r="J602" s="41"/>
      <c r="K602" s="213">
        <v>8</v>
      </c>
      <c r="L602" s="120">
        <v>13033</v>
      </c>
    </row>
    <row r="603" spans="2:12" outlineLevel="2">
      <c r="B603" s="40">
        <f t="shared" si="22"/>
        <v>141</v>
      </c>
      <c r="C603" s="41" t="s">
        <v>8</v>
      </c>
      <c r="D603" s="41"/>
      <c r="E603" s="216" t="s">
        <v>333</v>
      </c>
      <c r="F603" s="41"/>
      <c r="G603" s="223">
        <v>32112</v>
      </c>
      <c r="H603" s="41"/>
      <c r="I603" s="212">
        <v>44902</v>
      </c>
      <c r="J603" s="41"/>
      <c r="K603" s="213">
        <v>45</v>
      </c>
      <c r="L603" s="120">
        <v>13036</v>
      </c>
    </row>
    <row r="604" spans="2:12" outlineLevel="2">
      <c r="B604" s="40">
        <f t="shared" si="22"/>
        <v>142</v>
      </c>
      <c r="C604" s="41" t="s">
        <v>8</v>
      </c>
      <c r="D604" s="41"/>
      <c r="E604" s="216">
        <v>12475</v>
      </c>
      <c r="F604" s="41"/>
      <c r="G604" s="223">
        <v>29830</v>
      </c>
      <c r="H604" s="41"/>
      <c r="I604" s="212">
        <v>44830</v>
      </c>
      <c r="J604" s="41"/>
      <c r="K604" s="213">
        <v>43</v>
      </c>
      <c r="L604" s="120">
        <v>13039</v>
      </c>
    </row>
    <row r="605" spans="2:12" outlineLevel="2">
      <c r="B605" s="40">
        <f t="shared" si="22"/>
        <v>143</v>
      </c>
      <c r="C605" s="41" t="s">
        <v>8</v>
      </c>
      <c r="D605" s="41"/>
      <c r="E605" s="216">
        <v>41713</v>
      </c>
      <c r="F605" s="41"/>
      <c r="G605" s="223">
        <v>30072</v>
      </c>
      <c r="H605" s="41"/>
      <c r="I605" s="212">
        <v>44830</v>
      </c>
      <c r="J605" s="41"/>
      <c r="K605" s="213">
        <v>21</v>
      </c>
      <c r="L605" s="120">
        <v>13041</v>
      </c>
    </row>
    <row r="606" spans="2:12" outlineLevel="2">
      <c r="B606" s="40">
        <f t="shared" si="22"/>
        <v>144</v>
      </c>
      <c r="C606" s="41" t="s">
        <v>8</v>
      </c>
      <c r="D606" s="41"/>
      <c r="E606" s="216">
        <v>221180</v>
      </c>
      <c r="F606" s="41"/>
      <c r="G606" s="223">
        <v>1976</v>
      </c>
      <c r="H606" s="41"/>
      <c r="I606" s="212">
        <v>44831</v>
      </c>
      <c r="J606" s="41"/>
      <c r="K606" s="213">
        <v>20</v>
      </c>
      <c r="L606" s="120">
        <v>13055</v>
      </c>
    </row>
    <row r="607" spans="2:12" outlineLevel="2">
      <c r="B607" s="40">
        <f t="shared" si="22"/>
        <v>145</v>
      </c>
      <c r="C607" s="41" t="s">
        <v>8</v>
      </c>
      <c r="D607" s="41"/>
      <c r="E607" s="216">
        <v>8518081</v>
      </c>
      <c r="F607" s="41"/>
      <c r="G607" s="223">
        <v>29921</v>
      </c>
      <c r="H607" s="41"/>
      <c r="I607" s="212">
        <v>44832</v>
      </c>
      <c r="J607" s="41"/>
      <c r="K607" s="120">
        <v>43</v>
      </c>
      <c r="L607" s="120">
        <v>13748</v>
      </c>
    </row>
    <row r="608" spans="2:12" outlineLevel="2">
      <c r="B608" s="40">
        <f t="shared" si="22"/>
        <v>146</v>
      </c>
      <c r="C608" s="41" t="s">
        <v>8</v>
      </c>
      <c r="D608" s="41"/>
      <c r="E608" s="216" t="s">
        <v>334</v>
      </c>
      <c r="F608" s="41"/>
      <c r="G608" s="223">
        <v>31321</v>
      </c>
      <c r="H608" s="41"/>
      <c r="I608" s="212">
        <v>44832</v>
      </c>
      <c r="J608" s="41"/>
      <c r="K608" s="120">
        <v>27</v>
      </c>
      <c r="L608" s="120">
        <v>13753</v>
      </c>
    </row>
    <row r="609" spans="2:12" outlineLevel="2">
      <c r="B609" s="40">
        <f t="shared" si="22"/>
        <v>147</v>
      </c>
      <c r="C609" s="41" t="s">
        <v>8</v>
      </c>
      <c r="D609" s="41"/>
      <c r="E609" s="216" t="s">
        <v>335</v>
      </c>
      <c r="F609" s="41"/>
      <c r="G609" s="223">
        <v>31898</v>
      </c>
      <c r="H609" s="41"/>
      <c r="I609" s="212">
        <v>44832</v>
      </c>
      <c r="J609" s="41"/>
      <c r="K609" s="213" t="s">
        <v>199</v>
      </c>
      <c r="L609" s="120">
        <v>13757</v>
      </c>
    </row>
    <row r="610" spans="2:12" outlineLevel="2">
      <c r="B610" s="40">
        <f t="shared" si="22"/>
        <v>148</v>
      </c>
      <c r="C610" s="41" t="s">
        <v>8</v>
      </c>
      <c r="D610" s="41"/>
      <c r="E610" s="216">
        <v>139570</v>
      </c>
      <c r="F610" s="41"/>
      <c r="G610" s="223">
        <v>32021</v>
      </c>
      <c r="H610" s="41"/>
      <c r="I610" s="212">
        <v>44837</v>
      </c>
      <c r="J610" s="41"/>
      <c r="K610" s="120">
        <v>41</v>
      </c>
      <c r="L610" s="120">
        <v>13759</v>
      </c>
    </row>
    <row r="611" spans="2:12" outlineLevel="2">
      <c r="B611" s="40">
        <f t="shared" si="22"/>
        <v>149</v>
      </c>
      <c r="C611" s="41" t="s">
        <v>8</v>
      </c>
      <c r="D611" s="41"/>
      <c r="E611" s="216">
        <v>43909</v>
      </c>
      <c r="F611" s="41"/>
      <c r="G611" s="223">
        <v>31564</v>
      </c>
      <c r="H611" s="41"/>
      <c r="I611" s="212">
        <v>44832</v>
      </c>
      <c r="J611" s="41"/>
      <c r="K611" s="213">
        <v>44</v>
      </c>
      <c r="L611" s="120">
        <v>13762</v>
      </c>
    </row>
    <row r="612" spans="2:12" outlineLevel="2">
      <c r="B612" s="40">
        <f t="shared" si="22"/>
        <v>150</v>
      </c>
      <c r="C612" s="41" t="s">
        <v>8</v>
      </c>
      <c r="D612" s="41"/>
      <c r="E612" s="216">
        <v>8749982</v>
      </c>
      <c r="F612" s="41"/>
      <c r="G612" s="224">
        <v>31898</v>
      </c>
      <c r="H612" s="41"/>
      <c r="I612" s="212">
        <v>44943</v>
      </c>
      <c r="J612" s="41"/>
      <c r="K612" s="213">
        <v>30</v>
      </c>
      <c r="L612" s="120">
        <v>13853</v>
      </c>
    </row>
    <row r="613" spans="2:12" outlineLevel="2">
      <c r="B613" s="40">
        <f t="shared" si="22"/>
        <v>151</v>
      </c>
      <c r="C613" s="41" t="s">
        <v>8</v>
      </c>
      <c r="D613" s="41"/>
      <c r="E613" s="216" t="s">
        <v>336</v>
      </c>
      <c r="F613" s="41"/>
      <c r="G613" s="224">
        <v>32478</v>
      </c>
      <c r="H613" s="41"/>
      <c r="I613" s="212">
        <v>44943</v>
      </c>
      <c r="J613" s="41"/>
      <c r="K613" s="120">
        <v>34</v>
      </c>
      <c r="L613" s="120">
        <v>13860</v>
      </c>
    </row>
    <row r="614" spans="2:12" outlineLevel="2">
      <c r="B614" s="40">
        <f t="shared" si="22"/>
        <v>152</v>
      </c>
      <c r="C614" s="41" t="s">
        <v>8</v>
      </c>
      <c r="D614" s="41"/>
      <c r="E614" s="216">
        <v>29332</v>
      </c>
      <c r="F614" s="41"/>
      <c r="G614" s="224">
        <v>29465</v>
      </c>
      <c r="H614" s="41"/>
      <c r="I614" s="212">
        <v>44937</v>
      </c>
      <c r="J614" s="41"/>
      <c r="K614" s="213">
        <v>24</v>
      </c>
      <c r="L614" s="120">
        <v>13865</v>
      </c>
    </row>
    <row r="615" spans="2:12" outlineLevel="2">
      <c r="B615" s="40">
        <f t="shared" si="22"/>
        <v>153</v>
      </c>
      <c r="C615" s="41" t="s">
        <v>8</v>
      </c>
      <c r="D615" s="41"/>
      <c r="E615" s="216">
        <v>7466</v>
      </c>
      <c r="F615" s="41"/>
      <c r="G615" s="224">
        <v>1980</v>
      </c>
      <c r="H615" s="41"/>
      <c r="I615" s="212">
        <v>44839</v>
      </c>
      <c r="J615" s="41"/>
      <c r="K615" s="213">
        <v>8</v>
      </c>
      <c r="L615" s="120">
        <v>13866</v>
      </c>
    </row>
    <row r="616" spans="2:12" outlineLevel="2">
      <c r="B616" s="40">
        <f t="shared" si="22"/>
        <v>154</v>
      </c>
      <c r="C616" s="41" t="s">
        <v>8</v>
      </c>
      <c r="D616" s="41"/>
      <c r="E616" s="216">
        <v>55767</v>
      </c>
      <c r="F616" s="41"/>
      <c r="G616" s="224">
        <v>32051</v>
      </c>
      <c r="H616" s="41"/>
      <c r="I616" s="212">
        <v>44943</v>
      </c>
      <c r="J616" s="41"/>
      <c r="K616" s="120">
        <v>29</v>
      </c>
      <c r="L616" s="120">
        <v>13871</v>
      </c>
    </row>
    <row r="617" spans="2:12" outlineLevel="2">
      <c r="B617" s="40">
        <f t="shared" si="22"/>
        <v>155</v>
      </c>
      <c r="C617" s="41" t="s">
        <v>8</v>
      </c>
      <c r="D617" s="41"/>
      <c r="E617" s="216">
        <v>844255</v>
      </c>
      <c r="F617" s="41"/>
      <c r="G617" s="224">
        <v>1984</v>
      </c>
      <c r="H617" s="41"/>
      <c r="I617" s="212">
        <v>44852</v>
      </c>
      <c r="J617" s="41"/>
      <c r="K617" s="120">
        <v>47</v>
      </c>
      <c r="L617" s="120">
        <v>13876</v>
      </c>
    </row>
    <row r="618" spans="2:12" outlineLevel="2">
      <c r="B618" s="40">
        <f t="shared" si="22"/>
        <v>156</v>
      </c>
      <c r="C618" s="41" t="s">
        <v>8</v>
      </c>
      <c r="D618" s="41"/>
      <c r="E618" s="216">
        <v>30753</v>
      </c>
      <c r="F618" s="41"/>
      <c r="G618" s="224">
        <v>27030</v>
      </c>
      <c r="H618" s="41"/>
      <c r="I618" s="212">
        <v>44943</v>
      </c>
      <c r="J618" s="41"/>
      <c r="K618" s="213">
        <v>21</v>
      </c>
      <c r="L618" s="120">
        <v>13882</v>
      </c>
    </row>
    <row r="619" spans="2:12" outlineLevel="2">
      <c r="B619" s="40">
        <f t="shared" si="22"/>
        <v>157</v>
      </c>
      <c r="C619" s="41" t="s">
        <v>8</v>
      </c>
      <c r="D619" s="41"/>
      <c r="E619" s="216">
        <v>36808</v>
      </c>
      <c r="F619" s="41"/>
      <c r="G619" s="224">
        <v>27395</v>
      </c>
      <c r="H619" s="41"/>
      <c r="I619" s="212">
        <v>44943</v>
      </c>
      <c r="J619" s="41"/>
      <c r="K619" s="120">
        <v>18</v>
      </c>
      <c r="L619" s="120">
        <v>13884</v>
      </c>
    </row>
    <row r="620" spans="2:12" outlineLevel="2">
      <c r="B620" s="40">
        <f t="shared" si="22"/>
        <v>158</v>
      </c>
      <c r="C620" s="41" t="s">
        <v>8</v>
      </c>
      <c r="D620" s="41"/>
      <c r="E620" s="216">
        <v>8852820</v>
      </c>
      <c r="F620" s="41"/>
      <c r="G620" s="224">
        <v>32387</v>
      </c>
      <c r="H620" s="41"/>
      <c r="I620" s="212">
        <v>44943</v>
      </c>
      <c r="J620" s="41"/>
      <c r="K620" s="120">
        <v>30</v>
      </c>
      <c r="L620" s="120">
        <v>13886</v>
      </c>
    </row>
    <row r="621" spans="2:12" outlineLevel="2">
      <c r="B621" s="40">
        <f t="shared" si="22"/>
        <v>159</v>
      </c>
      <c r="C621" s="41" t="s">
        <v>8</v>
      </c>
      <c r="D621" s="41"/>
      <c r="E621" s="216">
        <v>214430</v>
      </c>
      <c r="F621" s="41"/>
      <c r="G621" s="224">
        <v>1975</v>
      </c>
      <c r="H621" s="41"/>
      <c r="I621" s="212">
        <v>44943</v>
      </c>
      <c r="J621" s="41"/>
      <c r="K621" s="120">
        <v>45</v>
      </c>
      <c r="L621" s="120">
        <v>13889</v>
      </c>
    </row>
    <row r="622" spans="2:12" outlineLevel="2">
      <c r="B622" s="40">
        <f t="shared" si="22"/>
        <v>160</v>
      </c>
      <c r="C622" s="41" t="s">
        <v>8</v>
      </c>
      <c r="D622" s="41"/>
      <c r="E622" s="216" t="s">
        <v>337</v>
      </c>
      <c r="F622" s="41"/>
      <c r="G622" s="224">
        <v>31138</v>
      </c>
      <c r="H622" s="41"/>
      <c r="I622" s="212">
        <v>44943</v>
      </c>
      <c r="J622" s="41"/>
      <c r="K622" s="120">
        <v>31</v>
      </c>
      <c r="L622" s="120">
        <v>13890</v>
      </c>
    </row>
    <row r="623" spans="2:12" outlineLevel="2">
      <c r="B623" s="40">
        <f t="shared" si="22"/>
        <v>161</v>
      </c>
      <c r="C623" s="41" t="s">
        <v>8</v>
      </c>
      <c r="D623" s="41"/>
      <c r="E623" s="216">
        <v>20836</v>
      </c>
      <c r="F623" s="41"/>
      <c r="G623" s="224">
        <v>1986</v>
      </c>
      <c r="H623" s="41"/>
      <c r="I623" s="212">
        <v>44847</v>
      </c>
      <c r="J623" s="41"/>
      <c r="K623" s="120">
        <v>26</v>
      </c>
      <c r="L623" s="120">
        <v>13891</v>
      </c>
    </row>
    <row r="624" spans="2:12" outlineLevel="2">
      <c r="B624" s="40">
        <f t="shared" si="22"/>
        <v>162</v>
      </c>
      <c r="C624" s="41" t="s">
        <v>8</v>
      </c>
      <c r="D624" s="41"/>
      <c r="E624" s="216" t="s">
        <v>338</v>
      </c>
      <c r="F624" s="41"/>
      <c r="G624" s="224">
        <v>30560</v>
      </c>
      <c r="H624" s="41"/>
      <c r="I624" s="212">
        <v>44943</v>
      </c>
      <c r="J624" s="41"/>
      <c r="K624" s="213">
        <v>39</v>
      </c>
      <c r="L624" s="120">
        <v>13892</v>
      </c>
    </row>
    <row r="625" spans="2:12" outlineLevel="2">
      <c r="B625" s="40">
        <f t="shared" si="22"/>
        <v>163</v>
      </c>
      <c r="C625" s="41" t="s">
        <v>8</v>
      </c>
      <c r="D625" s="41"/>
      <c r="E625" s="209">
        <v>2579</v>
      </c>
      <c r="F625" s="41"/>
      <c r="G625" s="225">
        <v>30895</v>
      </c>
      <c r="H625" s="41"/>
      <c r="I625" s="212">
        <v>44852</v>
      </c>
      <c r="J625" s="41"/>
      <c r="K625" s="120">
        <v>33</v>
      </c>
      <c r="L625" s="242">
        <v>14025</v>
      </c>
    </row>
    <row r="626" spans="2:12" outlineLevel="2">
      <c r="B626" s="40">
        <f t="shared" si="22"/>
        <v>164</v>
      </c>
      <c r="C626" s="41" t="s">
        <v>8</v>
      </c>
      <c r="D626" s="41"/>
      <c r="E626" s="209">
        <v>37838</v>
      </c>
      <c r="F626" s="41"/>
      <c r="G626" s="225">
        <v>29952</v>
      </c>
      <c r="H626" s="41"/>
      <c r="I626" s="212">
        <v>44839</v>
      </c>
      <c r="J626" s="41"/>
      <c r="K626" s="213">
        <v>201</v>
      </c>
      <c r="L626" s="242">
        <v>14026</v>
      </c>
    </row>
    <row r="627" spans="2:12" outlineLevel="2">
      <c r="B627" s="40">
        <f t="shared" si="22"/>
        <v>165</v>
      </c>
      <c r="C627" s="41" t="s">
        <v>8</v>
      </c>
      <c r="D627" s="41"/>
      <c r="E627" s="209">
        <v>58833</v>
      </c>
      <c r="F627" s="41"/>
      <c r="G627" s="225">
        <v>32387</v>
      </c>
      <c r="H627" s="41"/>
      <c r="I627" s="212">
        <v>44944</v>
      </c>
      <c r="J627" s="41"/>
      <c r="K627" s="120">
        <v>21</v>
      </c>
      <c r="L627" s="242">
        <v>14028</v>
      </c>
    </row>
    <row r="628" spans="2:12" outlineLevel="2">
      <c r="B628" s="40">
        <f t="shared" si="22"/>
        <v>166</v>
      </c>
      <c r="C628" s="41" t="s">
        <v>8</v>
      </c>
      <c r="D628" s="41"/>
      <c r="E628" s="209">
        <v>55288</v>
      </c>
      <c r="F628" s="41"/>
      <c r="G628" s="225">
        <v>28764</v>
      </c>
      <c r="H628" s="41"/>
      <c r="I628" s="212">
        <v>44944</v>
      </c>
      <c r="J628" s="41"/>
      <c r="K628" s="120">
        <v>31</v>
      </c>
      <c r="L628" s="242">
        <v>14031</v>
      </c>
    </row>
    <row r="629" spans="2:12" outlineLevel="2">
      <c r="B629" s="40">
        <f t="shared" si="22"/>
        <v>167</v>
      </c>
      <c r="C629" s="41" t="s">
        <v>8</v>
      </c>
      <c r="D629" s="41"/>
      <c r="E629" s="209" t="s">
        <v>339</v>
      </c>
      <c r="F629" s="41"/>
      <c r="G629" s="225">
        <v>1981</v>
      </c>
      <c r="H629" s="41"/>
      <c r="I629" s="212">
        <v>44847</v>
      </c>
      <c r="J629" s="41"/>
      <c r="K629" s="213">
        <v>34</v>
      </c>
      <c r="L629" s="242">
        <v>14097</v>
      </c>
    </row>
    <row r="630" spans="2:12" outlineLevel="2">
      <c r="B630" s="40">
        <f t="shared" si="22"/>
        <v>168</v>
      </c>
      <c r="C630" s="41" t="s">
        <v>8</v>
      </c>
      <c r="D630" s="41"/>
      <c r="E630" s="41"/>
      <c r="F630" s="41"/>
      <c r="G630" s="41"/>
      <c r="H630" s="41"/>
      <c r="I630" s="42"/>
      <c r="J630" s="41"/>
      <c r="K630" s="41"/>
      <c r="L630" s="43"/>
    </row>
    <row r="631" spans="2:12" outlineLevel="2">
      <c r="B631" s="40">
        <f t="shared" si="22"/>
        <v>169</v>
      </c>
      <c r="C631" s="41" t="s">
        <v>8</v>
      </c>
      <c r="D631" s="41"/>
      <c r="E631" s="41"/>
      <c r="F631" s="41"/>
      <c r="G631" s="41"/>
      <c r="H631" s="41"/>
      <c r="I631" s="42"/>
      <c r="J631" s="41"/>
      <c r="K631" s="41"/>
      <c r="L631" s="43"/>
    </row>
    <row r="632" spans="2:12" outlineLevel="2">
      <c r="B632" s="40">
        <f t="shared" si="22"/>
        <v>170</v>
      </c>
      <c r="C632" s="41" t="s">
        <v>8</v>
      </c>
      <c r="D632" s="41"/>
      <c r="E632" s="41"/>
      <c r="F632" s="41"/>
      <c r="G632" s="41"/>
      <c r="H632" s="41"/>
      <c r="I632" s="42"/>
      <c r="J632" s="41"/>
      <c r="K632" s="41"/>
      <c r="L632" s="43"/>
    </row>
    <row r="633" spans="2:12" outlineLevel="2">
      <c r="B633" s="40">
        <f t="shared" si="22"/>
        <v>171</v>
      </c>
      <c r="C633" s="41" t="s">
        <v>8</v>
      </c>
      <c r="D633" s="41"/>
      <c r="E633" s="41"/>
      <c r="F633" s="41"/>
      <c r="G633" s="41"/>
      <c r="H633" s="41"/>
      <c r="I633" s="42"/>
      <c r="J633" s="41"/>
      <c r="K633" s="41"/>
      <c r="L633" s="43"/>
    </row>
    <row r="634" spans="2:12" outlineLevel="2">
      <c r="B634" s="40">
        <f t="shared" si="22"/>
        <v>172</v>
      </c>
      <c r="C634" s="41" t="s">
        <v>8</v>
      </c>
      <c r="D634" s="41"/>
      <c r="E634" s="41"/>
      <c r="F634" s="41"/>
      <c r="G634" s="41"/>
      <c r="H634" s="41"/>
      <c r="I634" s="42"/>
      <c r="J634" s="41"/>
      <c r="K634" s="41"/>
      <c r="L634" s="43"/>
    </row>
    <row r="635" spans="2:12" outlineLevel="2">
      <c r="B635" s="40">
        <f t="shared" si="22"/>
        <v>173</v>
      </c>
      <c r="C635" s="41" t="s">
        <v>8</v>
      </c>
      <c r="D635" s="41"/>
      <c r="E635" s="41"/>
      <c r="F635" s="41"/>
      <c r="G635" s="41"/>
      <c r="H635" s="41"/>
      <c r="I635" s="42"/>
      <c r="J635" s="41"/>
      <c r="K635" s="41"/>
      <c r="L635" s="43"/>
    </row>
    <row r="636" spans="2:12" outlineLevel="2">
      <c r="B636" s="40">
        <f t="shared" si="22"/>
        <v>174</v>
      </c>
      <c r="C636" s="41" t="s">
        <v>8</v>
      </c>
      <c r="D636" s="41"/>
      <c r="E636" s="41"/>
      <c r="F636" s="41"/>
      <c r="G636" s="41"/>
      <c r="H636" s="41"/>
      <c r="I636" s="42"/>
      <c r="J636" s="41"/>
      <c r="K636" s="41"/>
      <c r="L636" s="43"/>
    </row>
    <row r="637" spans="2:12" outlineLevel="2">
      <c r="B637" s="40">
        <f t="shared" si="22"/>
        <v>175</v>
      </c>
      <c r="C637" s="41" t="s">
        <v>8</v>
      </c>
      <c r="D637" s="41"/>
      <c r="E637" s="41"/>
      <c r="F637" s="41"/>
      <c r="G637" s="41"/>
      <c r="H637" s="41"/>
      <c r="I637" s="42"/>
      <c r="J637" s="41"/>
      <c r="K637" s="41"/>
      <c r="L637" s="43"/>
    </row>
    <row r="638" spans="2:12" outlineLevel="2">
      <c r="B638" s="40">
        <f t="shared" si="22"/>
        <v>176</v>
      </c>
      <c r="C638" s="41" t="s">
        <v>8</v>
      </c>
      <c r="D638" s="41"/>
      <c r="E638" s="41"/>
      <c r="F638" s="41"/>
      <c r="G638" s="41"/>
      <c r="H638" s="41"/>
      <c r="I638" s="42"/>
      <c r="J638" s="41"/>
      <c r="K638" s="41"/>
      <c r="L638" s="43"/>
    </row>
    <row r="639" spans="2:12" outlineLevel="2">
      <c r="B639" s="40">
        <f t="shared" si="22"/>
        <v>177</v>
      </c>
      <c r="C639" s="41" t="s">
        <v>8</v>
      </c>
      <c r="D639" s="41"/>
      <c r="E639" s="41"/>
      <c r="F639" s="41"/>
      <c r="G639" s="41"/>
      <c r="H639" s="41"/>
      <c r="I639" s="42"/>
      <c r="J639" s="41"/>
      <c r="K639" s="41"/>
      <c r="L639" s="43"/>
    </row>
    <row r="640" spans="2:12" outlineLevel="2">
      <c r="B640" s="40">
        <f t="shared" si="22"/>
        <v>178</v>
      </c>
      <c r="C640" s="41" t="s">
        <v>8</v>
      </c>
      <c r="D640" s="41"/>
      <c r="E640" s="41"/>
      <c r="F640" s="41"/>
      <c r="G640" s="41"/>
      <c r="H640" s="41"/>
      <c r="I640" s="42"/>
      <c r="J640" s="41"/>
      <c r="K640" s="41"/>
      <c r="L640" s="43"/>
    </row>
    <row r="641" spans="2:12" outlineLevel="2">
      <c r="B641" s="40">
        <f t="shared" si="22"/>
        <v>179</v>
      </c>
      <c r="C641" s="41" t="s">
        <v>8</v>
      </c>
      <c r="D641" s="41"/>
      <c r="E641" s="41"/>
      <c r="F641" s="41"/>
      <c r="G641" s="41"/>
      <c r="H641" s="41"/>
      <c r="I641" s="42"/>
      <c r="J641" s="41"/>
      <c r="K641" s="41"/>
      <c r="L641" s="43"/>
    </row>
    <row r="642" spans="2:12" outlineLevel="2">
      <c r="B642" s="40">
        <f t="shared" si="22"/>
        <v>180</v>
      </c>
      <c r="C642" s="41" t="s">
        <v>8</v>
      </c>
      <c r="D642" s="41"/>
      <c r="E642" s="41"/>
      <c r="F642" s="41"/>
      <c r="G642" s="41"/>
      <c r="H642" s="41"/>
      <c r="I642" s="42"/>
      <c r="J642" s="41"/>
      <c r="K642" s="41"/>
      <c r="L642" s="43"/>
    </row>
    <row r="643" spans="2:12" outlineLevel="2">
      <c r="B643" s="40">
        <f t="shared" si="22"/>
        <v>181</v>
      </c>
      <c r="C643" s="41" t="s">
        <v>8</v>
      </c>
      <c r="D643" s="41"/>
      <c r="E643" s="41"/>
      <c r="F643" s="41"/>
      <c r="G643" s="41"/>
      <c r="H643" s="41"/>
      <c r="I643" s="42"/>
      <c r="J643" s="41"/>
      <c r="K643" s="41"/>
      <c r="L643" s="43"/>
    </row>
    <row r="644" spans="2:12" outlineLevel="2">
      <c r="B644" s="40">
        <f t="shared" si="22"/>
        <v>182</v>
      </c>
      <c r="C644" s="41" t="s">
        <v>8</v>
      </c>
      <c r="D644" s="41"/>
      <c r="E644" s="41"/>
      <c r="F644" s="41"/>
      <c r="G644" s="41"/>
      <c r="H644" s="41"/>
      <c r="I644" s="42"/>
      <c r="J644" s="41"/>
      <c r="K644" s="41"/>
      <c r="L644" s="43"/>
    </row>
    <row r="645" spans="2:12" outlineLevel="2">
      <c r="B645" s="40">
        <f t="shared" si="22"/>
        <v>183</v>
      </c>
      <c r="C645" s="41" t="s">
        <v>8</v>
      </c>
      <c r="D645" s="41"/>
      <c r="E645" s="41"/>
      <c r="F645" s="41"/>
      <c r="G645" s="41"/>
      <c r="H645" s="41"/>
      <c r="I645" s="42"/>
      <c r="J645" s="41"/>
      <c r="K645" s="41"/>
      <c r="L645" s="43"/>
    </row>
    <row r="646" spans="2:12" outlineLevel="2">
      <c r="B646" s="40">
        <f t="shared" si="22"/>
        <v>184</v>
      </c>
      <c r="C646" s="41" t="s">
        <v>8</v>
      </c>
      <c r="D646" s="41"/>
      <c r="E646" s="41"/>
      <c r="F646" s="41"/>
      <c r="G646" s="41"/>
      <c r="H646" s="41"/>
      <c r="I646" s="42"/>
      <c r="J646" s="41"/>
      <c r="K646" s="41"/>
      <c r="L646" s="43"/>
    </row>
    <row r="647" spans="2:12" outlineLevel="2">
      <c r="B647" s="40">
        <f t="shared" si="22"/>
        <v>185</v>
      </c>
      <c r="C647" s="41" t="s">
        <v>8</v>
      </c>
      <c r="D647" s="41"/>
      <c r="E647" s="41"/>
      <c r="F647" s="41"/>
      <c r="G647" s="41"/>
      <c r="H647" s="41"/>
      <c r="I647" s="42"/>
      <c r="J647" s="41"/>
      <c r="K647" s="41"/>
      <c r="L647" s="43"/>
    </row>
    <row r="648" spans="2:12" outlineLevel="2">
      <c r="B648" s="40">
        <f t="shared" si="22"/>
        <v>186</v>
      </c>
      <c r="C648" s="41" t="s">
        <v>8</v>
      </c>
      <c r="D648" s="41"/>
      <c r="E648" s="41"/>
      <c r="F648" s="41"/>
      <c r="G648" s="41"/>
      <c r="H648" s="41"/>
      <c r="I648" s="42"/>
      <c r="J648" s="41"/>
      <c r="K648" s="41"/>
      <c r="L648" s="43"/>
    </row>
    <row r="649" spans="2:12" outlineLevel="2">
      <c r="B649" s="40">
        <f t="shared" si="22"/>
        <v>187</v>
      </c>
      <c r="C649" s="41" t="s">
        <v>8</v>
      </c>
      <c r="D649" s="41"/>
      <c r="E649" s="41"/>
      <c r="F649" s="41"/>
      <c r="G649" s="41"/>
      <c r="H649" s="41"/>
      <c r="I649" s="42"/>
      <c r="J649" s="41"/>
      <c r="K649" s="41"/>
      <c r="L649" s="43"/>
    </row>
    <row r="650" spans="2:12" outlineLevel="2">
      <c r="B650" s="40">
        <f t="shared" si="22"/>
        <v>188</v>
      </c>
      <c r="C650" s="41" t="s">
        <v>8</v>
      </c>
      <c r="D650" s="41"/>
      <c r="E650" s="41"/>
      <c r="F650" s="41"/>
      <c r="G650" s="41"/>
      <c r="H650" s="41"/>
      <c r="I650" s="42"/>
      <c r="J650" s="41"/>
      <c r="K650" s="41"/>
      <c r="L650" s="43"/>
    </row>
    <row r="651" spans="2:12" outlineLevel="2">
      <c r="B651" s="40">
        <f t="shared" si="22"/>
        <v>189</v>
      </c>
      <c r="C651" s="41" t="s">
        <v>8</v>
      </c>
      <c r="D651" s="41"/>
      <c r="E651" s="41"/>
      <c r="F651" s="41"/>
      <c r="G651" s="41"/>
      <c r="H651" s="41"/>
      <c r="I651" s="42"/>
      <c r="J651" s="41"/>
      <c r="K651" s="41"/>
      <c r="L651" s="43"/>
    </row>
    <row r="652" spans="2:12" outlineLevel="2">
      <c r="B652" s="40">
        <f t="shared" si="22"/>
        <v>190</v>
      </c>
      <c r="C652" s="41" t="s">
        <v>8</v>
      </c>
      <c r="D652" s="41"/>
      <c r="E652" s="41"/>
      <c r="F652" s="41"/>
      <c r="G652" s="41"/>
      <c r="H652" s="41"/>
      <c r="I652" s="42"/>
      <c r="J652" s="41"/>
      <c r="K652" s="41"/>
      <c r="L652" s="43"/>
    </row>
    <row r="653" spans="2:12" outlineLevel="2">
      <c r="B653" s="40">
        <f t="shared" si="22"/>
        <v>191</v>
      </c>
      <c r="C653" s="41" t="s">
        <v>8</v>
      </c>
      <c r="D653" s="41"/>
      <c r="E653" s="41"/>
      <c r="F653" s="41"/>
      <c r="G653" s="41"/>
      <c r="H653" s="41"/>
      <c r="I653" s="42"/>
      <c r="J653" s="41"/>
      <c r="K653" s="41"/>
      <c r="L653" s="43"/>
    </row>
    <row r="654" spans="2:12" outlineLevel="2">
      <c r="B654" s="40">
        <f t="shared" si="22"/>
        <v>192</v>
      </c>
      <c r="C654" s="41" t="s">
        <v>8</v>
      </c>
      <c r="D654" s="41"/>
      <c r="E654" s="41"/>
      <c r="F654" s="41"/>
      <c r="G654" s="41"/>
      <c r="H654" s="41"/>
      <c r="I654" s="42"/>
      <c r="J654" s="41"/>
      <c r="K654" s="41"/>
      <c r="L654" s="43"/>
    </row>
    <row r="655" spans="2:12" outlineLevel="2">
      <c r="B655" s="40">
        <f t="shared" si="22"/>
        <v>193</v>
      </c>
      <c r="C655" s="41" t="s">
        <v>8</v>
      </c>
      <c r="D655" s="41"/>
      <c r="E655" s="41"/>
      <c r="F655" s="41"/>
      <c r="G655" s="41"/>
      <c r="H655" s="41"/>
      <c r="I655" s="42"/>
      <c r="J655" s="41"/>
      <c r="K655" s="41"/>
      <c r="L655" s="43"/>
    </row>
    <row r="656" spans="2:12" outlineLevel="2">
      <c r="B656" s="40">
        <f t="shared" si="22"/>
        <v>194</v>
      </c>
      <c r="C656" s="41" t="s">
        <v>8</v>
      </c>
      <c r="D656" s="41"/>
      <c r="E656" s="41"/>
      <c r="F656" s="41"/>
      <c r="G656" s="41"/>
      <c r="H656" s="41"/>
      <c r="I656" s="42"/>
      <c r="J656" s="41"/>
      <c r="K656" s="41"/>
      <c r="L656" s="43"/>
    </row>
    <row r="657" spans="2:12" outlineLevel="2">
      <c r="B657" s="40">
        <f t="shared" ref="B657:B690" si="23">ROW(A195)</f>
        <v>195</v>
      </c>
      <c r="C657" s="41" t="s">
        <v>8</v>
      </c>
      <c r="D657" s="41"/>
      <c r="E657" s="41"/>
      <c r="F657" s="41"/>
      <c r="G657" s="41"/>
      <c r="H657" s="41"/>
      <c r="I657" s="42"/>
      <c r="J657" s="41"/>
      <c r="K657" s="41"/>
      <c r="L657" s="43"/>
    </row>
    <row r="658" spans="2:12" outlineLevel="2">
      <c r="B658" s="40">
        <f t="shared" si="23"/>
        <v>196</v>
      </c>
      <c r="C658" s="41" t="s">
        <v>8</v>
      </c>
      <c r="D658" s="41"/>
      <c r="E658" s="41"/>
      <c r="F658" s="41"/>
      <c r="G658" s="41"/>
      <c r="H658" s="41"/>
      <c r="I658" s="42"/>
      <c r="J658" s="41"/>
      <c r="K658" s="41"/>
      <c r="L658" s="43"/>
    </row>
    <row r="659" spans="2:12" outlineLevel="2">
      <c r="B659" s="40">
        <f t="shared" si="23"/>
        <v>197</v>
      </c>
      <c r="C659" s="41" t="s">
        <v>8</v>
      </c>
      <c r="D659" s="41"/>
      <c r="E659" s="41"/>
      <c r="F659" s="41"/>
      <c r="G659" s="41"/>
      <c r="H659" s="41"/>
      <c r="I659" s="42"/>
      <c r="J659" s="41"/>
      <c r="K659" s="41"/>
      <c r="L659" s="43"/>
    </row>
    <row r="660" spans="2:12" outlineLevel="2">
      <c r="B660" s="40">
        <f t="shared" si="23"/>
        <v>198</v>
      </c>
      <c r="C660" s="41" t="s">
        <v>8</v>
      </c>
      <c r="D660" s="41"/>
      <c r="E660" s="41"/>
      <c r="F660" s="41"/>
      <c r="G660" s="41"/>
      <c r="H660" s="41"/>
      <c r="I660" s="42"/>
      <c r="J660" s="41"/>
      <c r="K660" s="41"/>
      <c r="L660" s="43"/>
    </row>
    <row r="661" spans="2:12" outlineLevel="2">
      <c r="B661" s="40">
        <f t="shared" si="23"/>
        <v>199</v>
      </c>
      <c r="C661" s="41" t="s">
        <v>8</v>
      </c>
      <c r="D661" s="41"/>
      <c r="E661" s="41"/>
      <c r="F661" s="41"/>
      <c r="G661" s="41"/>
      <c r="H661" s="41"/>
      <c r="I661" s="42"/>
      <c r="J661" s="41"/>
      <c r="K661" s="41"/>
      <c r="L661" s="43"/>
    </row>
    <row r="662" spans="2:12" outlineLevel="2">
      <c r="B662" s="40">
        <f t="shared" si="23"/>
        <v>200</v>
      </c>
      <c r="C662" s="41" t="s">
        <v>8</v>
      </c>
      <c r="D662" s="41"/>
      <c r="E662" s="41"/>
      <c r="F662" s="41"/>
      <c r="G662" s="41"/>
      <c r="H662" s="41"/>
      <c r="I662" s="42"/>
      <c r="J662" s="41"/>
      <c r="K662" s="41"/>
      <c r="L662" s="43"/>
    </row>
    <row r="663" spans="2:12" outlineLevel="2">
      <c r="B663" s="40">
        <f t="shared" si="23"/>
        <v>201</v>
      </c>
      <c r="C663" s="41" t="s">
        <v>8</v>
      </c>
      <c r="D663" s="41"/>
      <c r="E663" s="41"/>
      <c r="F663" s="41"/>
      <c r="G663" s="41"/>
      <c r="H663" s="41"/>
      <c r="I663" s="42"/>
      <c r="J663" s="41"/>
      <c r="K663" s="41"/>
      <c r="L663" s="43"/>
    </row>
    <row r="664" spans="2:12" outlineLevel="2">
      <c r="B664" s="40">
        <f t="shared" si="23"/>
        <v>202</v>
      </c>
      <c r="C664" s="41" t="s">
        <v>8</v>
      </c>
      <c r="D664" s="41"/>
      <c r="E664" s="41"/>
      <c r="F664" s="41"/>
      <c r="G664" s="41"/>
      <c r="H664" s="41"/>
      <c r="I664" s="42"/>
      <c r="J664" s="41"/>
      <c r="K664" s="41"/>
      <c r="L664" s="43"/>
    </row>
    <row r="665" spans="2:12" outlineLevel="2">
      <c r="B665" s="40">
        <f t="shared" si="23"/>
        <v>203</v>
      </c>
      <c r="C665" s="41" t="s">
        <v>8</v>
      </c>
      <c r="D665" s="41"/>
      <c r="E665" s="41"/>
      <c r="F665" s="41"/>
      <c r="G665" s="41"/>
      <c r="H665" s="41"/>
      <c r="I665" s="42"/>
      <c r="J665" s="41"/>
      <c r="K665" s="41"/>
      <c r="L665" s="43"/>
    </row>
    <row r="666" spans="2:12" outlineLevel="2">
      <c r="B666" s="40">
        <f t="shared" si="23"/>
        <v>204</v>
      </c>
      <c r="C666" s="41" t="s">
        <v>8</v>
      </c>
      <c r="D666" s="41"/>
      <c r="E666" s="41"/>
      <c r="F666" s="41"/>
      <c r="G666" s="41"/>
      <c r="H666" s="41"/>
      <c r="I666" s="42"/>
      <c r="J666" s="41"/>
      <c r="K666" s="41"/>
      <c r="L666" s="43"/>
    </row>
    <row r="667" spans="2:12" outlineLevel="2">
      <c r="B667" s="40">
        <f t="shared" si="23"/>
        <v>205</v>
      </c>
      <c r="C667" s="41" t="s">
        <v>8</v>
      </c>
      <c r="D667" s="41"/>
      <c r="E667" s="41"/>
      <c r="F667" s="41"/>
      <c r="G667" s="41"/>
      <c r="H667" s="41"/>
      <c r="I667" s="42"/>
      <c r="J667" s="41"/>
      <c r="K667" s="41"/>
      <c r="L667" s="43"/>
    </row>
    <row r="668" spans="2:12" outlineLevel="2">
      <c r="B668" s="40">
        <f t="shared" si="23"/>
        <v>206</v>
      </c>
      <c r="C668" s="41" t="s">
        <v>8</v>
      </c>
      <c r="D668" s="41"/>
      <c r="E668" s="41"/>
      <c r="F668" s="41"/>
      <c r="G668" s="41"/>
      <c r="H668" s="41"/>
      <c r="I668" s="42"/>
      <c r="J668" s="41"/>
      <c r="K668" s="41"/>
      <c r="L668" s="43"/>
    </row>
    <row r="669" spans="2:12" outlineLevel="2">
      <c r="B669" s="40">
        <f t="shared" si="23"/>
        <v>207</v>
      </c>
      <c r="C669" s="41" t="s">
        <v>8</v>
      </c>
      <c r="D669" s="41"/>
      <c r="E669" s="41"/>
      <c r="F669" s="41"/>
      <c r="G669" s="41"/>
      <c r="H669" s="41"/>
      <c r="I669" s="42"/>
      <c r="J669" s="41"/>
      <c r="K669" s="41"/>
      <c r="L669" s="43"/>
    </row>
    <row r="670" spans="2:12" outlineLevel="2">
      <c r="B670" s="40">
        <f t="shared" si="23"/>
        <v>208</v>
      </c>
      <c r="C670" s="41" t="s">
        <v>8</v>
      </c>
      <c r="D670" s="41"/>
      <c r="E670" s="41"/>
      <c r="F670" s="41"/>
      <c r="G670" s="41"/>
      <c r="H670" s="41"/>
      <c r="I670" s="42"/>
      <c r="J670" s="41"/>
      <c r="K670" s="41"/>
      <c r="L670" s="43"/>
    </row>
    <row r="671" spans="2:12" outlineLevel="2">
      <c r="B671" s="40">
        <f t="shared" si="23"/>
        <v>209</v>
      </c>
      <c r="C671" s="41" t="s">
        <v>8</v>
      </c>
      <c r="D671" s="41"/>
      <c r="E671" s="41"/>
      <c r="F671" s="41"/>
      <c r="G671" s="41"/>
      <c r="H671" s="41"/>
      <c r="I671" s="42"/>
      <c r="J671" s="41"/>
      <c r="K671" s="41"/>
      <c r="L671" s="43"/>
    </row>
    <row r="672" spans="2:12" outlineLevel="2">
      <c r="B672" s="40">
        <f t="shared" si="23"/>
        <v>210</v>
      </c>
      <c r="C672" s="41" t="s">
        <v>8</v>
      </c>
      <c r="D672" s="41"/>
      <c r="E672" s="41"/>
      <c r="F672" s="41"/>
      <c r="G672" s="41"/>
      <c r="H672" s="41"/>
      <c r="I672" s="42"/>
      <c r="J672" s="41"/>
      <c r="K672" s="41"/>
      <c r="L672" s="43"/>
    </row>
    <row r="673" spans="2:12" outlineLevel="2">
      <c r="B673" s="40">
        <f t="shared" si="23"/>
        <v>211</v>
      </c>
      <c r="C673" s="41" t="s">
        <v>8</v>
      </c>
      <c r="D673" s="41"/>
      <c r="E673" s="41"/>
      <c r="F673" s="41"/>
      <c r="G673" s="41"/>
      <c r="H673" s="41"/>
      <c r="I673" s="42"/>
      <c r="J673" s="41"/>
      <c r="K673" s="41"/>
      <c r="L673" s="43"/>
    </row>
    <row r="674" spans="2:12" outlineLevel="2">
      <c r="B674" s="40">
        <f t="shared" si="23"/>
        <v>212</v>
      </c>
      <c r="C674" s="41" t="s">
        <v>8</v>
      </c>
      <c r="D674" s="41"/>
      <c r="E674" s="41"/>
      <c r="F674" s="41"/>
      <c r="G674" s="41"/>
      <c r="H674" s="41"/>
      <c r="I674" s="42"/>
      <c r="J674" s="41"/>
      <c r="K674" s="41"/>
      <c r="L674" s="43"/>
    </row>
    <row r="675" spans="2:12" outlineLevel="2">
      <c r="B675" s="40">
        <f t="shared" si="23"/>
        <v>213</v>
      </c>
      <c r="C675" s="41" t="s">
        <v>8</v>
      </c>
      <c r="D675" s="41"/>
      <c r="E675" s="41"/>
      <c r="F675" s="41"/>
      <c r="G675" s="41"/>
      <c r="H675" s="41"/>
      <c r="I675" s="42"/>
      <c r="J675" s="41"/>
      <c r="K675" s="41"/>
      <c r="L675" s="43"/>
    </row>
    <row r="676" spans="2:12" outlineLevel="2">
      <c r="B676" s="40">
        <f t="shared" si="23"/>
        <v>214</v>
      </c>
      <c r="C676" s="41" t="s">
        <v>8</v>
      </c>
      <c r="D676" s="41"/>
      <c r="E676" s="41"/>
      <c r="F676" s="41"/>
      <c r="G676" s="41"/>
      <c r="H676" s="41"/>
      <c r="I676" s="42"/>
      <c r="J676" s="41"/>
      <c r="K676" s="41"/>
      <c r="L676" s="43"/>
    </row>
    <row r="677" spans="2:12" outlineLevel="2">
      <c r="B677" s="40">
        <f t="shared" si="23"/>
        <v>215</v>
      </c>
      <c r="C677" s="41" t="s">
        <v>8</v>
      </c>
      <c r="D677" s="41"/>
      <c r="E677" s="41"/>
      <c r="F677" s="41"/>
      <c r="G677" s="41"/>
      <c r="H677" s="41"/>
      <c r="I677" s="42"/>
      <c r="J677" s="41"/>
      <c r="K677" s="41"/>
      <c r="L677" s="43"/>
    </row>
    <row r="678" spans="2:12" outlineLevel="2">
      <c r="B678" s="40">
        <f t="shared" si="23"/>
        <v>216</v>
      </c>
      <c r="C678" s="41" t="s">
        <v>8</v>
      </c>
      <c r="D678" s="41"/>
      <c r="E678" s="41"/>
      <c r="F678" s="41"/>
      <c r="G678" s="41"/>
      <c r="H678" s="41"/>
      <c r="I678" s="42"/>
      <c r="J678" s="41"/>
      <c r="K678" s="41"/>
      <c r="L678" s="43"/>
    </row>
    <row r="679" spans="2:12" outlineLevel="2">
      <c r="B679" s="40">
        <f t="shared" si="23"/>
        <v>217</v>
      </c>
      <c r="C679" s="41" t="s">
        <v>8</v>
      </c>
      <c r="D679" s="41"/>
      <c r="E679" s="41"/>
      <c r="F679" s="41"/>
      <c r="G679" s="41"/>
      <c r="H679" s="41"/>
      <c r="I679" s="42"/>
      <c r="J679" s="41"/>
      <c r="K679" s="41"/>
      <c r="L679" s="43"/>
    </row>
    <row r="680" spans="2:12" outlineLevel="2">
      <c r="B680" s="40">
        <f t="shared" si="23"/>
        <v>218</v>
      </c>
      <c r="C680" s="41" t="s">
        <v>8</v>
      </c>
      <c r="D680" s="41"/>
      <c r="E680" s="41"/>
      <c r="F680" s="41"/>
      <c r="G680" s="41"/>
      <c r="H680" s="41"/>
      <c r="I680" s="42"/>
      <c r="J680" s="41"/>
      <c r="K680" s="41"/>
      <c r="L680" s="43"/>
    </row>
    <row r="681" spans="2:12" outlineLevel="2">
      <c r="B681" s="40">
        <f t="shared" si="23"/>
        <v>219</v>
      </c>
      <c r="C681" s="41" t="s">
        <v>8</v>
      </c>
      <c r="D681" s="41"/>
      <c r="E681" s="41"/>
      <c r="F681" s="41"/>
      <c r="G681" s="41"/>
      <c r="H681" s="41"/>
      <c r="I681" s="42"/>
      <c r="J681" s="41"/>
      <c r="K681" s="41"/>
      <c r="L681" s="43"/>
    </row>
    <row r="682" spans="2:12" outlineLevel="2">
      <c r="B682" s="40">
        <f t="shared" si="23"/>
        <v>220</v>
      </c>
      <c r="C682" s="41" t="s">
        <v>8</v>
      </c>
      <c r="D682" s="41"/>
      <c r="E682" s="41"/>
      <c r="F682" s="41"/>
      <c r="G682" s="41"/>
      <c r="H682" s="41"/>
      <c r="I682" s="42"/>
      <c r="J682" s="41"/>
      <c r="K682" s="41"/>
      <c r="L682" s="43"/>
    </row>
    <row r="683" spans="2:12" outlineLevel="2">
      <c r="B683" s="40">
        <f t="shared" si="23"/>
        <v>221</v>
      </c>
      <c r="C683" s="41" t="s">
        <v>8</v>
      </c>
      <c r="D683" s="41"/>
      <c r="E683" s="41"/>
      <c r="F683" s="41"/>
      <c r="G683" s="41"/>
      <c r="H683" s="41"/>
      <c r="I683" s="42"/>
      <c r="J683" s="41"/>
      <c r="K683" s="41"/>
      <c r="L683" s="43"/>
    </row>
    <row r="684" spans="2:12" outlineLevel="2">
      <c r="B684" s="40">
        <f t="shared" si="23"/>
        <v>222</v>
      </c>
      <c r="C684" s="41" t="s">
        <v>8</v>
      </c>
      <c r="D684" s="41"/>
      <c r="E684" s="41"/>
      <c r="F684" s="41"/>
      <c r="G684" s="41"/>
      <c r="H684" s="41"/>
      <c r="I684" s="42"/>
      <c r="J684" s="41"/>
      <c r="K684" s="41"/>
      <c r="L684" s="43"/>
    </row>
    <row r="685" spans="2:12" outlineLevel="2">
      <c r="B685" s="40">
        <f t="shared" si="23"/>
        <v>223</v>
      </c>
      <c r="C685" s="41" t="s">
        <v>8</v>
      </c>
      <c r="D685" s="41"/>
      <c r="E685" s="41"/>
      <c r="F685" s="41"/>
      <c r="G685" s="41"/>
      <c r="H685" s="41"/>
      <c r="I685" s="42"/>
      <c r="J685" s="41"/>
      <c r="K685" s="41"/>
      <c r="L685" s="43"/>
    </row>
    <row r="686" spans="2:12" outlineLevel="2">
      <c r="B686" s="40">
        <f t="shared" si="23"/>
        <v>224</v>
      </c>
      <c r="C686" s="41" t="s">
        <v>8</v>
      </c>
      <c r="D686" s="41"/>
      <c r="E686" s="41"/>
      <c r="F686" s="41"/>
      <c r="G686" s="41"/>
      <c r="H686" s="41"/>
      <c r="I686" s="42"/>
      <c r="J686" s="41"/>
      <c r="K686" s="41"/>
      <c r="L686" s="43"/>
    </row>
    <row r="687" spans="2:12" outlineLevel="2">
      <c r="B687" s="40">
        <f t="shared" si="23"/>
        <v>225</v>
      </c>
      <c r="C687" s="41" t="s">
        <v>8</v>
      </c>
      <c r="D687" s="41"/>
      <c r="E687" s="41"/>
      <c r="F687" s="41"/>
      <c r="G687" s="41"/>
      <c r="H687" s="41"/>
      <c r="I687" s="42"/>
      <c r="J687" s="41"/>
      <c r="K687" s="41"/>
      <c r="L687" s="43"/>
    </row>
    <row r="688" spans="2:12" outlineLevel="2">
      <c r="B688" s="40">
        <f t="shared" si="23"/>
        <v>226</v>
      </c>
      <c r="C688" s="41" t="s">
        <v>8</v>
      </c>
      <c r="D688" s="41"/>
      <c r="E688" s="41"/>
      <c r="F688" s="41"/>
      <c r="G688" s="41"/>
      <c r="H688" s="41"/>
      <c r="I688" s="42"/>
      <c r="J688" s="41"/>
      <c r="K688" s="41"/>
      <c r="L688" s="43"/>
    </row>
    <row r="689" spans="2:12" outlineLevel="2">
      <c r="B689" s="40">
        <f t="shared" si="23"/>
        <v>227</v>
      </c>
      <c r="C689" s="41" t="s">
        <v>8</v>
      </c>
      <c r="D689" s="41"/>
      <c r="E689" s="41"/>
      <c r="F689" s="41"/>
      <c r="G689" s="41"/>
      <c r="H689" s="41"/>
      <c r="I689" s="42"/>
      <c r="J689" s="41"/>
      <c r="K689" s="41"/>
      <c r="L689" s="43"/>
    </row>
    <row r="690" spans="2:12" outlineLevel="2">
      <c r="B690" s="40">
        <f t="shared" si="23"/>
        <v>228</v>
      </c>
      <c r="C690" s="41" t="s">
        <v>8</v>
      </c>
      <c r="D690" s="41"/>
      <c r="E690" s="41"/>
      <c r="F690" s="41"/>
      <c r="G690" s="41"/>
      <c r="H690" s="41"/>
      <c r="I690" s="42"/>
      <c r="J690" s="41"/>
      <c r="K690" s="41"/>
      <c r="L690" s="43"/>
    </row>
    <row r="691" spans="2:12" outlineLevel="1">
      <c r="B691" s="59" t="s">
        <v>203</v>
      </c>
      <c r="C691" s="41">
        <f>SUBTOTAL(3,C463:C690)</f>
        <v>228</v>
      </c>
      <c r="D691" s="41"/>
      <c r="E691" s="41"/>
      <c r="F691" s="41"/>
      <c r="G691" s="41"/>
      <c r="H691" s="41"/>
      <c r="I691" s="42"/>
      <c r="J691" s="41"/>
      <c r="K691" s="41"/>
      <c r="L691" s="43"/>
    </row>
    <row r="692" spans="2:12" outlineLevel="2">
      <c r="B692" s="40">
        <f t="shared" ref="B692:B755" si="24">ROW(A229)</f>
        <v>229</v>
      </c>
      <c r="C692" s="41" t="s">
        <v>9</v>
      </c>
      <c r="D692" s="41"/>
      <c r="E692" s="41"/>
      <c r="F692" s="41"/>
      <c r="G692" s="41"/>
      <c r="H692" s="41"/>
      <c r="I692" s="42"/>
      <c r="J692" s="41"/>
      <c r="K692" s="41"/>
      <c r="L692" s="43"/>
    </row>
    <row r="693" spans="2:12" outlineLevel="2">
      <c r="B693" s="40">
        <f t="shared" si="24"/>
        <v>230</v>
      </c>
      <c r="C693" s="41" t="s">
        <v>9</v>
      </c>
      <c r="D693" s="41"/>
      <c r="E693" s="41"/>
      <c r="F693" s="41"/>
      <c r="G693" s="41"/>
      <c r="H693" s="41"/>
      <c r="I693" s="42"/>
      <c r="J693" s="41"/>
      <c r="K693" s="41"/>
      <c r="L693" s="43"/>
    </row>
    <row r="694" spans="2:12" outlineLevel="2">
      <c r="B694" s="40">
        <f t="shared" si="24"/>
        <v>231</v>
      </c>
      <c r="C694" s="41" t="s">
        <v>9</v>
      </c>
      <c r="D694" s="41"/>
      <c r="E694" s="41"/>
      <c r="F694" s="41"/>
      <c r="G694" s="41"/>
      <c r="H694" s="41"/>
      <c r="I694" s="42"/>
      <c r="J694" s="41"/>
      <c r="K694" s="41"/>
      <c r="L694" s="43"/>
    </row>
    <row r="695" spans="2:12" outlineLevel="2">
      <c r="B695" s="40">
        <f t="shared" si="24"/>
        <v>232</v>
      </c>
      <c r="C695" s="41" t="s">
        <v>9</v>
      </c>
      <c r="D695" s="41"/>
      <c r="E695" s="41"/>
      <c r="F695" s="41"/>
      <c r="G695" s="41"/>
      <c r="H695" s="41"/>
      <c r="I695" s="42"/>
      <c r="J695" s="41"/>
      <c r="K695" s="41"/>
      <c r="L695" s="43"/>
    </row>
    <row r="696" spans="2:12" outlineLevel="2">
      <c r="B696" s="40">
        <f t="shared" si="24"/>
        <v>233</v>
      </c>
      <c r="C696" s="41" t="s">
        <v>9</v>
      </c>
      <c r="D696" s="41"/>
      <c r="E696" s="41"/>
      <c r="F696" s="41"/>
      <c r="G696" s="41"/>
      <c r="H696" s="41"/>
      <c r="I696" s="42"/>
      <c r="J696" s="41"/>
      <c r="K696" s="41"/>
      <c r="L696" s="43"/>
    </row>
    <row r="697" spans="2:12" outlineLevel="2">
      <c r="B697" s="40">
        <f t="shared" si="24"/>
        <v>234</v>
      </c>
      <c r="C697" s="41" t="s">
        <v>9</v>
      </c>
      <c r="D697" s="41"/>
      <c r="E697" s="41"/>
      <c r="F697" s="41"/>
      <c r="G697" s="41"/>
      <c r="H697" s="41"/>
      <c r="I697" s="42"/>
      <c r="J697" s="41"/>
      <c r="K697" s="41"/>
      <c r="L697" s="43"/>
    </row>
    <row r="698" spans="2:12" outlineLevel="2">
      <c r="B698" s="40">
        <f t="shared" si="24"/>
        <v>235</v>
      </c>
      <c r="C698" s="41" t="s">
        <v>9</v>
      </c>
      <c r="D698" s="41"/>
      <c r="E698" s="41"/>
      <c r="F698" s="41"/>
      <c r="G698" s="41"/>
      <c r="H698" s="41"/>
      <c r="I698" s="42"/>
      <c r="J698" s="41"/>
      <c r="K698" s="41"/>
      <c r="L698" s="43"/>
    </row>
    <row r="699" spans="2:12" outlineLevel="2">
      <c r="B699" s="40">
        <f t="shared" si="24"/>
        <v>236</v>
      </c>
      <c r="C699" s="41" t="s">
        <v>9</v>
      </c>
      <c r="D699" s="41"/>
      <c r="E699" s="41"/>
      <c r="F699" s="41"/>
      <c r="G699" s="41"/>
      <c r="H699" s="41"/>
      <c r="I699" s="42"/>
      <c r="J699" s="41"/>
      <c r="K699" s="41"/>
      <c r="L699" s="43"/>
    </row>
    <row r="700" spans="2:12" outlineLevel="2">
      <c r="B700" s="40">
        <f t="shared" si="24"/>
        <v>237</v>
      </c>
      <c r="C700" s="41" t="s">
        <v>9</v>
      </c>
      <c r="D700" s="41"/>
      <c r="E700" s="41"/>
      <c r="F700" s="41"/>
      <c r="G700" s="41"/>
      <c r="H700" s="41"/>
      <c r="I700" s="42"/>
      <c r="J700" s="41"/>
      <c r="K700" s="41"/>
      <c r="L700" s="43"/>
    </row>
    <row r="701" spans="2:12" outlineLevel="2">
      <c r="B701" s="40">
        <f t="shared" si="24"/>
        <v>238</v>
      </c>
      <c r="C701" s="41" t="s">
        <v>9</v>
      </c>
      <c r="D701" s="41"/>
      <c r="E701" s="41"/>
      <c r="F701" s="41"/>
      <c r="G701" s="41"/>
      <c r="H701" s="41"/>
      <c r="I701" s="42"/>
      <c r="J701" s="41"/>
      <c r="K701" s="41"/>
      <c r="L701" s="43"/>
    </row>
    <row r="702" spans="2:12" outlineLevel="2">
      <c r="B702" s="40">
        <f t="shared" si="24"/>
        <v>239</v>
      </c>
      <c r="C702" s="41" t="s">
        <v>9</v>
      </c>
      <c r="D702" s="41"/>
      <c r="E702" s="41"/>
      <c r="F702" s="41"/>
      <c r="G702" s="41"/>
      <c r="H702" s="41"/>
      <c r="I702" s="42"/>
      <c r="J702" s="41"/>
      <c r="K702" s="41"/>
      <c r="L702" s="43"/>
    </row>
    <row r="703" spans="2:12" outlineLevel="2">
      <c r="B703" s="40">
        <f t="shared" si="24"/>
        <v>240</v>
      </c>
      <c r="C703" s="41" t="s">
        <v>9</v>
      </c>
      <c r="D703" s="41"/>
      <c r="E703" s="41"/>
      <c r="F703" s="41"/>
      <c r="G703" s="41"/>
      <c r="H703" s="41"/>
      <c r="I703" s="42"/>
      <c r="J703" s="41"/>
      <c r="K703" s="41"/>
      <c r="L703" s="43"/>
    </row>
    <row r="704" spans="2:12" outlineLevel="2">
      <c r="B704" s="40">
        <f t="shared" si="24"/>
        <v>241</v>
      </c>
      <c r="C704" s="41" t="s">
        <v>9</v>
      </c>
      <c r="D704" s="41"/>
      <c r="E704" s="41"/>
      <c r="F704" s="41"/>
      <c r="G704" s="41"/>
      <c r="H704" s="41"/>
      <c r="I704" s="42"/>
      <c r="J704" s="41"/>
      <c r="K704" s="41"/>
      <c r="L704" s="43"/>
    </row>
    <row r="705" spans="2:12" outlineLevel="2">
      <c r="B705" s="40">
        <f t="shared" si="24"/>
        <v>242</v>
      </c>
      <c r="C705" s="41" t="s">
        <v>9</v>
      </c>
      <c r="D705" s="41"/>
      <c r="E705" s="41"/>
      <c r="F705" s="41"/>
      <c r="G705" s="41"/>
      <c r="H705" s="41"/>
      <c r="I705" s="42"/>
      <c r="J705" s="41"/>
      <c r="K705" s="41"/>
      <c r="L705" s="43"/>
    </row>
    <row r="706" spans="2:12" outlineLevel="2">
      <c r="B706" s="40">
        <f t="shared" si="24"/>
        <v>243</v>
      </c>
      <c r="C706" s="41" t="s">
        <v>9</v>
      </c>
      <c r="D706" s="41"/>
      <c r="E706" s="41"/>
      <c r="F706" s="41"/>
      <c r="G706" s="41"/>
      <c r="H706" s="41"/>
      <c r="I706" s="42"/>
      <c r="J706" s="41"/>
      <c r="K706" s="41"/>
      <c r="L706" s="43"/>
    </row>
    <row r="707" spans="2:12" outlineLevel="2">
      <c r="B707" s="40">
        <f t="shared" si="24"/>
        <v>244</v>
      </c>
      <c r="C707" s="41" t="s">
        <v>9</v>
      </c>
      <c r="D707" s="41"/>
      <c r="E707" s="41"/>
      <c r="F707" s="41"/>
      <c r="G707" s="41"/>
      <c r="H707" s="41"/>
      <c r="I707" s="42"/>
      <c r="J707" s="41"/>
      <c r="K707" s="41"/>
      <c r="L707" s="43"/>
    </row>
    <row r="708" spans="2:12" outlineLevel="2">
      <c r="B708" s="40">
        <f t="shared" si="24"/>
        <v>245</v>
      </c>
      <c r="C708" s="41" t="s">
        <v>9</v>
      </c>
      <c r="D708" s="41"/>
      <c r="E708" s="41"/>
      <c r="F708" s="41"/>
      <c r="G708" s="41"/>
      <c r="H708" s="41"/>
      <c r="I708" s="42"/>
      <c r="J708" s="41"/>
      <c r="K708" s="41"/>
      <c r="L708" s="43"/>
    </row>
    <row r="709" spans="2:12" outlineLevel="2">
      <c r="B709" s="40">
        <f t="shared" si="24"/>
        <v>246</v>
      </c>
      <c r="C709" s="41" t="s">
        <v>9</v>
      </c>
      <c r="D709" s="41"/>
      <c r="E709" s="41"/>
      <c r="F709" s="41"/>
      <c r="G709" s="41"/>
      <c r="H709" s="41"/>
      <c r="I709" s="42"/>
      <c r="J709" s="41"/>
      <c r="K709" s="41"/>
      <c r="L709" s="43"/>
    </row>
    <row r="710" spans="2:12" outlineLevel="2">
      <c r="B710" s="40">
        <f t="shared" si="24"/>
        <v>247</v>
      </c>
      <c r="C710" s="41" t="s">
        <v>9</v>
      </c>
      <c r="D710" s="41"/>
      <c r="E710" s="41"/>
      <c r="F710" s="41"/>
      <c r="G710" s="41"/>
      <c r="H710" s="41"/>
      <c r="I710" s="42"/>
      <c r="J710" s="41"/>
      <c r="K710" s="41"/>
      <c r="L710" s="43"/>
    </row>
    <row r="711" spans="2:12" outlineLevel="2">
      <c r="B711" s="40">
        <f t="shared" si="24"/>
        <v>248</v>
      </c>
      <c r="C711" s="41" t="s">
        <v>9</v>
      </c>
      <c r="D711" s="41"/>
      <c r="E711" s="41"/>
      <c r="F711" s="41"/>
      <c r="G711" s="41"/>
      <c r="H711" s="41"/>
      <c r="I711" s="42"/>
      <c r="J711" s="41"/>
      <c r="K711" s="41"/>
      <c r="L711" s="43"/>
    </row>
    <row r="712" spans="2:12" outlineLevel="2">
      <c r="B712" s="40">
        <f t="shared" si="24"/>
        <v>249</v>
      </c>
      <c r="C712" s="41" t="s">
        <v>9</v>
      </c>
      <c r="D712" s="41"/>
      <c r="E712" s="41"/>
      <c r="F712" s="41"/>
      <c r="G712" s="41"/>
      <c r="H712" s="41"/>
      <c r="I712" s="42"/>
      <c r="J712" s="41"/>
      <c r="K712" s="41"/>
      <c r="L712" s="43"/>
    </row>
    <row r="713" spans="2:12" outlineLevel="2">
      <c r="B713" s="40">
        <f t="shared" si="24"/>
        <v>250</v>
      </c>
      <c r="C713" s="41" t="s">
        <v>9</v>
      </c>
      <c r="D713" s="41"/>
      <c r="E713" s="41"/>
      <c r="F713" s="41"/>
      <c r="G713" s="41"/>
      <c r="H713" s="41"/>
      <c r="I713" s="42"/>
      <c r="J713" s="41"/>
      <c r="K713" s="41"/>
      <c r="L713" s="43"/>
    </row>
    <row r="714" spans="2:12" outlineLevel="2">
      <c r="B714" s="40">
        <f t="shared" si="24"/>
        <v>251</v>
      </c>
      <c r="C714" s="41" t="s">
        <v>9</v>
      </c>
      <c r="D714" s="41"/>
      <c r="E714" s="41"/>
      <c r="F714" s="41"/>
      <c r="G714" s="41"/>
      <c r="H714" s="41"/>
      <c r="I714" s="42"/>
      <c r="J714" s="41"/>
      <c r="K714" s="41"/>
      <c r="L714" s="43"/>
    </row>
    <row r="715" spans="2:12" outlineLevel="2">
      <c r="B715" s="40">
        <f t="shared" si="24"/>
        <v>252</v>
      </c>
      <c r="C715" s="41" t="s">
        <v>9</v>
      </c>
      <c r="D715" s="41"/>
      <c r="E715" s="41"/>
      <c r="F715" s="41"/>
      <c r="G715" s="41"/>
      <c r="H715" s="41"/>
      <c r="I715" s="42"/>
      <c r="J715" s="41"/>
      <c r="K715" s="41"/>
      <c r="L715" s="43"/>
    </row>
    <row r="716" spans="2:12" outlineLevel="2">
      <c r="B716" s="40">
        <f t="shared" si="24"/>
        <v>253</v>
      </c>
      <c r="C716" s="41" t="s">
        <v>9</v>
      </c>
      <c r="D716" s="41"/>
      <c r="E716" s="41"/>
      <c r="F716" s="41"/>
      <c r="G716" s="41"/>
      <c r="H716" s="41"/>
      <c r="I716" s="42"/>
      <c r="J716" s="41"/>
      <c r="K716" s="41"/>
      <c r="L716" s="43"/>
    </row>
    <row r="717" spans="2:12" outlineLevel="2">
      <c r="B717" s="40">
        <f t="shared" si="24"/>
        <v>254</v>
      </c>
      <c r="C717" s="41" t="s">
        <v>9</v>
      </c>
      <c r="D717" s="41"/>
      <c r="E717" s="41"/>
      <c r="F717" s="41"/>
      <c r="G717" s="41"/>
      <c r="H717" s="41"/>
      <c r="I717" s="42"/>
      <c r="J717" s="41"/>
      <c r="K717" s="41"/>
      <c r="L717" s="43"/>
    </row>
    <row r="718" spans="2:12" outlineLevel="2">
      <c r="B718" s="40">
        <f t="shared" si="24"/>
        <v>255</v>
      </c>
      <c r="C718" s="41" t="s">
        <v>9</v>
      </c>
      <c r="D718" s="41"/>
      <c r="E718" s="41"/>
      <c r="F718" s="41"/>
      <c r="G718" s="41"/>
      <c r="H718" s="41"/>
      <c r="I718" s="42"/>
      <c r="J718" s="41"/>
      <c r="K718" s="41"/>
      <c r="L718" s="43"/>
    </row>
    <row r="719" spans="2:12" outlineLevel="2">
      <c r="B719" s="40">
        <f t="shared" si="24"/>
        <v>256</v>
      </c>
      <c r="C719" s="41" t="s">
        <v>9</v>
      </c>
      <c r="D719" s="41"/>
      <c r="E719" s="41"/>
      <c r="F719" s="41"/>
      <c r="G719" s="41"/>
      <c r="H719" s="41"/>
      <c r="I719" s="42"/>
      <c r="J719" s="41"/>
      <c r="K719" s="41"/>
      <c r="L719" s="43"/>
    </row>
    <row r="720" spans="2:12" outlineLevel="2">
      <c r="B720" s="40">
        <f t="shared" si="24"/>
        <v>257</v>
      </c>
      <c r="C720" s="41" t="s">
        <v>9</v>
      </c>
      <c r="D720" s="41"/>
      <c r="E720" s="41"/>
      <c r="F720" s="41"/>
      <c r="G720" s="41"/>
      <c r="H720" s="41"/>
      <c r="I720" s="42"/>
      <c r="J720" s="41"/>
      <c r="K720" s="41"/>
      <c r="L720" s="43"/>
    </row>
    <row r="721" spans="2:12" outlineLevel="2">
      <c r="B721" s="40">
        <f t="shared" si="24"/>
        <v>258</v>
      </c>
      <c r="C721" s="41" t="s">
        <v>9</v>
      </c>
      <c r="D721" s="41"/>
      <c r="E721" s="41"/>
      <c r="F721" s="41"/>
      <c r="G721" s="41"/>
      <c r="H721" s="41"/>
      <c r="I721" s="42"/>
      <c r="J721" s="41"/>
      <c r="K721" s="41"/>
      <c r="L721" s="43"/>
    </row>
    <row r="722" spans="2:12" outlineLevel="2">
      <c r="B722" s="40">
        <f t="shared" si="24"/>
        <v>259</v>
      </c>
      <c r="C722" s="41" t="s">
        <v>9</v>
      </c>
      <c r="D722" s="41"/>
      <c r="E722" s="41"/>
      <c r="F722" s="41"/>
      <c r="G722" s="41"/>
      <c r="H722" s="41"/>
      <c r="I722" s="42"/>
      <c r="J722" s="41"/>
      <c r="K722" s="41"/>
      <c r="L722" s="43"/>
    </row>
    <row r="723" spans="2:12" outlineLevel="2">
      <c r="B723" s="40">
        <f t="shared" si="24"/>
        <v>260</v>
      </c>
      <c r="C723" s="41" t="s">
        <v>9</v>
      </c>
      <c r="D723" s="41"/>
      <c r="E723" s="41"/>
      <c r="F723" s="41"/>
      <c r="G723" s="41"/>
      <c r="H723" s="41"/>
      <c r="I723" s="42"/>
      <c r="J723" s="41"/>
      <c r="K723" s="41"/>
      <c r="L723" s="43"/>
    </row>
    <row r="724" spans="2:12" outlineLevel="2">
      <c r="B724" s="40">
        <f t="shared" si="24"/>
        <v>261</v>
      </c>
      <c r="C724" s="41" t="s">
        <v>9</v>
      </c>
      <c r="D724" s="41"/>
      <c r="E724" s="41"/>
      <c r="F724" s="41"/>
      <c r="G724" s="41"/>
      <c r="H724" s="41"/>
      <c r="I724" s="42"/>
      <c r="J724" s="41"/>
      <c r="K724" s="41"/>
      <c r="L724" s="43"/>
    </row>
    <row r="725" spans="2:12" outlineLevel="2">
      <c r="B725" s="40">
        <f t="shared" si="24"/>
        <v>262</v>
      </c>
      <c r="C725" s="41" t="s">
        <v>9</v>
      </c>
      <c r="D725" s="41"/>
      <c r="E725" s="41"/>
      <c r="F725" s="41"/>
      <c r="G725" s="41"/>
      <c r="H725" s="41"/>
      <c r="I725" s="42"/>
      <c r="J725" s="41"/>
      <c r="K725" s="41"/>
      <c r="L725" s="43"/>
    </row>
    <row r="726" spans="2:12" outlineLevel="2">
      <c r="B726" s="40">
        <f t="shared" si="24"/>
        <v>263</v>
      </c>
      <c r="C726" s="41" t="s">
        <v>9</v>
      </c>
      <c r="D726" s="41"/>
      <c r="E726" s="41"/>
      <c r="F726" s="41"/>
      <c r="G726" s="41"/>
      <c r="H726" s="41"/>
      <c r="I726" s="42"/>
      <c r="J726" s="41"/>
      <c r="K726" s="41"/>
      <c r="L726" s="43"/>
    </row>
    <row r="727" spans="2:12" outlineLevel="2">
      <c r="B727" s="40">
        <f t="shared" si="24"/>
        <v>264</v>
      </c>
      <c r="C727" s="41" t="s">
        <v>9</v>
      </c>
      <c r="D727" s="41"/>
      <c r="E727" s="41"/>
      <c r="F727" s="41"/>
      <c r="G727" s="41"/>
      <c r="H727" s="41"/>
      <c r="I727" s="42"/>
      <c r="J727" s="41"/>
      <c r="K727" s="41"/>
      <c r="L727" s="43"/>
    </row>
    <row r="728" spans="2:12" outlineLevel="2">
      <c r="B728" s="40">
        <f t="shared" si="24"/>
        <v>265</v>
      </c>
      <c r="C728" s="41" t="s">
        <v>9</v>
      </c>
      <c r="D728" s="41"/>
      <c r="E728" s="41"/>
      <c r="F728" s="41"/>
      <c r="G728" s="41"/>
      <c r="H728" s="41"/>
      <c r="I728" s="42"/>
      <c r="J728" s="41"/>
      <c r="K728" s="41"/>
      <c r="L728" s="43"/>
    </row>
    <row r="729" spans="2:12" outlineLevel="2">
      <c r="B729" s="40">
        <f t="shared" si="24"/>
        <v>266</v>
      </c>
      <c r="C729" s="41" t="s">
        <v>9</v>
      </c>
      <c r="D729" s="41"/>
      <c r="E729" s="41"/>
      <c r="F729" s="41"/>
      <c r="G729" s="41"/>
      <c r="H729" s="41"/>
      <c r="I729" s="42"/>
      <c r="J729" s="41"/>
      <c r="K729" s="41"/>
      <c r="L729" s="43"/>
    </row>
    <row r="730" spans="2:12" outlineLevel="2">
      <c r="B730" s="40">
        <f t="shared" si="24"/>
        <v>267</v>
      </c>
      <c r="C730" s="41" t="s">
        <v>9</v>
      </c>
      <c r="D730" s="41"/>
      <c r="E730" s="41"/>
      <c r="F730" s="41"/>
      <c r="G730" s="41"/>
      <c r="H730" s="41"/>
      <c r="I730" s="42"/>
      <c r="J730" s="41"/>
      <c r="K730" s="41"/>
      <c r="L730" s="43"/>
    </row>
    <row r="731" spans="2:12" outlineLevel="2">
      <c r="B731" s="40">
        <f t="shared" si="24"/>
        <v>268</v>
      </c>
      <c r="C731" s="41" t="s">
        <v>9</v>
      </c>
      <c r="D731" s="41"/>
      <c r="E731" s="41"/>
      <c r="F731" s="41"/>
      <c r="G731" s="41"/>
      <c r="H731" s="41"/>
      <c r="I731" s="42"/>
      <c r="J731" s="41"/>
      <c r="K731" s="41"/>
      <c r="L731" s="43"/>
    </row>
    <row r="732" spans="2:12" outlineLevel="2">
      <c r="B732" s="40">
        <f t="shared" si="24"/>
        <v>269</v>
      </c>
      <c r="C732" s="41" t="s">
        <v>9</v>
      </c>
      <c r="D732" s="41"/>
      <c r="E732" s="41"/>
      <c r="F732" s="41"/>
      <c r="G732" s="41"/>
      <c r="H732" s="41"/>
      <c r="I732" s="42"/>
      <c r="J732" s="41"/>
      <c r="K732" s="41"/>
      <c r="L732" s="43"/>
    </row>
    <row r="733" spans="2:12" outlineLevel="2">
      <c r="B733" s="40">
        <f t="shared" si="24"/>
        <v>270</v>
      </c>
      <c r="C733" s="41" t="s">
        <v>9</v>
      </c>
      <c r="D733" s="41"/>
      <c r="E733" s="41"/>
      <c r="F733" s="41"/>
      <c r="G733" s="41"/>
      <c r="H733" s="41"/>
      <c r="I733" s="42"/>
      <c r="J733" s="41"/>
      <c r="K733" s="41"/>
      <c r="L733" s="43"/>
    </row>
    <row r="734" spans="2:12" outlineLevel="2">
      <c r="B734" s="40">
        <f t="shared" si="24"/>
        <v>271</v>
      </c>
      <c r="C734" s="41" t="s">
        <v>9</v>
      </c>
      <c r="D734" s="41"/>
      <c r="E734" s="41"/>
      <c r="F734" s="41"/>
      <c r="G734" s="41"/>
      <c r="H734" s="41"/>
      <c r="I734" s="42"/>
      <c r="J734" s="41"/>
      <c r="K734" s="41"/>
      <c r="L734" s="43"/>
    </row>
    <row r="735" spans="2:12" outlineLevel="2">
      <c r="B735" s="40">
        <f t="shared" si="24"/>
        <v>272</v>
      </c>
      <c r="C735" s="41" t="s">
        <v>9</v>
      </c>
      <c r="D735" s="41"/>
      <c r="E735" s="41"/>
      <c r="F735" s="41"/>
      <c r="G735" s="41"/>
      <c r="H735" s="41"/>
      <c r="I735" s="42"/>
      <c r="J735" s="41"/>
      <c r="K735" s="41"/>
      <c r="L735" s="43"/>
    </row>
    <row r="736" spans="2:12" outlineLevel="2">
      <c r="B736" s="40">
        <f t="shared" si="24"/>
        <v>273</v>
      </c>
      <c r="C736" s="41" t="s">
        <v>9</v>
      </c>
      <c r="D736" s="41"/>
      <c r="E736" s="41"/>
      <c r="F736" s="41"/>
      <c r="G736" s="41"/>
      <c r="H736" s="41"/>
      <c r="I736" s="42"/>
      <c r="J736" s="41"/>
      <c r="K736" s="41"/>
      <c r="L736" s="43"/>
    </row>
    <row r="737" spans="2:12" outlineLevel="2">
      <c r="B737" s="40">
        <f t="shared" si="24"/>
        <v>274</v>
      </c>
      <c r="C737" s="41" t="s">
        <v>9</v>
      </c>
      <c r="D737" s="41"/>
      <c r="E737" s="41"/>
      <c r="F737" s="41"/>
      <c r="G737" s="41"/>
      <c r="H737" s="41"/>
      <c r="I737" s="42"/>
      <c r="J737" s="41"/>
      <c r="K737" s="41"/>
      <c r="L737" s="43"/>
    </row>
    <row r="738" spans="2:12" outlineLevel="2">
      <c r="B738" s="40">
        <f t="shared" si="24"/>
        <v>275</v>
      </c>
      <c r="C738" s="41" t="s">
        <v>9</v>
      </c>
      <c r="D738" s="41"/>
      <c r="E738" s="41"/>
      <c r="F738" s="41"/>
      <c r="G738" s="41"/>
      <c r="H738" s="41"/>
      <c r="I738" s="42"/>
      <c r="J738" s="41"/>
      <c r="K738" s="41"/>
      <c r="L738" s="43"/>
    </row>
    <row r="739" spans="2:12" outlineLevel="2">
      <c r="B739" s="40">
        <f t="shared" si="24"/>
        <v>276</v>
      </c>
      <c r="C739" s="41" t="s">
        <v>9</v>
      </c>
      <c r="D739" s="41"/>
      <c r="E739" s="41"/>
      <c r="F739" s="41"/>
      <c r="G739" s="41"/>
      <c r="H739" s="41"/>
      <c r="I739" s="42"/>
      <c r="J739" s="41"/>
      <c r="K739" s="41"/>
      <c r="L739" s="43"/>
    </row>
    <row r="740" spans="2:12" outlineLevel="2">
      <c r="B740" s="40">
        <f t="shared" si="24"/>
        <v>277</v>
      </c>
      <c r="C740" s="41" t="s">
        <v>9</v>
      </c>
      <c r="D740" s="41"/>
      <c r="E740" s="41"/>
      <c r="F740" s="41"/>
      <c r="G740" s="41"/>
      <c r="H740" s="41"/>
      <c r="I740" s="42"/>
      <c r="J740" s="41"/>
      <c r="K740" s="41"/>
      <c r="L740" s="43"/>
    </row>
    <row r="741" spans="2:12" outlineLevel="2">
      <c r="B741" s="40">
        <f t="shared" si="24"/>
        <v>278</v>
      </c>
      <c r="C741" s="41" t="s">
        <v>9</v>
      </c>
      <c r="D741" s="41"/>
      <c r="E741" s="41"/>
      <c r="F741" s="41"/>
      <c r="G741" s="41"/>
      <c r="H741" s="41"/>
      <c r="I741" s="42"/>
      <c r="J741" s="41"/>
      <c r="K741" s="41"/>
      <c r="L741" s="43"/>
    </row>
    <row r="742" spans="2:12" outlineLevel="2">
      <c r="B742" s="40">
        <f t="shared" si="24"/>
        <v>279</v>
      </c>
      <c r="C742" s="41" t="s">
        <v>9</v>
      </c>
      <c r="D742" s="41"/>
      <c r="E742" s="41"/>
      <c r="F742" s="41"/>
      <c r="G742" s="41"/>
      <c r="H742" s="41"/>
      <c r="I742" s="42"/>
      <c r="J742" s="41"/>
      <c r="K742" s="41"/>
      <c r="L742" s="43"/>
    </row>
    <row r="743" spans="2:12" outlineLevel="2">
      <c r="B743" s="40">
        <f t="shared" si="24"/>
        <v>280</v>
      </c>
      <c r="C743" s="41" t="s">
        <v>9</v>
      </c>
      <c r="D743" s="41"/>
      <c r="E743" s="41"/>
      <c r="F743" s="41"/>
      <c r="G743" s="41"/>
      <c r="H743" s="41"/>
      <c r="I743" s="42"/>
      <c r="J743" s="41"/>
      <c r="K743" s="41"/>
      <c r="L743" s="43"/>
    </row>
    <row r="744" spans="2:12" outlineLevel="2">
      <c r="B744" s="40">
        <f t="shared" si="24"/>
        <v>281</v>
      </c>
      <c r="C744" s="41" t="s">
        <v>9</v>
      </c>
      <c r="D744" s="41"/>
      <c r="E744" s="41"/>
      <c r="F744" s="41"/>
      <c r="G744" s="41"/>
      <c r="H744" s="41"/>
      <c r="I744" s="42"/>
      <c r="J744" s="41"/>
      <c r="K744" s="41"/>
      <c r="L744" s="43"/>
    </row>
    <row r="745" spans="2:12" outlineLevel="2">
      <c r="B745" s="40">
        <f t="shared" si="24"/>
        <v>282</v>
      </c>
      <c r="C745" s="41" t="s">
        <v>9</v>
      </c>
      <c r="D745" s="41"/>
      <c r="E745" s="41"/>
      <c r="F745" s="41"/>
      <c r="G745" s="41"/>
      <c r="H745" s="41"/>
      <c r="I745" s="42"/>
      <c r="J745" s="41"/>
      <c r="K745" s="41"/>
      <c r="L745" s="43"/>
    </row>
    <row r="746" spans="2:12" outlineLevel="2">
      <c r="B746" s="40">
        <f t="shared" si="24"/>
        <v>283</v>
      </c>
      <c r="C746" s="41" t="s">
        <v>9</v>
      </c>
      <c r="D746" s="41"/>
      <c r="E746" s="41"/>
      <c r="F746" s="41"/>
      <c r="G746" s="41"/>
      <c r="H746" s="41"/>
      <c r="I746" s="42"/>
      <c r="J746" s="41"/>
      <c r="K746" s="41"/>
      <c r="L746" s="43"/>
    </row>
    <row r="747" spans="2:12" outlineLevel="2">
      <c r="B747" s="40">
        <f t="shared" si="24"/>
        <v>284</v>
      </c>
      <c r="C747" s="41" t="s">
        <v>9</v>
      </c>
      <c r="D747" s="41"/>
      <c r="E747" s="41"/>
      <c r="F747" s="41"/>
      <c r="G747" s="41"/>
      <c r="H747" s="41"/>
      <c r="I747" s="42"/>
      <c r="J747" s="41"/>
      <c r="K747" s="41"/>
      <c r="L747" s="43"/>
    </row>
    <row r="748" spans="2:12" outlineLevel="2">
      <c r="B748" s="40">
        <f t="shared" si="24"/>
        <v>285</v>
      </c>
      <c r="C748" s="41" t="s">
        <v>9</v>
      </c>
      <c r="D748" s="41"/>
      <c r="E748" s="41"/>
      <c r="F748" s="41"/>
      <c r="G748" s="41"/>
      <c r="H748" s="41"/>
      <c r="I748" s="42"/>
      <c r="J748" s="41"/>
      <c r="K748" s="41"/>
      <c r="L748" s="43"/>
    </row>
    <row r="749" spans="2:12" outlineLevel="2">
      <c r="B749" s="40">
        <f t="shared" si="24"/>
        <v>286</v>
      </c>
      <c r="C749" s="41" t="s">
        <v>9</v>
      </c>
      <c r="D749" s="41"/>
      <c r="E749" s="41"/>
      <c r="F749" s="41"/>
      <c r="G749" s="41"/>
      <c r="H749" s="41"/>
      <c r="I749" s="42"/>
      <c r="J749" s="41"/>
      <c r="K749" s="41"/>
      <c r="L749" s="43"/>
    </row>
    <row r="750" spans="2:12" outlineLevel="2">
      <c r="B750" s="40">
        <f t="shared" si="24"/>
        <v>287</v>
      </c>
      <c r="C750" s="41" t="s">
        <v>9</v>
      </c>
      <c r="D750" s="41"/>
      <c r="E750" s="41"/>
      <c r="F750" s="41"/>
      <c r="G750" s="41"/>
      <c r="H750" s="41"/>
      <c r="I750" s="42"/>
      <c r="J750" s="41"/>
      <c r="K750" s="41"/>
      <c r="L750" s="43"/>
    </row>
    <row r="751" spans="2:12" outlineLevel="2">
      <c r="B751" s="40">
        <f t="shared" si="24"/>
        <v>288</v>
      </c>
      <c r="C751" s="41" t="s">
        <v>9</v>
      </c>
      <c r="D751" s="41"/>
      <c r="E751" s="41"/>
      <c r="F751" s="41"/>
      <c r="G751" s="41"/>
      <c r="H751" s="41"/>
      <c r="I751" s="42"/>
      <c r="J751" s="41"/>
      <c r="K751" s="41"/>
      <c r="L751" s="43"/>
    </row>
    <row r="752" spans="2:12" outlineLevel="2">
      <c r="B752" s="40">
        <f t="shared" si="24"/>
        <v>289</v>
      </c>
      <c r="C752" s="41" t="s">
        <v>9</v>
      </c>
      <c r="D752" s="41"/>
      <c r="E752" s="41"/>
      <c r="F752" s="41"/>
      <c r="G752" s="41"/>
      <c r="H752" s="41"/>
      <c r="I752" s="42"/>
      <c r="J752" s="41"/>
      <c r="K752" s="41"/>
      <c r="L752" s="43"/>
    </row>
    <row r="753" spans="2:12" outlineLevel="2">
      <c r="B753" s="40">
        <f t="shared" si="24"/>
        <v>290</v>
      </c>
      <c r="C753" s="41" t="s">
        <v>9</v>
      </c>
      <c r="D753" s="41"/>
      <c r="E753" s="41"/>
      <c r="F753" s="41"/>
      <c r="G753" s="41"/>
      <c r="H753" s="41"/>
      <c r="I753" s="42"/>
      <c r="J753" s="41"/>
      <c r="K753" s="41"/>
      <c r="L753" s="43"/>
    </row>
    <row r="754" spans="2:12" outlineLevel="2">
      <c r="B754" s="40">
        <f t="shared" si="24"/>
        <v>291</v>
      </c>
      <c r="C754" s="41" t="s">
        <v>9</v>
      </c>
      <c r="D754" s="41"/>
      <c r="E754" s="41"/>
      <c r="F754" s="41"/>
      <c r="G754" s="41"/>
      <c r="H754" s="41"/>
      <c r="I754" s="42"/>
      <c r="J754" s="41"/>
      <c r="K754" s="41"/>
      <c r="L754" s="43"/>
    </row>
    <row r="755" spans="2:12" outlineLevel="2">
      <c r="B755" s="40">
        <f t="shared" si="24"/>
        <v>292</v>
      </c>
      <c r="C755" s="41" t="s">
        <v>9</v>
      </c>
      <c r="D755" s="41"/>
      <c r="E755" s="41"/>
      <c r="F755" s="41"/>
      <c r="G755" s="41"/>
      <c r="H755" s="41"/>
      <c r="I755" s="42"/>
      <c r="J755" s="41"/>
      <c r="K755" s="41"/>
      <c r="L755" s="43"/>
    </row>
    <row r="756" spans="2:12" outlineLevel="2">
      <c r="B756" s="40">
        <f t="shared" ref="B756:B819" si="25">ROW(A293)</f>
        <v>293</v>
      </c>
      <c r="C756" s="41" t="s">
        <v>9</v>
      </c>
      <c r="D756" s="41"/>
      <c r="E756" s="41"/>
      <c r="F756" s="41"/>
      <c r="G756" s="41"/>
      <c r="H756" s="41"/>
      <c r="I756" s="42"/>
      <c r="J756" s="41"/>
      <c r="K756" s="41"/>
      <c r="L756" s="43"/>
    </row>
    <row r="757" spans="2:12" outlineLevel="2">
      <c r="B757" s="40">
        <f t="shared" si="25"/>
        <v>294</v>
      </c>
      <c r="C757" s="41" t="s">
        <v>9</v>
      </c>
      <c r="D757" s="41"/>
      <c r="E757" s="41"/>
      <c r="F757" s="41"/>
      <c r="G757" s="41"/>
      <c r="H757" s="41"/>
      <c r="I757" s="42"/>
      <c r="J757" s="41"/>
      <c r="K757" s="41"/>
      <c r="L757" s="43"/>
    </row>
    <row r="758" spans="2:12" outlineLevel="2">
      <c r="B758" s="40">
        <f t="shared" si="25"/>
        <v>295</v>
      </c>
      <c r="C758" s="41" t="s">
        <v>9</v>
      </c>
      <c r="D758" s="41"/>
      <c r="E758" s="41"/>
      <c r="F758" s="41"/>
      <c r="G758" s="41"/>
      <c r="H758" s="41"/>
      <c r="I758" s="42"/>
      <c r="J758" s="41"/>
      <c r="K758" s="41"/>
      <c r="L758" s="43"/>
    </row>
    <row r="759" spans="2:12" outlineLevel="2">
      <c r="B759" s="40">
        <f t="shared" si="25"/>
        <v>296</v>
      </c>
      <c r="C759" s="41" t="s">
        <v>9</v>
      </c>
      <c r="D759" s="41"/>
      <c r="E759" s="41"/>
      <c r="F759" s="41"/>
      <c r="G759" s="41"/>
      <c r="H759" s="41"/>
      <c r="I759" s="42"/>
      <c r="J759" s="41"/>
      <c r="K759" s="41"/>
      <c r="L759" s="43"/>
    </row>
    <row r="760" spans="2:12" outlineLevel="2">
      <c r="B760" s="40">
        <f t="shared" si="25"/>
        <v>297</v>
      </c>
      <c r="C760" s="41" t="s">
        <v>9</v>
      </c>
      <c r="D760" s="41"/>
      <c r="E760" s="41"/>
      <c r="F760" s="41"/>
      <c r="G760" s="41"/>
      <c r="H760" s="41"/>
      <c r="I760" s="42"/>
      <c r="J760" s="41"/>
      <c r="K760" s="41"/>
      <c r="L760" s="43"/>
    </row>
    <row r="761" spans="2:12" outlineLevel="2">
      <c r="B761" s="40">
        <f t="shared" si="25"/>
        <v>298</v>
      </c>
      <c r="C761" s="41" t="s">
        <v>9</v>
      </c>
      <c r="D761" s="41"/>
      <c r="E761" s="41"/>
      <c r="F761" s="41"/>
      <c r="G761" s="41"/>
      <c r="H761" s="41"/>
      <c r="I761" s="42"/>
      <c r="J761" s="41"/>
      <c r="K761" s="41"/>
      <c r="L761" s="43"/>
    </row>
    <row r="762" spans="2:12" outlineLevel="2">
      <c r="B762" s="40">
        <f t="shared" si="25"/>
        <v>299</v>
      </c>
      <c r="C762" s="41" t="s">
        <v>9</v>
      </c>
      <c r="D762" s="41"/>
      <c r="E762" s="41"/>
      <c r="F762" s="41"/>
      <c r="G762" s="41"/>
      <c r="H762" s="41"/>
      <c r="I762" s="42"/>
      <c r="J762" s="41"/>
      <c r="K762" s="41"/>
      <c r="L762" s="43"/>
    </row>
    <row r="763" spans="2:12" outlineLevel="2">
      <c r="B763" s="40">
        <f t="shared" si="25"/>
        <v>300</v>
      </c>
      <c r="C763" s="41" t="s">
        <v>9</v>
      </c>
      <c r="D763" s="41"/>
      <c r="E763" s="41"/>
      <c r="F763" s="41"/>
      <c r="G763" s="41"/>
      <c r="H763" s="41"/>
      <c r="I763" s="42"/>
      <c r="J763" s="41"/>
      <c r="K763" s="41"/>
      <c r="L763" s="43"/>
    </row>
    <row r="764" spans="2:12" outlineLevel="2">
      <c r="B764" s="40">
        <f t="shared" si="25"/>
        <v>301</v>
      </c>
      <c r="C764" s="41" t="s">
        <v>9</v>
      </c>
      <c r="D764" s="41"/>
      <c r="E764" s="41"/>
      <c r="F764" s="41"/>
      <c r="G764" s="41"/>
      <c r="H764" s="41"/>
      <c r="I764" s="42"/>
      <c r="J764" s="41"/>
      <c r="K764" s="41"/>
      <c r="L764" s="43"/>
    </row>
    <row r="765" spans="2:12" outlineLevel="2">
      <c r="B765" s="40">
        <f t="shared" si="25"/>
        <v>302</v>
      </c>
      <c r="C765" s="41" t="s">
        <v>9</v>
      </c>
      <c r="D765" s="41"/>
      <c r="E765" s="41"/>
      <c r="F765" s="41"/>
      <c r="G765" s="41"/>
      <c r="H765" s="41"/>
      <c r="I765" s="42"/>
      <c r="J765" s="41"/>
      <c r="K765" s="41"/>
      <c r="L765" s="43"/>
    </row>
    <row r="766" spans="2:12" outlineLevel="2">
      <c r="B766" s="40">
        <f t="shared" si="25"/>
        <v>303</v>
      </c>
      <c r="C766" s="41" t="s">
        <v>9</v>
      </c>
      <c r="D766" s="41"/>
      <c r="E766" s="41"/>
      <c r="F766" s="41"/>
      <c r="G766" s="41"/>
      <c r="H766" s="41"/>
      <c r="I766" s="42"/>
      <c r="J766" s="41"/>
      <c r="K766" s="41"/>
      <c r="L766" s="43"/>
    </row>
    <row r="767" spans="2:12" outlineLevel="2">
      <c r="B767" s="40">
        <f t="shared" si="25"/>
        <v>304</v>
      </c>
      <c r="C767" s="41" t="s">
        <v>9</v>
      </c>
      <c r="D767" s="41"/>
      <c r="E767" s="41"/>
      <c r="F767" s="41"/>
      <c r="G767" s="41"/>
      <c r="H767" s="41"/>
      <c r="I767" s="42"/>
      <c r="J767" s="41"/>
      <c r="K767" s="41"/>
      <c r="L767" s="43"/>
    </row>
    <row r="768" spans="2:12" outlineLevel="2">
      <c r="B768" s="40">
        <f t="shared" si="25"/>
        <v>305</v>
      </c>
      <c r="C768" s="41" t="s">
        <v>9</v>
      </c>
      <c r="D768" s="41"/>
      <c r="E768" s="41"/>
      <c r="F768" s="41"/>
      <c r="G768" s="41"/>
      <c r="H768" s="41"/>
      <c r="I768" s="42"/>
      <c r="J768" s="41"/>
      <c r="K768" s="41"/>
      <c r="L768" s="43"/>
    </row>
    <row r="769" spans="2:12" outlineLevel="2">
      <c r="B769" s="40">
        <f t="shared" si="25"/>
        <v>306</v>
      </c>
      <c r="C769" s="41" t="s">
        <v>9</v>
      </c>
      <c r="D769" s="41"/>
      <c r="E769" s="41"/>
      <c r="F769" s="41"/>
      <c r="G769" s="41"/>
      <c r="H769" s="41"/>
      <c r="I769" s="42"/>
      <c r="J769" s="41"/>
      <c r="K769" s="41"/>
      <c r="L769" s="43"/>
    </row>
    <row r="770" spans="2:12" outlineLevel="2">
      <c r="B770" s="40">
        <f t="shared" si="25"/>
        <v>307</v>
      </c>
      <c r="C770" s="41" t="s">
        <v>9</v>
      </c>
      <c r="D770" s="41"/>
      <c r="E770" s="41"/>
      <c r="F770" s="41"/>
      <c r="G770" s="41"/>
      <c r="H770" s="41"/>
      <c r="I770" s="42"/>
      <c r="J770" s="41"/>
      <c r="K770" s="41"/>
      <c r="L770" s="43"/>
    </row>
    <row r="771" spans="2:12" outlineLevel="2">
      <c r="B771" s="40">
        <f t="shared" si="25"/>
        <v>308</v>
      </c>
      <c r="C771" s="41" t="s">
        <v>9</v>
      </c>
      <c r="D771" s="41"/>
      <c r="E771" s="41"/>
      <c r="F771" s="41"/>
      <c r="G771" s="41"/>
      <c r="H771" s="41"/>
      <c r="I771" s="42"/>
      <c r="J771" s="41"/>
      <c r="K771" s="41"/>
      <c r="L771" s="43"/>
    </row>
    <row r="772" spans="2:12" outlineLevel="2">
      <c r="B772" s="40">
        <f t="shared" si="25"/>
        <v>309</v>
      </c>
      <c r="C772" s="41" t="s">
        <v>9</v>
      </c>
      <c r="D772" s="41"/>
      <c r="E772" s="41"/>
      <c r="F772" s="41"/>
      <c r="G772" s="41"/>
      <c r="H772" s="41"/>
      <c r="I772" s="42"/>
      <c r="J772" s="41"/>
      <c r="K772" s="41"/>
      <c r="L772" s="43"/>
    </row>
    <row r="773" spans="2:12" outlineLevel="2">
      <c r="B773" s="40">
        <f t="shared" si="25"/>
        <v>310</v>
      </c>
      <c r="C773" s="41" t="s">
        <v>9</v>
      </c>
      <c r="D773" s="41"/>
      <c r="E773" s="41"/>
      <c r="F773" s="41"/>
      <c r="G773" s="41"/>
      <c r="H773" s="41"/>
      <c r="I773" s="42"/>
      <c r="J773" s="41"/>
      <c r="K773" s="41"/>
      <c r="L773" s="43"/>
    </row>
    <row r="774" spans="2:12" outlineLevel="2">
      <c r="B774" s="40">
        <f t="shared" si="25"/>
        <v>311</v>
      </c>
      <c r="C774" s="41" t="s">
        <v>9</v>
      </c>
      <c r="D774" s="41"/>
      <c r="E774" s="41"/>
      <c r="F774" s="41"/>
      <c r="G774" s="41"/>
      <c r="H774" s="41"/>
      <c r="I774" s="42"/>
      <c r="J774" s="41"/>
      <c r="K774" s="41"/>
      <c r="L774" s="43"/>
    </row>
    <row r="775" spans="2:12" outlineLevel="2">
      <c r="B775" s="40">
        <f t="shared" si="25"/>
        <v>312</v>
      </c>
      <c r="C775" s="41" t="s">
        <v>9</v>
      </c>
      <c r="D775" s="41"/>
      <c r="E775" s="41"/>
      <c r="F775" s="41"/>
      <c r="G775" s="41"/>
      <c r="H775" s="41"/>
      <c r="I775" s="42"/>
      <c r="J775" s="41"/>
      <c r="K775" s="41"/>
      <c r="L775" s="43"/>
    </row>
    <row r="776" spans="2:12" outlineLevel="2">
      <c r="B776" s="40">
        <f t="shared" si="25"/>
        <v>313</v>
      </c>
      <c r="C776" s="41" t="s">
        <v>9</v>
      </c>
      <c r="D776" s="41"/>
      <c r="E776" s="41"/>
      <c r="F776" s="41"/>
      <c r="G776" s="41"/>
      <c r="H776" s="41"/>
      <c r="I776" s="42"/>
      <c r="J776" s="41"/>
      <c r="K776" s="41"/>
      <c r="L776" s="43"/>
    </row>
    <row r="777" spans="2:12" outlineLevel="2">
      <c r="B777" s="40">
        <f t="shared" si="25"/>
        <v>314</v>
      </c>
      <c r="C777" s="41" t="s">
        <v>9</v>
      </c>
      <c r="D777" s="41"/>
      <c r="E777" s="41"/>
      <c r="F777" s="41"/>
      <c r="G777" s="41"/>
      <c r="H777" s="41"/>
      <c r="I777" s="42"/>
      <c r="J777" s="41"/>
      <c r="K777" s="41"/>
      <c r="L777" s="43"/>
    </row>
    <row r="778" spans="2:12" outlineLevel="2">
      <c r="B778" s="40">
        <f t="shared" si="25"/>
        <v>315</v>
      </c>
      <c r="C778" s="41" t="s">
        <v>9</v>
      </c>
      <c r="D778" s="41"/>
      <c r="E778" s="41"/>
      <c r="F778" s="41"/>
      <c r="G778" s="41"/>
      <c r="H778" s="41"/>
      <c r="I778" s="42"/>
      <c r="J778" s="41"/>
      <c r="K778" s="41"/>
      <c r="L778" s="43"/>
    </row>
    <row r="779" spans="2:12" outlineLevel="2">
      <c r="B779" s="40">
        <f t="shared" si="25"/>
        <v>316</v>
      </c>
      <c r="C779" s="41" t="s">
        <v>9</v>
      </c>
      <c r="D779" s="41"/>
      <c r="E779" s="41"/>
      <c r="F779" s="41"/>
      <c r="G779" s="41"/>
      <c r="H779" s="41"/>
      <c r="I779" s="42"/>
      <c r="J779" s="41"/>
      <c r="K779" s="41"/>
      <c r="L779" s="43"/>
    </row>
    <row r="780" spans="2:12" outlineLevel="2">
      <c r="B780" s="40">
        <f t="shared" si="25"/>
        <v>317</v>
      </c>
      <c r="C780" s="41" t="s">
        <v>9</v>
      </c>
      <c r="D780" s="41"/>
      <c r="E780" s="41"/>
      <c r="F780" s="41"/>
      <c r="G780" s="41"/>
      <c r="H780" s="41"/>
      <c r="I780" s="42"/>
      <c r="J780" s="41"/>
      <c r="K780" s="41"/>
      <c r="L780" s="43"/>
    </row>
    <row r="781" spans="2:12" outlineLevel="2">
      <c r="B781" s="40">
        <f t="shared" si="25"/>
        <v>318</v>
      </c>
      <c r="C781" s="41" t="s">
        <v>9</v>
      </c>
      <c r="D781" s="41"/>
      <c r="E781" s="41"/>
      <c r="F781" s="41"/>
      <c r="G781" s="41"/>
      <c r="H781" s="41"/>
      <c r="I781" s="42"/>
      <c r="J781" s="41"/>
      <c r="K781" s="41"/>
      <c r="L781" s="43"/>
    </row>
    <row r="782" spans="2:12" outlineLevel="2">
      <c r="B782" s="40">
        <f t="shared" si="25"/>
        <v>319</v>
      </c>
      <c r="C782" s="41" t="s">
        <v>9</v>
      </c>
      <c r="D782" s="41"/>
      <c r="E782" s="41"/>
      <c r="F782" s="41"/>
      <c r="G782" s="41"/>
      <c r="H782" s="41"/>
      <c r="I782" s="42"/>
      <c r="J782" s="41"/>
      <c r="K782" s="41"/>
      <c r="L782" s="43"/>
    </row>
    <row r="783" spans="2:12" outlineLevel="2">
      <c r="B783" s="40">
        <f t="shared" si="25"/>
        <v>320</v>
      </c>
      <c r="C783" s="41" t="s">
        <v>9</v>
      </c>
      <c r="D783" s="41"/>
      <c r="E783" s="41"/>
      <c r="F783" s="41"/>
      <c r="G783" s="41"/>
      <c r="H783" s="41"/>
      <c r="I783" s="42"/>
      <c r="J783" s="41"/>
      <c r="K783" s="41"/>
      <c r="L783" s="43"/>
    </row>
    <row r="784" spans="2:12" outlineLevel="2">
      <c r="B784" s="40">
        <f t="shared" si="25"/>
        <v>321</v>
      </c>
      <c r="C784" s="41" t="s">
        <v>9</v>
      </c>
      <c r="D784" s="41"/>
      <c r="E784" s="41"/>
      <c r="F784" s="41"/>
      <c r="G784" s="41"/>
      <c r="H784" s="41"/>
      <c r="I784" s="42"/>
      <c r="J784" s="41"/>
      <c r="K784" s="41"/>
      <c r="L784" s="43"/>
    </row>
    <row r="785" spans="2:12" outlineLevel="2">
      <c r="B785" s="40">
        <f t="shared" si="25"/>
        <v>322</v>
      </c>
      <c r="C785" s="41" t="s">
        <v>9</v>
      </c>
      <c r="D785" s="41"/>
      <c r="E785" s="41"/>
      <c r="F785" s="41"/>
      <c r="G785" s="41"/>
      <c r="H785" s="41"/>
      <c r="I785" s="42"/>
      <c r="J785" s="41"/>
      <c r="K785" s="41"/>
      <c r="L785" s="43"/>
    </row>
    <row r="786" spans="2:12" outlineLevel="2">
      <c r="B786" s="40">
        <f t="shared" si="25"/>
        <v>323</v>
      </c>
      <c r="C786" s="41" t="s">
        <v>9</v>
      </c>
      <c r="D786" s="41"/>
      <c r="E786" s="41"/>
      <c r="F786" s="41"/>
      <c r="G786" s="41"/>
      <c r="H786" s="41"/>
      <c r="I786" s="42"/>
      <c r="J786" s="41"/>
      <c r="K786" s="41"/>
      <c r="L786" s="43"/>
    </row>
    <row r="787" spans="2:12" outlineLevel="2">
      <c r="B787" s="40">
        <f t="shared" si="25"/>
        <v>324</v>
      </c>
      <c r="C787" s="41" t="s">
        <v>9</v>
      </c>
      <c r="D787" s="41"/>
      <c r="E787" s="41"/>
      <c r="F787" s="41"/>
      <c r="G787" s="41"/>
      <c r="H787" s="41"/>
      <c r="I787" s="42"/>
      <c r="J787" s="41"/>
      <c r="K787" s="41"/>
      <c r="L787" s="43"/>
    </row>
    <row r="788" spans="2:12" outlineLevel="2">
      <c r="B788" s="40">
        <f t="shared" si="25"/>
        <v>325</v>
      </c>
      <c r="C788" s="41" t="s">
        <v>9</v>
      </c>
      <c r="D788" s="41"/>
      <c r="E788" s="41"/>
      <c r="F788" s="41"/>
      <c r="G788" s="41"/>
      <c r="H788" s="41"/>
      <c r="I788" s="42"/>
      <c r="J788" s="41"/>
      <c r="K788" s="41"/>
      <c r="L788" s="43"/>
    </row>
    <row r="789" spans="2:12" outlineLevel="2">
      <c r="B789" s="40">
        <f t="shared" si="25"/>
        <v>326</v>
      </c>
      <c r="C789" s="41" t="s">
        <v>9</v>
      </c>
      <c r="D789" s="41"/>
      <c r="E789" s="41"/>
      <c r="F789" s="41"/>
      <c r="G789" s="41"/>
      <c r="H789" s="41"/>
      <c r="I789" s="42"/>
      <c r="J789" s="41"/>
      <c r="K789" s="41"/>
      <c r="L789" s="43"/>
    </row>
    <row r="790" spans="2:12" outlineLevel="2">
      <c r="B790" s="40">
        <f t="shared" si="25"/>
        <v>327</v>
      </c>
      <c r="C790" s="41" t="s">
        <v>9</v>
      </c>
      <c r="D790" s="41"/>
      <c r="E790" s="41"/>
      <c r="F790" s="41"/>
      <c r="G790" s="41"/>
      <c r="H790" s="41"/>
      <c r="I790" s="42"/>
      <c r="J790" s="41"/>
      <c r="K790" s="41"/>
      <c r="L790" s="43"/>
    </row>
    <row r="791" spans="2:12" outlineLevel="2">
      <c r="B791" s="40">
        <f t="shared" si="25"/>
        <v>328</v>
      </c>
      <c r="C791" s="41" t="s">
        <v>9</v>
      </c>
      <c r="D791" s="41"/>
      <c r="E791" s="41"/>
      <c r="F791" s="41"/>
      <c r="G791" s="41"/>
      <c r="H791" s="41"/>
      <c r="I791" s="42"/>
      <c r="J791" s="41"/>
      <c r="K791" s="41"/>
      <c r="L791" s="43"/>
    </row>
    <row r="792" spans="2:12" outlineLevel="2">
      <c r="B792" s="40">
        <f t="shared" si="25"/>
        <v>329</v>
      </c>
      <c r="C792" s="41" t="s">
        <v>9</v>
      </c>
      <c r="D792" s="41"/>
      <c r="E792" s="41"/>
      <c r="F792" s="41"/>
      <c r="G792" s="41"/>
      <c r="H792" s="41"/>
      <c r="I792" s="42"/>
      <c r="J792" s="41"/>
      <c r="K792" s="41"/>
      <c r="L792" s="43"/>
    </row>
    <row r="793" spans="2:12" outlineLevel="2">
      <c r="B793" s="40">
        <f t="shared" si="25"/>
        <v>330</v>
      </c>
      <c r="C793" s="41" t="s">
        <v>9</v>
      </c>
      <c r="D793" s="41"/>
      <c r="E793" s="41"/>
      <c r="F793" s="41"/>
      <c r="G793" s="41"/>
      <c r="H793" s="41"/>
      <c r="I793" s="42"/>
      <c r="J793" s="41"/>
      <c r="K793" s="41"/>
      <c r="L793" s="43"/>
    </row>
    <row r="794" spans="2:12" outlineLevel="2">
      <c r="B794" s="40">
        <f t="shared" si="25"/>
        <v>331</v>
      </c>
      <c r="C794" s="41" t="s">
        <v>9</v>
      </c>
      <c r="D794" s="41"/>
      <c r="E794" s="41"/>
      <c r="F794" s="41"/>
      <c r="G794" s="41"/>
      <c r="H794" s="41"/>
      <c r="I794" s="42"/>
      <c r="J794" s="41"/>
      <c r="K794" s="41"/>
      <c r="L794" s="43"/>
    </row>
    <row r="795" spans="2:12" outlineLevel="2">
      <c r="B795" s="40">
        <f t="shared" si="25"/>
        <v>332</v>
      </c>
      <c r="C795" s="41" t="s">
        <v>9</v>
      </c>
      <c r="D795" s="41"/>
      <c r="E795" s="41"/>
      <c r="F795" s="41"/>
      <c r="G795" s="41"/>
      <c r="H795" s="41"/>
      <c r="I795" s="42"/>
      <c r="J795" s="41"/>
      <c r="K795" s="41"/>
      <c r="L795" s="43"/>
    </row>
    <row r="796" spans="2:12" outlineLevel="2">
      <c r="B796" s="40">
        <f t="shared" si="25"/>
        <v>333</v>
      </c>
      <c r="C796" s="41" t="s">
        <v>9</v>
      </c>
      <c r="D796" s="41"/>
      <c r="E796" s="41"/>
      <c r="F796" s="41"/>
      <c r="G796" s="41"/>
      <c r="H796" s="41"/>
      <c r="I796" s="42"/>
      <c r="J796" s="41"/>
      <c r="K796" s="41"/>
      <c r="L796" s="43"/>
    </row>
    <row r="797" spans="2:12" outlineLevel="2">
      <c r="B797" s="40">
        <f t="shared" si="25"/>
        <v>334</v>
      </c>
      <c r="C797" s="41" t="s">
        <v>9</v>
      </c>
      <c r="D797" s="41"/>
      <c r="E797" s="41"/>
      <c r="F797" s="41"/>
      <c r="G797" s="41"/>
      <c r="H797" s="41"/>
      <c r="I797" s="42"/>
      <c r="J797" s="41"/>
      <c r="K797" s="41"/>
      <c r="L797" s="43"/>
    </row>
    <row r="798" spans="2:12" outlineLevel="2">
      <c r="B798" s="40">
        <f t="shared" si="25"/>
        <v>335</v>
      </c>
      <c r="C798" s="41" t="s">
        <v>9</v>
      </c>
      <c r="D798" s="41"/>
      <c r="E798" s="41"/>
      <c r="F798" s="41"/>
      <c r="G798" s="41"/>
      <c r="H798" s="41"/>
      <c r="I798" s="42"/>
      <c r="J798" s="41"/>
      <c r="K798" s="41"/>
      <c r="L798" s="43"/>
    </row>
    <row r="799" spans="2:12" outlineLevel="2">
      <c r="B799" s="40">
        <f t="shared" si="25"/>
        <v>336</v>
      </c>
      <c r="C799" s="41" t="s">
        <v>9</v>
      </c>
      <c r="D799" s="41"/>
      <c r="E799" s="41"/>
      <c r="F799" s="41"/>
      <c r="G799" s="41"/>
      <c r="H799" s="41"/>
      <c r="I799" s="42"/>
      <c r="J799" s="41"/>
      <c r="K799" s="41"/>
      <c r="L799" s="43"/>
    </row>
    <row r="800" spans="2:12" outlineLevel="2">
      <c r="B800" s="40">
        <f t="shared" si="25"/>
        <v>337</v>
      </c>
      <c r="C800" s="41" t="s">
        <v>9</v>
      </c>
      <c r="D800" s="41"/>
      <c r="E800" s="41"/>
      <c r="F800" s="41"/>
      <c r="G800" s="41"/>
      <c r="H800" s="41"/>
      <c r="I800" s="42"/>
      <c r="J800" s="41"/>
      <c r="K800" s="41"/>
      <c r="L800" s="43"/>
    </row>
    <row r="801" spans="2:12" outlineLevel="2">
      <c r="B801" s="40">
        <f t="shared" si="25"/>
        <v>338</v>
      </c>
      <c r="C801" s="41" t="s">
        <v>9</v>
      </c>
      <c r="D801" s="41"/>
      <c r="E801" s="41"/>
      <c r="F801" s="41"/>
      <c r="G801" s="41"/>
      <c r="H801" s="41"/>
      <c r="I801" s="42"/>
      <c r="J801" s="41"/>
      <c r="K801" s="41"/>
      <c r="L801" s="43"/>
    </row>
    <row r="802" spans="2:12" outlineLevel="2">
      <c r="B802" s="40">
        <f t="shared" si="25"/>
        <v>339</v>
      </c>
      <c r="C802" s="41" t="s">
        <v>9</v>
      </c>
      <c r="D802" s="41"/>
      <c r="E802" s="41"/>
      <c r="F802" s="41"/>
      <c r="G802" s="41"/>
      <c r="H802" s="41"/>
      <c r="I802" s="42"/>
      <c r="J802" s="41"/>
      <c r="K802" s="41"/>
      <c r="L802" s="43"/>
    </row>
    <row r="803" spans="2:12" outlineLevel="2">
      <c r="B803" s="40">
        <f t="shared" si="25"/>
        <v>340</v>
      </c>
      <c r="C803" s="41" t="s">
        <v>9</v>
      </c>
      <c r="D803" s="41"/>
      <c r="E803" s="41"/>
      <c r="F803" s="41"/>
      <c r="G803" s="41"/>
      <c r="H803" s="41"/>
      <c r="I803" s="42"/>
      <c r="J803" s="41"/>
      <c r="K803" s="41"/>
      <c r="L803" s="43"/>
    </row>
    <row r="804" spans="2:12" outlineLevel="2">
      <c r="B804" s="40">
        <f t="shared" si="25"/>
        <v>341</v>
      </c>
      <c r="C804" s="41" t="s">
        <v>9</v>
      </c>
      <c r="D804" s="41"/>
      <c r="E804" s="41"/>
      <c r="F804" s="41"/>
      <c r="G804" s="41"/>
      <c r="H804" s="41"/>
      <c r="I804" s="42"/>
      <c r="J804" s="41"/>
      <c r="K804" s="41"/>
      <c r="L804" s="43"/>
    </row>
    <row r="805" spans="2:12" outlineLevel="2">
      <c r="B805" s="40">
        <f t="shared" si="25"/>
        <v>342</v>
      </c>
      <c r="C805" s="41" t="s">
        <v>9</v>
      </c>
      <c r="D805" s="41"/>
      <c r="E805" s="41"/>
      <c r="F805" s="41"/>
      <c r="G805" s="41"/>
      <c r="H805" s="41"/>
      <c r="I805" s="42"/>
      <c r="J805" s="41"/>
      <c r="K805" s="41"/>
      <c r="L805" s="43"/>
    </row>
    <row r="806" spans="2:12" outlineLevel="2">
      <c r="B806" s="40">
        <f t="shared" si="25"/>
        <v>343</v>
      </c>
      <c r="C806" s="41" t="s">
        <v>9</v>
      </c>
      <c r="D806" s="41"/>
      <c r="E806" s="41"/>
      <c r="F806" s="41"/>
      <c r="G806" s="41"/>
      <c r="H806" s="41"/>
      <c r="I806" s="42"/>
      <c r="J806" s="41"/>
      <c r="K806" s="41"/>
      <c r="L806" s="43"/>
    </row>
    <row r="807" spans="2:12" outlineLevel="2">
      <c r="B807" s="40">
        <f t="shared" si="25"/>
        <v>344</v>
      </c>
      <c r="C807" s="41" t="s">
        <v>9</v>
      </c>
      <c r="D807" s="41"/>
      <c r="E807" s="41"/>
      <c r="F807" s="41"/>
      <c r="G807" s="41"/>
      <c r="H807" s="41"/>
      <c r="I807" s="42"/>
      <c r="J807" s="41"/>
      <c r="K807" s="41"/>
      <c r="L807" s="43"/>
    </row>
    <row r="808" spans="2:12" outlineLevel="2">
      <c r="B808" s="40">
        <f t="shared" si="25"/>
        <v>345</v>
      </c>
      <c r="C808" s="41" t="s">
        <v>9</v>
      </c>
      <c r="D808" s="41"/>
      <c r="E808" s="41"/>
      <c r="F808" s="41"/>
      <c r="G808" s="41"/>
      <c r="H808" s="41"/>
      <c r="I808" s="42"/>
      <c r="J808" s="41"/>
      <c r="K808" s="41"/>
      <c r="L808" s="43"/>
    </row>
    <row r="809" spans="2:12" outlineLevel="2">
      <c r="B809" s="40">
        <f t="shared" si="25"/>
        <v>346</v>
      </c>
      <c r="C809" s="41" t="s">
        <v>9</v>
      </c>
      <c r="D809" s="41"/>
      <c r="E809" s="41"/>
      <c r="F809" s="41"/>
      <c r="G809" s="41"/>
      <c r="H809" s="41"/>
      <c r="I809" s="42"/>
      <c r="J809" s="41"/>
      <c r="K809" s="41"/>
      <c r="L809" s="43"/>
    </row>
    <row r="810" spans="2:12" outlineLevel="2">
      <c r="B810" s="40">
        <f t="shared" si="25"/>
        <v>347</v>
      </c>
      <c r="C810" s="41" t="s">
        <v>9</v>
      </c>
      <c r="D810" s="41"/>
      <c r="E810" s="41"/>
      <c r="F810" s="41"/>
      <c r="G810" s="41"/>
      <c r="H810" s="41"/>
      <c r="I810" s="42"/>
      <c r="J810" s="41"/>
      <c r="K810" s="41"/>
      <c r="L810" s="43"/>
    </row>
    <row r="811" spans="2:12" outlineLevel="2">
      <c r="B811" s="40">
        <f t="shared" si="25"/>
        <v>348</v>
      </c>
      <c r="C811" s="41" t="s">
        <v>9</v>
      </c>
      <c r="D811" s="41"/>
      <c r="E811" s="41"/>
      <c r="F811" s="41"/>
      <c r="G811" s="41"/>
      <c r="H811" s="41"/>
      <c r="I811" s="42"/>
      <c r="J811" s="41"/>
      <c r="K811" s="41"/>
      <c r="L811" s="43"/>
    </row>
    <row r="812" spans="2:12" outlineLevel="2">
      <c r="B812" s="40">
        <f t="shared" si="25"/>
        <v>349</v>
      </c>
      <c r="C812" s="41" t="s">
        <v>9</v>
      </c>
      <c r="D812" s="41"/>
      <c r="E812" s="41"/>
      <c r="F812" s="41"/>
      <c r="G812" s="41"/>
      <c r="H812" s="41"/>
      <c r="I812" s="42"/>
      <c r="J812" s="41"/>
      <c r="K812" s="41"/>
      <c r="L812" s="43"/>
    </row>
    <row r="813" spans="2:12" outlineLevel="2">
      <c r="B813" s="40">
        <f t="shared" si="25"/>
        <v>350</v>
      </c>
      <c r="C813" s="41" t="s">
        <v>9</v>
      </c>
      <c r="D813" s="41"/>
      <c r="E813" s="41"/>
      <c r="F813" s="41"/>
      <c r="G813" s="41"/>
      <c r="H813" s="41"/>
      <c r="I813" s="42"/>
      <c r="J813" s="41"/>
      <c r="K813" s="41"/>
      <c r="L813" s="43"/>
    </row>
    <row r="814" spans="2:12" outlineLevel="2">
      <c r="B814" s="40">
        <f t="shared" si="25"/>
        <v>351</v>
      </c>
      <c r="C814" s="41" t="s">
        <v>9</v>
      </c>
      <c r="D814" s="41"/>
      <c r="E814" s="41"/>
      <c r="F814" s="41"/>
      <c r="G814" s="41"/>
      <c r="H814" s="41"/>
      <c r="I814" s="42"/>
      <c r="J814" s="41"/>
      <c r="K814" s="41"/>
      <c r="L814" s="43"/>
    </row>
    <row r="815" spans="2:12" outlineLevel="2">
      <c r="B815" s="40">
        <f t="shared" si="25"/>
        <v>352</v>
      </c>
      <c r="C815" s="41" t="s">
        <v>9</v>
      </c>
      <c r="D815" s="41"/>
      <c r="E815" s="41"/>
      <c r="F815" s="41"/>
      <c r="G815" s="41"/>
      <c r="H815" s="41"/>
      <c r="I815" s="42"/>
      <c r="J815" s="41"/>
      <c r="K815" s="41"/>
      <c r="L815" s="43"/>
    </row>
    <row r="816" spans="2:12" outlineLevel="2">
      <c r="B816" s="40">
        <f t="shared" si="25"/>
        <v>353</v>
      </c>
      <c r="C816" s="41" t="s">
        <v>9</v>
      </c>
      <c r="D816" s="41"/>
      <c r="E816" s="41"/>
      <c r="F816" s="41"/>
      <c r="G816" s="41"/>
      <c r="H816" s="41"/>
      <c r="I816" s="42"/>
      <c r="J816" s="41"/>
      <c r="K816" s="41"/>
      <c r="L816" s="43"/>
    </row>
    <row r="817" spans="2:12" outlineLevel="2">
      <c r="B817" s="40">
        <f t="shared" si="25"/>
        <v>354</v>
      </c>
      <c r="C817" s="41" t="s">
        <v>9</v>
      </c>
      <c r="D817" s="41"/>
      <c r="E817" s="41"/>
      <c r="F817" s="41"/>
      <c r="G817" s="41"/>
      <c r="H817" s="41"/>
      <c r="I817" s="42"/>
      <c r="J817" s="41"/>
      <c r="K817" s="41"/>
      <c r="L817" s="43"/>
    </row>
    <row r="818" spans="2:12" outlineLevel="2">
      <c r="B818" s="40">
        <f t="shared" si="25"/>
        <v>355</v>
      </c>
      <c r="C818" s="41" t="s">
        <v>9</v>
      </c>
      <c r="D818" s="41"/>
      <c r="E818" s="41"/>
      <c r="F818" s="41"/>
      <c r="G818" s="41"/>
      <c r="H818" s="41"/>
      <c r="I818" s="42"/>
      <c r="J818" s="41"/>
      <c r="K818" s="41"/>
      <c r="L818" s="43"/>
    </row>
    <row r="819" spans="2:12" outlineLevel="2">
      <c r="B819" s="40">
        <f t="shared" si="25"/>
        <v>356</v>
      </c>
      <c r="C819" s="41" t="s">
        <v>9</v>
      </c>
      <c r="D819" s="41"/>
      <c r="E819" s="41"/>
      <c r="F819" s="41"/>
      <c r="G819" s="41"/>
      <c r="H819" s="41"/>
      <c r="I819" s="42"/>
      <c r="J819" s="41"/>
      <c r="K819" s="41"/>
      <c r="L819" s="43"/>
    </row>
    <row r="820" spans="2:12" outlineLevel="2">
      <c r="B820" s="40">
        <f t="shared" ref="B820:B883" si="26">ROW(A357)</f>
        <v>357</v>
      </c>
      <c r="C820" s="41" t="s">
        <v>9</v>
      </c>
      <c r="D820" s="41"/>
      <c r="E820" s="41"/>
      <c r="F820" s="41"/>
      <c r="G820" s="41"/>
      <c r="H820" s="41"/>
      <c r="I820" s="42"/>
      <c r="J820" s="41"/>
      <c r="K820" s="41"/>
      <c r="L820" s="43"/>
    </row>
    <row r="821" spans="2:12" outlineLevel="2">
      <c r="B821" s="40">
        <f t="shared" si="26"/>
        <v>358</v>
      </c>
      <c r="C821" s="41" t="s">
        <v>9</v>
      </c>
      <c r="D821" s="41"/>
      <c r="E821" s="41"/>
      <c r="F821" s="41"/>
      <c r="G821" s="41"/>
      <c r="H821" s="41"/>
      <c r="I821" s="42"/>
      <c r="J821" s="41"/>
      <c r="K821" s="41"/>
      <c r="L821" s="43"/>
    </row>
    <row r="822" spans="2:12" outlineLevel="2">
      <c r="B822" s="40">
        <f t="shared" si="26"/>
        <v>359</v>
      </c>
      <c r="C822" s="41" t="s">
        <v>9</v>
      </c>
      <c r="D822" s="41"/>
      <c r="E822" s="41"/>
      <c r="F822" s="41"/>
      <c r="G822" s="41"/>
      <c r="H822" s="41"/>
      <c r="I822" s="42"/>
      <c r="J822" s="41"/>
      <c r="K822" s="41"/>
      <c r="L822" s="43"/>
    </row>
    <row r="823" spans="2:12" outlineLevel="2">
      <c r="B823" s="40">
        <f t="shared" si="26"/>
        <v>360</v>
      </c>
      <c r="C823" s="41" t="s">
        <v>9</v>
      </c>
      <c r="D823" s="41"/>
      <c r="E823" s="41"/>
      <c r="F823" s="41"/>
      <c r="G823" s="41"/>
      <c r="H823" s="41"/>
      <c r="I823" s="42"/>
      <c r="J823" s="41"/>
      <c r="K823" s="41"/>
      <c r="L823" s="43"/>
    </row>
    <row r="824" spans="2:12" outlineLevel="2">
      <c r="B824" s="40">
        <f t="shared" si="26"/>
        <v>361</v>
      </c>
      <c r="C824" s="41" t="s">
        <v>9</v>
      </c>
      <c r="D824" s="41"/>
      <c r="E824" s="41"/>
      <c r="F824" s="41"/>
      <c r="G824" s="41"/>
      <c r="H824" s="41"/>
      <c r="I824" s="42"/>
      <c r="J824" s="41"/>
      <c r="K824" s="41"/>
      <c r="L824" s="43"/>
    </row>
    <row r="825" spans="2:12" outlineLevel="2">
      <c r="B825" s="40">
        <f t="shared" si="26"/>
        <v>362</v>
      </c>
      <c r="C825" s="41" t="s">
        <v>9</v>
      </c>
      <c r="D825" s="41"/>
      <c r="E825" s="41"/>
      <c r="F825" s="41"/>
      <c r="G825" s="41"/>
      <c r="H825" s="41"/>
      <c r="I825" s="42"/>
      <c r="J825" s="41"/>
      <c r="K825" s="41"/>
      <c r="L825" s="43"/>
    </row>
    <row r="826" spans="2:12" outlineLevel="2">
      <c r="B826" s="40">
        <f t="shared" si="26"/>
        <v>363</v>
      </c>
      <c r="C826" s="41" t="s">
        <v>9</v>
      </c>
      <c r="D826" s="41"/>
      <c r="E826" s="41"/>
      <c r="F826" s="41"/>
      <c r="G826" s="41"/>
      <c r="H826" s="41"/>
      <c r="I826" s="42"/>
      <c r="J826" s="41"/>
      <c r="K826" s="41"/>
      <c r="L826" s="43"/>
    </row>
    <row r="827" spans="2:12" outlineLevel="2">
      <c r="B827" s="40">
        <f t="shared" si="26"/>
        <v>364</v>
      </c>
      <c r="C827" s="41" t="s">
        <v>9</v>
      </c>
      <c r="D827" s="41"/>
      <c r="E827" s="41"/>
      <c r="F827" s="41"/>
      <c r="G827" s="41"/>
      <c r="H827" s="41"/>
      <c r="I827" s="42"/>
      <c r="J827" s="41"/>
      <c r="K827" s="41"/>
      <c r="L827" s="43"/>
    </row>
    <row r="828" spans="2:12" outlineLevel="2">
      <c r="B828" s="40">
        <f t="shared" si="26"/>
        <v>365</v>
      </c>
      <c r="C828" s="41" t="s">
        <v>9</v>
      </c>
      <c r="D828" s="41"/>
      <c r="E828" s="41"/>
      <c r="F828" s="41"/>
      <c r="G828" s="41"/>
      <c r="H828" s="41"/>
      <c r="I828" s="42"/>
      <c r="J828" s="41"/>
      <c r="K828" s="41"/>
      <c r="L828" s="43"/>
    </row>
    <row r="829" spans="2:12" outlineLevel="2">
      <c r="B829" s="40">
        <f t="shared" si="26"/>
        <v>366</v>
      </c>
      <c r="C829" s="41" t="s">
        <v>9</v>
      </c>
      <c r="D829" s="41"/>
      <c r="E829" s="41"/>
      <c r="F829" s="41"/>
      <c r="G829" s="41"/>
      <c r="H829" s="41"/>
      <c r="I829" s="42"/>
      <c r="J829" s="41"/>
      <c r="K829" s="41"/>
      <c r="L829" s="43"/>
    </row>
    <row r="830" spans="2:12" outlineLevel="2">
      <c r="B830" s="40">
        <f t="shared" si="26"/>
        <v>367</v>
      </c>
      <c r="C830" s="41" t="s">
        <v>9</v>
      </c>
      <c r="D830" s="41"/>
      <c r="E830" s="41"/>
      <c r="F830" s="41"/>
      <c r="G830" s="41"/>
      <c r="H830" s="41"/>
      <c r="I830" s="42"/>
      <c r="J830" s="41"/>
      <c r="K830" s="41"/>
      <c r="L830" s="43"/>
    </row>
    <row r="831" spans="2:12" outlineLevel="2">
      <c r="B831" s="40">
        <f t="shared" si="26"/>
        <v>368</v>
      </c>
      <c r="C831" s="41" t="s">
        <v>9</v>
      </c>
      <c r="D831" s="41"/>
      <c r="E831" s="41"/>
      <c r="F831" s="41"/>
      <c r="G831" s="41"/>
      <c r="H831" s="41"/>
      <c r="I831" s="42"/>
      <c r="J831" s="41"/>
      <c r="K831" s="41"/>
      <c r="L831" s="43"/>
    </row>
    <row r="832" spans="2:12" outlineLevel="2">
      <c r="B832" s="40">
        <f t="shared" si="26"/>
        <v>369</v>
      </c>
      <c r="C832" s="41" t="s">
        <v>9</v>
      </c>
      <c r="D832" s="41"/>
      <c r="E832" s="41"/>
      <c r="F832" s="41"/>
      <c r="G832" s="41"/>
      <c r="H832" s="41"/>
      <c r="I832" s="42"/>
      <c r="J832" s="41"/>
      <c r="K832" s="41"/>
      <c r="L832" s="43"/>
    </row>
    <row r="833" spans="2:12" outlineLevel="2">
      <c r="B833" s="40">
        <f t="shared" si="26"/>
        <v>370</v>
      </c>
      <c r="C833" s="41" t="s">
        <v>9</v>
      </c>
      <c r="D833" s="41"/>
      <c r="E833" s="41"/>
      <c r="F833" s="41"/>
      <c r="G833" s="41"/>
      <c r="H833" s="41"/>
      <c r="I833" s="42"/>
      <c r="J833" s="41"/>
      <c r="K833" s="41"/>
      <c r="L833" s="43"/>
    </row>
    <row r="834" spans="2:12" outlineLevel="2">
      <c r="B834" s="40">
        <f t="shared" si="26"/>
        <v>371</v>
      </c>
      <c r="C834" s="41" t="s">
        <v>9</v>
      </c>
      <c r="D834" s="41"/>
      <c r="E834" s="41"/>
      <c r="F834" s="41"/>
      <c r="G834" s="41"/>
      <c r="H834" s="41"/>
      <c r="I834" s="42"/>
      <c r="J834" s="41"/>
      <c r="K834" s="41"/>
      <c r="L834" s="43"/>
    </row>
    <row r="835" spans="2:12" outlineLevel="2">
      <c r="B835" s="40">
        <f t="shared" si="26"/>
        <v>372</v>
      </c>
      <c r="C835" s="41" t="s">
        <v>9</v>
      </c>
      <c r="D835" s="41"/>
      <c r="E835" s="41"/>
      <c r="F835" s="41"/>
      <c r="G835" s="41"/>
      <c r="H835" s="41"/>
      <c r="I835" s="42"/>
      <c r="J835" s="41"/>
      <c r="K835" s="41"/>
      <c r="L835" s="43"/>
    </row>
    <row r="836" spans="2:12" outlineLevel="2">
      <c r="B836" s="40">
        <f t="shared" si="26"/>
        <v>373</v>
      </c>
      <c r="C836" s="41" t="s">
        <v>9</v>
      </c>
      <c r="D836" s="41"/>
      <c r="E836" s="41"/>
      <c r="F836" s="41"/>
      <c r="G836" s="41"/>
      <c r="H836" s="41"/>
      <c r="I836" s="42"/>
      <c r="J836" s="41"/>
      <c r="K836" s="41"/>
      <c r="L836" s="43"/>
    </row>
    <row r="837" spans="2:12" outlineLevel="2">
      <c r="B837" s="40">
        <f t="shared" si="26"/>
        <v>374</v>
      </c>
      <c r="C837" s="41" t="s">
        <v>9</v>
      </c>
      <c r="D837" s="41"/>
      <c r="E837" s="41"/>
      <c r="F837" s="41"/>
      <c r="G837" s="41"/>
      <c r="H837" s="41"/>
      <c r="I837" s="42"/>
      <c r="J837" s="41"/>
      <c r="K837" s="41"/>
      <c r="L837" s="43"/>
    </row>
    <row r="838" spans="2:12" outlineLevel="2">
      <c r="B838" s="40">
        <f t="shared" si="26"/>
        <v>375</v>
      </c>
      <c r="C838" s="41" t="s">
        <v>9</v>
      </c>
      <c r="D838" s="41"/>
      <c r="E838" s="41"/>
      <c r="F838" s="41"/>
      <c r="G838" s="41"/>
      <c r="H838" s="41"/>
      <c r="I838" s="42"/>
      <c r="J838" s="41"/>
      <c r="K838" s="41"/>
      <c r="L838" s="43"/>
    </row>
    <row r="839" spans="2:12" outlineLevel="2">
      <c r="B839" s="40">
        <f t="shared" si="26"/>
        <v>376</v>
      </c>
      <c r="C839" s="41" t="s">
        <v>9</v>
      </c>
      <c r="D839" s="41"/>
      <c r="E839" s="41"/>
      <c r="F839" s="41"/>
      <c r="G839" s="41"/>
      <c r="H839" s="41"/>
      <c r="I839" s="42"/>
      <c r="J839" s="41"/>
      <c r="K839" s="41"/>
      <c r="L839" s="43"/>
    </row>
    <row r="840" spans="2:12" outlineLevel="2">
      <c r="B840" s="40">
        <f t="shared" si="26"/>
        <v>377</v>
      </c>
      <c r="C840" s="41" t="s">
        <v>9</v>
      </c>
      <c r="D840" s="41"/>
      <c r="E840" s="41"/>
      <c r="F840" s="41"/>
      <c r="G840" s="41"/>
      <c r="H840" s="41"/>
      <c r="I840" s="42"/>
      <c r="J840" s="41"/>
      <c r="K840" s="41"/>
      <c r="L840" s="43"/>
    </row>
    <row r="841" spans="2:12" outlineLevel="2">
      <c r="B841" s="40">
        <f t="shared" si="26"/>
        <v>378</v>
      </c>
      <c r="C841" s="41" t="s">
        <v>9</v>
      </c>
      <c r="D841" s="41"/>
      <c r="E841" s="41"/>
      <c r="F841" s="41"/>
      <c r="G841" s="41"/>
      <c r="H841" s="41"/>
      <c r="I841" s="42"/>
      <c r="J841" s="41"/>
      <c r="K841" s="41"/>
      <c r="L841" s="43"/>
    </row>
    <row r="842" spans="2:12" outlineLevel="2">
      <c r="B842" s="40">
        <f t="shared" si="26"/>
        <v>379</v>
      </c>
      <c r="C842" s="41" t="s">
        <v>9</v>
      </c>
      <c r="D842" s="41"/>
      <c r="E842" s="41"/>
      <c r="F842" s="41"/>
      <c r="G842" s="41"/>
      <c r="H842" s="41"/>
      <c r="I842" s="42"/>
      <c r="J842" s="41"/>
      <c r="K842" s="41"/>
      <c r="L842" s="43"/>
    </row>
    <row r="843" spans="2:12" outlineLevel="2">
      <c r="B843" s="40">
        <f t="shared" si="26"/>
        <v>380</v>
      </c>
      <c r="C843" s="41" t="s">
        <v>9</v>
      </c>
      <c r="D843" s="41"/>
      <c r="E843" s="41"/>
      <c r="F843" s="41"/>
      <c r="G843" s="41"/>
      <c r="H843" s="41"/>
      <c r="I843" s="42"/>
      <c r="J843" s="41"/>
      <c r="K843" s="41"/>
      <c r="L843" s="43"/>
    </row>
    <row r="844" spans="2:12" outlineLevel="2">
      <c r="B844" s="40">
        <f t="shared" si="26"/>
        <v>381</v>
      </c>
      <c r="C844" s="41" t="s">
        <v>9</v>
      </c>
      <c r="D844" s="41"/>
      <c r="E844" s="41"/>
      <c r="F844" s="41"/>
      <c r="G844" s="41"/>
      <c r="H844" s="41"/>
      <c r="I844" s="42"/>
      <c r="J844" s="41"/>
      <c r="K844" s="41"/>
      <c r="L844" s="43"/>
    </row>
    <row r="845" spans="2:12" outlineLevel="2">
      <c r="B845" s="40">
        <f t="shared" si="26"/>
        <v>382</v>
      </c>
      <c r="C845" s="41" t="s">
        <v>9</v>
      </c>
      <c r="D845" s="41"/>
      <c r="E845" s="41"/>
      <c r="F845" s="41"/>
      <c r="G845" s="41"/>
      <c r="H845" s="41"/>
      <c r="I845" s="42"/>
      <c r="J845" s="41"/>
      <c r="K845" s="41"/>
      <c r="L845" s="43"/>
    </row>
    <row r="846" spans="2:12" outlineLevel="2">
      <c r="B846" s="40">
        <f t="shared" si="26"/>
        <v>383</v>
      </c>
      <c r="C846" s="41" t="s">
        <v>9</v>
      </c>
      <c r="D846" s="41"/>
      <c r="E846" s="41"/>
      <c r="F846" s="41"/>
      <c r="G846" s="41"/>
      <c r="H846" s="41"/>
      <c r="I846" s="42"/>
      <c r="J846" s="41"/>
      <c r="K846" s="41"/>
      <c r="L846" s="43"/>
    </row>
    <row r="847" spans="2:12" outlineLevel="2">
      <c r="B847" s="40">
        <f t="shared" si="26"/>
        <v>384</v>
      </c>
      <c r="C847" s="41" t="s">
        <v>9</v>
      </c>
      <c r="D847" s="41"/>
      <c r="E847" s="41"/>
      <c r="F847" s="41"/>
      <c r="G847" s="41"/>
      <c r="H847" s="41"/>
      <c r="I847" s="42"/>
      <c r="J847" s="41"/>
      <c r="K847" s="41"/>
      <c r="L847" s="43"/>
    </row>
    <row r="848" spans="2:12" outlineLevel="2">
      <c r="B848" s="40">
        <f t="shared" si="26"/>
        <v>385</v>
      </c>
      <c r="C848" s="41" t="s">
        <v>9</v>
      </c>
      <c r="D848" s="41"/>
      <c r="E848" s="41"/>
      <c r="F848" s="41"/>
      <c r="G848" s="41"/>
      <c r="H848" s="41"/>
      <c r="I848" s="42"/>
      <c r="J848" s="41"/>
      <c r="K848" s="41"/>
      <c r="L848" s="43"/>
    </row>
    <row r="849" spans="2:12" outlineLevel="2">
      <c r="B849" s="40">
        <f t="shared" si="26"/>
        <v>386</v>
      </c>
      <c r="C849" s="41" t="s">
        <v>9</v>
      </c>
      <c r="D849" s="41"/>
      <c r="E849" s="41"/>
      <c r="F849" s="41"/>
      <c r="G849" s="41"/>
      <c r="H849" s="41"/>
      <c r="I849" s="42"/>
      <c r="J849" s="41"/>
      <c r="K849" s="41"/>
      <c r="L849" s="43"/>
    </row>
    <row r="850" spans="2:12" outlineLevel="2">
      <c r="B850" s="40">
        <f t="shared" si="26"/>
        <v>387</v>
      </c>
      <c r="C850" s="41" t="s">
        <v>9</v>
      </c>
      <c r="D850" s="41"/>
      <c r="E850" s="41"/>
      <c r="F850" s="41"/>
      <c r="G850" s="41"/>
      <c r="H850" s="41"/>
      <c r="I850" s="42"/>
      <c r="J850" s="41"/>
      <c r="K850" s="41"/>
      <c r="L850" s="43"/>
    </row>
    <row r="851" spans="2:12" outlineLevel="2">
      <c r="B851" s="40">
        <f t="shared" si="26"/>
        <v>388</v>
      </c>
      <c r="C851" s="41" t="s">
        <v>9</v>
      </c>
      <c r="D851" s="41"/>
      <c r="E851" s="41"/>
      <c r="F851" s="41"/>
      <c r="G851" s="41"/>
      <c r="H851" s="41"/>
      <c r="I851" s="42"/>
      <c r="J851" s="41"/>
      <c r="K851" s="41"/>
      <c r="L851" s="43"/>
    </row>
    <row r="852" spans="2:12" outlineLevel="2">
      <c r="B852" s="40">
        <f t="shared" si="26"/>
        <v>389</v>
      </c>
      <c r="C852" s="41" t="s">
        <v>9</v>
      </c>
      <c r="D852" s="41"/>
      <c r="E852" s="41"/>
      <c r="F852" s="41"/>
      <c r="G852" s="41"/>
      <c r="H852" s="41"/>
      <c r="I852" s="42"/>
      <c r="J852" s="41"/>
      <c r="K852" s="41"/>
      <c r="L852" s="43"/>
    </row>
    <row r="853" spans="2:12" outlineLevel="2">
      <c r="B853" s="40">
        <f t="shared" si="26"/>
        <v>390</v>
      </c>
      <c r="C853" s="41" t="s">
        <v>9</v>
      </c>
      <c r="D853" s="41"/>
      <c r="E853" s="41"/>
      <c r="F853" s="41"/>
      <c r="G853" s="41"/>
      <c r="H853" s="41"/>
      <c r="I853" s="42"/>
      <c r="J853" s="41"/>
      <c r="K853" s="41"/>
      <c r="L853" s="43"/>
    </row>
    <row r="854" spans="2:12" outlineLevel="2">
      <c r="B854" s="40">
        <f t="shared" si="26"/>
        <v>391</v>
      </c>
      <c r="C854" s="41" t="s">
        <v>9</v>
      </c>
      <c r="D854" s="41"/>
      <c r="E854" s="41"/>
      <c r="F854" s="41"/>
      <c r="G854" s="41"/>
      <c r="H854" s="41"/>
      <c r="I854" s="42"/>
      <c r="J854" s="41"/>
      <c r="K854" s="41"/>
      <c r="L854" s="43"/>
    </row>
    <row r="855" spans="2:12" outlineLevel="2">
      <c r="B855" s="40">
        <f t="shared" si="26"/>
        <v>392</v>
      </c>
      <c r="C855" s="41" t="s">
        <v>9</v>
      </c>
      <c r="D855" s="41"/>
      <c r="E855" s="41"/>
      <c r="F855" s="41"/>
      <c r="G855" s="41"/>
      <c r="H855" s="41"/>
      <c r="I855" s="42"/>
      <c r="J855" s="41"/>
      <c r="K855" s="41"/>
      <c r="L855" s="43"/>
    </row>
    <row r="856" spans="2:12" outlineLevel="2">
      <c r="B856" s="40">
        <f t="shared" si="26"/>
        <v>393</v>
      </c>
      <c r="C856" s="41" t="s">
        <v>9</v>
      </c>
      <c r="D856" s="41"/>
      <c r="E856" s="41"/>
      <c r="F856" s="41"/>
      <c r="G856" s="41"/>
      <c r="H856" s="41"/>
      <c r="I856" s="42"/>
      <c r="J856" s="41"/>
      <c r="K856" s="41"/>
      <c r="L856" s="43"/>
    </row>
    <row r="857" spans="2:12" outlineLevel="2">
      <c r="B857" s="40">
        <f t="shared" si="26"/>
        <v>394</v>
      </c>
      <c r="C857" s="41" t="s">
        <v>9</v>
      </c>
      <c r="D857" s="41"/>
      <c r="E857" s="41"/>
      <c r="F857" s="41"/>
      <c r="G857" s="41"/>
      <c r="H857" s="41"/>
      <c r="I857" s="42"/>
      <c r="J857" s="41"/>
      <c r="K857" s="41"/>
      <c r="L857" s="43"/>
    </row>
    <row r="858" spans="2:12" outlineLevel="2">
      <c r="B858" s="40">
        <f t="shared" si="26"/>
        <v>395</v>
      </c>
      <c r="C858" s="41" t="s">
        <v>9</v>
      </c>
      <c r="D858" s="41"/>
      <c r="E858" s="41"/>
      <c r="F858" s="41"/>
      <c r="G858" s="41"/>
      <c r="H858" s="41"/>
      <c r="I858" s="42"/>
      <c r="J858" s="41"/>
      <c r="K858" s="41"/>
      <c r="L858" s="43"/>
    </row>
    <row r="859" spans="2:12" outlineLevel="2">
      <c r="B859" s="40">
        <f t="shared" si="26"/>
        <v>396</v>
      </c>
      <c r="C859" s="41" t="s">
        <v>9</v>
      </c>
      <c r="D859" s="41"/>
      <c r="E859" s="41"/>
      <c r="F859" s="41"/>
      <c r="G859" s="41"/>
      <c r="H859" s="41"/>
      <c r="I859" s="42"/>
      <c r="J859" s="41"/>
      <c r="K859" s="41"/>
      <c r="L859" s="43"/>
    </row>
    <row r="860" spans="2:12" outlineLevel="2">
      <c r="B860" s="40">
        <f t="shared" si="26"/>
        <v>397</v>
      </c>
      <c r="C860" s="41" t="s">
        <v>9</v>
      </c>
      <c r="D860" s="41"/>
      <c r="E860" s="41"/>
      <c r="F860" s="41"/>
      <c r="G860" s="41"/>
      <c r="H860" s="41"/>
      <c r="I860" s="42"/>
      <c r="J860" s="41"/>
      <c r="K860" s="41"/>
      <c r="L860" s="43"/>
    </row>
    <row r="861" spans="2:12" outlineLevel="2">
      <c r="B861" s="40">
        <f t="shared" si="26"/>
        <v>398</v>
      </c>
      <c r="C861" s="41" t="s">
        <v>9</v>
      </c>
      <c r="D861" s="41"/>
      <c r="E861" s="41"/>
      <c r="F861" s="41"/>
      <c r="G861" s="41"/>
      <c r="H861" s="41"/>
      <c r="I861" s="42"/>
      <c r="J861" s="41"/>
      <c r="K861" s="41"/>
      <c r="L861" s="43"/>
    </row>
    <row r="862" spans="2:12" outlineLevel="2">
      <c r="B862" s="40">
        <f t="shared" si="26"/>
        <v>399</v>
      </c>
      <c r="C862" s="41" t="s">
        <v>9</v>
      </c>
      <c r="D862" s="41"/>
      <c r="E862" s="41"/>
      <c r="F862" s="41"/>
      <c r="G862" s="41"/>
      <c r="H862" s="41"/>
      <c r="I862" s="42"/>
      <c r="J862" s="41"/>
      <c r="K862" s="41"/>
      <c r="L862" s="43"/>
    </row>
    <row r="863" spans="2:12" outlineLevel="2">
      <c r="B863" s="40">
        <f t="shared" si="26"/>
        <v>400</v>
      </c>
      <c r="C863" s="41" t="s">
        <v>9</v>
      </c>
      <c r="D863" s="41"/>
      <c r="E863" s="41"/>
      <c r="F863" s="41"/>
      <c r="G863" s="41"/>
      <c r="H863" s="41"/>
      <c r="I863" s="42"/>
      <c r="J863" s="41"/>
      <c r="K863" s="41"/>
      <c r="L863" s="43"/>
    </row>
    <row r="864" spans="2:12" outlineLevel="2">
      <c r="B864" s="40">
        <f t="shared" si="26"/>
        <v>401</v>
      </c>
      <c r="C864" s="41" t="s">
        <v>9</v>
      </c>
      <c r="D864" s="41"/>
      <c r="E864" s="41"/>
      <c r="F864" s="41"/>
      <c r="G864" s="41"/>
      <c r="H864" s="41"/>
      <c r="I864" s="42"/>
      <c r="J864" s="41"/>
      <c r="K864" s="41"/>
      <c r="L864" s="43"/>
    </row>
    <row r="865" spans="2:12" outlineLevel="2">
      <c r="B865" s="40">
        <f t="shared" si="26"/>
        <v>402</v>
      </c>
      <c r="C865" s="41" t="s">
        <v>9</v>
      </c>
      <c r="D865" s="41"/>
      <c r="E865" s="41"/>
      <c r="F865" s="41"/>
      <c r="G865" s="41"/>
      <c r="H865" s="41"/>
      <c r="I865" s="42"/>
      <c r="J865" s="41"/>
      <c r="K865" s="41"/>
      <c r="L865" s="43"/>
    </row>
    <row r="866" spans="2:12" outlineLevel="2">
      <c r="B866" s="40">
        <f t="shared" si="26"/>
        <v>403</v>
      </c>
      <c r="C866" s="41" t="s">
        <v>9</v>
      </c>
      <c r="D866" s="41"/>
      <c r="E866" s="41"/>
      <c r="F866" s="41"/>
      <c r="G866" s="41"/>
      <c r="H866" s="41"/>
      <c r="I866" s="42"/>
      <c r="J866" s="41"/>
      <c r="K866" s="41"/>
      <c r="L866" s="43"/>
    </row>
    <row r="867" spans="2:12" outlineLevel="2">
      <c r="B867" s="40">
        <f t="shared" si="26"/>
        <v>404</v>
      </c>
      <c r="C867" s="41" t="s">
        <v>9</v>
      </c>
      <c r="D867" s="41"/>
      <c r="E867" s="41"/>
      <c r="F867" s="41"/>
      <c r="G867" s="41"/>
      <c r="H867" s="41"/>
      <c r="I867" s="42"/>
      <c r="J867" s="41"/>
      <c r="K867" s="41"/>
      <c r="L867" s="43"/>
    </row>
    <row r="868" spans="2:12" outlineLevel="2">
      <c r="B868" s="40">
        <f t="shared" si="26"/>
        <v>405</v>
      </c>
      <c r="C868" s="41" t="s">
        <v>9</v>
      </c>
      <c r="D868" s="41"/>
      <c r="E868" s="41"/>
      <c r="F868" s="41"/>
      <c r="G868" s="41"/>
      <c r="H868" s="41"/>
      <c r="I868" s="42"/>
      <c r="J868" s="41"/>
      <c r="K868" s="41"/>
      <c r="L868" s="43"/>
    </row>
    <row r="869" spans="2:12" outlineLevel="2">
      <c r="B869" s="40">
        <f t="shared" si="26"/>
        <v>406</v>
      </c>
      <c r="C869" s="41" t="s">
        <v>9</v>
      </c>
      <c r="D869" s="41"/>
      <c r="E869" s="41"/>
      <c r="F869" s="41"/>
      <c r="G869" s="41"/>
      <c r="H869" s="41"/>
      <c r="I869" s="42"/>
      <c r="J869" s="41"/>
      <c r="K869" s="41"/>
      <c r="L869" s="43"/>
    </row>
    <row r="870" spans="2:12" outlineLevel="2">
      <c r="B870" s="40">
        <f t="shared" si="26"/>
        <v>407</v>
      </c>
      <c r="C870" s="41" t="s">
        <v>9</v>
      </c>
      <c r="D870" s="41"/>
      <c r="E870" s="41"/>
      <c r="F870" s="41"/>
      <c r="G870" s="41"/>
      <c r="H870" s="41"/>
      <c r="I870" s="42"/>
      <c r="J870" s="41"/>
      <c r="K870" s="41"/>
      <c r="L870" s="43"/>
    </row>
    <row r="871" spans="2:12" outlineLevel="2">
      <c r="B871" s="40">
        <f t="shared" si="26"/>
        <v>408</v>
      </c>
      <c r="C871" s="41" t="s">
        <v>9</v>
      </c>
      <c r="D871" s="41"/>
      <c r="E871" s="41"/>
      <c r="F871" s="41"/>
      <c r="G871" s="41"/>
      <c r="H871" s="41"/>
      <c r="I871" s="42"/>
      <c r="J871" s="41"/>
      <c r="K871" s="41"/>
      <c r="L871" s="43"/>
    </row>
    <row r="872" spans="2:12" outlineLevel="2">
      <c r="B872" s="40">
        <f t="shared" si="26"/>
        <v>409</v>
      </c>
      <c r="C872" s="41" t="s">
        <v>9</v>
      </c>
      <c r="D872" s="41"/>
      <c r="E872" s="41"/>
      <c r="F872" s="41"/>
      <c r="G872" s="41"/>
      <c r="H872" s="41"/>
      <c r="I872" s="42"/>
      <c r="J872" s="41"/>
      <c r="K872" s="41"/>
      <c r="L872" s="43"/>
    </row>
    <row r="873" spans="2:12" outlineLevel="2">
      <c r="B873" s="40">
        <f t="shared" si="26"/>
        <v>410</v>
      </c>
      <c r="C873" s="41" t="s">
        <v>9</v>
      </c>
      <c r="D873" s="41"/>
      <c r="E873" s="41"/>
      <c r="F873" s="41"/>
      <c r="G873" s="41"/>
      <c r="H873" s="41"/>
      <c r="I873" s="42"/>
      <c r="J873" s="41"/>
      <c r="K873" s="41"/>
      <c r="L873" s="43"/>
    </row>
    <row r="874" spans="2:12" outlineLevel="2">
      <c r="B874" s="40">
        <f t="shared" si="26"/>
        <v>411</v>
      </c>
      <c r="C874" s="41" t="s">
        <v>9</v>
      </c>
      <c r="D874" s="41"/>
      <c r="E874" s="41"/>
      <c r="F874" s="41"/>
      <c r="G874" s="41"/>
      <c r="H874" s="41"/>
      <c r="I874" s="42"/>
      <c r="J874" s="41"/>
      <c r="K874" s="41"/>
      <c r="L874" s="43"/>
    </row>
    <row r="875" spans="2:12" outlineLevel="2">
      <c r="B875" s="40">
        <f t="shared" si="26"/>
        <v>412</v>
      </c>
      <c r="C875" s="41" t="s">
        <v>9</v>
      </c>
      <c r="D875" s="41"/>
      <c r="E875" s="41"/>
      <c r="F875" s="41"/>
      <c r="G875" s="41"/>
      <c r="H875" s="41"/>
      <c r="I875" s="42"/>
      <c r="J875" s="41"/>
      <c r="K875" s="41"/>
      <c r="L875" s="43"/>
    </row>
    <row r="876" spans="2:12" outlineLevel="2">
      <c r="B876" s="40">
        <f t="shared" si="26"/>
        <v>413</v>
      </c>
      <c r="C876" s="41" t="s">
        <v>9</v>
      </c>
      <c r="D876" s="41"/>
      <c r="E876" s="41"/>
      <c r="F876" s="41"/>
      <c r="G876" s="41"/>
      <c r="H876" s="41"/>
      <c r="I876" s="42"/>
      <c r="J876" s="41"/>
      <c r="K876" s="41"/>
      <c r="L876" s="43"/>
    </row>
    <row r="877" spans="2:12" outlineLevel="2">
      <c r="B877" s="40">
        <f t="shared" si="26"/>
        <v>414</v>
      </c>
      <c r="C877" s="41" t="s">
        <v>9</v>
      </c>
      <c r="D877" s="41"/>
      <c r="E877" s="41"/>
      <c r="F877" s="41"/>
      <c r="G877" s="41"/>
      <c r="H877" s="41"/>
      <c r="I877" s="42"/>
      <c r="J877" s="41"/>
      <c r="K877" s="41"/>
      <c r="L877" s="43"/>
    </row>
    <row r="878" spans="2:12" outlineLevel="2">
      <c r="B878" s="40">
        <f t="shared" si="26"/>
        <v>415</v>
      </c>
      <c r="C878" s="41" t="s">
        <v>9</v>
      </c>
      <c r="D878" s="41"/>
      <c r="E878" s="41"/>
      <c r="F878" s="41"/>
      <c r="G878" s="41"/>
      <c r="H878" s="41"/>
      <c r="I878" s="42"/>
      <c r="J878" s="41"/>
      <c r="K878" s="41"/>
      <c r="L878" s="43"/>
    </row>
    <row r="879" spans="2:12" outlineLevel="2">
      <c r="B879" s="40">
        <f t="shared" si="26"/>
        <v>416</v>
      </c>
      <c r="C879" s="41" t="s">
        <v>9</v>
      </c>
      <c r="D879" s="41"/>
      <c r="E879" s="41"/>
      <c r="F879" s="41"/>
      <c r="G879" s="41"/>
      <c r="H879" s="41"/>
      <c r="I879" s="42"/>
      <c r="J879" s="41"/>
      <c r="K879" s="41"/>
      <c r="L879" s="43"/>
    </row>
    <row r="880" spans="2:12" outlineLevel="2">
      <c r="B880" s="40">
        <f t="shared" si="26"/>
        <v>417</v>
      </c>
      <c r="C880" s="41" t="s">
        <v>9</v>
      </c>
      <c r="D880" s="41"/>
      <c r="E880" s="41"/>
      <c r="F880" s="41"/>
      <c r="G880" s="41"/>
      <c r="H880" s="41"/>
      <c r="I880" s="42"/>
      <c r="J880" s="41"/>
      <c r="K880" s="41"/>
      <c r="L880" s="43"/>
    </row>
    <row r="881" spans="2:12" outlineLevel="2">
      <c r="B881" s="40">
        <f t="shared" si="26"/>
        <v>418</v>
      </c>
      <c r="C881" s="41" t="s">
        <v>9</v>
      </c>
      <c r="D881" s="41"/>
      <c r="E881" s="41"/>
      <c r="F881" s="41"/>
      <c r="G881" s="41"/>
      <c r="H881" s="41"/>
      <c r="I881" s="42"/>
      <c r="J881" s="41"/>
      <c r="K881" s="41"/>
      <c r="L881" s="43"/>
    </row>
    <row r="882" spans="2:12" outlineLevel="2">
      <c r="B882" s="40">
        <f t="shared" si="26"/>
        <v>419</v>
      </c>
      <c r="C882" s="41" t="s">
        <v>9</v>
      </c>
      <c r="D882" s="41"/>
      <c r="E882" s="41"/>
      <c r="F882" s="41"/>
      <c r="G882" s="41"/>
      <c r="H882" s="41"/>
      <c r="I882" s="42"/>
      <c r="J882" s="41"/>
      <c r="K882" s="41"/>
      <c r="L882" s="43"/>
    </row>
    <row r="883" spans="2:12" outlineLevel="2">
      <c r="B883" s="40">
        <f t="shared" si="26"/>
        <v>420</v>
      </c>
      <c r="C883" s="41" t="s">
        <v>9</v>
      </c>
      <c r="D883" s="41"/>
      <c r="E883" s="41"/>
      <c r="F883" s="41"/>
      <c r="G883" s="41"/>
      <c r="H883" s="41"/>
      <c r="I883" s="42"/>
      <c r="J883" s="41"/>
      <c r="K883" s="41"/>
      <c r="L883" s="43"/>
    </row>
    <row r="884" spans="2:12" outlineLevel="2">
      <c r="B884" s="40">
        <f t="shared" ref="B884:B919" si="27">ROW(A421)</f>
        <v>421</v>
      </c>
      <c r="C884" s="41" t="s">
        <v>9</v>
      </c>
      <c r="D884" s="41"/>
      <c r="E884" s="41"/>
      <c r="F884" s="41"/>
      <c r="G884" s="41"/>
      <c r="H884" s="41"/>
      <c r="I884" s="42"/>
      <c r="J884" s="41"/>
      <c r="K884" s="41"/>
      <c r="L884" s="43"/>
    </row>
    <row r="885" spans="2:12" outlineLevel="2">
      <c r="B885" s="40">
        <f t="shared" si="27"/>
        <v>422</v>
      </c>
      <c r="C885" s="41" t="s">
        <v>9</v>
      </c>
      <c r="D885" s="41"/>
      <c r="E885" s="41"/>
      <c r="F885" s="41"/>
      <c r="G885" s="41"/>
      <c r="H885" s="41"/>
      <c r="I885" s="42"/>
      <c r="J885" s="41"/>
      <c r="K885" s="41"/>
      <c r="L885" s="43"/>
    </row>
    <row r="886" spans="2:12" outlineLevel="2">
      <c r="B886" s="40">
        <f t="shared" si="27"/>
        <v>423</v>
      </c>
      <c r="C886" s="41" t="s">
        <v>9</v>
      </c>
      <c r="D886" s="41"/>
      <c r="E886" s="41"/>
      <c r="F886" s="41"/>
      <c r="G886" s="41"/>
      <c r="H886" s="41"/>
      <c r="I886" s="42"/>
      <c r="J886" s="41"/>
      <c r="K886" s="41"/>
      <c r="L886" s="43"/>
    </row>
    <row r="887" spans="2:12" outlineLevel="2">
      <c r="B887" s="40">
        <f t="shared" si="27"/>
        <v>424</v>
      </c>
      <c r="C887" s="41" t="s">
        <v>9</v>
      </c>
      <c r="D887" s="41"/>
      <c r="E887" s="41"/>
      <c r="F887" s="41"/>
      <c r="G887" s="41"/>
      <c r="H887" s="41"/>
      <c r="I887" s="42"/>
      <c r="J887" s="41"/>
      <c r="K887" s="41"/>
      <c r="L887" s="43"/>
    </row>
    <row r="888" spans="2:12" outlineLevel="2">
      <c r="B888" s="40">
        <f t="shared" si="27"/>
        <v>425</v>
      </c>
      <c r="C888" s="41" t="s">
        <v>9</v>
      </c>
      <c r="D888" s="41"/>
      <c r="E888" s="41"/>
      <c r="F888" s="41"/>
      <c r="G888" s="41"/>
      <c r="H888" s="41"/>
      <c r="I888" s="42"/>
      <c r="J888" s="41"/>
      <c r="K888" s="41"/>
      <c r="L888" s="43"/>
    </row>
    <row r="889" spans="2:12" outlineLevel="2">
      <c r="B889" s="40">
        <f t="shared" si="27"/>
        <v>426</v>
      </c>
      <c r="C889" s="41" t="s">
        <v>9</v>
      </c>
      <c r="D889" s="41"/>
      <c r="E889" s="41"/>
      <c r="F889" s="41"/>
      <c r="G889" s="41"/>
      <c r="H889" s="41"/>
      <c r="I889" s="42"/>
      <c r="J889" s="41"/>
      <c r="K889" s="41"/>
      <c r="L889" s="43"/>
    </row>
    <row r="890" spans="2:12" outlineLevel="2">
      <c r="B890" s="40">
        <f t="shared" si="27"/>
        <v>427</v>
      </c>
      <c r="C890" s="41" t="s">
        <v>9</v>
      </c>
      <c r="D890" s="41"/>
      <c r="E890" s="41"/>
      <c r="F890" s="41"/>
      <c r="G890" s="41"/>
      <c r="H890" s="41"/>
      <c r="I890" s="42"/>
      <c r="J890" s="41"/>
      <c r="K890" s="41"/>
      <c r="L890" s="43"/>
    </row>
    <row r="891" spans="2:12" outlineLevel="2">
      <c r="B891" s="40">
        <f t="shared" si="27"/>
        <v>428</v>
      </c>
      <c r="C891" s="41" t="s">
        <v>9</v>
      </c>
      <c r="D891" s="41"/>
      <c r="E891" s="41"/>
      <c r="F891" s="41"/>
      <c r="G891" s="41"/>
      <c r="H891" s="41"/>
      <c r="I891" s="42"/>
      <c r="J891" s="41"/>
      <c r="K891" s="41"/>
      <c r="L891" s="43"/>
    </row>
    <row r="892" spans="2:12" outlineLevel="2">
      <c r="B892" s="40">
        <f t="shared" si="27"/>
        <v>429</v>
      </c>
      <c r="C892" s="41" t="s">
        <v>9</v>
      </c>
      <c r="D892" s="41"/>
      <c r="E892" s="41"/>
      <c r="F892" s="41"/>
      <c r="G892" s="41"/>
      <c r="H892" s="41"/>
      <c r="I892" s="42"/>
      <c r="J892" s="41"/>
      <c r="K892" s="41"/>
      <c r="L892" s="43"/>
    </row>
    <row r="893" spans="2:12" outlineLevel="2">
      <c r="B893" s="40">
        <f t="shared" si="27"/>
        <v>430</v>
      </c>
      <c r="C893" s="41" t="s">
        <v>9</v>
      </c>
      <c r="D893" s="41"/>
      <c r="E893" s="41"/>
      <c r="F893" s="41"/>
      <c r="G893" s="41"/>
      <c r="H893" s="41"/>
      <c r="I893" s="42"/>
      <c r="J893" s="41"/>
      <c r="K893" s="41"/>
      <c r="L893" s="43"/>
    </row>
    <row r="894" spans="2:12" outlineLevel="2">
      <c r="B894" s="40">
        <f t="shared" si="27"/>
        <v>431</v>
      </c>
      <c r="C894" s="41" t="s">
        <v>9</v>
      </c>
      <c r="D894" s="41"/>
      <c r="E894" s="41"/>
      <c r="F894" s="41"/>
      <c r="G894" s="41"/>
      <c r="H894" s="41"/>
      <c r="I894" s="42"/>
      <c r="J894" s="41"/>
      <c r="K894" s="41"/>
      <c r="L894" s="43"/>
    </row>
    <row r="895" spans="2:12" outlineLevel="2">
      <c r="B895" s="40">
        <f t="shared" si="27"/>
        <v>432</v>
      </c>
      <c r="C895" s="41" t="s">
        <v>9</v>
      </c>
      <c r="D895" s="41"/>
      <c r="E895" s="41"/>
      <c r="F895" s="41"/>
      <c r="G895" s="41"/>
      <c r="H895" s="41"/>
      <c r="I895" s="42"/>
      <c r="J895" s="41"/>
      <c r="K895" s="41"/>
      <c r="L895" s="43"/>
    </row>
    <row r="896" spans="2:12" outlineLevel="2">
      <c r="B896" s="40">
        <f t="shared" si="27"/>
        <v>433</v>
      </c>
      <c r="C896" s="41" t="s">
        <v>9</v>
      </c>
      <c r="D896" s="41"/>
      <c r="E896" s="41"/>
      <c r="F896" s="41"/>
      <c r="G896" s="41"/>
      <c r="H896" s="41"/>
      <c r="I896" s="42"/>
      <c r="J896" s="41"/>
      <c r="K896" s="41"/>
      <c r="L896" s="43"/>
    </row>
    <row r="897" spans="2:12" outlineLevel="2">
      <c r="B897" s="40">
        <f t="shared" si="27"/>
        <v>434</v>
      </c>
      <c r="C897" s="41" t="s">
        <v>9</v>
      </c>
      <c r="D897" s="41"/>
      <c r="E897" s="41"/>
      <c r="F897" s="41"/>
      <c r="G897" s="41"/>
      <c r="H897" s="41"/>
      <c r="I897" s="42"/>
      <c r="J897" s="41"/>
      <c r="K897" s="41"/>
      <c r="L897" s="43"/>
    </row>
    <row r="898" spans="2:12" outlineLevel="2">
      <c r="B898" s="40">
        <f t="shared" si="27"/>
        <v>435</v>
      </c>
      <c r="C898" s="41" t="s">
        <v>9</v>
      </c>
      <c r="D898" s="41"/>
      <c r="E898" s="41"/>
      <c r="F898" s="41"/>
      <c r="G898" s="41"/>
      <c r="H898" s="41"/>
      <c r="I898" s="42"/>
      <c r="J898" s="41"/>
      <c r="K898" s="41"/>
      <c r="L898" s="43"/>
    </row>
    <row r="899" spans="2:12" outlineLevel="2">
      <c r="B899" s="40">
        <f t="shared" si="27"/>
        <v>436</v>
      </c>
      <c r="C899" s="41" t="s">
        <v>9</v>
      </c>
      <c r="D899" s="41"/>
      <c r="E899" s="41"/>
      <c r="F899" s="41"/>
      <c r="G899" s="41"/>
      <c r="H899" s="41"/>
      <c r="I899" s="42"/>
      <c r="J899" s="41"/>
      <c r="K899" s="41"/>
      <c r="L899" s="43"/>
    </row>
    <row r="900" spans="2:12" outlineLevel="2">
      <c r="B900" s="40">
        <f t="shared" si="27"/>
        <v>437</v>
      </c>
      <c r="C900" s="41" t="s">
        <v>9</v>
      </c>
      <c r="D900" s="41"/>
      <c r="E900" s="41"/>
      <c r="F900" s="41"/>
      <c r="G900" s="41"/>
      <c r="H900" s="41"/>
      <c r="I900" s="42"/>
      <c r="J900" s="41"/>
      <c r="K900" s="41"/>
      <c r="L900" s="43"/>
    </row>
    <row r="901" spans="2:12" outlineLevel="2">
      <c r="B901" s="40">
        <f t="shared" si="27"/>
        <v>438</v>
      </c>
      <c r="C901" s="41" t="s">
        <v>9</v>
      </c>
      <c r="D901" s="41"/>
      <c r="E901" s="41"/>
      <c r="F901" s="41"/>
      <c r="G901" s="41"/>
      <c r="H901" s="41"/>
      <c r="I901" s="42"/>
      <c r="J901" s="41"/>
      <c r="K901" s="41"/>
      <c r="L901" s="43"/>
    </row>
    <row r="902" spans="2:12" outlineLevel="2">
      <c r="B902" s="40">
        <f t="shared" si="27"/>
        <v>439</v>
      </c>
      <c r="C902" s="41" t="s">
        <v>9</v>
      </c>
      <c r="D902" s="41"/>
      <c r="E902" s="41"/>
      <c r="F902" s="41"/>
      <c r="G902" s="41"/>
      <c r="H902" s="41"/>
      <c r="I902" s="42"/>
      <c r="J902" s="41"/>
      <c r="K902" s="41"/>
      <c r="L902" s="43"/>
    </row>
    <row r="903" spans="2:12" outlineLevel="2">
      <c r="B903" s="40">
        <f t="shared" si="27"/>
        <v>440</v>
      </c>
      <c r="C903" s="41" t="s">
        <v>9</v>
      </c>
      <c r="D903" s="41"/>
      <c r="E903" s="41"/>
      <c r="F903" s="41"/>
      <c r="G903" s="41"/>
      <c r="H903" s="41"/>
      <c r="I903" s="42"/>
      <c r="J903" s="41"/>
      <c r="K903" s="41"/>
      <c r="L903" s="43"/>
    </row>
    <row r="904" spans="2:12" outlineLevel="2">
      <c r="B904" s="40">
        <f t="shared" si="27"/>
        <v>441</v>
      </c>
      <c r="C904" s="41" t="s">
        <v>9</v>
      </c>
      <c r="D904" s="41"/>
      <c r="E904" s="41"/>
      <c r="F904" s="41"/>
      <c r="G904" s="41"/>
      <c r="H904" s="41"/>
      <c r="I904" s="42"/>
      <c r="J904" s="41"/>
      <c r="K904" s="41"/>
      <c r="L904" s="43"/>
    </row>
    <row r="905" spans="2:12" outlineLevel="2">
      <c r="B905" s="40">
        <f t="shared" si="27"/>
        <v>442</v>
      </c>
      <c r="C905" s="41" t="s">
        <v>9</v>
      </c>
      <c r="D905" s="41"/>
      <c r="E905" s="41"/>
      <c r="F905" s="41"/>
      <c r="G905" s="41"/>
      <c r="H905" s="41"/>
      <c r="I905" s="42"/>
      <c r="J905" s="41"/>
      <c r="K905" s="41"/>
      <c r="L905" s="43"/>
    </row>
    <row r="906" spans="2:12" outlineLevel="2">
      <c r="B906" s="40">
        <f t="shared" si="27"/>
        <v>443</v>
      </c>
      <c r="C906" s="41" t="s">
        <v>9</v>
      </c>
      <c r="D906" s="41"/>
      <c r="E906" s="41"/>
      <c r="F906" s="41"/>
      <c r="G906" s="41"/>
      <c r="H906" s="41"/>
      <c r="I906" s="42"/>
      <c r="J906" s="41"/>
      <c r="K906" s="41"/>
      <c r="L906" s="43"/>
    </row>
    <row r="907" spans="2:12" outlineLevel="2">
      <c r="B907" s="40">
        <f t="shared" si="27"/>
        <v>444</v>
      </c>
      <c r="C907" s="41" t="s">
        <v>9</v>
      </c>
      <c r="D907" s="41"/>
      <c r="E907" s="41"/>
      <c r="F907" s="41"/>
      <c r="G907" s="41"/>
      <c r="H907" s="41"/>
      <c r="I907" s="42"/>
      <c r="J907" s="41"/>
      <c r="K907" s="41"/>
      <c r="L907" s="43"/>
    </row>
    <row r="908" spans="2:12" outlineLevel="2">
      <c r="B908" s="40">
        <f t="shared" si="27"/>
        <v>445</v>
      </c>
      <c r="C908" s="41" t="s">
        <v>9</v>
      </c>
      <c r="D908" s="41"/>
      <c r="E908" s="41"/>
      <c r="F908" s="41"/>
      <c r="G908" s="41"/>
      <c r="H908" s="41"/>
      <c r="I908" s="42"/>
      <c r="J908" s="41"/>
      <c r="K908" s="41"/>
      <c r="L908" s="43"/>
    </row>
    <row r="909" spans="2:12" outlineLevel="2">
      <c r="B909" s="40">
        <f t="shared" si="27"/>
        <v>446</v>
      </c>
      <c r="C909" s="41" t="s">
        <v>9</v>
      </c>
      <c r="D909" s="41"/>
      <c r="E909" s="41"/>
      <c r="F909" s="41"/>
      <c r="G909" s="41"/>
      <c r="H909" s="41"/>
      <c r="I909" s="42"/>
      <c r="J909" s="41"/>
      <c r="K909" s="41"/>
      <c r="L909" s="43"/>
    </row>
    <row r="910" spans="2:12" outlineLevel="2">
      <c r="B910" s="40">
        <f t="shared" si="27"/>
        <v>447</v>
      </c>
      <c r="C910" s="41" t="s">
        <v>9</v>
      </c>
      <c r="D910" s="41"/>
      <c r="E910" s="41"/>
      <c r="F910" s="41"/>
      <c r="G910" s="41"/>
      <c r="H910" s="41"/>
      <c r="I910" s="42"/>
      <c r="J910" s="41"/>
      <c r="K910" s="41"/>
      <c r="L910" s="43"/>
    </row>
    <row r="911" spans="2:12" outlineLevel="2">
      <c r="B911" s="40">
        <f t="shared" si="27"/>
        <v>448</v>
      </c>
      <c r="C911" s="41" t="s">
        <v>9</v>
      </c>
      <c r="D911" s="41"/>
      <c r="E911" s="41"/>
      <c r="F911" s="41"/>
      <c r="G911" s="41"/>
      <c r="H911" s="41"/>
      <c r="I911" s="42"/>
      <c r="J911" s="41"/>
      <c r="K911" s="41"/>
      <c r="L911" s="43"/>
    </row>
    <row r="912" spans="2:12" outlineLevel="2">
      <c r="B912" s="40">
        <f t="shared" si="27"/>
        <v>449</v>
      </c>
      <c r="C912" s="41" t="s">
        <v>9</v>
      </c>
      <c r="D912" s="41"/>
      <c r="E912" s="41"/>
      <c r="F912" s="41"/>
      <c r="G912" s="41"/>
      <c r="H912" s="41"/>
      <c r="I912" s="42"/>
      <c r="J912" s="41"/>
      <c r="K912" s="41"/>
      <c r="L912" s="43"/>
    </row>
    <row r="913" spans="2:12" outlineLevel="2">
      <c r="B913" s="40">
        <f t="shared" si="27"/>
        <v>450</v>
      </c>
      <c r="C913" s="41" t="s">
        <v>9</v>
      </c>
      <c r="D913" s="41"/>
      <c r="E913" s="41"/>
      <c r="F913" s="41"/>
      <c r="G913" s="41"/>
      <c r="H913" s="41"/>
      <c r="I913" s="42"/>
      <c r="J913" s="41"/>
      <c r="K913" s="41"/>
      <c r="L913" s="43"/>
    </row>
    <row r="914" spans="2:12" outlineLevel="2">
      <c r="B914" s="40">
        <f t="shared" si="27"/>
        <v>451</v>
      </c>
      <c r="C914" s="41" t="s">
        <v>9</v>
      </c>
      <c r="D914" s="41"/>
      <c r="E914" s="41"/>
      <c r="F914" s="41"/>
      <c r="G914" s="41"/>
      <c r="H914" s="41"/>
      <c r="I914" s="42"/>
      <c r="J914" s="41"/>
      <c r="K914" s="41"/>
      <c r="L914" s="43"/>
    </row>
    <row r="915" spans="2:12" outlineLevel="2">
      <c r="B915" s="40">
        <f t="shared" si="27"/>
        <v>452</v>
      </c>
      <c r="C915" s="41" t="s">
        <v>9</v>
      </c>
      <c r="D915" s="41"/>
      <c r="E915" s="41"/>
      <c r="F915" s="41"/>
      <c r="G915" s="41"/>
      <c r="H915" s="41"/>
      <c r="I915" s="42"/>
      <c r="J915" s="41"/>
      <c r="K915" s="41"/>
      <c r="L915" s="43"/>
    </row>
    <row r="916" spans="2:12" outlineLevel="2">
      <c r="B916" s="40">
        <f t="shared" si="27"/>
        <v>453</v>
      </c>
      <c r="C916" s="41" t="s">
        <v>9</v>
      </c>
      <c r="D916" s="41"/>
      <c r="E916" s="41"/>
      <c r="F916" s="41"/>
      <c r="G916" s="41"/>
      <c r="H916" s="41"/>
      <c r="I916" s="42"/>
      <c r="J916" s="41"/>
      <c r="K916" s="41"/>
      <c r="L916" s="43"/>
    </row>
    <row r="917" spans="2:12" outlineLevel="2">
      <c r="B917" s="40">
        <f t="shared" si="27"/>
        <v>454</v>
      </c>
      <c r="C917" s="41" t="s">
        <v>9</v>
      </c>
      <c r="D917" s="41"/>
      <c r="E917" s="41"/>
      <c r="F917" s="41"/>
      <c r="G917" s="41"/>
      <c r="H917" s="41"/>
      <c r="I917" s="42"/>
      <c r="J917" s="41"/>
      <c r="K917" s="41"/>
      <c r="L917" s="43"/>
    </row>
    <row r="918" spans="2:12" outlineLevel="2">
      <c r="B918" s="40">
        <f t="shared" si="27"/>
        <v>455</v>
      </c>
      <c r="C918" s="41" t="s">
        <v>9</v>
      </c>
      <c r="D918" s="41"/>
      <c r="E918" s="41"/>
      <c r="F918" s="41"/>
      <c r="G918" s="41"/>
      <c r="H918" s="41"/>
      <c r="I918" s="42"/>
      <c r="J918" s="41"/>
      <c r="K918" s="41"/>
      <c r="L918" s="43"/>
    </row>
    <row r="919" spans="2:12" outlineLevel="2">
      <c r="B919" s="40">
        <f t="shared" si="27"/>
        <v>456</v>
      </c>
      <c r="C919" s="41" t="s">
        <v>9</v>
      </c>
      <c r="D919" s="41"/>
      <c r="E919" s="41"/>
      <c r="F919" s="41"/>
      <c r="G919" s="41"/>
      <c r="H919" s="41"/>
      <c r="I919" s="42"/>
      <c r="J919" s="41"/>
      <c r="K919" s="41"/>
      <c r="L919" s="43"/>
    </row>
    <row r="920" spans="2:12" outlineLevel="1">
      <c r="B920" s="59" t="s">
        <v>255</v>
      </c>
      <c r="C920" s="41">
        <f>SUBTOTAL(3,C692:C919)</f>
        <v>228</v>
      </c>
      <c r="D920" s="41"/>
      <c r="E920" s="41"/>
      <c r="F920" s="41"/>
      <c r="G920" s="41"/>
      <c r="H920" s="41"/>
      <c r="I920" s="42"/>
      <c r="J920" s="41"/>
      <c r="K920" s="41"/>
      <c r="L920" s="43"/>
    </row>
    <row r="921" spans="2:12" outlineLevel="2">
      <c r="B921" s="40">
        <f t="shared" ref="B921:B952" si="28">ROW(A457)</f>
        <v>457</v>
      </c>
      <c r="C921" s="41" t="s">
        <v>175</v>
      </c>
      <c r="D921" s="41"/>
      <c r="E921" s="41"/>
      <c r="F921" s="41"/>
      <c r="G921" s="41"/>
      <c r="H921" s="41"/>
      <c r="I921" s="42"/>
      <c r="J921" s="41"/>
      <c r="K921" s="41"/>
      <c r="L921" s="43"/>
    </row>
    <row r="922" spans="2:12" outlineLevel="2">
      <c r="B922" s="40">
        <f t="shared" si="28"/>
        <v>458</v>
      </c>
      <c r="C922" s="41" t="s">
        <v>175</v>
      </c>
      <c r="D922" s="41"/>
      <c r="E922" s="41"/>
      <c r="F922" s="41"/>
      <c r="G922" s="41"/>
      <c r="H922" s="41"/>
      <c r="I922" s="42"/>
      <c r="J922" s="41"/>
      <c r="K922" s="41"/>
      <c r="L922" s="43"/>
    </row>
    <row r="923" spans="2:12" outlineLevel="2">
      <c r="B923" s="40">
        <f t="shared" si="28"/>
        <v>459</v>
      </c>
      <c r="C923" s="41" t="s">
        <v>175</v>
      </c>
      <c r="D923" s="41"/>
      <c r="E923" s="41"/>
      <c r="F923" s="41"/>
      <c r="G923" s="41"/>
      <c r="H923" s="41"/>
      <c r="I923" s="42"/>
      <c r="J923" s="41"/>
      <c r="K923" s="41"/>
      <c r="L923" s="43"/>
    </row>
    <row r="924" spans="2:12" outlineLevel="2">
      <c r="B924" s="40">
        <f t="shared" si="28"/>
        <v>460</v>
      </c>
      <c r="C924" s="41" t="s">
        <v>175</v>
      </c>
      <c r="D924" s="41"/>
      <c r="E924" s="41"/>
      <c r="F924" s="41"/>
      <c r="G924" s="41"/>
      <c r="H924" s="41"/>
      <c r="I924" s="42"/>
      <c r="J924" s="41"/>
      <c r="K924" s="41"/>
      <c r="L924" s="43"/>
    </row>
    <row r="925" spans="2:12" outlineLevel="2">
      <c r="B925" s="40">
        <f t="shared" si="28"/>
        <v>461</v>
      </c>
      <c r="C925" s="41" t="s">
        <v>175</v>
      </c>
      <c r="D925" s="41"/>
      <c r="E925" s="41"/>
      <c r="F925" s="41"/>
      <c r="G925" s="41"/>
      <c r="H925" s="41"/>
      <c r="I925" s="42"/>
      <c r="J925" s="41"/>
      <c r="K925" s="41"/>
      <c r="L925" s="43"/>
    </row>
    <row r="926" spans="2:12" outlineLevel="2">
      <c r="B926" s="40">
        <f t="shared" si="28"/>
        <v>462</v>
      </c>
      <c r="C926" s="41" t="s">
        <v>175</v>
      </c>
      <c r="D926" s="41"/>
      <c r="E926" s="41"/>
      <c r="F926" s="41"/>
      <c r="G926" s="41"/>
      <c r="H926" s="41"/>
      <c r="I926" s="42"/>
      <c r="J926" s="41"/>
      <c r="K926" s="41"/>
      <c r="L926" s="43"/>
    </row>
    <row r="927" spans="2:12" outlineLevel="2">
      <c r="B927" s="40">
        <f t="shared" si="28"/>
        <v>463</v>
      </c>
      <c r="C927" s="41" t="s">
        <v>175</v>
      </c>
      <c r="D927" s="41"/>
      <c r="E927" s="41"/>
      <c r="F927" s="41"/>
      <c r="G927" s="41"/>
      <c r="H927" s="41"/>
      <c r="I927" s="42"/>
      <c r="J927" s="41"/>
      <c r="K927" s="41"/>
      <c r="L927" s="43"/>
    </row>
    <row r="928" spans="2:12" outlineLevel="2">
      <c r="B928" s="40">
        <f t="shared" si="28"/>
        <v>464</v>
      </c>
      <c r="C928" s="41" t="s">
        <v>175</v>
      </c>
      <c r="D928" s="41"/>
      <c r="E928" s="41"/>
      <c r="F928" s="41"/>
      <c r="G928" s="41"/>
      <c r="H928" s="41"/>
      <c r="I928" s="42"/>
      <c r="J928" s="41"/>
      <c r="K928" s="41"/>
      <c r="L928" s="43"/>
    </row>
    <row r="929" spans="2:12" outlineLevel="2">
      <c r="B929" s="40">
        <f t="shared" si="28"/>
        <v>465</v>
      </c>
      <c r="C929" s="41" t="s">
        <v>175</v>
      </c>
      <c r="D929" s="41"/>
      <c r="E929" s="41"/>
      <c r="F929" s="41"/>
      <c r="G929" s="41"/>
      <c r="H929" s="41"/>
      <c r="I929" s="42"/>
      <c r="J929" s="41"/>
      <c r="K929" s="41"/>
      <c r="L929" s="43"/>
    </row>
    <row r="930" spans="2:12" outlineLevel="2">
      <c r="B930" s="40">
        <f t="shared" si="28"/>
        <v>466</v>
      </c>
      <c r="C930" s="41" t="s">
        <v>175</v>
      </c>
      <c r="D930" s="41"/>
      <c r="E930" s="41"/>
      <c r="F930" s="41"/>
      <c r="G930" s="41"/>
      <c r="H930" s="41"/>
      <c r="I930" s="42"/>
      <c r="J930" s="41"/>
      <c r="K930" s="41"/>
      <c r="L930" s="43"/>
    </row>
    <row r="931" spans="2:12" outlineLevel="2">
      <c r="B931" s="40">
        <f t="shared" si="28"/>
        <v>467</v>
      </c>
      <c r="C931" s="41" t="s">
        <v>175</v>
      </c>
      <c r="D931" s="41"/>
      <c r="E931" s="41"/>
      <c r="F931" s="41"/>
      <c r="G931" s="41"/>
      <c r="H931" s="41"/>
      <c r="I931" s="42"/>
      <c r="J931" s="41"/>
      <c r="K931" s="41"/>
      <c r="L931" s="43"/>
    </row>
    <row r="932" spans="2:12" outlineLevel="2">
      <c r="B932" s="40">
        <f t="shared" si="28"/>
        <v>468</v>
      </c>
      <c r="C932" s="41" t="s">
        <v>175</v>
      </c>
      <c r="D932" s="41"/>
      <c r="E932" s="41"/>
      <c r="F932" s="41"/>
      <c r="G932" s="41"/>
      <c r="H932" s="41"/>
      <c r="I932" s="42"/>
      <c r="J932" s="41"/>
      <c r="K932" s="41"/>
      <c r="L932" s="43"/>
    </row>
    <row r="933" spans="2:12" outlineLevel="2">
      <c r="B933" s="40">
        <f t="shared" si="28"/>
        <v>469</v>
      </c>
      <c r="C933" s="41" t="s">
        <v>175</v>
      </c>
      <c r="D933" s="41"/>
      <c r="E933" s="41"/>
      <c r="F933" s="41"/>
      <c r="G933" s="41"/>
      <c r="H933" s="41"/>
      <c r="I933" s="42"/>
      <c r="J933" s="41"/>
      <c r="K933" s="41"/>
      <c r="L933" s="43"/>
    </row>
    <row r="934" spans="2:12" outlineLevel="2">
      <c r="B934" s="40">
        <f t="shared" si="28"/>
        <v>470</v>
      </c>
      <c r="C934" s="41" t="s">
        <v>175</v>
      </c>
      <c r="D934" s="41"/>
      <c r="E934" s="41"/>
      <c r="F934" s="41"/>
      <c r="G934" s="41"/>
      <c r="H934" s="41"/>
      <c r="I934" s="42"/>
      <c r="J934" s="41"/>
      <c r="K934" s="41"/>
      <c r="L934" s="43"/>
    </row>
    <row r="935" spans="2:12" outlineLevel="2">
      <c r="B935" s="40">
        <f t="shared" si="28"/>
        <v>471</v>
      </c>
      <c r="C935" s="41" t="s">
        <v>175</v>
      </c>
      <c r="D935" s="41"/>
      <c r="E935" s="41"/>
      <c r="F935" s="41"/>
      <c r="G935" s="41"/>
      <c r="H935" s="41"/>
      <c r="I935" s="42"/>
      <c r="J935" s="41"/>
      <c r="K935" s="41"/>
      <c r="L935" s="43"/>
    </row>
    <row r="936" spans="2:12" outlineLevel="2">
      <c r="B936" s="40">
        <f t="shared" si="28"/>
        <v>472</v>
      </c>
      <c r="C936" s="41" t="s">
        <v>175</v>
      </c>
      <c r="D936" s="41"/>
      <c r="E936" s="41"/>
      <c r="F936" s="41"/>
      <c r="G936" s="41"/>
      <c r="H936" s="41"/>
      <c r="I936" s="42"/>
      <c r="J936" s="41"/>
      <c r="K936" s="41"/>
      <c r="L936" s="43"/>
    </row>
    <row r="937" spans="2:12" outlineLevel="2">
      <c r="B937" s="40">
        <f t="shared" si="28"/>
        <v>473</v>
      </c>
      <c r="C937" s="41" t="s">
        <v>175</v>
      </c>
      <c r="D937" s="41"/>
      <c r="E937" s="41"/>
      <c r="F937" s="41"/>
      <c r="G937" s="41"/>
      <c r="H937" s="41"/>
      <c r="I937" s="42"/>
      <c r="J937" s="41"/>
      <c r="K937" s="41"/>
      <c r="L937" s="43"/>
    </row>
    <row r="938" spans="2:12" outlineLevel="2">
      <c r="B938" s="40">
        <f t="shared" si="28"/>
        <v>474</v>
      </c>
      <c r="C938" s="41" t="s">
        <v>175</v>
      </c>
      <c r="D938" s="41"/>
      <c r="E938" s="41"/>
      <c r="F938" s="41"/>
      <c r="G938" s="41"/>
      <c r="H938" s="41"/>
      <c r="I938" s="42"/>
      <c r="J938" s="41"/>
      <c r="K938" s="41"/>
      <c r="L938" s="43"/>
    </row>
    <row r="939" spans="2:12" outlineLevel="2">
      <c r="B939" s="40">
        <f t="shared" si="28"/>
        <v>475</v>
      </c>
      <c r="C939" s="41" t="s">
        <v>175</v>
      </c>
      <c r="D939" s="41"/>
      <c r="E939" s="41"/>
      <c r="F939" s="41"/>
      <c r="G939" s="41"/>
      <c r="H939" s="41"/>
      <c r="I939" s="42"/>
      <c r="J939" s="41"/>
      <c r="K939" s="41"/>
      <c r="L939" s="43"/>
    </row>
    <row r="940" spans="2:12" outlineLevel="2">
      <c r="B940" s="40">
        <f t="shared" si="28"/>
        <v>476</v>
      </c>
      <c r="C940" s="41" t="s">
        <v>175</v>
      </c>
      <c r="D940" s="41"/>
      <c r="E940" s="41"/>
      <c r="F940" s="41"/>
      <c r="G940" s="41"/>
      <c r="H940" s="41"/>
      <c r="I940" s="42"/>
      <c r="J940" s="41"/>
      <c r="K940" s="41"/>
      <c r="L940" s="43"/>
    </row>
    <row r="941" spans="2:12" outlineLevel="2">
      <c r="B941" s="40">
        <f t="shared" si="28"/>
        <v>477</v>
      </c>
      <c r="C941" s="41" t="s">
        <v>175</v>
      </c>
      <c r="D941" s="41"/>
      <c r="E941" s="41"/>
      <c r="F941" s="41"/>
      <c r="G941" s="41"/>
      <c r="H941" s="41"/>
      <c r="I941" s="42"/>
      <c r="J941" s="41"/>
      <c r="K941" s="41"/>
      <c r="L941" s="43"/>
    </row>
    <row r="942" spans="2:12" outlineLevel="2">
      <c r="B942" s="40">
        <f t="shared" si="28"/>
        <v>478</v>
      </c>
      <c r="C942" s="41" t="s">
        <v>175</v>
      </c>
      <c r="D942" s="41"/>
      <c r="E942" s="41"/>
      <c r="F942" s="41"/>
      <c r="G942" s="41"/>
      <c r="H942" s="41"/>
      <c r="I942" s="42"/>
      <c r="J942" s="41"/>
      <c r="K942" s="41"/>
      <c r="L942" s="43"/>
    </row>
    <row r="943" spans="2:12" outlineLevel="2">
      <c r="B943" s="40">
        <f t="shared" si="28"/>
        <v>479</v>
      </c>
      <c r="C943" s="41" t="s">
        <v>175</v>
      </c>
      <c r="D943" s="41"/>
      <c r="E943" s="41"/>
      <c r="F943" s="41"/>
      <c r="G943" s="41"/>
      <c r="H943" s="41"/>
      <c r="I943" s="42"/>
      <c r="J943" s="41"/>
      <c r="K943" s="41"/>
      <c r="L943" s="43"/>
    </row>
    <row r="944" spans="2:12" outlineLevel="2">
      <c r="B944" s="40">
        <f t="shared" si="28"/>
        <v>480</v>
      </c>
      <c r="C944" s="41" t="s">
        <v>175</v>
      </c>
      <c r="D944" s="41"/>
      <c r="E944" s="41"/>
      <c r="F944" s="41"/>
      <c r="G944" s="41"/>
      <c r="H944" s="41"/>
      <c r="I944" s="42"/>
      <c r="J944" s="41"/>
      <c r="K944" s="41"/>
      <c r="L944" s="43"/>
    </row>
    <row r="945" spans="2:12" outlineLevel="2">
      <c r="B945" s="40">
        <f t="shared" si="28"/>
        <v>481</v>
      </c>
      <c r="C945" s="41" t="s">
        <v>175</v>
      </c>
      <c r="D945" s="41"/>
      <c r="E945" s="41"/>
      <c r="F945" s="41"/>
      <c r="G945" s="41"/>
      <c r="H945" s="41"/>
      <c r="I945" s="42"/>
      <c r="J945" s="41"/>
      <c r="K945" s="41"/>
      <c r="L945" s="43"/>
    </row>
    <row r="946" spans="2:12" outlineLevel="2">
      <c r="B946" s="40">
        <f t="shared" si="28"/>
        <v>482</v>
      </c>
      <c r="C946" s="41" t="s">
        <v>175</v>
      </c>
      <c r="D946" s="41"/>
      <c r="E946" s="41"/>
      <c r="F946" s="41"/>
      <c r="G946" s="41"/>
      <c r="H946" s="41"/>
      <c r="I946" s="42"/>
      <c r="J946" s="41"/>
      <c r="K946" s="41"/>
      <c r="L946" s="43"/>
    </row>
    <row r="947" spans="2:12" outlineLevel="2">
      <c r="B947" s="40">
        <f t="shared" si="28"/>
        <v>483</v>
      </c>
      <c r="C947" s="41" t="s">
        <v>175</v>
      </c>
      <c r="D947" s="41"/>
      <c r="E947" s="41"/>
      <c r="F947" s="41"/>
      <c r="G947" s="41"/>
      <c r="H947" s="41"/>
      <c r="I947" s="42"/>
      <c r="J947" s="41"/>
      <c r="K947" s="41"/>
      <c r="L947" s="43"/>
    </row>
    <row r="948" spans="2:12" outlineLevel="2">
      <c r="B948" s="40">
        <f t="shared" si="28"/>
        <v>484</v>
      </c>
      <c r="C948" s="41" t="s">
        <v>175</v>
      </c>
      <c r="D948" s="41"/>
      <c r="E948" s="41"/>
      <c r="F948" s="41"/>
      <c r="G948" s="41"/>
      <c r="H948" s="41"/>
      <c r="I948" s="42"/>
      <c r="J948" s="41"/>
      <c r="K948" s="41"/>
      <c r="L948" s="43"/>
    </row>
    <row r="949" spans="2:12" outlineLevel="2">
      <c r="B949" s="40">
        <f t="shared" si="28"/>
        <v>485</v>
      </c>
      <c r="C949" s="41" t="s">
        <v>175</v>
      </c>
      <c r="D949" s="41"/>
      <c r="E949" s="41"/>
      <c r="F949" s="41"/>
      <c r="G949" s="41"/>
      <c r="H949" s="41"/>
      <c r="I949" s="42"/>
      <c r="J949" s="41"/>
      <c r="K949" s="41"/>
      <c r="L949" s="43"/>
    </row>
    <row r="950" spans="2:12" outlineLevel="2">
      <c r="B950" s="40">
        <f t="shared" si="28"/>
        <v>486</v>
      </c>
      <c r="C950" s="41" t="s">
        <v>175</v>
      </c>
      <c r="D950" s="41"/>
      <c r="E950" s="41"/>
      <c r="F950" s="41"/>
      <c r="G950" s="41"/>
      <c r="H950" s="41"/>
      <c r="I950" s="42"/>
      <c r="J950" s="41"/>
      <c r="K950" s="41"/>
      <c r="L950" s="43"/>
    </row>
    <row r="951" spans="2:12" outlineLevel="2">
      <c r="B951" s="40">
        <f t="shared" si="28"/>
        <v>487</v>
      </c>
      <c r="C951" s="41" t="s">
        <v>175</v>
      </c>
      <c r="D951" s="41"/>
      <c r="E951" s="41"/>
      <c r="F951" s="41"/>
      <c r="G951" s="41"/>
      <c r="H951" s="41"/>
      <c r="I951" s="42"/>
      <c r="J951" s="41"/>
      <c r="K951" s="41"/>
      <c r="L951" s="43"/>
    </row>
    <row r="952" spans="2:12" outlineLevel="2">
      <c r="B952" s="40">
        <f t="shared" si="28"/>
        <v>488</v>
      </c>
      <c r="C952" s="41" t="s">
        <v>175</v>
      </c>
      <c r="D952" s="41"/>
      <c r="E952" s="41"/>
      <c r="F952" s="41"/>
      <c r="G952" s="41"/>
      <c r="H952" s="41"/>
      <c r="I952" s="42"/>
      <c r="J952" s="41"/>
      <c r="K952" s="41"/>
      <c r="L952" s="43"/>
    </row>
    <row r="953" spans="2:12" outlineLevel="2">
      <c r="B953" s="40">
        <f t="shared" ref="B953:B984" si="29">ROW(A489)</f>
        <v>489</v>
      </c>
      <c r="C953" s="41" t="s">
        <v>175</v>
      </c>
      <c r="D953" s="41"/>
      <c r="E953" s="41"/>
      <c r="F953" s="41"/>
      <c r="G953" s="41"/>
      <c r="H953" s="41"/>
      <c r="I953" s="42"/>
      <c r="J953" s="41"/>
      <c r="K953" s="41"/>
      <c r="L953" s="43"/>
    </row>
    <row r="954" spans="2:12" outlineLevel="2">
      <c r="B954" s="40">
        <f t="shared" si="29"/>
        <v>490</v>
      </c>
      <c r="C954" s="41" t="s">
        <v>175</v>
      </c>
      <c r="D954" s="41"/>
      <c r="E954" s="41"/>
      <c r="F954" s="41"/>
      <c r="G954" s="41"/>
      <c r="H954" s="41"/>
      <c r="I954" s="42"/>
      <c r="J954" s="41"/>
      <c r="K954" s="41"/>
      <c r="L954" s="43"/>
    </row>
    <row r="955" spans="2:12" outlineLevel="2">
      <c r="B955" s="40">
        <f t="shared" si="29"/>
        <v>491</v>
      </c>
      <c r="C955" s="41" t="s">
        <v>175</v>
      </c>
      <c r="D955" s="41"/>
      <c r="E955" s="41"/>
      <c r="F955" s="41"/>
      <c r="G955" s="41"/>
      <c r="H955" s="41"/>
      <c r="I955" s="42"/>
      <c r="J955" s="41"/>
      <c r="K955" s="41"/>
      <c r="L955" s="43"/>
    </row>
    <row r="956" spans="2:12" outlineLevel="2">
      <c r="B956" s="40">
        <f t="shared" si="29"/>
        <v>492</v>
      </c>
      <c r="C956" s="41" t="s">
        <v>175</v>
      </c>
      <c r="D956" s="41"/>
      <c r="E956" s="41"/>
      <c r="F956" s="41"/>
      <c r="G956" s="41"/>
      <c r="H956" s="41"/>
      <c r="I956" s="42"/>
      <c r="J956" s="41"/>
      <c r="K956" s="41"/>
      <c r="L956" s="43"/>
    </row>
    <row r="957" spans="2:12" outlineLevel="2">
      <c r="B957" s="40">
        <f t="shared" si="29"/>
        <v>493</v>
      </c>
      <c r="C957" s="41" t="s">
        <v>175</v>
      </c>
      <c r="D957" s="41"/>
      <c r="E957" s="41"/>
      <c r="F957" s="41"/>
      <c r="G957" s="41"/>
      <c r="H957" s="41"/>
      <c r="I957" s="42"/>
      <c r="J957" s="41"/>
      <c r="K957" s="41"/>
      <c r="L957" s="43"/>
    </row>
    <row r="958" spans="2:12" outlineLevel="2">
      <c r="B958" s="40">
        <f t="shared" si="29"/>
        <v>494</v>
      </c>
      <c r="C958" s="41" t="s">
        <v>175</v>
      </c>
      <c r="D958" s="41"/>
      <c r="E958" s="41"/>
      <c r="F958" s="41"/>
      <c r="G958" s="41"/>
      <c r="H958" s="41"/>
      <c r="I958" s="42"/>
      <c r="J958" s="41"/>
      <c r="K958" s="41"/>
      <c r="L958" s="43"/>
    </row>
    <row r="959" spans="2:12" outlineLevel="2">
      <c r="B959" s="40">
        <f t="shared" si="29"/>
        <v>495</v>
      </c>
      <c r="C959" s="41" t="s">
        <v>175</v>
      </c>
      <c r="D959" s="41"/>
      <c r="E959" s="41"/>
      <c r="F959" s="41"/>
      <c r="G959" s="41"/>
      <c r="H959" s="41"/>
      <c r="I959" s="42"/>
      <c r="J959" s="41"/>
      <c r="K959" s="41"/>
      <c r="L959" s="43"/>
    </row>
    <row r="960" spans="2:12" outlineLevel="2">
      <c r="B960" s="40">
        <f t="shared" si="29"/>
        <v>496</v>
      </c>
      <c r="C960" s="41" t="s">
        <v>175</v>
      </c>
      <c r="D960" s="41"/>
      <c r="E960" s="41"/>
      <c r="F960" s="41"/>
      <c r="G960" s="41"/>
      <c r="H960" s="41"/>
      <c r="I960" s="42"/>
      <c r="J960" s="41"/>
      <c r="K960" s="41"/>
      <c r="L960" s="43"/>
    </row>
    <row r="961" spans="2:12" outlineLevel="2">
      <c r="B961" s="40">
        <f t="shared" si="29"/>
        <v>497</v>
      </c>
      <c r="C961" s="41" t="s">
        <v>175</v>
      </c>
      <c r="D961" s="41"/>
      <c r="E961" s="41"/>
      <c r="F961" s="41"/>
      <c r="G961" s="41"/>
      <c r="H961" s="41"/>
      <c r="I961" s="42"/>
      <c r="J961" s="41"/>
      <c r="K961" s="41"/>
      <c r="L961" s="43"/>
    </row>
    <row r="962" spans="2:12" outlineLevel="2">
      <c r="B962" s="40">
        <f t="shared" si="29"/>
        <v>498</v>
      </c>
      <c r="C962" s="41" t="s">
        <v>175</v>
      </c>
      <c r="D962" s="41"/>
      <c r="E962" s="41"/>
      <c r="F962" s="41"/>
      <c r="G962" s="41"/>
      <c r="H962" s="41"/>
      <c r="I962" s="42"/>
      <c r="J962" s="41"/>
      <c r="K962" s="41"/>
      <c r="L962" s="43"/>
    </row>
    <row r="963" spans="2:12" outlineLevel="2">
      <c r="B963" s="40">
        <f t="shared" si="29"/>
        <v>499</v>
      </c>
      <c r="C963" s="41" t="s">
        <v>175</v>
      </c>
      <c r="D963" s="41"/>
      <c r="E963" s="41"/>
      <c r="F963" s="41"/>
      <c r="G963" s="41"/>
      <c r="H963" s="41"/>
      <c r="I963" s="42"/>
      <c r="J963" s="41"/>
      <c r="K963" s="41"/>
      <c r="L963" s="43"/>
    </row>
    <row r="964" spans="2:12" outlineLevel="2">
      <c r="B964" s="40">
        <f t="shared" si="29"/>
        <v>500</v>
      </c>
      <c r="C964" s="41" t="s">
        <v>175</v>
      </c>
      <c r="D964" s="41"/>
      <c r="E964" s="41"/>
      <c r="F964" s="41"/>
      <c r="G964" s="41"/>
      <c r="H964" s="41"/>
      <c r="I964" s="42"/>
      <c r="J964" s="41"/>
      <c r="K964" s="41"/>
      <c r="L964" s="43"/>
    </row>
    <row r="965" spans="2:12" outlineLevel="2">
      <c r="B965" s="40">
        <f t="shared" si="29"/>
        <v>501</v>
      </c>
      <c r="C965" s="41" t="s">
        <v>175</v>
      </c>
      <c r="D965" s="41"/>
      <c r="E965" s="41"/>
      <c r="F965" s="41"/>
      <c r="G965" s="41"/>
      <c r="H965" s="41"/>
      <c r="I965" s="42"/>
      <c r="J965" s="41"/>
      <c r="K965" s="41"/>
      <c r="L965" s="43"/>
    </row>
    <row r="966" spans="2:12" outlineLevel="2">
      <c r="B966" s="40">
        <f t="shared" si="29"/>
        <v>502</v>
      </c>
      <c r="C966" s="41" t="s">
        <v>175</v>
      </c>
      <c r="D966" s="41"/>
      <c r="E966" s="41"/>
      <c r="F966" s="41"/>
      <c r="G966" s="41"/>
      <c r="H966" s="41"/>
      <c r="I966" s="42"/>
      <c r="J966" s="41"/>
      <c r="K966" s="41"/>
      <c r="L966" s="43"/>
    </row>
    <row r="967" spans="2:12" outlineLevel="2">
      <c r="B967" s="40">
        <f t="shared" si="29"/>
        <v>503</v>
      </c>
      <c r="C967" s="41" t="s">
        <v>175</v>
      </c>
      <c r="D967" s="41"/>
      <c r="E967" s="41"/>
      <c r="F967" s="41"/>
      <c r="G967" s="41"/>
      <c r="H967" s="41"/>
      <c r="I967" s="42"/>
      <c r="J967" s="41"/>
      <c r="K967" s="41"/>
      <c r="L967" s="43"/>
    </row>
    <row r="968" spans="2:12" outlineLevel="2">
      <c r="B968" s="40">
        <f t="shared" si="29"/>
        <v>504</v>
      </c>
      <c r="C968" s="41" t="s">
        <v>175</v>
      </c>
      <c r="D968" s="41"/>
      <c r="E968" s="41"/>
      <c r="F968" s="41"/>
      <c r="G968" s="41"/>
      <c r="H968" s="41"/>
      <c r="I968" s="42"/>
      <c r="J968" s="41"/>
      <c r="K968" s="41"/>
      <c r="L968" s="43"/>
    </row>
    <row r="969" spans="2:12" outlineLevel="2">
      <c r="B969" s="40">
        <f t="shared" si="29"/>
        <v>505</v>
      </c>
      <c r="C969" s="41" t="s">
        <v>175</v>
      </c>
      <c r="D969" s="41"/>
      <c r="E969" s="41"/>
      <c r="F969" s="41"/>
      <c r="G969" s="41"/>
      <c r="H969" s="41"/>
      <c r="I969" s="42"/>
      <c r="J969" s="41"/>
      <c r="K969" s="41"/>
      <c r="L969" s="43"/>
    </row>
    <row r="970" spans="2:12" outlineLevel="2">
      <c r="B970" s="40">
        <f t="shared" si="29"/>
        <v>506</v>
      </c>
      <c r="C970" s="41" t="s">
        <v>175</v>
      </c>
      <c r="D970" s="41"/>
      <c r="E970" s="41"/>
      <c r="F970" s="41"/>
      <c r="G970" s="41"/>
      <c r="H970" s="41"/>
      <c r="I970" s="42"/>
      <c r="J970" s="41"/>
      <c r="K970" s="41"/>
      <c r="L970" s="43"/>
    </row>
    <row r="971" spans="2:12" outlineLevel="2">
      <c r="B971" s="40">
        <f t="shared" si="29"/>
        <v>507</v>
      </c>
      <c r="C971" s="41" t="s">
        <v>175</v>
      </c>
      <c r="D971" s="41"/>
      <c r="E971" s="41"/>
      <c r="F971" s="41"/>
      <c r="G971" s="41"/>
      <c r="H971" s="41"/>
      <c r="I971" s="42"/>
      <c r="J971" s="41"/>
      <c r="K971" s="41"/>
      <c r="L971" s="43"/>
    </row>
    <row r="972" spans="2:12" outlineLevel="2">
      <c r="B972" s="40">
        <f t="shared" si="29"/>
        <v>508</v>
      </c>
      <c r="C972" s="41" t="s">
        <v>175</v>
      </c>
      <c r="D972" s="41"/>
      <c r="E972" s="41"/>
      <c r="F972" s="41"/>
      <c r="G972" s="41"/>
      <c r="H972" s="41"/>
      <c r="I972" s="42"/>
      <c r="J972" s="41"/>
      <c r="K972" s="41"/>
      <c r="L972" s="43"/>
    </row>
    <row r="973" spans="2:12" outlineLevel="2">
      <c r="B973" s="40">
        <f t="shared" si="29"/>
        <v>509</v>
      </c>
      <c r="C973" s="41" t="s">
        <v>175</v>
      </c>
      <c r="D973" s="41"/>
      <c r="E973" s="41"/>
      <c r="F973" s="41"/>
      <c r="G973" s="41"/>
      <c r="H973" s="41"/>
      <c r="I973" s="42"/>
      <c r="J973" s="41"/>
      <c r="K973" s="41"/>
      <c r="L973" s="43"/>
    </row>
    <row r="974" spans="2:12" outlineLevel="2">
      <c r="B974" s="40">
        <f t="shared" si="29"/>
        <v>510</v>
      </c>
      <c r="C974" s="41" t="s">
        <v>175</v>
      </c>
      <c r="D974" s="41"/>
      <c r="E974" s="41"/>
      <c r="F974" s="41"/>
      <c r="G974" s="41"/>
      <c r="H974" s="41"/>
      <c r="I974" s="42"/>
      <c r="J974" s="41"/>
      <c r="K974" s="41"/>
      <c r="L974" s="43"/>
    </row>
    <row r="975" spans="2:12" outlineLevel="2">
      <c r="B975" s="40">
        <f t="shared" si="29"/>
        <v>511</v>
      </c>
      <c r="C975" s="41" t="s">
        <v>175</v>
      </c>
      <c r="D975" s="41"/>
      <c r="E975" s="41"/>
      <c r="F975" s="41"/>
      <c r="G975" s="41"/>
      <c r="H975" s="41"/>
      <c r="I975" s="42"/>
      <c r="J975" s="41"/>
      <c r="K975" s="41"/>
      <c r="L975" s="43"/>
    </row>
    <row r="976" spans="2:12" outlineLevel="2">
      <c r="B976" s="40">
        <f t="shared" si="29"/>
        <v>512</v>
      </c>
      <c r="C976" s="41" t="s">
        <v>175</v>
      </c>
      <c r="D976" s="41"/>
      <c r="E976" s="41"/>
      <c r="F976" s="41"/>
      <c r="G976" s="41"/>
      <c r="H976" s="41"/>
      <c r="I976" s="42"/>
      <c r="J976" s="41"/>
      <c r="K976" s="41"/>
      <c r="L976" s="43"/>
    </row>
    <row r="977" spans="2:12" outlineLevel="2">
      <c r="B977" s="40">
        <f t="shared" si="29"/>
        <v>513</v>
      </c>
      <c r="C977" s="41" t="s">
        <v>175</v>
      </c>
      <c r="D977" s="41"/>
      <c r="E977" s="41"/>
      <c r="F977" s="41"/>
      <c r="G977" s="41"/>
      <c r="H977" s="41"/>
      <c r="I977" s="42"/>
      <c r="J977" s="41"/>
      <c r="K977" s="41"/>
      <c r="L977" s="43"/>
    </row>
    <row r="978" spans="2:12" outlineLevel="2">
      <c r="B978" s="40">
        <f t="shared" si="29"/>
        <v>514</v>
      </c>
      <c r="C978" s="41" t="s">
        <v>175</v>
      </c>
      <c r="D978" s="41"/>
      <c r="E978" s="41"/>
      <c r="F978" s="41"/>
      <c r="G978" s="41"/>
      <c r="H978" s="41"/>
      <c r="I978" s="42"/>
      <c r="J978" s="41"/>
      <c r="K978" s="41"/>
      <c r="L978" s="43"/>
    </row>
    <row r="979" spans="2:12" outlineLevel="2">
      <c r="B979" s="40">
        <f t="shared" si="29"/>
        <v>515</v>
      </c>
      <c r="C979" s="41" t="s">
        <v>175</v>
      </c>
      <c r="D979" s="41"/>
      <c r="E979" s="41"/>
      <c r="F979" s="41"/>
      <c r="G979" s="41"/>
      <c r="H979" s="41"/>
      <c r="I979" s="42"/>
      <c r="J979" s="41"/>
      <c r="K979" s="41"/>
      <c r="L979" s="43"/>
    </row>
    <row r="980" spans="2:12" outlineLevel="2">
      <c r="B980" s="40">
        <f t="shared" si="29"/>
        <v>516</v>
      </c>
      <c r="C980" s="41" t="s">
        <v>175</v>
      </c>
      <c r="D980" s="41"/>
      <c r="E980" s="41"/>
      <c r="F980" s="41"/>
      <c r="G980" s="41"/>
      <c r="H980" s="41"/>
      <c r="I980" s="42"/>
      <c r="J980" s="41"/>
      <c r="K980" s="41"/>
      <c r="L980" s="43"/>
    </row>
    <row r="981" spans="2:12" outlineLevel="2">
      <c r="B981" s="40">
        <f t="shared" si="29"/>
        <v>517</v>
      </c>
      <c r="C981" s="41" t="s">
        <v>175</v>
      </c>
      <c r="D981" s="41"/>
      <c r="E981" s="41"/>
      <c r="F981" s="41"/>
      <c r="G981" s="41"/>
      <c r="H981" s="41"/>
      <c r="I981" s="42"/>
      <c r="J981" s="41"/>
      <c r="K981" s="41"/>
      <c r="L981" s="43"/>
    </row>
    <row r="982" spans="2:12" outlineLevel="2">
      <c r="B982" s="40">
        <f t="shared" si="29"/>
        <v>518</v>
      </c>
      <c r="C982" s="41" t="s">
        <v>175</v>
      </c>
      <c r="D982" s="41"/>
      <c r="E982" s="41"/>
      <c r="F982" s="41"/>
      <c r="G982" s="41"/>
      <c r="H982" s="41"/>
      <c r="I982" s="42"/>
      <c r="J982" s="41"/>
      <c r="K982" s="41"/>
      <c r="L982" s="43"/>
    </row>
    <row r="983" spans="2:12" outlineLevel="2">
      <c r="B983" s="40">
        <f t="shared" si="29"/>
        <v>519</v>
      </c>
      <c r="C983" s="41" t="s">
        <v>175</v>
      </c>
      <c r="D983" s="41"/>
      <c r="E983" s="41"/>
      <c r="F983" s="41"/>
      <c r="G983" s="41"/>
      <c r="H983" s="41"/>
      <c r="I983" s="42"/>
      <c r="J983" s="41"/>
      <c r="K983" s="41"/>
      <c r="L983" s="43"/>
    </row>
    <row r="984" spans="2:12" outlineLevel="2">
      <c r="B984" s="40">
        <f t="shared" si="29"/>
        <v>520</v>
      </c>
      <c r="C984" s="41" t="s">
        <v>175</v>
      </c>
      <c r="D984" s="41"/>
      <c r="E984" s="41"/>
      <c r="F984" s="41"/>
      <c r="G984" s="41"/>
      <c r="H984" s="41"/>
      <c r="I984" s="42"/>
      <c r="J984" s="41"/>
      <c r="K984" s="41"/>
      <c r="L984" s="43"/>
    </row>
    <row r="985" spans="2:12" outlineLevel="2">
      <c r="B985" s="40">
        <f t="shared" ref="B985" si="30">ROW(A521)</f>
        <v>521</v>
      </c>
      <c r="C985" s="41" t="s">
        <v>175</v>
      </c>
      <c r="D985" s="41"/>
      <c r="E985" s="41"/>
      <c r="F985" s="41"/>
      <c r="G985" s="41"/>
      <c r="H985" s="41"/>
      <c r="I985" s="42"/>
      <c r="J985" s="41"/>
      <c r="K985" s="41"/>
      <c r="L985" s="43"/>
    </row>
    <row r="986" spans="2:12" outlineLevel="2">
      <c r="B986" s="35">
        <f t="shared" ref="B986:B1017" si="31">(B985+1)</f>
        <v>522</v>
      </c>
      <c r="C986" s="41" t="s">
        <v>175</v>
      </c>
      <c r="D986" s="41"/>
      <c r="E986" s="41"/>
      <c r="F986" s="41"/>
      <c r="G986" s="41"/>
      <c r="H986" s="41"/>
      <c r="I986" s="42"/>
      <c r="J986" s="41"/>
      <c r="K986" s="41"/>
      <c r="L986" s="43"/>
    </row>
    <row r="987" spans="2:12" outlineLevel="2">
      <c r="B987" s="35">
        <f t="shared" si="31"/>
        <v>523</v>
      </c>
      <c r="C987" s="41" t="s">
        <v>175</v>
      </c>
      <c r="D987" s="41"/>
      <c r="E987" s="41"/>
      <c r="F987" s="41"/>
      <c r="G987" s="41"/>
      <c r="H987" s="41"/>
      <c r="I987" s="42"/>
      <c r="J987" s="41"/>
      <c r="K987" s="41"/>
      <c r="L987" s="43"/>
    </row>
    <row r="988" spans="2:12" outlineLevel="2">
      <c r="B988" s="35">
        <f t="shared" si="31"/>
        <v>524</v>
      </c>
      <c r="C988" s="41" t="s">
        <v>175</v>
      </c>
      <c r="D988" s="41"/>
      <c r="E988" s="41"/>
      <c r="F988" s="41"/>
      <c r="G988" s="41"/>
      <c r="H988" s="41"/>
      <c r="I988" s="42"/>
      <c r="J988" s="41"/>
      <c r="K988" s="41"/>
      <c r="L988" s="43"/>
    </row>
    <row r="989" spans="2:12" outlineLevel="2">
      <c r="B989" s="35">
        <f t="shared" si="31"/>
        <v>525</v>
      </c>
      <c r="C989" s="41" t="s">
        <v>175</v>
      </c>
      <c r="D989" s="41"/>
      <c r="E989" s="41"/>
      <c r="F989" s="41"/>
      <c r="G989" s="41"/>
      <c r="H989" s="41"/>
      <c r="I989" s="42"/>
      <c r="J989" s="41"/>
      <c r="K989" s="41"/>
      <c r="L989" s="43"/>
    </row>
    <row r="990" spans="2:12" outlineLevel="2">
      <c r="B990" s="35">
        <f t="shared" si="31"/>
        <v>526</v>
      </c>
      <c r="C990" s="41" t="s">
        <v>175</v>
      </c>
      <c r="D990" s="41"/>
      <c r="E990" s="41"/>
      <c r="F990" s="41"/>
      <c r="G990" s="41"/>
      <c r="H990" s="41"/>
      <c r="I990" s="42"/>
      <c r="J990" s="41"/>
      <c r="K990" s="41"/>
      <c r="L990" s="43"/>
    </row>
    <row r="991" spans="2:12" outlineLevel="2">
      <c r="B991" s="35">
        <f t="shared" si="31"/>
        <v>527</v>
      </c>
      <c r="C991" s="41" t="s">
        <v>175</v>
      </c>
      <c r="D991" s="41"/>
      <c r="E991" s="41"/>
      <c r="F991" s="41"/>
      <c r="G991" s="41"/>
      <c r="H991" s="41"/>
      <c r="I991" s="42"/>
      <c r="J991" s="41"/>
      <c r="K991" s="41"/>
      <c r="L991" s="43"/>
    </row>
    <row r="992" spans="2:12" outlineLevel="2">
      <c r="B992" s="35">
        <f t="shared" si="31"/>
        <v>528</v>
      </c>
      <c r="C992" s="41" t="s">
        <v>175</v>
      </c>
      <c r="D992" s="41"/>
      <c r="E992" s="41"/>
      <c r="F992" s="41"/>
      <c r="G992" s="41"/>
      <c r="H992" s="41"/>
      <c r="I992" s="42"/>
      <c r="J992" s="41"/>
      <c r="K992" s="41"/>
      <c r="L992" s="43"/>
    </row>
    <row r="993" spans="2:12" outlineLevel="2">
      <c r="B993" s="35">
        <f t="shared" si="31"/>
        <v>529</v>
      </c>
      <c r="C993" s="41" t="s">
        <v>175</v>
      </c>
      <c r="D993" s="41"/>
      <c r="E993" s="41"/>
      <c r="F993" s="41"/>
      <c r="G993" s="41"/>
      <c r="H993" s="41"/>
      <c r="I993" s="42"/>
      <c r="J993" s="41"/>
      <c r="K993" s="41"/>
      <c r="L993" s="43"/>
    </row>
    <row r="994" spans="2:12" outlineLevel="2">
      <c r="B994" s="35">
        <f t="shared" si="31"/>
        <v>530</v>
      </c>
      <c r="C994" s="41" t="s">
        <v>175</v>
      </c>
      <c r="D994" s="41"/>
      <c r="E994" s="41"/>
      <c r="F994" s="41"/>
      <c r="G994" s="41"/>
      <c r="H994" s="41"/>
      <c r="I994" s="42"/>
      <c r="J994" s="41"/>
      <c r="K994" s="41"/>
      <c r="L994" s="43"/>
    </row>
    <row r="995" spans="2:12" outlineLevel="2">
      <c r="B995" s="35">
        <f t="shared" si="31"/>
        <v>531</v>
      </c>
      <c r="C995" s="41" t="s">
        <v>175</v>
      </c>
      <c r="D995" s="41"/>
      <c r="E995" s="41"/>
      <c r="F995" s="41"/>
      <c r="G995" s="41"/>
      <c r="H995" s="41"/>
      <c r="I995" s="42"/>
      <c r="J995" s="41"/>
      <c r="K995" s="41"/>
      <c r="L995" s="43"/>
    </row>
    <row r="996" spans="2:12" outlineLevel="2">
      <c r="B996" s="35">
        <f t="shared" si="31"/>
        <v>532</v>
      </c>
      <c r="C996" s="41" t="s">
        <v>175</v>
      </c>
      <c r="D996" s="41"/>
      <c r="E996" s="41"/>
      <c r="F996" s="41"/>
      <c r="G996" s="41"/>
      <c r="H996" s="41"/>
      <c r="I996" s="42"/>
      <c r="J996" s="41"/>
      <c r="K996" s="41"/>
      <c r="L996" s="43"/>
    </row>
    <row r="997" spans="2:12" outlineLevel="2">
      <c r="B997" s="35">
        <f t="shared" si="31"/>
        <v>533</v>
      </c>
      <c r="C997" s="41" t="s">
        <v>175</v>
      </c>
      <c r="D997" s="41"/>
      <c r="E997" s="41"/>
      <c r="F997" s="41"/>
      <c r="G997" s="41"/>
      <c r="H997" s="41"/>
      <c r="I997" s="42"/>
      <c r="J997" s="41"/>
      <c r="K997" s="41"/>
      <c r="L997" s="43"/>
    </row>
    <row r="998" spans="2:12" outlineLevel="2">
      <c r="B998" s="35">
        <f t="shared" si="31"/>
        <v>534</v>
      </c>
      <c r="C998" s="41" t="s">
        <v>175</v>
      </c>
      <c r="D998" s="41"/>
      <c r="E998" s="41"/>
      <c r="F998" s="41"/>
      <c r="G998" s="41"/>
      <c r="H998" s="41"/>
      <c r="I998" s="42"/>
      <c r="J998" s="41"/>
      <c r="K998" s="41"/>
      <c r="L998" s="43"/>
    </row>
    <row r="999" spans="2:12" outlineLevel="2">
      <c r="B999" s="35">
        <f t="shared" si="31"/>
        <v>535</v>
      </c>
      <c r="C999" s="41" t="s">
        <v>175</v>
      </c>
      <c r="D999" s="41"/>
      <c r="E999" s="41"/>
      <c r="F999" s="41"/>
      <c r="G999" s="41"/>
      <c r="H999" s="41"/>
      <c r="I999" s="42"/>
      <c r="J999" s="41"/>
      <c r="K999" s="41"/>
      <c r="L999" s="43"/>
    </row>
    <row r="1000" spans="2:12" outlineLevel="2">
      <c r="B1000" s="35">
        <f t="shared" si="31"/>
        <v>536</v>
      </c>
      <c r="C1000" s="41" t="s">
        <v>175</v>
      </c>
      <c r="D1000" s="41"/>
      <c r="E1000" s="41"/>
      <c r="F1000" s="41"/>
      <c r="G1000" s="41"/>
      <c r="H1000" s="41"/>
      <c r="I1000" s="42"/>
      <c r="J1000" s="41"/>
      <c r="K1000" s="41"/>
      <c r="L1000" s="43"/>
    </row>
    <row r="1001" spans="2:12" outlineLevel="2">
      <c r="B1001" s="35">
        <f t="shared" si="31"/>
        <v>537</v>
      </c>
      <c r="C1001" s="41" t="s">
        <v>175</v>
      </c>
      <c r="D1001" s="41"/>
      <c r="E1001" s="41"/>
      <c r="F1001" s="41"/>
      <c r="G1001" s="41"/>
      <c r="H1001" s="41"/>
      <c r="I1001" s="42"/>
      <c r="J1001" s="41"/>
      <c r="K1001" s="41"/>
      <c r="L1001" s="43"/>
    </row>
    <row r="1002" spans="2:12" outlineLevel="2">
      <c r="B1002" s="35">
        <f t="shared" si="31"/>
        <v>538</v>
      </c>
      <c r="C1002" s="41" t="s">
        <v>175</v>
      </c>
      <c r="D1002" s="41"/>
      <c r="E1002" s="41"/>
      <c r="F1002" s="41"/>
      <c r="G1002" s="41"/>
      <c r="H1002" s="41"/>
      <c r="I1002" s="42"/>
      <c r="J1002" s="41"/>
      <c r="K1002" s="41"/>
      <c r="L1002" s="43"/>
    </row>
    <row r="1003" spans="2:12" outlineLevel="2">
      <c r="B1003" s="35">
        <f t="shared" si="31"/>
        <v>539</v>
      </c>
      <c r="C1003" s="41" t="s">
        <v>175</v>
      </c>
      <c r="D1003" s="41"/>
      <c r="E1003" s="41"/>
      <c r="F1003" s="41"/>
      <c r="G1003" s="41"/>
      <c r="H1003" s="41"/>
      <c r="I1003" s="42"/>
      <c r="J1003" s="41"/>
      <c r="K1003" s="41"/>
      <c r="L1003" s="43"/>
    </row>
    <row r="1004" spans="2:12" outlineLevel="2">
      <c r="B1004" s="35">
        <f t="shared" si="31"/>
        <v>540</v>
      </c>
      <c r="C1004" s="41" t="s">
        <v>175</v>
      </c>
      <c r="D1004" s="41"/>
      <c r="E1004" s="41"/>
      <c r="F1004" s="41"/>
      <c r="G1004" s="41"/>
      <c r="H1004" s="41"/>
      <c r="I1004" s="42"/>
      <c r="J1004" s="41"/>
      <c r="K1004" s="41"/>
      <c r="L1004" s="43"/>
    </row>
    <row r="1005" spans="2:12" outlineLevel="2">
      <c r="B1005" s="35">
        <f t="shared" si="31"/>
        <v>541</v>
      </c>
      <c r="C1005" s="41" t="s">
        <v>175</v>
      </c>
      <c r="D1005" s="41"/>
      <c r="E1005" s="41"/>
      <c r="F1005" s="41"/>
      <c r="G1005" s="41"/>
      <c r="H1005" s="41"/>
      <c r="I1005" s="42"/>
      <c r="J1005" s="41"/>
      <c r="K1005" s="41"/>
      <c r="L1005" s="43"/>
    </row>
    <row r="1006" spans="2:12" outlineLevel="2">
      <c r="B1006" s="35">
        <f t="shared" si="31"/>
        <v>542</v>
      </c>
      <c r="C1006" s="41" t="s">
        <v>175</v>
      </c>
      <c r="D1006" s="41"/>
      <c r="E1006" s="41"/>
      <c r="F1006" s="41"/>
      <c r="G1006" s="41"/>
      <c r="H1006" s="41"/>
      <c r="I1006" s="42"/>
      <c r="J1006" s="41"/>
      <c r="K1006" s="41"/>
      <c r="L1006" s="43"/>
    </row>
    <row r="1007" spans="2:12" outlineLevel="2">
      <c r="B1007" s="35">
        <f t="shared" si="31"/>
        <v>543</v>
      </c>
      <c r="C1007" s="41" t="s">
        <v>175</v>
      </c>
      <c r="D1007" s="41"/>
      <c r="E1007" s="41"/>
      <c r="F1007" s="41"/>
      <c r="G1007" s="41"/>
      <c r="H1007" s="41"/>
      <c r="I1007" s="42"/>
      <c r="J1007" s="41"/>
      <c r="K1007" s="41"/>
      <c r="L1007" s="43"/>
    </row>
    <row r="1008" spans="2:12" outlineLevel="2">
      <c r="B1008" s="35">
        <f t="shared" si="31"/>
        <v>544</v>
      </c>
      <c r="C1008" s="41" t="s">
        <v>175</v>
      </c>
      <c r="D1008" s="41"/>
      <c r="E1008" s="41"/>
      <c r="F1008" s="41"/>
      <c r="G1008" s="41"/>
      <c r="H1008" s="41"/>
      <c r="I1008" s="42"/>
      <c r="J1008" s="41"/>
      <c r="K1008" s="41"/>
      <c r="L1008" s="43"/>
    </row>
    <row r="1009" spans="2:12" outlineLevel="2">
      <c r="B1009" s="35">
        <f t="shared" si="31"/>
        <v>545</v>
      </c>
      <c r="C1009" s="41" t="s">
        <v>175</v>
      </c>
      <c r="D1009" s="41"/>
      <c r="E1009" s="41"/>
      <c r="F1009" s="41"/>
      <c r="G1009" s="41"/>
      <c r="H1009" s="41"/>
      <c r="I1009" s="42"/>
      <c r="J1009" s="41"/>
      <c r="K1009" s="41"/>
      <c r="L1009" s="43"/>
    </row>
    <row r="1010" spans="2:12" outlineLevel="2">
      <c r="B1010" s="35">
        <f t="shared" si="31"/>
        <v>546</v>
      </c>
      <c r="C1010" s="41" t="s">
        <v>175</v>
      </c>
      <c r="D1010" s="41"/>
      <c r="E1010" s="41"/>
      <c r="F1010" s="41"/>
      <c r="G1010" s="41"/>
      <c r="H1010" s="41"/>
      <c r="I1010" s="42"/>
      <c r="J1010" s="41"/>
      <c r="K1010" s="41"/>
      <c r="L1010" s="43"/>
    </row>
    <row r="1011" spans="2:12" outlineLevel="2">
      <c r="B1011" s="35">
        <f t="shared" si="31"/>
        <v>547</v>
      </c>
      <c r="C1011" s="41" t="s">
        <v>175</v>
      </c>
      <c r="D1011" s="41"/>
      <c r="E1011" s="41"/>
      <c r="F1011" s="41"/>
      <c r="G1011" s="41"/>
      <c r="H1011" s="41"/>
      <c r="I1011" s="42"/>
      <c r="J1011" s="41"/>
      <c r="K1011" s="41"/>
      <c r="L1011" s="43"/>
    </row>
    <row r="1012" spans="2:12" outlineLevel="2">
      <c r="B1012" s="35">
        <f t="shared" si="31"/>
        <v>548</v>
      </c>
      <c r="C1012" s="41" t="s">
        <v>175</v>
      </c>
      <c r="D1012" s="41"/>
      <c r="E1012" s="41"/>
      <c r="F1012" s="41"/>
      <c r="G1012" s="41"/>
      <c r="H1012" s="41"/>
      <c r="I1012" s="42"/>
      <c r="J1012" s="41"/>
      <c r="K1012" s="41"/>
      <c r="L1012" s="43"/>
    </row>
    <row r="1013" spans="2:12" outlineLevel="2">
      <c r="B1013" s="35">
        <f t="shared" si="31"/>
        <v>549</v>
      </c>
      <c r="C1013" s="41" t="s">
        <v>175</v>
      </c>
      <c r="D1013" s="41"/>
      <c r="E1013" s="41"/>
      <c r="F1013" s="41"/>
      <c r="G1013" s="41"/>
      <c r="H1013" s="41"/>
      <c r="I1013" s="42"/>
      <c r="J1013" s="41"/>
      <c r="K1013" s="41"/>
      <c r="L1013" s="43"/>
    </row>
    <row r="1014" spans="2:12" outlineLevel="2">
      <c r="B1014" s="35">
        <f t="shared" si="31"/>
        <v>550</v>
      </c>
      <c r="C1014" s="41" t="s">
        <v>175</v>
      </c>
      <c r="D1014" s="41"/>
      <c r="E1014" s="41"/>
      <c r="F1014" s="41"/>
      <c r="G1014" s="41"/>
      <c r="H1014" s="41"/>
      <c r="I1014" s="42"/>
      <c r="J1014" s="41"/>
      <c r="K1014" s="41"/>
      <c r="L1014" s="43"/>
    </row>
    <row r="1015" spans="2:12" outlineLevel="2">
      <c r="B1015" s="35">
        <f t="shared" si="31"/>
        <v>551</v>
      </c>
      <c r="C1015" s="41" t="s">
        <v>175</v>
      </c>
      <c r="D1015" s="41"/>
      <c r="E1015" s="41"/>
      <c r="F1015" s="41"/>
      <c r="G1015" s="41"/>
      <c r="H1015" s="41"/>
      <c r="I1015" s="42"/>
      <c r="J1015" s="41"/>
      <c r="K1015" s="41"/>
      <c r="L1015" s="43"/>
    </row>
    <row r="1016" spans="2:12" outlineLevel="2">
      <c r="B1016" s="35">
        <f t="shared" si="31"/>
        <v>552</v>
      </c>
      <c r="C1016" s="41" t="s">
        <v>175</v>
      </c>
      <c r="D1016" s="41"/>
      <c r="E1016" s="41"/>
      <c r="F1016" s="41"/>
      <c r="G1016" s="41"/>
      <c r="H1016" s="41"/>
      <c r="I1016" s="42"/>
      <c r="J1016" s="41"/>
      <c r="K1016" s="41"/>
      <c r="L1016" s="43"/>
    </row>
    <row r="1017" spans="2:12" outlineLevel="2">
      <c r="B1017" s="35">
        <f t="shared" si="31"/>
        <v>553</v>
      </c>
      <c r="C1017" s="41" t="s">
        <v>175</v>
      </c>
      <c r="D1017" s="41"/>
      <c r="E1017" s="41"/>
      <c r="F1017" s="41"/>
      <c r="G1017" s="41"/>
      <c r="H1017" s="41"/>
      <c r="I1017" s="42"/>
      <c r="J1017" s="41"/>
      <c r="K1017" s="41"/>
      <c r="L1017" s="43"/>
    </row>
    <row r="1018" spans="2:12" outlineLevel="2">
      <c r="B1018" s="35">
        <f t="shared" ref="B1018:B1049" si="32">(B1017+1)</f>
        <v>554</v>
      </c>
      <c r="C1018" s="41" t="s">
        <v>175</v>
      </c>
      <c r="D1018" s="41"/>
      <c r="E1018" s="41"/>
      <c r="F1018" s="41"/>
      <c r="G1018" s="41"/>
      <c r="H1018" s="41"/>
      <c r="I1018" s="42"/>
      <c r="J1018" s="41"/>
      <c r="K1018" s="41"/>
      <c r="L1018" s="43"/>
    </row>
    <row r="1019" spans="2:12" outlineLevel="2">
      <c r="B1019" s="35">
        <f t="shared" si="32"/>
        <v>555</v>
      </c>
      <c r="C1019" s="41" t="s">
        <v>175</v>
      </c>
      <c r="D1019" s="41"/>
      <c r="E1019" s="41"/>
      <c r="F1019" s="41"/>
      <c r="G1019" s="41"/>
      <c r="H1019" s="41"/>
      <c r="I1019" s="42"/>
      <c r="J1019" s="41"/>
      <c r="K1019" s="41"/>
      <c r="L1019" s="43"/>
    </row>
    <row r="1020" spans="2:12" outlineLevel="2">
      <c r="B1020" s="35">
        <f t="shared" si="32"/>
        <v>556</v>
      </c>
      <c r="C1020" s="41" t="s">
        <v>175</v>
      </c>
      <c r="D1020" s="41"/>
      <c r="E1020" s="41"/>
      <c r="F1020" s="41"/>
      <c r="G1020" s="41"/>
      <c r="H1020" s="41"/>
      <c r="I1020" s="42"/>
      <c r="J1020" s="41"/>
      <c r="K1020" s="41"/>
      <c r="L1020" s="43"/>
    </row>
    <row r="1021" spans="2:12" outlineLevel="2">
      <c r="B1021" s="35">
        <f t="shared" si="32"/>
        <v>557</v>
      </c>
      <c r="C1021" s="41" t="s">
        <v>175</v>
      </c>
      <c r="D1021" s="41"/>
      <c r="E1021" s="41"/>
      <c r="F1021" s="41"/>
      <c r="G1021" s="41"/>
      <c r="H1021" s="41"/>
      <c r="I1021" s="42"/>
      <c r="J1021" s="41"/>
      <c r="K1021" s="41"/>
      <c r="L1021" s="43"/>
    </row>
    <row r="1022" spans="2:12" outlineLevel="2">
      <c r="B1022" s="35">
        <f t="shared" si="32"/>
        <v>558</v>
      </c>
      <c r="C1022" s="41" t="s">
        <v>175</v>
      </c>
      <c r="D1022" s="41"/>
      <c r="E1022" s="41"/>
      <c r="F1022" s="41"/>
      <c r="G1022" s="41"/>
      <c r="H1022" s="41"/>
      <c r="I1022" s="42"/>
      <c r="J1022" s="41"/>
      <c r="K1022" s="41"/>
      <c r="L1022" s="43"/>
    </row>
    <row r="1023" spans="2:12" outlineLevel="2">
      <c r="B1023" s="35">
        <f t="shared" si="32"/>
        <v>559</v>
      </c>
      <c r="C1023" s="41" t="s">
        <v>175</v>
      </c>
      <c r="D1023" s="41"/>
      <c r="E1023" s="41"/>
      <c r="F1023" s="41"/>
      <c r="G1023" s="41"/>
      <c r="H1023" s="41"/>
      <c r="I1023" s="42"/>
      <c r="J1023" s="41"/>
      <c r="K1023" s="41"/>
      <c r="L1023" s="43"/>
    </row>
    <row r="1024" spans="2:12" outlineLevel="2">
      <c r="B1024" s="35">
        <f t="shared" si="32"/>
        <v>560</v>
      </c>
      <c r="C1024" s="41" t="s">
        <v>175</v>
      </c>
      <c r="D1024" s="41"/>
      <c r="E1024" s="41"/>
      <c r="F1024" s="41"/>
      <c r="G1024" s="41"/>
      <c r="H1024" s="41"/>
      <c r="I1024" s="42"/>
      <c r="J1024" s="41"/>
      <c r="K1024" s="41"/>
      <c r="L1024" s="43"/>
    </row>
    <row r="1025" spans="2:12" outlineLevel="2">
      <c r="B1025" s="35">
        <f t="shared" si="32"/>
        <v>561</v>
      </c>
      <c r="C1025" s="41" t="s">
        <v>175</v>
      </c>
      <c r="D1025" s="41"/>
      <c r="E1025" s="41"/>
      <c r="F1025" s="41"/>
      <c r="G1025" s="41"/>
      <c r="H1025" s="41"/>
      <c r="I1025" s="42"/>
      <c r="J1025" s="41"/>
      <c r="K1025" s="41"/>
      <c r="L1025" s="43"/>
    </row>
    <row r="1026" spans="2:12" outlineLevel="2">
      <c r="B1026" s="35">
        <f t="shared" si="32"/>
        <v>562</v>
      </c>
      <c r="C1026" s="41" t="s">
        <v>175</v>
      </c>
      <c r="D1026" s="41"/>
      <c r="E1026" s="41"/>
      <c r="F1026" s="41"/>
      <c r="G1026" s="41"/>
      <c r="H1026" s="41"/>
      <c r="I1026" s="42"/>
      <c r="J1026" s="41"/>
      <c r="K1026" s="41"/>
      <c r="L1026" s="43"/>
    </row>
    <row r="1027" spans="2:12" outlineLevel="2">
      <c r="B1027" s="35">
        <f t="shared" si="32"/>
        <v>563</v>
      </c>
      <c r="C1027" s="41" t="s">
        <v>175</v>
      </c>
      <c r="D1027" s="41"/>
      <c r="E1027" s="41"/>
      <c r="F1027" s="41"/>
      <c r="G1027" s="41"/>
      <c r="H1027" s="41"/>
      <c r="I1027" s="42"/>
      <c r="J1027" s="41"/>
      <c r="K1027" s="41"/>
      <c r="L1027" s="43"/>
    </row>
    <row r="1028" spans="2:12" outlineLevel="2">
      <c r="B1028" s="35">
        <f t="shared" si="32"/>
        <v>564</v>
      </c>
      <c r="C1028" s="41" t="s">
        <v>175</v>
      </c>
      <c r="D1028" s="41"/>
      <c r="E1028" s="41"/>
      <c r="F1028" s="41"/>
      <c r="G1028" s="41"/>
      <c r="H1028" s="41"/>
      <c r="I1028" s="42"/>
      <c r="J1028" s="41"/>
      <c r="K1028" s="41"/>
      <c r="L1028" s="43"/>
    </row>
    <row r="1029" spans="2:12" outlineLevel="2">
      <c r="B1029" s="35">
        <f t="shared" si="32"/>
        <v>565</v>
      </c>
      <c r="C1029" s="41" t="s">
        <v>175</v>
      </c>
      <c r="D1029" s="41"/>
      <c r="E1029" s="41"/>
      <c r="F1029" s="41"/>
      <c r="G1029" s="41"/>
      <c r="H1029" s="41"/>
      <c r="I1029" s="42"/>
      <c r="J1029" s="41"/>
      <c r="K1029" s="41"/>
      <c r="L1029" s="43"/>
    </row>
    <row r="1030" spans="2:12" outlineLevel="2">
      <c r="B1030" s="35">
        <f t="shared" si="32"/>
        <v>566</v>
      </c>
      <c r="C1030" s="41" t="s">
        <v>175</v>
      </c>
      <c r="D1030" s="41"/>
      <c r="E1030" s="41"/>
      <c r="F1030" s="41"/>
      <c r="G1030" s="41"/>
      <c r="H1030" s="41"/>
      <c r="I1030" s="42"/>
      <c r="J1030" s="41"/>
      <c r="K1030" s="41"/>
      <c r="L1030" s="43"/>
    </row>
    <row r="1031" spans="2:12" outlineLevel="2">
      <c r="B1031" s="35">
        <f t="shared" si="32"/>
        <v>567</v>
      </c>
      <c r="C1031" s="41" t="s">
        <v>175</v>
      </c>
      <c r="D1031" s="41"/>
      <c r="E1031" s="41"/>
      <c r="F1031" s="41"/>
      <c r="G1031" s="41"/>
      <c r="H1031" s="41"/>
      <c r="I1031" s="42"/>
      <c r="J1031" s="41"/>
      <c r="K1031" s="41"/>
      <c r="L1031" s="43"/>
    </row>
    <row r="1032" spans="2:12" outlineLevel="2">
      <c r="B1032" s="35">
        <f t="shared" si="32"/>
        <v>568</v>
      </c>
      <c r="C1032" s="41" t="s">
        <v>175</v>
      </c>
      <c r="D1032" s="41"/>
      <c r="E1032" s="41"/>
      <c r="F1032" s="41"/>
      <c r="G1032" s="41"/>
      <c r="H1032" s="41"/>
      <c r="I1032" s="42"/>
      <c r="J1032" s="41"/>
      <c r="K1032" s="41"/>
      <c r="L1032" s="43"/>
    </row>
    <row r="1033" spans="2:12" outlineLevel="2">
      <c r="B1033" s="35">
        <f t="shared" si="32"/>
        <v>569</v>
      </c>
      <c r="C1033" s="41" t="s">
        <v>175</v>
      </c>
      <c r="D1033" s="41"/>
      <c r="E1033" s="41"/>
      <c r="F1033" s="41"/>
      <c r="G1033" s="41"/>
      <c r="H1033" s="41"/>
      <c r="I1033" s="42"/>
      <c r="J1033" s="41"/>
      <c r="K1033" s="41"/>
      <c r="L1033" s="43"/>
    </row>
    <row r="1034" spans="2:12" outlineLevel="2">
      <c r="B1034" s="35">
        <f t="shared" si="32"/>
        <v>570</v>
      </c>
      <c r="C1034" s="41" t="s">
        <v>175</v>
      </c>
      <c r="D1034" s="41"/>
      <c r="E1034" s="41"/>
      <c r="F1034" s="41"/>
      <c r="G1034" s="41"/>
      <c r="H1034" s="41"/>
      <c r="I1034" s="42"/>
      <c r="J1034" s="41"/>
      <c r="K1034" s="41"/>
      <c r="L1034" s="43"/>
    </row>
    <row r="1035" spans="2:12" outlineLevel="2">
      <c r="B1035" s="35">
        <f t="shared" si="32"/>
        <v>571</v>
      </c>
      <c r="C1035" s="41" t="s">
        <v>175</v>
      </c>
      <c r="D1035" s="41"/>
      <c r="E1035" s="41"/>
      <c r="F1035" s="41"/>
      <c r="G1035" s="41"/>
      <c r="H1035" s="41"/>
      <c r="I1035" s="42"/>
      <c r="J1035" s="41"/>
      <c r="K1035" s="41"/>
      <c r="L1035" s="43"/>
    </row>
    <row r="1036" spans="2:12" outlineLevel="2">
      <c r="B1036" s="35">
        <f t="shared" si="32"/>
        <v>572</v>
      </c>
      <c r="C1036" s="41" t="s">
        <v>175</v>
      </c>
      <c r="D1036" s="41"/>
      <c r="E1036" s="41"/>
      <c r="F1036" s="41"/>
      <c r="G1036" s="41"/>
      <c r="H1036" s="41"/>
      <c r="I1036" s="42"/>
      <c r="J1036" s="41"/>
      <c r="K1036" s="41"/>
      <c r="L1036" s="43"/>
    </row>
    <row r="1037" spans="2:12" outlineLevel="2">
      <c r="B1037" s="35">
        <f t="shared" si="32"/>
        <v>573</v>
      </c>
      <c r="C1037" s="41" t="s">
        <v>175</v>
      </c>
      <c r="D1037" s="41"/>
      <c r="E1037" s="41"/>
      <c r="F1037" s="41"/>
      <c r="G1037" s="41"/>
      <c r="H1037" s="41"/>
      <c r="I1037" s="42"/>
      <c r="J1037" s="41"/>
      <c r="K1037" s="41"/>
      <c r="L1037" s="43"/>
    </row>
    <row r="1038" spans="2:12" outlineLevel="2">
      <c r="B1038" s="35">
        <f t="shared" si="32"/>
        <v>574</v>
      </c>
      <c r="C1038" s="41" t="s">
        <v>175</v>
      </c>
      <c r="D1038" s="41"/>
      <c r="E1038" s="41"/>
      <c r="F1038" s="41"/>
      <c r="G1038" s="41"/>
      <c r="H1038" s="41"/>
      <c r="I1038" s="42"/>
      <c r="J1038" s="41"/>
      <c r="K1038" s="41"/>
      <c r="L1038" s="43"/>
    </row>
    <row r="1039" spans="2:12" outlineLevel="2">
      <c r="B1039" s="35">
        <f t="shared" si="32"/>
        <v>575</v>
      </c>
      <c r="C1039" s="41" t="s">
        <v>175</v>
      </c>
      <c r="D1039" s="41"/>
      <c r="E1039" s="41"/>
      <c r="F1039" s="41"/>
      <c r="G1039" s="41"/>
      <c r="H1039" s="41"/>
      <c r="I1039" s="42"/>
      <c r="J1039" s="41"/>
      <c r="K1039" s="41"/>
      <c r="L1039" s="43"/>
    </row>
    <row r="1040" spans="2:12" outlineLevel="2">
      <c r="B1040" s="35">
        <f t="shared" si="32"/>
        <v>576</v>
      </c>
      <c r="C1040" s="41" t="s">
        <v>175</v>
      </c>
      <c r="D1040" s="41"/>
      <c r="E1040" s="41"/>
      <c r="F1040" s="41"/>
      <c r="G1040" s="41"/>
      <c r="H1040" s="41"/>
      <c r="I1040" s="42"/>
      <c r="J1040" s="41"/>
      <c r="K1040" s="41"/>
      <c r="L1040" s="43"/>
    </row>
    <row r="1041" spans="2:12" outlineLevel="2">
      <c r="B1041" s="35">
        <f t="shared" si="32"/>
        <v>577</v>
      </c>
      <c r="C1041" s="41" t="s">
        <v>175</v>
      </c>
      <c r="D1041" s="41"/>
      <c r="E1041" s="41"/>
      <c r="F1041" s="41"/>
      <c r="G1041" s="41"/>
      <c r="H1041" s="41"/>
      <c r="I1041" s="42"/>
      <c r="J1041" s="41"/>
      <c r="K1041" s="41"/>
      <c r="L1041" s="43"/>
    </row>
    <row r="1042" spans="2:12" outlineLevel="2">
      <c r="B1042" s="35">
        <f t="shared" si="32"/>
        <v>578</v>
      </c>
      <c r="C1042" s="41" t="s">
        <v>175</v>
      </c>
      <c r="D1042" s="41"/>
      <c r="E1042" s="41"/>
      <c r="F1042" s="41"/>
      <c r="G1042" s="41"/>
      <c r="H1042" s="41"/>
      <c r="I1042" s="42"/>
      <c r="J1042" s="41"/>
      <c r="K1042" s="41"/>
      <c r="L1042" s="43"/>
    </row>
    <row r="1043" spans="2:12" outlineLevel="2">
      <c r="B1043" s="35">
        <f t="shared" si="32"/>
        <v>579</v>
      </c>
      <c r="C1043" s="41" t="s">
        <v>175</v>
      </c>
      <c r="D1043" s="41"/>
      <c r="E1043" s="41"/>
      <c r="F1043" s="41"/>
      <c r="G1043" s="41"/>
      <c r="H1043" s="41"/>
      <c r="I1043" s="42"/>
      <c r="J1043" s="41"/>
      <c r="K1043" s="41"/>
      <c r="L1043" s="43"/>
    </row>
    <row r="1044" spans="2:12" outlineLevel="2">
      <c r="B1044" s="35">
        <f t="shared" si="32"/>
        <v>580</v>
      </c>
      <c r="C1044" s="41" t="s">
        <v>175</v>
      </c>
      <c r="D1044" s="41"/>
      <c r="E1044" s="41"/>
      <c r="F1044" s="41"/>
      <c r="G1044" s="41"/>
      <c r="H1044" s="41"/>
      <c r="I1044" s="42"/>
      <c r="J1044" s="41"/>
      <c r="K1044" s="41"/>
      <c r="L1044" s="43"/>
    </row>
    <row r="1045" spans="2:12" outlineLevel="2">
      <c r="B1045" s="35">
        <f t="shared" si="32"/>
        <v>581</v>
      </c>
      <c r="C1045" s="41" t="s">
        <v>175</v>
      </c>
      <c r="D1045" s="41"/>
      <c r="E1045" s="41"/>
      <c r="F1045" s="41"/>
      <c r="G1045" s="41"/>
      <c r="H1045" s="41"/>
      <c r="I1045" s="42"/>
      <c r="J1045" s="41"/>
      <c r="K1045" s="41"/>
      <c r="L1045" s="43"/>
    </row>
    <row r="1046" spans="2:12" outlineLevel="2">
      <c r="B1046" s="35">
        <f t="shared" si="32"/>
        <v>582</v>
      </c>
      <c r="C1046" s="41" t="s">
        <v>175</v>
      </c>
      <c r="D1046" s="41"/>
      <c r="E1046" s="41"/>
      <c r="F1046" s="41"/>
      <c r="G1046" s="41"/>
      <c r="H1046" s="41"/>
      <c r="I1046" s="42"/>
      <c r="J1046" s="41"/>
      <c r="K1046" s="41"/>
      <c r="L1046" s="43"/>
    </row>
    <row r="1047" spans="2:12" outlineLevel="2">
      <c r="B1047" s="35">
        <f t="shared" si="32"/>
        <v>583</v>
      </c>
      <c r="C1047" s="41" t="s">
        <v>175</v>
      </c>
      <c r="D1047" s="41"/>
      <c r="E1047" s="41"/>
      <c r="F1047" s="41"/>
      <c r="G1047" s="41"/>
      <c r="H1047" s="41"/>
      <c r="I1047" s="42"/>
      <c r="J1047" s="41"/>
      <c r="K1047" s="41"/>
      <c r="L1047" s="43"/>
    </row>
    <row r="1048" spans="2:12" outlineLevel="2">
      <c r="B1048" s="35">
        <f t="shared" si="32"/>
        <v>584</v>
      </c>
      <c r="C1048" s="41" t="s">
        <v>175</v>
      </c>
      <c r="D1048" s="41"/>
      <c r="E1048" s="41"/>
      <c r="F1048" s="41"/>
      <c r="G1048" s="41"/>
      <c r="H1048" s="41"/>
      <c r="I1048" s="42"/>
      <c r="J1048" s="41"/>
      <c r="K1048" s="41"/>
      <c r="L1048" s="43"/>
    </row>
    <row r="1049" spans="2:12" outlineLevel="2">
      <c r="B1049" s="35">
        <f t="shared" si="32"/>
        <v>585</v>
      </c>
      <c r="C1049" s="41" t="s">
        <v>175</v>
      </c>
      <c r="D1049" s="41"/>
      <c r="E1049" s="41"/>
      <c r="F1049" s="41"/>
      <c r="G1049" s="41"/>
      <c r="H1049" s="41"/>
      <c r="I1049" s="42"/>
      <c r="J1049" s="41"/>
      <c r="K1049" s="41"/>
      <c r="L1049" s="43"/>
    </row>
    <row r="1050" spans="2:12" outlineLevel="2">
      <c r="B1050" s="35">
        <f t="shared" ref="B1050:B1081" si="33">(B1049+1)</f>
        <v>586</v>
      </c>
      <c r="C1050" s="41" t="s">
        <v>175</v>
      </c>
      <c r="D1050" s="41"/>
      <c r="E1050" s="41"/>
      <c r="F1050" s="41"/>
      <c r="G1050" s="41"/>
      <c r="H1050" s="41"/>
      <c r="I1050" s="42"/>
      <c r="J1050" s="41"/>
      <c r="K1050" s="41"/>
      <c r="L1050" s="43"/>
    </row>
    <row r="1051" spans="2:12" outlineLevel="2">
      <c r="B1051" s="35">
        <f t="shared" si="33"/>
        <v>587</v>
      </c>
      <c r="C1051" s="41" t="s">
        <v>175</v>
      </c>
      <c r="D1051" s="41"/>
      <c r="E1051" s="41"/>
      <c r="F1051" s="41"/>
      <c r="G1051" s="41"/>
      <c r="H1051" s="41"/>
      <c r="I1051" s="42"/>
      <c r="J1051" s="41"/>
      <c r="K1051" s="41"/>
      <c r="L1051" s="43"/>
    </row>
    <row r="1052" spans="2:12" outlineLevel="2">
      <c r="B1052" s="35">
        <f t="shared" si="33"/>
        <v>588</v>
      </c>
      <c r="C1052" s="41" t="s">
        <v>175</v>
      </c>
      <c r="D1052" s="41"/>
      <c r="E1052" s="41"/>
      <c r="F1052" s="41"/>
      <c r="G1052" s="41"/>
      <c r="H1052" s="41"/>
      <c r="I1052" s="42"/>
      <c r="J1052" s="41"/>
      <c r="K1052" s="41"/>
      <c r="L1052" s="43"/>
    </row>
    <row r="1053" spans="2:12" outlineLevel="2">
      <c r="B1053" s="35">
        <f t="shared" si="33"/>
        <v>589</v>
      </c>
      <c r="C1053" s="41" t="s">
        <v>175</v>
      </c>
      <c r="D1053" s="41"/>
      <c r="E1053" s="41"/>
      <c r="F1053" s="41"/>
      <c r="G1053" s="41"/>
      <c r="H1053" s="41"/>
      <c r="I1053" s="42"/>
      <c r="J1053" s="41"/>
      <c r="K1053" s="41"/>
      <c r="L1053" s="43"/>
    </row>
    <row r="1054" spans="2:12" outlineLevel="2">
      <c r="B1054" s="35">
        <f t="shared" si="33"/>
        <v>590</v>
      </c>
      <c r="C1054" s="41" t="s">
        <v>175</v>
      </c>
      <c r="D1054" s="41"/>
      <c r="E1054" s="41"/>
      <c r="F1054" s="41"/>
      <c r="G1054" s="41"/>
      <c r="H1054" s="41"/>
      <c r="I1054" s="42"/>
      <c r="J1054" s="41"/>
      <c r="K1054" s="41"/>
      <c r="L1054" s="43"/>
    </row>
    <row r="1055" spans="2:12" outlineLevel="2">
      <c r="B1055" s="35">
        <f t="shared" si="33"/>
        <v>591</v>
      </c>
      <c r="C1055" s="41" t="s">
        <v>175</v>
      </c>
      <c r="D1055" s="41"/>
      <c r="E1055" s="41"/>
      <c r="F1055" s="41"/>
      <c r="G1055" s="41"/>
      <c r="H1055" s="41"/>
      <c r="I1055" s="42"/>
      <c r="J1055" s="41"/>
      <c r="K1055" s="41"/>
      <c r="L1055" s="43"/>
    </row>
    <row r="1056" spans="2:12" outlineLevel="2">
      <c r="B1056" s="35">
        <f t="shared" si="33"/>
        <v>592</v>
      </c>
      <c r="C1056" s="41" t="s">
        <v>175</v>
      </c>
      <c r="D1056" s="41"/>
      <c r="E1056" s="41"/>
      <c r="F1056" s="41"/>
      <c r="G1056" s="41"/>
      <c r="H1056" s="41"/>
      <c r="I1056" s="42"/>
      <c r="J1056" s="41"/>
      <c r="K1056" s="41"/>
      <c r="L1056" s="43"/>
    </row>
    <row r="1057" spans="2:12" outlineLevel="2">
      <c r="B1057" s="35">
        <f t="shared" si="33"/>
        <v>593</v>
      </c>
      <c r="C1057" s="41" t="s">
        <v>175</v>
      </c>
      <c r="D1057" s="41"/>
      <c r="E1057" s="41"/>
      <c r="F1057" s="41"/>
      <c r="G1057" s="41"/>
      <c r="H1057" s="41"/>
      <c r="I1057" s="42"/>
      <c r="J1057" s="41"/>
      <c r="K1057" s="41"/>
      <c r="L1057" s="43"/>
    </row>
    <row r="1058" spans="2:12" outlineLevel="2">
      <c r="B1058" s="35">
        <f t="shared" si="33"/>
        <v>594</v>
      </c>
      <c r="C1058" s="41" t="s">
        <v>175</v>
      </c>
      <c r="D1058" s="41"/>
      <c r="E1058" s="41"/>
      <c r="F1058" s="41"/>
      <c r="G1058" s="41"/>
      <c r="H1058" s="41"/>
      <c r="I1058" s="42"/>
      <c r="J1058" s="41"/>
      <c r="K1058" s="41"/>
      <c r="L1058" s="43"/>
    </row>
    <row r="1059" spans="2:12" outlineLevel="2">
      <c r="B1059" s="35">
        <f t="shared" si="33"/>
        <v>595</v>
      </c>
      <c r="C1059" s="41" t="s">
        <v>175</v>
      </c>
      <c r="D1059" s="41"/>
      <c r="E1059" s="41"/>
      <c r="F1059" s="41"/>
      <c r="G1059" s="41"/>
      <c r="H1059" s="41"/>
      <c r="I1059" s="42"/>
      <c r="J1059" s="41"/>
      <c r="K1059" s="41"/>
      <c r="L1059" s="43"/>
    </row>
    <row r="1060" spans="2:12" outlineLevel="2">
      <c r="B1060" s="35">
        <f t="shared" si="33"/>
        <v>596</v>
      </c>
      <c r="C1060" s="41" t="s">
        <v>175</v>
      </c>
      <c r="D1060" s="41"/>
      <c r="E1060" s="41"/>
      <c r="F1060" s="41"/>
      <c r="G1060" s="41"/>
      <c r="H1060" s="41"/>
      <c r="I1060" s="42"/>
      <c r="J1060" s="41"/>
      <c r="K1060" s="41"/>
      <c r="L1060" s="43"/>
    </row>
    <row r="1061" spans="2:12" outlineLevel="2">
      <c r="B1061" s="35">
        <f t="shared" si="33"/>
        <v>597</v>
      </c>
      <c r="C1061" s="41" t="s">
        <v>175</v>
      </c>
      <c r="D1061" s="41"/>
      <c r="E1061" s="41"/>
      <c r="F1061" s="41"/>
      <c r="G1061" s="41"/>
      <c r="H1061" s="41"/>
      <c r="I1061" s="42"/>
      <c r="J1061" s="41"/>
      <c r="K1061" s="41"/>
      <c r="L1061" s="43"/>
    </row>
    <row r="1062" spans="2:12" outlineLevel="2">
      <c r="B1062" s="35">
        <f t="shared" si="33"/>
        <v>598</v>
      </c>
      <c r="C1062" s="41" t="s">
        <v>175</v>
      </c>
      <c r="D1062" s="41"/>
      <c r="E1062" s="41"/>
      <c r="F1062" s="41"/>
      <c r="G1062" s="41"/>
      <c r="H1062" s="41"/>
      <c r="I1062" s="42"/>
      <c r="J1062" s="41"/>
      <c r="K1062" s="41"/>
      <c r="L1062" s="43"/>
    </row>
    <row r="1063" spans="2:12" outlineLevel="2">
      <c r="B1063" s="35">
        <f t="shared" si="33"/>
        <v>599</v>
      </c>
      <c r="C1063" s="41" t="s">
        <v>175</v>
      </c>
      <c r="D1063" s="41"/>
      <c r="E1063" s="41"/>
      <c r="F1063" s="41"/>
      <c r="G1063" s="41"/>
      <c r="H1063" s="41"/>
      <c r="I1063" s="42"/>
      <c r="J1063" s="41"/>
      <c r="K1063" s="41"/>
      <c r="L1063" s="43"/>
    </row>
    <row r="1064" spans="2:12" outlineLevel="2">
      <c r="B1064" s="35">
        <f t="shared" si="33"/>
        <v>600</v>
      </c>
      <c r="C1064" s="41" t="s">
        <v>175</v>
      </c>
      <c r="D1064" s="41"/>
      <c r="E1064" s="41"/>
      <c r="F1064" s="41"/>
      <c r="G1064" s="41"/>
      <c r="H1064" s="41"/>
      <c r="I1064" s="42"/>
      <c r="J1064" s="41"/>
      <c r="K1064" s="41"/>
      <c r="L1064" s="43"/>
    </row>
    <row r="1065" spans="2:12" outlineLevel="2">
      <c r="B1065" s="35">
        <f t="shared" si="33"/>
        <v>601</v>
      </c>
      <c r="C1065" s="41" t="s">
        <v>175</v>
      </c>
      <c r="D1065" s="41"/>
      <c r="E1065" s="41"/>
      <c r="F1065" s="41"/>
      <c r="G1065" s="41"/>
      <c r="H1065" s="41"/>
      <c r="I1065" s="42"/>
      <c r="J1065" s="41"/>
      <c r="K1065" s="41"/>
      <c r="L1065" s="43"/>
    </row>
    <row r="1066" spans="2:12" outlineLevel="2">
      <c r="B1066" s="35">
        <f t="shared" si="33"/>
        <v>602</v>
      </c>
      <c r="C1066" s="41" t="s">
        <v>175</v>
      </c>
      <c r="D1066" s="41"/>
      <c r="E1066" s="41"/>
      <c r="F1066" s="41"/>
      <c r="G1066" s="41"/>
      <c r="H1066" s="41"/>
      <c r="I1066" s="42"/>
      <c r="J1066" s="41"/>
      <c r="K1066" s="41"/>
      <c r="L1066" s="43"/>
    </row>
    <row r="1067" spans="2:12" outlineLevel="2">
      <c r="B1067" s="35">
        <f t="shared" si="33"/>
        <v>603</v>
      </c>
      <c r="C1067" s="41" t="s">
        <v>175</v>
      </c>
      <c r="D1067" s="41"/>
      <c r="E1067" s="41"/>
      <c r="F1067" s="41"/>
      <c r="G1067" s="41"/>
      <c r="H1067" s="41"/>
      <c r="I1067" s="42"/>
      <c r="J1067" s="41"/>
      <c r="K1067" s="41"/>
      <c r="L1067" s="43"/>
    </row>
    <row r="1068" spans="2:12" outlineLevel="2">
      <c r="B1068" s="35">
        <f t="shared" si="33"/>
        <v>604</v>
      </c>
      <c r="C1068" s="41" t="s">
        <v>175</v>
      </c>
      <c r="D1068" s="41"/>
      <c r="E1068" s="41"/>
      <c r="F1068" s="41"/>
      <c r="G1068" s="41"/>
      <c r="H1068" s="41"/>
      <c r="I1068" s="42"/>
      <c r="J1068" s="41"/>
      <c r="K1068" s="41"/>
      <c r="L1068" s="43"/>
    </row>
    <row r="1069" spans="2:12" outlineLevel="2">
      <c r="B1069" s="35">
        <f t="shared" si="33"/>
        <v>605</v>
      </c>
      <c r="C1069" s="41" t="s">
        <v>175</v>
      </c>
      <c r="D1069" s="41"/>
      <c r="E1069" s="41"/>
      <c r="F1069" s="41"/>
      <c r="G1069" s="41"/>
      <c r="H1069" s="41"/>
      <c r="I1069" s="42"/>
      <c r="J1069" s="41"/>
      <c r="K1069" s="41"/>
      <c r="L1069" s="43"/>
    </row>
    <row r="1070" spans="2:12" outlineLevel="2">
      <c r="B1070" s="35">
        <f t="shared" si="33"/>
        <v>606</v>
      </c>
      <c r="C1070" s="41" t="s">
        <v>175</v>
      </c>
      <c r="D1070" s="41"/>
      <c r="E1070" s="41"/>
      <c r="F1070" s="41"/>
      <c r="G1070" s="41"/>
      <c r="H1070" s="41"/>
      <c r="I1070" s="42"/>
      <c r="J1070" s="41"/>
      <c r="K1070" s="41"/>
      <c r="L1070" s="43"/>
    </row>
    <row r="1071" spans="2:12" outlineLevel="2">
      <c r="B1071" s="35">
        <f t="shared" si="33"/>
        <v>607</v>
      </c>
      <c r="C1071" s="41" t="s">
        <v>175</v>
      </c>
      <c r="D1071" s="41"/>
      <c r="E1071" s="41"/>
      <c r="F1071" s="41"/>
      <c r="G1071" s="41"/>
      <c r="H1071" s="41"/>
      <c r="I1071" s="42"/>
      <c r="J1071" s="41"/>
      <c r="K1071" s="41"/>
      <c r="L1071" s="43"/>
    </row>
    <row r="1072" spans="2:12" outlineLevel="2">
      <c r="B1072" s="35">
        <f t="shared" si="33"/>
        <v>608</v>
      </c>
      <c r="C1072" s="41" t="s">
        <v>175</v>
      </c>
      <c r="D1072" s="41"/>
      <c r="E1072" s="41"/>
      <c r="F1072" s="41"/>
      <c r="G1072" s="41"/>
      <c r="H1072" s="41"/>
      <c r="I1072" s="42"/>
      <c r="J1072" s="41"/>
      <c r="K1072" s="41"/>
      <c r="L1072" s="43"/>
    </row>
    <row r="1073" spans="2:12" outlineLevel="2">
      <c r="B1073" s="35">
        <f t="shared" si="33"/>
        <v>609</v>
      </c>
      <c r="C1073" s="41" t="s">
        <v>175</v>
      </c>
      <c r="D1073" s="41"/>
      <c r="E1073" s="41"/>
      <c r="F1073" s="41"/>
      <c r="G1073" s="41"/>
      <c r="H1073" s="41"/>
      <c r="I1073" s="42"/>
      <c r="J1073" s="41"/>
      <c r="K1073" s="41"/>
      <c r="L1073" s="43"/>
    </row>
    <row r="1074" spans="2:12" outlineLevel="2">
      <c r="B1074" s="35">
        <f t="shared" si="33"/>
        <v>610</v>
      </c>
      <c r="C1074" s="41" t="s">
        <v>175</v>
      </c>
      <c r="D1074" s="41"/>
      <c r="E1074" s="41"/>
      <c r="F1074" s="41"/>
      <c r="G1074" s="41"/>
      <c r="H1074" s="41"/>
      <c r="I1074" s="42"/>
      <c r="J1074" s="41"/>
      <c r="K1074" s="41"/>
      <c r="L1074" s="43"/>
    </row>
    <row r="1075" spans="2:12" outlineLevel="2">
      <c r="B1075" s="35">
        <f t="shared" si="33"/>
        <v>611</v>
      </c>
      <c r="C1075" s="41" t="s">
        <v>175</v>
      </c>
      <c r="D1075" s="41"/>
      <c r="E1075" s="41"/>
      <c r="F1075" s="41"/>
      <c r="G1075" s="41"/>
      <c r="H1075" s="41"/>
      <c r="I1075" s="42"/>
      <c r="J1075" s="41"/>
      <c r="K1075" s="41"/>
      <c r="L1075" s="43"/>
    </row>
    <row r="1076" spans="2:12" outlineLevel="2">
      <c r="B1076" s="35">
        <f t="shared" si="33"/>
        <v>612</v>
      </c>
      <c r="C1076" s="41" t="s">
        <v>175</v>
      </c>
      <c r="D1076" s="41"/>
      <c r="E1076" s="41"/>
      <c r="F1076" s="41"/>
      <c r="G1076" s="41"/>
      <c r="H1076" s="41"/>
      <c r="I1076" s="42"/>
      <c r="J1076" s="41"/>
      <c r="K1076" s="41"/>
      <c r="L1076" s="43"/>
    </row>
    <row r="1077" spans="2:12" outlineLevel="2">
      <c r="B1077" s="35">
        <f t="shared" si="33"/>
        <v>613</v>
      </c>
      <c r="C1077" s="41" t="s">
        <v>175</v>
      </c>
      <c r="D1077" s="41"/>
      <c r="E1077" s="41"/>
      <c r="F1077" s="41"/>
      <c r="G1077" s="41"/>
      <c r="H1077" s="41"/>
      <c r="I1077" s="42"/>
      <c r="J1077" s="41"/>
      <c r="K1077" s="41"/>
      <c r="L1077" s="43"/>
    </row>
    <row r="1078" spans="2:12" outlineLevel="2">
      <c r="B1078" s="35">
        <f t="shared" si="33"/>
        <v>614</v>
      </c>
      <c r="C1078" s="41" t="s">
        <v>175</v>
      </c>
      <c r="D1078" s="41"/>
      <c r="E1078" s="41"/>
      <c r="F1078" s="41"/>
      <c r="G1078" s="41"/>
      <c r="H1078" s="41"/>
      <c r="I1078" s="42"/>
      <c r="J1078" s="41"/>
      <c r="K1078" s="41"/>
      <c r="L1078" s="43"/>
    </row>
    <row r="1079" spans="2:12" outlineLevel="2">
      <c r="B1079" s="35">
        <f t="shared" si="33"/>
        <v>615</v>
      </c>
      <c r="C1079" s="41" t="s">
        <v>175</v>
      </c>
      <c r="D1079" s="41"/>
      <c r="E1079" s="41"/>
      <c r="F1079" s="41"/>
      <c r="G1079" s="41"/>
      <c r="H1079" s="41"/>
      <c r="I1079" s="42"/>
      <c r="J1079" s="41"/>
      <c r="K1079" s="41"/>
      <c r="L1079" s="43"/>
    </row>
    <row r="1080" spans="2:12" outlineLevel="2">
      <c r="B1080" s="35">
        <f t="shared" si="33"/>
        <v>616</v>
      </c>
      <c r="C1080" s="41" t="s">
        <v>175</v>
      </c>
      <c r="D1080" s="41"/>
      <c r="E1080" s="41"/>
      <c r="F1080" s="41"/>
      <c r="G1080" s="41"/>
      <c r="H1080" s="41"/>
      <c r="I1080" s="42"/>
      <c r="J1080" s="41"/>
      <c r="K1080" s="41"/>
      <c r="L1080" s="43"/>
    </row>
    <row r="1081" spans="2:12" outlineLevel="2">
      <c r="B1081" s="35">
        <f t="shared" si="33"/>
        <v>617</v>
      </c>
      <c r="C1081" s="41" t="s">
        <v>175</v>
      </c>
      <c r="D1081" s="41"/>
      <c r="E1081" s="41"/>
      <c r="F1081" s="41"/>
      <c r="G1081" s="41"/>
      <c r="H1081" s="41"/>
      <c r="I1081" s="42"/>
      <c r="J1081" s="41"/>
      <c r="K1081" s="41"/>
      <c r="L1081" s="43"/>
    </row>
    <row r="1082" spans="2:12" outlineLevel="2">
      <c r="B1082" s="35">
        <f t="shared" ref="B1082:B1113" si="34">(B1081+1)</f>
        <v>618</v>
      </c>
      <c r="C1082" s="41" t="s">
        <v>175</v>
      </c>
      <c r="D1082" s="41"/>
      <c r="E1082" s="41"/>
      <c r="F1082" s="41"/>
      <c r="G1082" s="41"/>
      <c r="H1082" s="41"/>
      <c r="I1082" s="42"/>
      <c r="J1082" s="41"/>
      <c r="K1082" s="41"/>
      <c r="L1082" s="43"/>
    </row>
    <row r="1083" spans="2:12" outlineLevel="2">
      <c r="B1083" s="35">
        <f t="shared" si="34"/>
        <v>619</v>
      </c>
      <c r="C1083" s="41" t="s">
        <v>175</v>
      </c>
      <c r="D1083" s="41"/>
      <c r="E1083" s="41"/>
      <c r="F1083" s="41"/>
      <c r="G1083" s="41"/>
      <c r="H1083" s="41"/>
      <c r="I1083" s="42"/>
      <c r="J1083" s="41"/>
      <c r="K1083" s="41"/>
      <c r="L1083" s="43"/>
    </row>
    <row r="1084" spans="2:12" outlineLevel="2">
      <c r="B1084" s="35">
        <f t="shared" si="34"/>
        <v>620</v>
      </c>
      <c r="C1084" s="41" t="s">
        <v>175</v>
      </c>
      <c r="D1084" s="41"/>
      <c r="E1084" s="41"/>
      <c r="F1084" s="41"/>
      <c r="G1084" s="41"/>
      <c r="H1084" s="41"/>
      <c r="I1084" s="42"/>
      <c r="J1084" s="41"/>
      <c r="K1084" s="41"/>
      <c r="L1084" s="43"/>
    </row>
    <row r="1085" spans="2:12" outlineLevel="2">
      <c r="B1085" s="35">
        <f t="shared" si="34"/>
        <v>621</v>
      </c>
      <c r="C1085" s="41" t="s">
        <v>175</v>
      </c>
      <c r="D1085" s="41"/>
      <c r="E1085" s="41"/>
      <c r="F1085" s="41"/>
      <c r="G1085" s="41"/>
      <c r="H1085" s="41"/>
      <c r="I1085" s="42"/>
      <c r="J1085" s="41"/>
      <c r="K1085" s="41"/>
      <c r="L1085" s="43"/>
    </row>
    <row r="1086" spans="2:12" outlineLevel="2">
      <c r="B1086" s="35">
        <f t="shared" si="34"/>
        <v>622</v>
      </c>
      <c r="C1086" s="41" t="s">
        <v>175</v>
      </c>
      <c r="D1086" s="41"/>
      <c r="E1086" s="41"/>
      <c r="F1086" s="41"/>
      <c r="G1086" s="41"/>
      <c r="H1086" s="41"/>
      <c r="I1086" s="42"/>
      <c r="J1086" s="41"/>
      <c r="K1086" s="41"/>
      <c r="L1086" s="43"/>
    </row>
    <row r="1087" spans="2:12" outlineLevel="2">
      <c r="B1087" s="35">
        <f t="shared" si="34"/>
        <v>623</v>
      </c>
      <c r="C1087" s="41" t="s">
        <v>175</v>
      </c>
      <c r="D1087" s="41"/>
      <c r="E1087" s="41"/>
      <c r="F1087" s="41"/>
      <c r="G1087" s="41"/>
      <c r="H1087" s="41"/>
      <c r="I1087" s="42"/>
      <c r="J1087" s="41"/>
      <c r="K1087" s="41"/>
      <c r="L1087" s="43"/>
    </row>
    <row r="1088" spans="2:12" outlineLevel="2">
      <c r="B1088" s="35">
        <f t="shared" si="34"/>
        <v>624</v>
      </c>
      <c r="C1088" s="41" t="s">
        <v>175</v>
      </c>
      <c r="D1088" s="41"/>
      <c r="E1088" s="41"/>
      <c r="F1088" s="41"/>
      <c r="G1088" s="41"/>
      <c r="H1088" s="41"/>
      <c r="I1088" s="42"/>
      <c r="J1088" s="41"/>
      <c r="K1088" s="41"/>
      <c r="L1088" s="43"/>
    </row>
    <row r="1089" spans="2:12" outlineLevel="2">
      <c r="B1089" s="35">
        <f t="shared" si="34"/>
        <v>625</v>
      </c>
      <c r="C1089" s="41" t="s">
        <v>175</v>
      </c>
      <c r="D1089" s="41"/>
      <c r="E1089" s="41"/>
      <c r="F1089" s="41"/>
      <c r="G1089" s="41"/>
      <c r="H1089" s="41"/>
      <c r="I1089" s="42"/>
      <c r="J1089" s="41"/>
      <c r="K1089" s="41"/>
      <c r="L1089" s="43"/>
    </row>
    <row r="1090" spans="2:12" outlineLevel="2">
      <c r="B1090" s="35">
        <f t="shared" si="34"/>
        <v>626</v>
      </c>
      <c r="C1090" s="41" t="s">
        <v>175</v>
      </c>
      <c r="D1090" s="41"/>
      <c r="E1090" s="41"/>
      <c r="F1090" s="41"/>
      <c r="G1090" s="41"/>
      <c r="H1090" s="41"/>
      <c r="I1090" s="42"/>
      <c r="J1090" s="41"/>
      <c r="K1090" s="41"/>
      <c r="L1090" s="43"/>
    </row>
    <row r="1091" spans="2:12" outlineLevel="2">
      <c r="B1091" s="35">
        <f t="shared" si="34"/>
        <v>627</v>
      </c>
      <c r="C1091" s="41" t="s">
        <v>175</v>
      </c>
      <c r="D1091" s="41"/>
      <c r="E1091" s="41"/>
      <c r="F1091" s="41"/>
      <c r="G1091" s="41"/>
      <c r="H1091" s="41"/>
      <c r="I1091" s="42"/>
      <c r="J1091" s="41"/>
      <c r="K1091" s="41"/>
      <c r="L1091" s="43"/>
    </row>
    <row r="1092" spans="2:12" outlineLevel="2">
      <c r="B1092" s="35">
        <f t="shared" si="34"/>
        <v>628</v>
      </c>
      <c r="C1092" s="41" t="s">
        <v>175</v>
      </c>
      <c r="D1092" s="41"/>
      <c r="E1092" s="41"/>
      <c r="F1092" s="41"/>
      <c r="G1092" s="41"/>
      <c r="H1092" s="41"/>
      <c r="I1092" s="42"/>
      <c r="J1092" s="41"/>
      <c r="K1092" s="41"/>
      <c r="L1092" s="43"/>
    </row>
    <row r="1093" spans="2:12" outlineLevel="2">
      <c r="B1093" s="35">
        <f t="shared" si="34"/>
        <v>629</v>
      </c>
      <c r="C1093" s="41" t="s">
        <v>175</v>
      </c>
      <c r="D1093" s="41"/>
      <c r="E1093" s="41"/>
      <c r="F1093" s="41"/>
      <c r="G1093" s="41"/>
      <c r="H1093" s="41"/>
      <c r="I1093" s="42"/>
      <c r="J1093" s="41"/>
      <c r="K1093" s="41"/>
      <c r="L1093" s="43"/>
    </row>
    <row r="1094" spans="2:12" outlineLevel="2">
      <c r="B1094" s="35">
        <f t="shared" si="34"/>
        <v>630</v>
      </c>
      <c r="C1094" s="41" t="s">
        <v>175</v>
      </c>
      <c r="D1094" s="41"/>
      <c r="E1094" s="41"/>
      <c r="F1094" s="41"/>
      <c r="G1094" s="41"/>
      <c r="H1094" s="41"/>
      <c r="I1094" s="42"/>
      <c r="J1094" s="41"/>
      <c r="K1094" s="41"/>
      <c r="L1094" s="43"/>
    </row>
    <row r="1095" spans="2:12" outlineLevel="2">
      <c r="B1095" s="35">
        <f t="shared" si="34"/>
        <v>631</v>
      </c>
      <c r="C1095" s="41" t="s">
        <v>175</v>
      </c>
      <c r="D1095" s="41"/>
      <c r="E1095" s="41"/>
      <c r="F1095" s="41"/>
      <c r="G1095" s="41"/>
      <c r="H1095" s="41"/>
      <c r="I1095" s="42"/>
      <c r="J1095" s="41"/>
      <c r="K1095" s="41"/>
      <c r="L1095" s="43"/>
    </row>
    <row r="1096" spans="2:12" outlineLevel="2">
      <c r="B1096" s="35">
        <f t="shared" si="34"/>
        <v>632</v>
      </c>
      <c r="C1096" s="41" t="s">
        <v>175</v>
      </c>
      <c r="D1096" s="41"/>
      <c r="E1096" s="41"/>
      <c r="F1096" s="41"/>
      <c r="G1096" s="41"/>
      <c r="H1096" s="41"/>
      <c r="I1096" s="42"/>
      <c r="J1096" s="41"/>
      <c r="K1096" s="41"/>
      <c r="L1096" s="43"/>
    </row>
    <row r="1097" spans="2:12" outlineLevel="2">
      <c r="B1097" s="35">
        <f t="shared" si="34"/>
        <v>633</v>
      </c>
      <c r="C1097" s="41" t="s">
        <v>175</v>
      </c>
      <c r="D1097" s="41"/>
      <c r="E1097" s="41"/>
      <c r="F1097" s="41"/>
      <c r="G1097" s="41"/>
      <c r="H1097" s="41"/>
      <c r="I1097" s="42"/>
      <c r="J1097" s="41"/>
      <c r="K1097" s="41"/>
      <c r="L1097" s="43"/>
    </row>
    <row r="1098" spans="2:12" outlineLevel="2">
      <c r="B1098" s="35">
        <f t="shared" si="34"/>
        <v>634</v>
      </c>
      <c r="C1098" s="41" t="s">
        <v>175</v>
      </c>
      <c r="D1098" s="41"/>
      <c r="E1098" s="41"/>
      <c r="F1098" s="41"/>
      <c r="G1098" s="41"/>
      <c r="H1098" s="41"/>
      <c r="I1098" s="42"/>
      <c r="J1098" s="41"/>
      <c r="K1098" s="41"/>
      <c r="L1098" s="43"/>
    </row>
    <row r="1099" spans="2:12" outlineLevel="2">
      <c r="B1099" s="35">
        <f t="shared" si="34"/>
        <v>635</v>
      </c>
      <c r="C1099" s="41" t="s">
        <v>175</v>
      </c>
      <c r="D1099" s="41"/>
      <c r="E1099" s="41"/>
      <c r="F1099" s="41"/>
      <c r="G1099" s="41"/>
      <c r="H1099" s="41"/>
      <c r="I1099" s="42"/>
      <c r="J1099" s="41"/>
      <c r="K1099" s="41"/>
      <c r="L1099" s="43"/>
    </row>
    <row r="1100" spans="2:12" outlineLevel="2">
      <c r="B1100" s="35">
        <f t="shared" si="34"/>
        <v>636</v>
      </c>
      <c r="C1100" s="41" t="s">
        <v>175</v>
      </c>
      <c r="D1100" s="41"/>
      <c r="E1100" s="41"/>
      <c r="F1100" s="41"/>
      <c r="G1100" s="41"/>
      <c r="H1100" s="41"/>
      <c r="I1100" s="42"/>
      <c r="J1100" s="41"/>
      <c r="K1100" s="41"/>
      <c r="L1100" s="43"/>
    </row>
    <row r="1101" spans="2:12" outlineLevel="2">
      <c r="B1101" s="35">
        <f t="shared" si="34"/>
        <v>637</v>
      </c>
      <c r="C1101" s="41" t="s">
        <v>175</v>
      </c>
      <c r="D1101" s="41"/>
      <c r="E1101" s="41"/>
      <c r="F1101" s="41"/>
      <c r="G1101" s="41"/>
      <c r="H1101" s="41"/>
      <c r="I1101" s="42"/>
      <c r="J1101" s="41"/>
      <c r="K1101" s="41"/>
      <c r="L1101" s="43"/>
    </row>
    <row r="1102" spans="2:12" outlineLevel="2">
      <c r="B1102" s="35">
        <f t="shared" si="34"/>
        <v>638</v>
      </c>
      <c r="C1102" s="41" t="s">
        <v>175</v>
      </c>
      <c r="D1102" s="41"/>
      <c r="E1102" s="41"/>
      <c r="F1102" s="41"/>
      <c r="G1102" s="41"/>
      <c r="H1102" s="41"/>
      <c r="I1102" s="42"/>
      <c r="J1102" s="41"/>
      <c r="K1102" s="41"/>
      <c r="L1102" s="43"/>
    </row>
    <row r="1103" spans="2:12" outlineLevel="2">
      <c r="B1103" s="35">
        <f t="shared" si="34"/>
        <v>639</v>
      </c>
      <c r="C1103" s="41" t="s">
        <v>175</v>
      </c>
      <c r="D1103" s="41"/>
      <c r="E1103" s="41"/>
      <c r="F1103" s="41"/>
      <c r="G1103" s="41"/>
      <c r="H1103" s="41"/>
      <c r="I1103" s="42"/>
      <c r="J1103" s="41"/>
      <c r="K1103" s="41"/>
      <c r="L1103" s="43"/>
    </row>
    <row r="1104" spans="2:12" outlineLevel="2">
      <c r="B1104" s="35">
        <f t="shared" si="34"/>
        <v>640</v>
      </c>
      <c r="C1104" s="41" t="s">
        <v>175</v>
      </c>
      <c r="D1104" s="41"/>
      <c r="E1104" s="41"/>
      <c r="F1104" s="41"/>
      <c r="G1104" s="41"/>
      <c r="H1104" s="41"/>
      <c r="I1104" s="42"/>
      <c r="J1104" s="41"/>
      <c r="K1104" s="41"/>
      <c r="L1104" s="43"/>
    </row>
    <row r="1105" spans="2:12" outlineLevel="2">
      <c r="B1105" s="35">
        <f t="shared" si="34"/>
        <v>641</v>
      </c>
      <c r="C1105" s="41" t="s">
        <v>175</v>
      </c>
      <c r="D1105" s="41"/>
      <c r="E1105" s="41"/>
      <c r="F1105" s="41"/>
      <c r="G1105" s="41"/>
      <c r="H1105" s="41"/>
      <c r="I1105" s="42"/>
      <c r="J1105" s="41"/>
      <c r="K1105" s="41"/>
      <c r="L1105" s="43"/>
    </row>
    <row r="1106" spans="2:12" outlineLevel="2">
      <c r="B1106" s="35">
        <f t="shared" si="34"/>
        <v>642</v>
      </c>
      <c r="C1106" s="41" t="s">
        <v>175</v>
      </c>
      <c r="D1106" s="41"/>
      <c r="E1106" s="41"/>
      <c r="F1106" s="41"/>
      <c r="G1106" s="41"/>
      <c r="H1106" s="41"/>
      <c r="I1106" s="42"/>
      <c r="J1106" s="41"/>
      <c r="K1106" s="41"/>
      <c r="L1106" s="43"/>
    </row>
    <row r="1107" spans="2:12" outlineLevel="2">
      <c r="B1107" s="35">
        <f t="shared" si="34"/>
        <v>643</v>
      </c>
      <c r="C1107" s="41" t="s">
        <v>175</v>
      </c>
      <c r="D1107" s="41"/>
      <c r="E1107" s="41"/>
      <c r="F1107" s="41"/>
      <c r="G1107" s="41"/>
      <c r="H1107" s="41"/>
      <c r="I1107" s="42"/>
      <c r="J1107" s="41"/>
      <c r="K1107" s="41"/>
      <c r="L1107" s="43"/>
    </row>
    <row r="1108" spans="2:12" outlineLevel="2">
      <c r="B1108" s="35">
        <f t="shared" si="34"/>
        <v>644</v>
      </c>
      <c r="C1108" s="41" t="s">
        <v>175</v>
      </c>
      <c r="D1108" s="41"/>
      <c r="E1108" s="41"/>
      <c r="F1108" s="41"/>
      <c r="G1108" s="41"/>
      <c r="H1108" s="41"/>
      <c r="I1108" s="42"/>
      <c r="J1108" s="41"/>
      <c r="K1108" s="41"/>
      <c r="L1108" s="43"/>
    </row>
    <row r="1109" spans="2:12" outlineLevel="2">
      <c r="B1109" s="35">
        <f t="shared" si="34"/>
        <v>645</v>
      </c>
      <c r="C1109" s="41" t="s">
        <v>175</v>
      </c>
      <c r="D1109" s="41"/>
      <c r="E1109" s="41"/>
      <c r="F1109" s="41"/>
      <c r="G1109" s="41"/>
      <c r="H1109" s="41"/>
      <c r="I1109" s="42"/>
      <c r="J1109" s="41"/>
      <c r="K1109" s="41"/>
      <c r="L1109" s="43"/>
    </row>
    <row r="1110" spans="2:12" outlineLevel="2">
      <c r="B1110" s="35">
        <f t="shared" si="34"/>
        <v>646</v>
      </c>
      <c r="C1110" s="41" t="s">
        <v>175</v>
      </c>
      <c r="D1110" s="41"/>
      <c r="E1110" s="41"/>
      <c r="F1110" s="41"/>
      <c r="G1110" s="41"/>
      <c r="H1110" s="41"/>
      <c r="I1110" s="42"/>
      <c r="J1110" s="41"/>
      <c r="K1110" s="41"/>
      <c r="L1110" s="43"/>
    </row>
    <row r="1111" spans="2:12" outlineLevel="2">
      <c r="B1111" s="35">
        <f t="shared" si="34"/>
        <v>647</v>
      </c>
      <c r="C1111" s="41" t="s">
        <v>175</v>
      </c>
      <c r="D1111" s="41"/>
      <c r="E1111" s="41"/>
      <c r="F1111" s="41"/>
      <c r="G1111" s="41"/>
      <c r="H1111" s="41"/>
      <c r="I1111" s="42"/>
      <c r="J1111" s="41"/>
      <c r="K1111" s="41"/>
      <c r="L1111" s="43"/>
    </row>
    <row r="1112" spans="2:12" outlineLevel="2">
      <c r="B1112" s="35">
        <f t="shared" si="34"/>
        <v>648</v>
      </c>
      <c r="C1112" s="41" t="s">
        <v>175</v>
      </c>
      <c r="D1112" s="41"/>
      <c r="E1112" s="41"/>
      <c r="F1112" s="41"/>
      <c r="G1112" s="41"/>
      <c r="H1112" s="41"/>
      <c r="I1112" s="42"/>
      <c r="J1112" s="41"/>
      <c r="K1112" s="41"/>
      <c r="L1112" s="43"/>
    </row>
    <row r="1113" spans="2:12" outlineLevel="2">
      <c r="B1113" s="35">
        <f t="shared" si="34"/>
        <v>649</v>
      </c>
      <c r="C1113" s="41" t="s">
        <v>175</v>
      </c>
      <c r="D1113" s="41"/>
      <c r="E1113" s="41"/>
      <c r="F1113" s="41"/>
      <c r="G1113" s="41"/>
      <c r="H1113" s="41"/>
      <c r="I1113" s="42"/>
      <c r="J1113" s="41"/>
      <c r="K1113" s="41"/>
      <c r="L1113" s="43"/>
    </row>
    <row r="1114" spans="2:12" outlineLevel="2">
      <c r="B1114" s="35">
        <f t="shared" ref="B1114:B1148" si="35">(B1113+1)</f>
        <v>650</v>
      </c>
      <c r="C1114" s="41" t="s">
        <v>175</v>
      </c>
      <c r="D1114" s="41"/>
      <c r="E1114" s="41"/>
      <c r="F1114" s="41"/>
      <c r="G1114" s="41"/>
      <c r="H1114" s="41"/>
      <c r="I1114" s="42"/>
      <c r="J1114" s="41"/>
      <c r="K1114" s="41"/>
      <c r="L1114" s="43"/>
    </row>
    <row r="1115" spans="2:12" outlineLevel="2">
      <c r="B1115" s="35">
        <f t="shared" si="35"/>
        <v>651</v>
      </c>
      <c r="C1115" s="41" t="s">
        <v>175</v>
      </c>
      <c r="D1115" s="41"/>
      <c r="E1115" s="41"/>
      <c r="F1115" s="41"/>
      <c r="G1115" s="41"/>
      <c r="H1115" s="41"/>
      <c r="I1115" s="42"/>
      <c r="J1115" s="41"/>
      <c r="K1115" s="41"/>
      <c r="L1115" s="43"/>
    </row>
    <row r="1116" spans="2:12" outlineLevel="2">
      <c r="B1116" s="35">
        <f t="shared" si="35"/>
        <v>652</v>
      </c>
      <c r="C1116" s="41" t="s">
        <v>175</v>
      </c>
      <c r="D1116" s="41"/>
      <c r="E1116" s="41"/>
      <c r="F1116" s="41"/>
      <c r="G1116" s="41"/>
      <c r="H1116" s="41"/>
      <c r="I1116" s="42"/>
      <c r="J1116" s="41"/>
      <c r="K1116" s="41"/>
      <c r="L1116" s="43"/>
    </row>
    <row r="1117" spans="2:12" outlineLevel="2">
      <c r="B1117" s="35">
        <f t="shared" si="35"/>
        <v>653</v>
      </c>
      <c r="C1117" s="41" t="s">
        <v>175</v>
      </c>
      <c r="D1117" s="41"/>
      <c r="E1117" s="41"/>
      <c r="F1117" s="41"/>
      <c r="G1117" s="41"/>
      <c r="H1117" s="41"/>
      <c r="I1117" s="42"/>
      <c r="J1117" s="41"/>
      <c r="K1117" s="41"/>
      <c r="L1117" s="43"/>
    </row>
    <row r="1118" spans="2:12" outlineLevel="2">
      <c r="B1118" s="35">
        <f t="shared" si="35"/>
        <v>654</v>
      </c>
      <c r="C1118" s="41" t="s">
        <v>175</v>
      </c>
      <c r="D1118" s="41"/>
      <c r="E1118" s="41"/>
      <c r="F1118" s="41"/>
      <c r="G1118" s="41"/>
      <c r="H1118" s="41"/>
      <c r="I1118" s="42"/>
      <c r="J1118" s="41"/>
      <c r="K1118" s="41"/>
      <c r="L1118" s="43"/>
    </row>
    <row r="1119" spans="2:12" outlineLevel="2">
      <c r="B1119" s="35">
        <f t="shared" si="35"/>
        <v>655</v>
      </c>
      <c r="C1119" s="41" t="s">
        <v>175</v>
      </c>
      <c r="D1119" s="41"/>
      <c r="E1119" s="41"/>
      <c r="F1119" s="41"/>
      <c r="G1119" s="41"/>
      <c r="H1119" s="41"/>
      <c r="I1119" s="42"/>
      <c r="J1119" s="41"/>
      <c r="K1119" s="41"/>
      <c r="L1119" s="43"/>
    </row>
    <row r="1120" spans="2:12" outlineLevel="2">
      <c r="B1120" s="35">
        <f t="shared" si="35"/>
        <v>656</v>
      </c>
      <c r="C1120" s="41" t="s">
        <v>175</v>
      </c>
      <c r="D1120" s="41"/>
      <c r="E1120" s="41"/>
      <c r="F1120" s="41"/>
      <c r="G1120" s="41"/>
      <c r="H1120" s="41"/>
      <c r="I1120" s="42"/>
      <c r="J1120" s="41"/>
      <c r="K1120" s="41"/>
      <c r="L1120" s="43"/>
    </row>
    <row r="1121" spans="2:12" outlineLevel="2">
      <c r="B1121" s="35">
        <f t="shared" si="35"/>
        <v>657</v>
      </c>
      <c r="C1121" s="41" t="s">
        <v>175</v>
      </c>
      <c r="D1121" s="41"/>
      <c r="E1121" s="41"/>
      <c r="F1121" s="41"/>
      <c r="G1121" s="41"/>
      <c r="H1121" s="41"/>
      <c r="I1121" s="42"/>
      <c r="J1121" s="41"/>
      <c r="K1121" s="41"/>
      <c r="L1121" s="43"/>
    </row>
    <row r="1122" spans="2:12" outlineLevel="2">
      <c r="B1122" s="35">
        <f t="shared" si="35"/>
        <v>658</v>
      </c>
      <c r="C1122" s="41" t="s">
        <v>175</v>
      </c>
      <c r="D1122" s="41"/>
      <c r="E1122" s="41"/>
      <c r="F1122" s="41"/>
      <c r="G1122" s="41"/>
      <c r="H1122" s="41"/>
      <c r="I1122" s="42"/>
      <c r="J1122" s="41"/>
      <c r="K1122" s="41"/>
      <c r="L1122" s="43"/>
    </row>
    <row r="1123" spans="2:12" outlineLevel="2">
      <c r="B1123" s="35">
        <f t="shared" si="35"/>
        <v>659</v>
      </c>
      <c r="C1123" s="41" t="s">
        <v>175</v>
      </c>
      <c r="D1123" s="41"/>
      <c r="E1123" s="41"/>
      <c r="F1123" s="41"/>
      <c r="G1123" s="41"/>
      <c r="H1123" s="41"/>
      <c r="I1123" s="42"/>
      <c r="J1123" s="41"/>
      <c r="K1123" s="41"/>
      <c r="L1123" s="43"/>
    </row>
    <row r="1124" spans="2:12" outlineLevel="2">
      <c r="B1124" s="35">
        <f t="shared" si="35"/>
        <v>660</v>
      </c>
      <c r="C1124" s="41" t="s">
        <v>175</v>
      </c>
      <c r="D1124" s="41"/>
      <c r="E1124" s="41"/>
      <c r="F1124" s="41"/>
      <c r="G1124" s="41"/>
      <c r="H1124" s="41"/>
      <c r="I1124" s="42"/>
      <c r="J1124" s="41"/>
      <c r="K1124" s="41"/>
      <c r="L1124" s="43"/>
    </row>
    <row r="1125" spans="2:12" outlineLevel="2">
      <c r="B1125" s="35">
        <f t="shared" si="35"/>
        <v>661</v>
      </c>
      <c r="C1125" s="41" t="s">
        <v>175</v>
      </c>
      <c r="D1125" s="41"/>
      <c r="E1125" s="41"/>
      <c r="F1125" s="41"/>
      <c r="G1125" s="41"/>
      <c r="H1125" s="41"/>
      <c r="I1125" s="42"/>
      <c r="J1125" s="41"/>
      <c r="K1125" s="41"/>
      <c r="L1125" s="43"/>
    </row>
    <row r="1126" spans="2:12" outlineLevel="2">
      <c r="B1126" s="35">
        <f t="shared" si="35"/>
        <v>662</v>
      </c>
      <c r="C1126" s="41" t="s">
        <v>175</v>
      </c>
      <c r="D1126" s="41"/>
      <c r="E1126" s="41"/>
      <c r="F1126" s="41"/>
      <c r="G1126" s="41"/>
      <c r="H1126" s="41"/>
      <c r="I1126" s="42"/>
      <c r="J1126" s="41"/>
      <c r="K1126" s="41"/>
      <c r="L1126" s="43"/>
    </row>
    <row r="1127" spans="2:12" outlineLevel="2">
      <c r="B1127" s="35">
        <f t="shared" si="35"/>
        <v>663</v>
      </c>
      <c r="C1127" s="41" t="s">
        <v>175</v>
      </c>
      <c r="D1127" s="41"/>
      <c r="E1127" s="41"/>
      <c r="F1127" s="41"/>
      <c r="G1127" s="41"/>
      <c r="H1127" s="41"/>
      <c r="I1127" s="42"/>
      <c r="J1127" s="41"/>
      <c r="K1127" s="41"/>
      <c r="L1127" s="43"/>
    </row>
    <row r="1128" spans="2:12" outlineLevel="2">
      <c r="B1128" s="35">
        <f t="shared" si="35"/>
        <v>664</v>
      </c>
      <c r="C1128" s="41" t="s">
        <v>175</v>
      </c>
      <c r="D1128" s="41"/>
      <c r="E1128" s="41"/>
      <c r="F1128" s="41"/>
      <c r="G1128" s="41"/>
      <c r="H1128" s="41"/>
      <c r="I1128" s="42"/>
      <c r="J1128" s="41"/>
      <c r="K1128" s="41"/>
      <c r="L1128" s="43"/>
    </row>
    <row r="1129" spans="2:12" outlineLevel="2">
      <c r="B1129" s="35">
        <f t="shared" si="35"/>
        <v>665</v>
      </c>
      <c r="C1129" s="41" t="s">
        <v>175</v>
      </c>
      <c r="D1129" s="41"/>
      <c r="E1129" s="41"/>
      <c r="F1129" s="41"/>
      <c r="G1129" s="41"/>
      <c r="H1129" s="41"/>
      <c r="I1129" s="42"/>
      <c r="J1129" s="41"/>
      <c r="K1129" s="41"/>
      <c r="L1129" s="43"/>
    </row>
    <row r="1130" spans="2:12" outlineLevel="2">
      <c r="B1130" s="35">
        <f t="shared" si="35"/>
        <v>666</v>
      </c>
      <c r="C1130" s="41" t="s">
        <v>175</v>
      </c>
      <c r="D1130" s="41"/>
      <c r="E1130" s="41"/>
      <c r="F1130" s="41"/>
      <c r="G1130" s="41"/>
      <c r="H1130" s="41"/>
      <c r="I1130" s="42"/>
      <c r="J1130" s="41"/>
      <c r="K1130" s="41"/>
      <c r="L1130" s="43"/>
    </row>
    <row r="1131" spans="2:12" outlineLevel="2">
      <c r="B1131" s="35">
        <f t="shared" si="35"/>
        <v>667</v>
      </c>
      <c r="C1131" s="41" t="s">
        <v>175</v>
      </c>
      <c r="D1131" s="41"/>
      <c r="E1131" s="41"/>
      <c r="F1131" s="41"/>
      <c r="G1131" s="41"/>
      <c r="H1131" s="41"/>
      <c r="I1131" s="42"/>
      <c r="J1131" s="41"/>
      <c r="K1131" s="41"/>
      <c r="L1131" s="43"/>
    </row>
    <row r="1132" spans="2:12" outlineLevel="2">
      <c r="B1132" s="35">
        <f t="shared" si="35"/>
        <v>668</v>
      </c>
      <c r="C1132" s="41" t="s">
        <v>175</v>
      </c>
      <c r="D1132" s="41"/>
      <c r="E1132" s="41"/>
      <c r="F1132" s="41"/>
      <c r="G1132" s="41"/>
      <c r="H1132" s="41"/>
      <c r="I1132" s="42"/>
      <c r="J1132" s="41"/>
      <c r="K1132" s="41"/>
      <c r="L1132" s="43"/>
    </row>
    <row r="1133" spans="2:12" outlineLevel="2">
      <c r="B1133" s="35">
        <f t="shared" si="35"/>
        <v>669</v>
      </c>
      <c r="C1133" s="41" t="s">
        <v>175</v>
      </c>
      <c r="D1133" s="41"/>
      <c r="E1133" s="41"/>
      <c r="F1133" s="41"/>
      <c r="G1133" s="41"/>
      <c r="H1133" s="41"/>
      <c r="I1133" s="42"/>
      <c r="J1133" s="41"/>
      <c r="K1133" s="41"/>
      <c r="L1133" s="43"/>
    </row>
    <row r="1134" spans="2:12" outlineLevel="2">
      <c r="B1134" s="35">
        <f t="shared" si="35"/>
        <v>670</v>
      </c>
      <c r="C1134" s="41" t="s">
        <v>175</v>
      </c>
      <c r="D1134" s="41"/>
      <c r="E1134" s="41"/>
      <c r="F1134" s="41"/>
      <c r="G1134" s="41"/>
      <c r="H1134" s="41"/>
      <c r="I1134" s="42"/>
      <c r="J1134" s="41"/>
      <c r="K1134" s="41"/>
      <c r="L1134" s="43"/>
    </row>
    <row r="1135" spans="2:12" outlineLevel="2">
      <c r="B1135" s="35">
        <f t="shared" si="35"/>
        <v>671</v>
      </c>
      <c r="C1135" s="41" t="s">
        <v>175</v>
      </c>
      <c r="D1135" s="41"/>
      <c r="E1135" s="41"/>
      <c r="F1135" s="41"/>
      <c r="G1135" s="41"/>
      <c r="H1135" s="41"/>
      <c r="I1135" s="42"/>
      <c r="J1135" s="41"/>
      <c r="K1135" s="41"/>
      <c r="L1135" s="43"/>
    </row>
    <row r="1136" spans="2:12" outlineLevel="2">
      <c r="B1136" s="35">
        <f t="shared" si="35"/>
        <v>672</v>
      </c>
      <c r="C1136" s="41" t="s">
        <v>175</v>
      </c>
      <c r="D1136" s="41"/>
      <c r="E1136" s="41"/>
      <c r="F1136" s="41"/>
      <c r="G1136" s="41"/>
      <c r="H1136" s="41"/>
      <c r="I1136" s="42"/>
      <c r="J1136" s="41"/>
      <c r="K1136" s="41"/>
      <c r="L1136" s="43"/>
    </row>
    <row r="1137" spans="2:12" outlineLevel="2">
      <c r="B1137" s="35">
        <f t="shared" si="35"/>
        <v>673</v>
      </c>
      <c r="C1137" s="41" t="s">
        <v>175</v>
      </c>
      <c r="D1137" s="41"/>
      <c r="E1137" s="41"/>
      <c r="F1137" s="41"/>
      <c r="G1137" s="41"/>
      <c r="H1137" s="41"/>
      <c r="I1137" s="42"/>
      <c r="J1137" s="41"/>
      <c r="K1137" s="41"/>
      <c r="L1137" s="43"/>
    </row>
    <row r="1138" spans="2:12" outlineLevel="2">
      <c r="B1138" s="35">
        <f t="shared" si="35"/>
        <v>674</v>
      </c>
      <c r="C1138" s="41" t="s">
        <v>175</v>
      </c>
      <c r="D1138" s="41"/>
      <c r="E1138" s="41"/>
      <c r="F1138" s="41"/>
      <c r="G1138" s="41"/>
      <c r="H1138" s="41"/>
      <c r="I1138" s="42"/>
      <c r="J1138" s="41"/>
      <c r="K1138" s="41"/>
      <c r="L1138" s="43"/>
    </row>
    <row r="1139" spans="2:12" outlineLevel="2">
      <c r="B1139" s="35">
        <f t="shared" si="35"/>
        <v>675</v>
      </c>
      <c r="C1139" s="41" t="s">
        <v>175</v>
      </c>
      <c r="D1139" s="41"/>
      <c r="E1139" s="41"/>
      <c r="F1139" s="41"/>
      <c r="G1139" s="41"/>
      <c r="H1139" s="41"/>
      <c r="I1139" s="42"/>
      <c r="J1139" s="41"/>
      <c r="K1139" s="41"/>
      <c r="L1139" s="43"/>
    </row>
    <row r="1140" spans="2:12" outlineLevel="2">
      <c r="B1140" s="35">
        <f t="shared" si="35"/>
        <v>676</v>
      </c>
      <c r="C1140" s="41" t="s">
        <v>175</v>
      </c>
      <c r="D1140" s="41"/>
      <c r="E1140" s="41"/>
      <c r="F1140" s="41"/>
      <c r="G1140" s="41"/>
      <c r="H1140" s="41"/>
      <c r="I1140" s="42"/>
      <c r="J1140" s="41"/>
      <c r="K1140" s="41"/>
      <c r="L1140" s="43"/>
    </row>
    <row r="1141" spans="2:12" outlineLevel="2">
      <c r="B1141" s="35">
        <f t="shared" si="35"/>
        <v>677</v>
      </c>
      <c r="C1141" s="41" t="s">
        <v>175</v>
      </c>
      <c r="D1141" s="41"/>
      <c r="E1141" s="41"/>
      <c r="F1141" s="41"/>
      <c r="G1141" s="41"/>
      <c r="H1141" s="41"/>
      <c r="I1141" s="42"/>
      <c r="J1141" s="41"/>
      <c r="K1141" s="41"/>
      <c r="L1141" s="43"/>
    </row>
    <row r="1142" spans="2:12" outlineLevel="2">
      <c r="B1142" s="35">
        <f t="shared" si="35"/>
        <v>678</v>
      </c>
      <c r="C1142" s="41" t="s">
        <v>175</v>
      </c>
      <c r="D1142" s="41"/>
      <c r="E1142" s="41"/>
      <c r="F1142" s="41"/>
      <c r="G1142" s="41"/>
      <c r="H1142" s="41"/>
      <c r="I1142" s="42"/>
      <c r="J1142" s="41"/>
      <c r="K1142" s="41"/>
      <c r="L1142" s="43"/>
    </row>
    <row r="1143" spans="2:12" outlineLevel="2">
      <c r="B1143" s="35">
        <f t="shared" si="35"/>
        <v>679</v>
      </c>
      <c r="C1143" s="41" t="s">
        <v>175</v>
      </c>
      <c r="D1143" s="41"/>
      <c r="E1143" s="41"/>
      <c r="F1143" s="41"/>
      <c r="G1143" s="41"/>
      <c r="H1143" s="41"/>
      <c r="I1143" s="42"/>
      <c r="J1143" s="41"/>
      <c r="K1143" s="41"/>
      <c r="L1143" s="43"/>
    </row>
    <row r="1144" spans="2:12" outlineLevel="2">
      <c r="B1144" s="35">
        <f t="shared" si="35"/>
        <v>680</v>
      </c>
      <c r="C1144" s="41" t="s">
        <v>175</v>
      </c>
      <c r="D1144" s="41"/>
      <c r="E1144" s="41"/>
      <c r="F1144" s="41"/>
      <c r="G1144" s="41"/>
      <c r="H1144" s="41"/>
      <c r="I1144" s="42"/>
      <c r="J1144" s="41"/>
      <c r="K1144" s="41"/>
      <c r="L1144" s="43"/>
    </row>
    <row r="1145" spans="2:12" outlineLevel="2">
      <c r="B1145" s="35">
        <f t="shared" si="35"/>
        <v>681</v>
      </c>
      <c r="C1145" s="41" t="s">
        <v>175</v>
      </c>
      <c r="D1145" s="41"/>
      <c r="E1145" s="41"/>
      <c r="F1145" s="41"/>
      <c r="G1145" s="41"/>
      <c r="H1145" s="41"/>
      <c r="I1145" s="42"/>
      <c r="J1145" s="41"/>
      <c r="K1145" s="41"/>
      <c r="L1145" s="43"/>
    </row>
    <row r="1146" spans="2:12" outlineLevel="2">
      <c r="B1146" s="35">
        <f t="shared" si="35"/>
        <v>682</v>
      </c>
      <c r="C1146" s="41" t="s">
        <v>175</v>
      </c>
      <c r="D1146" s="41"/>
      <c r="E1146" s="41"/>
      <c r="F1146" s="41"/>
      <c r="G1146" s="41"/>
      <c r="H1146" s="41"/>
      <c r="I1146" s="42"/>
      <c r="J1146" s="41"/>
      <c r="K1146" s="41"/>
      <c r="L1146" s="43"/>
    </row>
    <row r="1147" spans="2:12" outlineLevel="2">
      <c r="B1147" s="35">
        <f t="shared" si="35"/>
        <v>683</v>
      </c>
      <c r="C1147" s="41" t="s">
        <v>175</v>
      </c>
      <c r="D1147" s="41"/>
      <c r="E1147" s="41"/>
      <c r="F1147" s="41"/>
      <c r="G1147" s="41"/>
      <c r="H1147" s="41"/>
      <c r="I1147" s="42"/>
      <c r="J1147" s="41"/>
      <c r="K1147" s="41"/>
      <c r="L1147" s="43"/>
    </row>
    <row r="1148" spans="2:12" outlineLevel="2">
      <c r="B1148" s="35">
        <f t="shared" si="35"/>
        <v>684</v>
      </c>
      <c r="C1148" s="41" t="s">
        <v>175</v>
      </c>
      <c r="D1148" s="41"/>
      <c r="E1148" s="41"/>
      <c r="F1148" s="41"/>
      <c r="G1148" s="41"/>
      <c r="H1148" s="41"/>
      <c r="I1148" s="42"/>
      <c r="J1148" s="41"/>
      <c r="K1148" s="41"/>
      <c r="L1148" s="43"/>
    </row>
    <row r="1149" spans="2:12" outlineLevel="1">
      <c r="B1149" s="60" t="s">
        <v>296</v>
      </c>
      <c r="C1149" s="41">
        <f>SUBTOTAL(3,C921:C1148)</f>
        <v>228</v>
      </c>
      <c r="D1149" s="41"/>
      <c r="E1149" s="41"/>
      <c r="F1149" s="41"/>
      <c r="G1149" s="41"/>
      <c r="H1149" s="41"/>
      <c r="I1149" s="42"/>
      <c r="J1149" s="41"/>
      <c r="K1149" s="41"/>
      <c r="L1149" s="43"/>
    </row>
    <row r="1150" spans="2:12" outlineLevel="2">
      <c r="B1150" s="35">
        <f>(B1148+1)</f>
        <v>685</v>
      </c>
      <c r="C1150" s="41" t="s">
        <v>69</v>
      </c>
      <c r="D1150" s="41"/>
      <c r="E1150" s="41"/>
      <c r="F1150" s="41"/>
      <c r="G1150" s="41"/>
      <c r="H1150" s="41"/>
      <c r="I1150" s="42"/>
      <c r="J1150" s="41"/>
      <c r="K1150" s="41"/>
      <c r="L1150" s="43"/>
    </row>
    <row r="1151" spans="2:12" outlineLevel="2">
      <c r="B1151" s="35">
        <f t="shared" ref="B1151:B1214" si="36">(B1150+1)</f>
        <v>686</v>
      </c>
      <c r="C1151" s="41" t="s">
        <v>69</v>
      </c>
      <c r="D1151" s="41"/>
      <c r="E1151" s="41"/>
      <c r="F1151" s="41"/>
      <c r="G1151" s="41"/>
      <c r="H1151" s="41"/>
      <c r="I1151" s="42"/>
      <c r="J1151" s="41"/>
      <c r="K1151" s="41"/>
      <c r="L1151" s="43"/>
    </row>
    <row r="1152" spans="2:12" outlineLevel="2">
      <c r="B1152" s="35">
        <f t="shared" si="36"/>
        <v>687</v>
      </c>
      <c r="C1152" s="41" t="s">
        <v>69</v>
      </c>
      <c r="D1152" s="41"/>
      <c r="E1152" s="41"/>
      <c r="F1152" s="41"/>
      <c r="G1152" s="41"/>
      <c r="H1152" s="41"/>
      <c r="I1152" s="42"/>
      <c r="J1152" s="41"/>
      <c r="K1152" s="41"/>
      <c r="L1152" s="43"/>
    </row>
    <row r="1153" spans="2:12" outlineLevel="2">
      <c r="B1153" s="35">
        <f t="shared" si="36"/>
        <v>688</v>
      </c>
      <c r="C1153" s="41" t="s">
        <v>69</v>
      </c>
      <c r="D1153" s="41"/>
      <c r="E1153" s="41"/>
      <c r="F1153" s="41"/>
      <c r="G1153" s="41"/>
      <c r="H1153" s="41"/>
      <c r="I1153" s="42"/>
      <c r="J1153" s="41"/>
      <c r="K1153" s="41"/>
      <c r="L1153" s="43"/>
    </row>
    <row r="1154" spans="2:12" outlineLevel="2">
      <c r="B1154" s="35">
        <f t="shared" si="36"/>
        <v>689</v>
      </c>
      <c r="C1154" s="41" t="s">
        <v>69</v>
      </c>
      <c r="D1154" s="41"/>
      <c r="E1154" s="41"/>
      <c r="F1154" s="41"/>
      <c r="G1154" s="41"/>
      <c r="H1154" s="41"/>
      <c r="I1154" s="42"/>
      <c r="J1154" s="41"/>
      <c r="K1154" s="41"/>
      <c r="L1154" s="43"/>
    </row>
    <row r="1155" spans="2:12" outlineLevel="2">
      <c r="B1155" s="35">
        <f t="shared" si="36"/>
        <v>690</v>
      </c>
      <c r="C1155" s="41" t="s">
        <v>69</v>
      </c>
      <c r="D1155" s="41"/>
      <c r="E1155" s="41"/>
      <c r="F1155" s="41"/>
      <c r="G1155" s="41"/>
      <c r="H1155" s="41"/>
      <c r="I1155" s="42"/>
      <c r="J1155" s="41"/>
      <c r="K1155" s="41"/>
      <c r="L1155" s="43"/>
    </row>
    <row r="1156" spans="2:12" outlineLevel="2">
      <c r="B1156" s="35">
        <f t="shared" si="36"/>
        <v>691</v>
      </c>
      <c r="C1156" s="41" t="s">
        <v>69</v>
      </c>
      <c r="D1156" s="41"/>
      <c r="E1156" s="41"/>
      <c r="F1156" s="41"/>
      <c r="G1156" s="41"/>
      <c r="H1156" s="41"/>
      <c r="I1156" s="42"/>
      <c r="J1156" s="41"/>
      <c r="K1156" s="41"/>
      <c r="L1156" s="43"/>
    </row>
    <row r="1157" spans="2:12" outlineLevel="2">
      <c r="B1157" s="35">
        <f t="shared" si="36"/>
        <v>692</v>
      </c>
      <c r="C1157" s="41" t="s">
        <v>69</v>
      </c>
      <c r="D1157" s="41"/>
      <c r="E1157" s="41"/>
      <c r="F1157" s="41"/>
      <c r="G1157" s="41"/>
      <c r="H1157" s="41"/>
      <c r="I1157" s="42"/>
      <c r="J1157" s="41"/>
      <c r="K1157" s="41"/>
      <c r="L1157" s="43"/>
    </row>
    <row r="1158" spans="2:12" outlineLevel="2">
      <c r="B1158" s="35">
        <f t="shared" si="36"/>
        <v>693</v>
      </c>
      <c r="C1158" s="41" t="s">
        <v>69</v>
      </c>
      <c r="D1158" s="41"/>
      <c r="E1158" s="41"/>
      <c r="F1158" s="41"/>
      <c r="G1158" s="41"/>
      <c r="H1158" s="41"/>
      <c r="I1158" s="42"/>
      <c r="J1158" s="41"/>
      <c r="K1158" s="41"/>
      <c r="L1158" s="43"/>
    </row>
    <row r="1159" spans="2:12" outlineLevel="2">
      <c r="B1159" s="35">
        <f t="shared" si="36"/>
        <v>694</v>
      </c>
      <c r="C1159" s="41" t="s">
        <v>69</v>
      </c>
      <c r="D1159" s="41"/>
      <c r="E1159" s="41"/>
      <c r="F1159" s="41"/>
      <c r="G1159" s="41"/>
      <c r="H1159" s="41"/>
      <c r="I1159" s="42"/>
      <c r="J1159" s="41"/>
      <c r="K1159" s="41"/>
      <c r="L1159" s="43"/>
    </row>
    <row r="1160" spans="2:12" outlineLevel="2">
      <c r="B1160" s="35">
        <f t="shared" si="36"/>
        <v>695</v>
      </c>
      <c r="C1160" s="41" t="s">
        <v>69</v>
      </c>
      <c r="D1160" s="41"/>
      <c r="E1160" s="41"/>
      <c r="F1160" s="41"/>
      <c r="G1160" s="41"/>
      <c r="H1160" s="41"/>
      <c r="I1160" s="42"/>
      <c r="J1160" s="41"/>
      <c r="K1160" s="41"/>
      <c r="L1160" s="43"/>
    </row>
    <row r="1161" spans="2:12" outlineLevel="2">
      <c r="B1161" s="35">
        <f t="shared" si="36"/>
        <v>696</v>
      </c>
      <c r="C1161" s="41" t="s">
        <v>69</v>
      </c>
      <c r="D1161" s="41"/>
      <c r="E1161" s="41"/>
      <c r="F1161" s="41"/>
      <c r="G1161" s="41"/>
      <c r="H1161" s="41"/>
      <c r="I1161" s="42"/>
      <c r="J1161" s="41"/>
      <c r="K1161" s="41"/>
      <c r="L1161" s="43"/>
    </row>
    <row r="1162" spans="2:12" outlineLevel="2">
      <c r="B1162" s="35">
        <f t="shared" si="36"/>
        <v>697</v>
      </c>
      <c r="C1162" s="41" t="s">
        <v>69</v>
      </c>
      <c r="D1162" s="41"/>
      <c r="E1162" s="41"/>
      <c r="F1162" s="41"/>
      <c r="G1162" s="41"/>
      <c r="H1162" s="41"/>
      <c r="I1162" s="42"/>
      <c r="J1162" s="41"/>
      <c r="K1162" s="41"/>
      <c r="L1162" s="43"/>
    </row>
    <row r="1163" spans="2:12" outlineLevel="2">
      <c r="B1163" s="35">
        <f t="shared" si="36"/>
        <v>698</v>
      </c>
      <c r="C1163" s="41" t="s">
        <v>69</v>
      </c>
      <c r="D1163" s="41"/>
      <c r="E1163" s="41"/>
      <c r="F1163" s="41"/>
      <c r="G1163" s="41"/>
      <c r="H1163" s="41"/>
      <c r="I1163" s="42"/>
      <c r="J1163" s="41"/>
      <c r="K1163" s="41"/>
      <c r="L1163" s="43"/>
    </row>
    <row r="1164" spans="2:12" outlineLevel="2">
      <c r="B1164" s="35">
        <f t="shared" si="36"/>
        <v>699</v>
      </c>
      <c r="C1164" s="41" t="s">
        <v>69</v>
      </c>
      <c r="D1164" s="41"/>
      <c r="E1164" s="41"/>
      <c r="F1164" s="41"/>
      <c r="G1164" s="41"/>
      <c r="H1164" s="41"/>
      <c r="I1164" s="42"/>
      <c r="J1164" s="41"/>
      <c r="K1164" s="41"/>
      <c r="L1164" s="43"/>
    </row>
    <row r="1165" spans="2:12" outlineLevel="2">
      <c r="B1165" s="35">
        <f t="shared" si="36"/>
        <v>700</v>
      </c>
      <c r="C1165" s="41" t="s">
        <v>69</v>
      </c>
      <c r="D1165" s="41"/>
      <c r="E1165" s="41"/>
      <c r="F1165" s="41"/>
      <c r="G1165" s="41"/>
      <c r="H1165" s="41"/>
      <c r="I1165" s="42"/>
      <c r="J1165" s="41"/>
      <c r="K1165" s="41"/>
      <c r="L1165" s="43"/>
    </row>
    <row r="1166" spans="2:12" outlineLevel="2">
      <c r="B1166" s="35">
        <f t="shared" si="36"/>
        <v>701</v>
      </c>
      <c r="C1166" s="41" t="s">
        <v>69</v>
      </c>
      <c r="D1166" s="41"/>
      <c r="E1166" s="41"/>
      <c r="F1166" s="41"/>
      <c r="G1166" s="41"/>
      <c r="H1166" s="41"/>
      <c r="I1166" s="42"/>
      <c r="J1166" s="41"/>
      <c r="K1166" s="41"/>
      <c r="L1166" s="43"/>
    </row>
    <row r="1167" spans="2:12" outlineLevel="2">
      <c r="B1167" s="35">
        <f t="shared" si="36"/>
        <v>702</v>
      </c>
      <c r="C1167" s="41" t="s">
        <v>69</v>
      </c>
      <c r="D1167" s="41"/>
      <c r="E1167" s="41"/>
      <c r="F1167" s="41"/>
      <c r="G1167" s="41"/>
      <c r="H1167" s="41"/>
      <c r="I1167" s="42"/>
      <c r="J1167" s="41"/>
      <c r="K1167" s="41"/>
      <c r="L1167" s="43"/>
    </row>
    <row r="1168" spans="2:12" outlineLevel="2">
      <c r="B1168" s="35">
        <f t="shared" si="36"/>
        <v>703</v>
      </c>
      <c r="C1168" s="41" t="s">
        <v>69</v>
      </c>
      <c r="D1168" s="41"/>
      <c r="E1168" s="41"/>
      <c r="F1168" s="41"/>
      <c r="G1168" s="41"/>
      <c r="H1168" s="41"/>
      <c r="I1168" s="42"/>
      <c r="J1168" s="41"/>
      <c r="K1168" s="41"/>
      <c r="L1168" s="43"/>
    </row>
    <row r="1169" spans="2:12" outlineLevel="2">
      <c r="B1169" s="35">
        <f t="shared" si="36"/>
        <v>704</v>
      </c>
      <c r="C1169" s="41" t="s">
        <v>69</v>
      </c>
      <c r="D1169" s="41"/>
      <c r="E1169" s="41"/>
      <c r="F1169" s="41"/>
      <c r="G1169" s="41"/>
      <c r="H1169" s="41"/>
      <c r="I1169" s="42"/>
      <c r="J1169" s="41"/>
      <c r="K1169" s="41"/>
      <c r="L1169" s="43"/>
    </row>
    <row r="1170" spans="2:12" outlineLevel="2">
      <c r="B1170" s="35">
        <f t="shared" si="36"/>
        <v>705</v>
      </c>
      <c r="C1170" s="41" t="s">
        <v>69</v>
      </c>
      <c r="D1170" s="41"/>
      <c r="E1170" s="41"/>
      <c r="F1170" s="41"/>
      <c r="G1170" s="41"/>
      <c r="H1170" s="41"/>
      <c r="I1170" s="42"/>
      <c r="J1170" s="41"/>
      <c r="K1170" s="41"/>
      <c r="L1170" s="43"/>
    </row>
    <row r="1171" spans="2:12" outlineLevel="2">
      <c r="B1171" s="35">
        <f t="shared" si="36"/>
        <v>706</v>
      </c>
      <c r="C1171" s="41" t="s">
        <v>69</v>
      </c>
      <c r="D1171" s="41"/>
      <c r="E1171" s="41"/>
      <c r="F1171" s="41"/>
      <c r="G1171" s="41"/>
      <c r="H1171" s="41"/>
      <c r="I1171" s="42"/>
      <c r="J1171" s="41"/>
      <c r="K1171" s="41"/>
      <c r="L1171" s="43"/>
    </row>
    <row r="1172" spans="2:12" outlineLevel="2">
      <c r="B1172" s="35">
        <f t="shared" si="36"/>
        <v>707</v>
      </c>
      <c r="C1172" s="41" t="s">
        <v>69</v>
      </c>
      <c r="D1172" s="41"/>
      <c r="E1172" s="41"/>
      <c r="F1172" s="41"/>
      <c r="G1172" s="41"/>
      <c r="H1172" s="41"/>
      <c r="I1172" s="42"/>
      <c r="J1172" s="41"/>
      <c r="K1172" s="41"/>
      <c r="L1172" s="43"/>
    </row>
    <row r="1173" spans="2:12" outlineLevel="2">
      <c r="B1173" s="35">
        <f t="shared" si="36"/>
        <v>708</v>
      </c>
      <c r="C1173" s="41" t="s">
        <v>69</v>
      </c>
      <c r="D1173" s="41"/>
      <c r="E1173" s="41"/>
      <c r="F1173" s="41"/>
      <c r="G1173" s="41"/>
      <c r="H1173" s="41"/>
      <c r="I1173" s="42"/>
      <c r="J1173" s="41"/>
      <c r="K1173" s="41"/>
      <c r="L1173" s="43"/>
    </row>
    <row r="1174" spans="2:12" outlineLevel="2">
      <c r="B1174" s="35">
        <f t="shared" si="36"/>
        <v>709</v>
      </c>
      <c r="C1174" s="41" t="s">
        <v>69</v>
      </c>
      <c r="D1174" s="41"/>
      <c r="E1174" s="41"/>
      <c r="F1174" s="41"/>
      <c r="G1174" s="41"/>
      <c r="H1174" s="41"/>
      <c r="I1174" s="42"/>
      <c r="J1174" s="41"/>
      <c r="K1174" s="41"/>
      <c r="L1174" s="43"/>
    </row>
    <row r="1175" spans="2:12" outlineLevel="2">
      <c r="B1175" s="35">
        <f t="shared" si="36"/>
        <v>710</v>
      </c>
      <c r="C1175" s="41" t="s">
        <v>69</v>
      </c>
      <c r="D1175" s="41"/>
      <c r="E1175" s="41"/>
      <c r="F1175" s="41"/>
      <c r="G1175" s="41"/>
      <c r="H1175" s="41"/>
      <c r="I1175" s="42"/>
      <c r="J1175" s="41"/>
      <c r="K1175" s="41"/>
      <c r="L1175" s="43"/>
    </row>
    <row r="1176" spans="2:12" outlineLevel="2">
      <c r="B1176" s="35">
        <f t="shared" si="36"/>
        <v>711</v>
      </c>
      <c r="C1176" s="41" t="s">
        <v>69</v>
      </c>
      <c r="D1176" s="41"/>
      <c r="E1176" s="41"/>
      <c r="F1176" s="41"/>
      <c r="G1176" s="41"/>
      <c r="H1176" s="41"/>
      <c r="I1176" s="42"/>
      <c r="J1176" s="41"/>
      <c r="K1176" s="41"/>
      <c r="L1176" s="43"/>
    </row>
    <row r="1177" spans="2:12" outlineLevel="2">
      <c r="B1177" s="35">
        <f t="shared" si="36"/>
        <v>712</v>
      </c>
      <c r="C1177" s="41" t="s">
        <v>69</v>
      </c>
      <c r="D1177" s="41"/>
      <c r="E1177" s="41"/>
      <c r="F1177" s="41"/>
      <c r="G1177" s="41"/>
      <c r="H1177" s="41"/>
      <c r="I1177" s="42"/>
      <c r="J1177" s="41"/>
      <c r="K1177" s="41"/>
      <c r="L1177" s="43"/>
    </row>
    <row r="1178" spans="2:12" outlineLevel="2">
      <c r="B1178" s="35">
        <f t="shared" si="36"/>
        <v>713</v>
      </c>
      <c r="C1178" s="41" t="s">
        <v>69</v>
      </c>
      <c r="D1178" s="41"/>
      <c r="E1178" s="41"/>
      <c r="F1178" s="41"/>
      <c r="G1178" s="41"/>
      <c r="H1178" s="41"/>
      <c r="I1178" s="42"/>
      <c r="J1178" s="41"/>
      <c r="K1178" s="41"/>
      <c r="L1178" s="43"/>
    </row>
    <row r="1179" spans="2:12" outlineLevel="2">
      <c r="B1179" s="35">
        <f t="shared" si="36"/>
        <v>714</v>
      </c>
      <c r="C1179" s="41" t="s">
        <v>69</v>
      </c>
      <c r="D1179" s="41"/>
      <c r="E1179" s="41"/>
      <c r="F1179" s="41"/>
      <c r="G1179" s="41"/>
      <c r="H1179" s="41"/>
      <c r="I1179" s="42"/>
      <c r="J1179" s="41"/>
      <c r="K1179" s="41"/>
      <c r="L1179" s="43"/>
    </row>
    <row r="1180" spans="2:12" outlineLevel="2">
      <c r="B1180" s="35">
        <f t="shared" si="36"/>
        <v>715</v>
      </c>
      <c r="C1180" s="41" t="s">
        <v>69</v>
      </c>
      <c r="D1180" s="41"/>
      <c r="E1180" s="41"/>
      <c r="F1180" s="41"/>
      <c r="G1180" s="41"/>
      <c r="H1180" s="41"/>
      <c r="I1180" s="42"/>
      <c r="J1180" s="41"/>
      <c r="K1180" s="41"/>
      <c r="L1180" s="43"/>
    </row>
    <row r="1181" spans="2:12" outlineLevel="2">
      <c r="B1181" s="35">
        <f t="shared" si="36"/>
        <v>716</v>
      </c>
      <c r="C1181" s="41" t="s">
        <v>69</v>
      </c>
      <c r="D1181" s="41"/>
      <c r="E1181" s="41"/>
      <c r="F1181" s="41"/>
      <c r="G1181" s="41"/>
      <c r="H1181" s="41"/>
      <c r="I1181" s="42"/>
      <c r="J1181" s="41"/>
      <c r="K1181" s="41"/>
      <c r="L1181" s="43"/>
    </row>
    <row r="1182" spans="2:12" outlineLevel="2">
      <c r="B1182" s="35">
        <f t="shared" si="36"/>
        <v>717</v>
      </c>
      <c r="C1182" s="41" t="s">
        <v>69</v>
      </c>
      <c r="D1182" s="41"/>
      <c r="E1182" s="41"/>
      <c r="F1182" s="41"/>
      <c r="G1182" s="41"/>
      <c r="H1182" s="41"/>
      <c r="I1182" s="42"/>
      <c r="J1182" s="41"/>
      <c r="K1182" s="41"/>
      <c r="L1182" s="43"/>
    </row>
    <row r="1183" spans="2:12" outlineLevel="2">
      <c r="B1183" s="35">
        <f t="shared" si="36"/>
        <v>718</v>
      </c>
      <c r="C1183" s="41" t="s">
        <v>69</v>
      </c>
      <c r="D1183" s="41"/>
      <c r="E1183" s="41"/>
      <c r="F1183" s="41"/>
      <c r="G1183" s="41"/>
      <c r="H1183" s="41"/>
      <c r="I1183" s="42"/>
      <c r="J1183" s="41"/>
      <c r="K1183" s="41"/>
      <c r="L1183" s="43"/>
    </row>
    <row r="1184" spans="2:12" outlineLevel="2">
      <c r="B1184" s="35">
        <f t="shared" si="36"/>
        <v>719</v>
      </c>
      <c r="C1184" s="41" t="s">
        <v>69</v>
      </c>
      <c r="D1184" s="41"/>
      <c r="E1184" s="41"/>
      <c r="F1184" s="41"/>
      <c r="G1184" s="41"/>
      <c r="H1184" s="41"/>
      <c r="I1184" s="42"/>
      <c r="J1184" s="41"/>
      <c r="K1184" s="41"/>
      <c r="L1184" s="43"/>
    </row>
    <row r="1185" spans="2:12" outlineLevel="2">
      <c r="B1185" s="35">
        <f t="shared" si="36"/>
        <v>720</v>
      </c>
      <c r="C1185" s="41" t="s">
        <v>69</v>
      </c>
      <c r="D1185" s="41"/>
      <c r="E1185" s="41"/>
      <c r="F1185" s="41"/>
      <c r="G1185" s="41"/>
      <c r="H1185" s="41"/>
      <c r="I1185" s="42"/>
      <c r="J1185" s="41"/>
      <c r="K1185" s="41"/>
      <c r="L1185" s="43"/>
    </row>
    <row r="1186" spans="2:12" outlineLevel="2">
      <c r="B1186" s="35">
        <f t="shared" si="36"/>
        <v>721</v>
      </c>
      <c r="C1186" s="41" t="s">
        <v>69</v>
      </c>
      <c r="D1186" s="41"/>
      <c r="E1186" s="41"/>
      <c r="F1186" s="41"/>
      <c r="G1186" s="41"/>
      <c r="H1186" s="41"/>
      <c r="I1186" s="42"/>
      <c r="J1186" s="41"/>
      <c r="K1186" s="41"/>
      <c r="L1186" s="43"/>
    </row>
    <row r="1187" spans="2:12" outlineLevel="2">
      <c r="B1187" s="35">
        <f t="shared" si="36"/>
        <v>722</v>
      </c>
      <c r="C1187" s="41" t="s">
        <v>69</v>
      </c>
      <c r="D1187" s="41"/>
      <c r="E1187" s="41"/>
      <c r="F1187" s="41"/>
      <c r="G1187" s="41"/>
      <c r="H1187" s="41"/>
      <c r="I1187" s="42"/>
      <c r="J1187" s="41"/>
      <c r="K1187" s="41"/>
      <c r="L1187" s="43"/>
    </row>
    <row r="1188" spans="2:12" outlineLevel="2">
      <c r="B1188" s="35">
        <f t="shared" si="36"/>
        <v>723</v>
      </c>
      <c r="C1188" s="41" t="s">
        <v>69</v>
      </c>
      <c r="D1188" s="41"/>
      <c r="E1188" s="41"/>
      <c r="F1188" s="41"/>
      <c r="G1188" s="41"/>
      <c r="H1188" s="41"/>
      <c r="I1188" s="42"/>
      <c r="J1188" s="41"/>
      <c r="K1188" s="41"/>
      <c r="L1188" s="43"/>
    </row>
    <row r="1189" spans="2:12" outlineLevel="2">
      <c r="B1189" s="35">
        <f t="shared" si="36"/>
        <v>724</v>
      </c>
      <c r="C1189" s="41" t="s">
        <v>69</v>
      </c>
      <c r="D1189" s="41"/>
      <c r="E1189" s="41"/>
      <c r="F1189" s="41"/>
      <c r="G1189" s="41"/>
      <c r="H1189" s="41"/>
      <c r="I1189" s="42"/>
      <c r="J1189" s="41"/>
      <c r="K1189" s="41"/>
      <c r="L1189" s="43"/>
    </row>
    <row r="1190" spans="2:12" outlineLevel="2">
      <c r="B1190" s="35">
        <f t="shared" si="36"/>
        <v>725</v>
      </c>
      <c r="C1190" s="41" t="s">
        <v>69</v>
      </c>
      <c r="D1190" s="41"/>
      <c r="E1190" s="41"/>
      <c r="F1190" s="41"/>
      <c r="G1190" s="41"/>
      <c r="H1190" s="41"/>
      <c r="I1190" s="42"/>
      <c r="J1190" s="41"/>
      <c r="K1190" s="41"/>
      <c r="L1190" s="43"/>
    </row>
    <row r="1191" spans="2:12" outlineLevel="2">
      <c r="B1191" s="35">
        <f t="shared" si="36"/>
        <v>726</v>
      </c>
      <c r="C1191" s="41" t="s">
        <v>69</v>
      </c>
      <c r="D1191" s="41"/>
      <c r="E1191" s="41"/>
      <c r="F1191" s="41"/>
      <c r="G1191" s="41"/>
      <c r="H1191" s="41"/>
      <c r="I1191" s="42"/>
      <c r="J1191" s="41"/>
      <c r="K1191" s="41"/>
      <c r="L1191" s="43"/>
    </row>
    <row r="1192" spans="2:12" outlineLevel="2">
      <c r="B1192" s="35">
        <f t="shared" si="36"/>
        <v>727</v>
      </c>
      <c r="C1192" s="41" t="s">
        <v>69</v>
      </c>
      <c r="D1192" s="41"/>
      <c r="E1192" s="41"/>
      <c r="F1192" s="41"/>
      <c r="G1192" s="41"/>
      <c r="H1192" s="41"/>
      <c r="I1192" s="42"/>
      <c r="J1192" s="41"/>
      <c r="K1192" s="41"/>
      <c r="L1192" s="43"/>
    </row>
    <row r="1193" spans="2:12" outlineLevel="2">
      <c r="B1193" s="35">
        <f t="shared" si="36"/>
        <v>728</v>
      </c>
      <c r="C1193" s="41" t="s">
        <v>69</v>
      </c>
      <c r="D1193" s="41"/>
      <c r="E1193" s="41"/>
      <c r="F1193" s="41"/>
      <c r="G1193" s="41"/>
      <c r="H1193" s="41"/>
      <c r="I1193" s="42"/>
      <c r="J1193" s="41"/>
      <c r="K1193" s="41"/>
      <c r="L1193" s="43"/>
    </row>
    <row r="1194" spans="2:12" outlineLevel="2">
      <c r="B1194" s="35">
        <f t="shared" si="36"/>
        <v>729</v>
      </c>
      <c r="C1194" s="41" t="s">
        <v>69</v>
      </c>
      <c r="D1194" s="41"/>
      <c r="E1194" s="41"/>
      <c r="F1194" s="41"/>
      <c r="G1194" s="41"/>
      <c r="H1194" s="41"/>
      <c r="I1194" s="42"/>
      <c r="J1194" s="41"/>
      <c r="K1194" s="41"/>
      <c r="L1194" s="43"/>
    </row>
    <row r="1195" spans="2:12" outlineLevel="2">
      <c r="B1195" s="35">
        <f t="shared" si="36"/>
        <v>730</v>
      </c>
      <c r="C1195" s="41" t="s">
        <v>69</v>
      </c>
      <c r="D1195" s="41"/>
      <c r="E1195" s="41"/>
      <c r="F1195" s="41"/>
      <c r="G1195" s="41"/>
      <c r="H1195" s="41"/>
      <c r="I1195" s="42"/>
      <c r="J1195" s="41"/>
      <c r="K1195" s="41"/>
      <c r="L1195" s="43"/>
    </row>
    <row r="1196" spans="2:12" outlineLevel="2">
      <c r="B1196" s="35">
        <f t="shared" si="36"/>
        <v>731</v>
      </c>
      <c r="C1196" s="41" t="s">
        <v>69</v>
      </c>
      <c r="D1196" s="41"/>
      <c r="E1196" s="41"/>
      <c r="F1196" s="41"/>
      <c r="G1196" s="41"/>
      <c r="H1196" s="41"/>
      <c r="I1196" s="42"/>
      <c r="J1196" s="41"/>
      <c r="K1196" s="41"/>
      <c r="L1196" s="43"/>
    </row>
    <row r="1197" spans="2:12" outlineLevel="2">
      <c r="B1197" s="35">
        <f t="shared" si="36"/>
        <v>732</v>
      </c>
      <c r="C1197" s="41" t="s">
        <v>69</v>
      </c>
      <c r="D1197" s="41"/>
      <c r="E1197" s="41"/>
      <c r="F1197" s="41"/>
      <c r="G1197" s="41"/>
      <c r="H1197" s="41"/>
      <c r="I1197" s="42"/>
      <c r="J1197" s="41"/>
      <c r="K1197" s="41"/>
      <c r="L1197" s="43"/>
    </row>
    <row r="1198" spans="2:12" outlineLevel="2">
      <c r="B1198" s="35">
        <f t="shared" si="36"/>
        <v>733</v>
      </c>
      <c r="C1198" s="41" t="s">
        <v>69</v>
      </c>
      <c r="D1198" s="41"/>
      <c r="E1198" s="41"/>
      <c r="F1198" s="41"/>
      <c r="G1198" s="41"/>
      <c r="H1198" s="41"/>
      <c r="I1198" s="42"/>
      <c r="J1198" s="41"/>
      <c r="K1198" s="41"/>
      <c r="L1198" s="43"/>
    </row>
    <row r="1199" spans="2:12" outlineLevel="2">
      <c r="B1199" s="35">
        <f t="shared" si="36"/>
        <v>734</v>
      </c>
      <c r="C1199" s="41" t="s">
        <v>69</v>
      </c>
      <c r="D1199" s="41"/>
      <c r="E1199" s="41"/>
      <c r="F1199" s="41"/>
      <c r="G1199" s="41"/>
      <c r="H1199" s="41"/>
      <c r="I1199" s="42"/>
      <c r="J1199" s="41"/>
      <c r="K1199" s="41"/>
      <c r="L1199" s="43"/>
    </row>
    <row r="1200" spans="2:12" outlineLevel="2">
      <c r="B1200" s="35">
        <f t="shared" si="36"/>
        <v>735</v>
      </c>
      <c r="C1200" s="41" t="s">
        <v>69</v>
      </c>
      <c r="D1200" s="41"/>
      <c r="E1200" s="41"/>
      <c r="F1200" s="41"/>
      <c r="G1200" s="41"/>
      <c r="H1200" s="41"/>
      <c r="I1200" s="42"/>
      <c r="J1200" s="41"/>
      <c r="K1200" s="41"/>
      <c r="L1200" s="43"/>
    </row>
    <row r="1201" spans="2:12" outlineLevel="2">
      <c r="B1201" s="35">
        <f t="shared" si="36"/>
        <v>736</v>
      </c>
      <c r="C1201" s="41" t="s">
        <v>69</v>
      </c>
      <c r="D1201" s="41"/>
      <c r="E1201" s="41"/>
      <c r="F1201" s="41"/>
      <c r="G1201" s="41"/>
      <c r="H1201" s="41"/>
      <c r="I1201" s="42"/>
      <c r="J1201" s="41"/>
      <c r="K1201" s="41"/>
      <c r="L1201" s="43"/>
    </row>
    <row r="1202" spans="2:12" outlineLevel="2">
      <c r="B1202" s="35">
        <f t="shared" si="36"/>
        <v>737</v>
      </c>
      <c r="C1202" s="41" t="s">
        <v>69</v>
      </c>
      <c r="D1202" s="41"/>
      <c r="E1202" s="41"/>
      <c r="F1202" s="41"/>
      <c r="G1202" s="41"/>
      <c r="H1202" s="41"/>
      <c r="I1202" s="42"/>
      <c r="J1202" s="41"/>
      <c r="K1202" s="41"/>
      <c r="L1202" s="43"/>
    </row>
    <row r="1203" spans="2:12" outlineLevel="2">
      <c r="B1203" s="35">
        <f t="shared" si="36"/>
        <v>738</v>
      </c>
      <c r="C1203" s="41" t="s">
        <v>69</v>
      </c>
      <c r="D1203" s="41"/>
      <c r="E1203" s="41"/>
      <c r="F1203" s="41"/>
      <c r="G1203" s="41"/>
      <c r="H1203" s="41"/>
      <c r="I1203" s="42"/>
      <c r="J1203" s="41"/>
      <c r="K1203" s="41"/>
      <c r="L1203" s="43"/>
    </row>
    <row r="1204" spans="2:12" outlineLevel="2">
      <c r="B1204" s="35">
        <f t="shared" si="36"/>
        <v>739</v>
      </c>
      <c r="C1204" s="41" t="s">
        <v>69</v>
      </c>
      <c r="D1204" s="41"/>
      <c r="E1204" s="41"/>
      <c r="F1204" s="41"/>
      <c r="G1204" s="41"/>
      <c r="H1204" s="41"/>
      <c r="I1204" s="42"/>
      <c r="J1204" s="41"/>
      <c r="K1204" s="41"/>
      <c r="L1204" s="43"/>
    </row>
    <row r="1205" spans="2:12" outlineLevel="2">
      <c r="B1205" s="35">
        <f t="shared" si="36"/>
        <v>740</v>
      </c>
      <c r="C1205" s="41" t="s">
        <v>69</v>
      </c>
      <c r="D1205" s="41"/>
      <c r="E1205" s="41"/>
      <c r="F1205" s="41"/>
      <c r="G1205" s="41"/>
      <c r="H1205" s="41"/>
      <c r="I1205" s="42"/>
      <c r="J1205" s="41"/>
      <c r="K1205" s="41"/>
      <c r="L1205" s="43"/>
    </row>
    <row r="1206" spans="2:12" outlineLevel="2">
      <c r="B1206" s="35">
        <f t="shared" si="36"/>
        <v>741</v>
      </c>
      <c r="C1206" s="41" t="s">
        <v>69</v>
      </c>
      <c r="D1206" s="41"/>
      <c r="E1206" s="41"/>
      <c r="F1206" s="41"/>
      <c r="G1206" s="41"/>
      <c r="H1206" s="41"/>
      <c r="I1206" s="42"/>
      <c r="J1206" s="41"/>
      <c r="K1206" s="41"/>
      <c r="L1206" s="43"/>
    </row>
    <row r="1207" spans="2:12" outlineLevel="2">
      <c r="B1207" s="35">
        <f t="shared" si="36"/>
        <v>742</v>
      </c>
      <c r="C1207" s="41" t="s">
        <v>69</v>
      </c>
      <c r="D1207" s="41"/>
      <c r="E1207" s="41"/>
      <c r="F1207" s="41"/>
      <c r="G1207" s="41"/>
      <c r="H1207" s="41"/>
      <c r="I1207" s="42"/>
      <c r="J1207" s="41"/>
      <c r="K1207" s="41"/>
      <c r="L1207" s="43"/>
    </row>
    <row r="1208" spans="2:12" outlineLevel="2">
      <c r="B1208" s="35">
        <f t="shared" si="36"/>
        <v>743</v>
      </c>
      <c r="C1208" s="41" t="s">
        <v>69</v>
      </c>
      <c r="D1208" s="41"/>
      <c r="E1208" s="41"/>
      <c r="F1208" s="41"/>
      <c r="G1208" s="41"/>
      <c r="H1208" s="41"/>
      <c r="I1208" s="42"/>
      <c r="J1208" s="41"/>
      <c r="K1208" s="41"/>
      <c r="L1208" s="43"/>
    </row>
    <row r="1209" spans="2:12" outlineLevel="2">
      <c r="B1209" s="35">
        <f t="shared" si="36"/>
        <v>744</v>
      </c>
      <c r="C1209" s="41" t="s">
        <v>69</v>
      </c>
      <c r="D1209" s="41"/>
      <c r="E1209" s="41"/>
      <c r="F1209" s="41"/>
      <c r="G1209" s="41"/>
      <c r="H1209" s="41"/>
      <c r="I1209" s="42"/>
      <c r="J1209" s="41"/>
      <c r="K1209" s="41"/>
      <c r="L1209" s="43"/>
    </row>
    <row r="1210" spans="2:12" outlineLevel="2">
      <c r="B1210" s="35">
        <f t="shared" si="36"/>
        <v>745</v>
      </c>
      <c r="C1210" s="41" t="s">
        <v>69</v>
      </c>
      <c r="D1210" s="41"/>
      <c r="E1210" s="41"/>
      <c r="F1210" s="41"/>
      <c r="G1210" s="41"/>
      <c r="H1210" s="41"/>
      <c r="I1210" s="42"/>
      <c r="J1210" s="41"/>
      <c r="K1210" s="41"/>
      <c r="L1210" s="43"/>
    </row>
    <row r="1211" spans="2:12" outlineLevel="2">
      <c r="B1211" s="35">
        <f t="shared" si="36"/>
        <v>746</v>
      </c>
      <c r="C1211" s="41" t="s">
        <v>69</v>
      </c>
      <c r="D1211" s="41"/>
      <c r="E1211" s="41"/>
      <c r="F1211" s="41"/>
      <c r="G1211" s="41"/>
      <c r="H1211" s="41"/>
      <c r="I1211" s="42"/>
      <c r="J1211" s="41"/>
      <c r="K1211" s="41"/>
      <c r="L1211" s="43"/>
    </row>
    <row r="1212" spans="2:12" outlineLevel="2">
      <c r="B1212" s="35">
        <f t="shared" si="36"/>
        <v>747</v>
      </c>
      <c r="C1212" s="41" t="s">
        <v>69</v>
      </c>
      <c r="D1212" s="41"/>
      <c r="E1212" s="41"/>
      <c r="F1212" s="41"/>
      <c r="G1212" s="41"/>
      <c r="H1212" s="41"/>
      <c r="I1212" s="42"/>
      <c r="J1212" s="41"/>
      <c r="K1212" s="41"/>
      <c r="L1212" s="43"/>
    </row>
    <row r="1213" spans="2:12" outlineLevel="2">
      <c r="B1213" s="35">
        <f t="shared" si="36"/>
        <v>748</v>
      </c>
      <c r="C1213" s="41" t="s">
        <v>69</v>
      </c>
      <c r="D1213" s="41"/>
      <c r="E1213" s="41"/>
      <c r="F1213" s="41"/>
      <c r="G1213" s="41"/>
      <c r="H1213" s="41"/>
      <c r="I1213" s="42"/>
      <c r="J1213" s="41"/>
      <c r="K1213" s="41"/>
      <c r="L1213" s="43"/>
    </row>
    <row r="1214" spans="2:12" outlineLevel="2">
      <c r="B1214" s="35">
        <f t="shared" si="36"/>
        <v>749</v>
      </c>
      <c r="C1214" s="41" t="s">
        <v>69</v>
      </c>
      <c r="D1214" s="41"/>
      <c r="E1214" s="41"/>
      <c r="F1214" s="41"/>
      <c r="G1214" s="41"/>
      <c r="H1214" s="41"/>
      <c r="I1214" s="42"/>
      <c r="J1214" s="41"/>
      <c r="K1214" s="41"/>
      <c r="L1214" s="43"/>
    </row>
    <row r="1215" spans="2:12" outlineLevel="2">
      <c r="B1215" s="35">
        <f t="shared" ref="B1215:B1278" si="37">(B1214+1)</f>
        <v>750</v>
      </c>
      <c r="C1215" s="41" t="s">
        <v>69</v>
      </c>
      <c r="D1215" s="41"/>
      <c r="E1215" s="41"/>
      <c r="F1215" s="41"/>
      <c r="G1215" s="41"/>
      <c r="H1215" s="41"/>
      <c r="I1215" s="42"/>
      <c r="J1215" s="41"/>
      <c r="K1215" s="41"/>
      <c r="L1215" s="43"/>
    </row>
    <row r="1216" spans="2:12" outlineLevel="2">
      <c r="B1216" s="35">
        <f t="shared" si="37"/>
        <v>751</v>
      </c>
      <c r="C1216" s="41" t="s">
        <v>69</v>
      </c>
      <c r="D1216" s="41"/>
      <c r="E1216" s="41"/>
      <c r="F1216" s="41"/>
      <c r="G1216" s="41"/>
      <c r="H1216" s="41"/>
      <c r="I1216" s="42"/>
      <c r="J1216" s="41"/>
      <c r="K1216" s="41"/>
      <c r="L1216" s="43"/>
    </row>
    <row r="1217" spans="2:12" outlineLevel="2">
      <c r="B1217" s="35">
        <f t="shared" si="37"/>
        <v>752</v>
      </c>
      <c r="C1217" s="41" t="s">
        <v>69</v>
      </c>
      <c r="D1217" s="41"/>
      <c r="E1217" s="41"/>
      <c r="F1217" s="41"/>
      <c r="G1217" s="41"/>
      <c r="H1217" s="41"/>
      <c r="I1217" s="42"/>
      <c r="J1217" s="41"/>
      <c r="K1217" s="41"/>
      <c r="L1217" s="43"/>
    </row>
    <row r="1218" spans="2:12" outlineLevel="2">
      <c r="B1218" s="35">
        <f t="shared" si="37"/>
        <v>753</v>
      </c>
      <c r="C1218" s="41" t="s">
        <v>69</v>
      </c>
      <c r="D1218" s="41"/>
      <c r="E1218" s="41"/>
      <c r="F1218" s="41"/>
      <c r="G1218" s="41"/>
      <c r="H1218" s="41"/>
      <c r="I1218" s="42"/>
      <c r="J1218" s="41"/>
      <c r="K1218" s="41"/>
      <c r="L1218" s="43"/>
    </row>
    <row r="1219" spans="2:12" outlineLevel="2">
      <c r="B1219" s="35">
        <f t="shared" si="37"/>
        <v>754</v>
      </c>
      <c r="C1219" s="41" t="s">
        <v>69</v>
      </c>
      <c r="D1219" s="41"/>
      <c r="E1219" s="41"/>
      <c r="F1219" s="41"/>
      <c r="G1219" s="41"/>
      <c r="H1219" s="41"/>
      <c r="I1219" s="42"/>
      <c r="J1219" s="41"/>
      <c r="K1219" s="41"/>
      <c r="L1219" s="43"/>
    </row>
    <row r="1220" spans="2:12" outlineLevel="2">
      <c r="B1220" s="35">
        <f t="shared" si="37"/>
        <v>755</v>
      </c>
      <c r="C1220" s="41" t="s">
        <v>69</v>
      </c>
      <c r="D1220" s="41"/>
      <c r="E1220" s="41"/>
      <c r="F1220" s="41"/>
      <c r="G1220" s="41"/>
      <c r="H1220" s="41"/>
      <c r="I1220" s="42"/>
      <c r="J1220" s="41"/>
      <c r="K1220" s="41"/>
      <c r="L1220" s="43"/>
    </row>
    <row r="1221" spans="2:12" outlineLevel="2">
      <c r="B1221" s="35">
        <f t="shared" si="37"/>
        <v>756</v>
      </c>
      <c r="C1221" s="41" t="s">
        <v>69</v>
      </c>
      <c r="D1221" s="41"/>
      <c r="E1221" s="41"/>
      <c r="F1221" s="41"/>
      <c r="G1221" s="41"/>
      <c r="H1221" s="41"/>
      <c r="I1221" s="42"/>
      <c r="J1221" s="41"/>
      <c r="K1221" s="41"/>
      <c r="L1221" s="43"/>
    </row>
    <row r="1222" spans="2:12" outlineLevel="2">
      <c r="B1222" s="35">
        <f t="shared" si="37"/>
        <v>757</v>
      </c>
      <c r="C1222" s="41" t="s">
        <v>69</v>
      </c>
      <c r="D1222" s="41"/>
      <c r="E1222" s="41"/>
      <c r="F1222" s="41"/>
      <c r="G1222" s="41"/>
      <c r="H1222" s="41"/>
      <c r="I1222" s="42"/>
      <c r="J1222" s="41"/>
      <c r="K1222" s="41"/>
      <c r="L1222" s="43"/>
    </row>
    <row r="1223" spans="2:12" outlineLevel="2">
      <c r="B1223" s="35">
        <f t="shared" si="37"/>
        <v>758</v>
      </c>
      <c r="C1223" s="41" t="s">
        <v>69</v>
      </c>
      <c r="D1223" s="41"/>
      <c r="E1223" s="41"/>
      <c r="F1223" s="41"/>
      <c r="G1223" s="41"/>
      <c r="H1223" s="41"/>
      <c r="I1223" s="42"/>
      <c r="J1223" s="41"/>
      <c r="K1223" s="41"/>
      <c r="L1223" s="43"/>
    </row>
    <row r="1224" spans="2:12" outlineLevel="2">
      <c r="B1224" s="35">
        <f t="shared" si="37"/>
        <v>759</v>
      </c>
      <c r="C1224" s="41" t="s">
        <v>69</v>
      </c>
      <c r="D1224" s="41"/>
      <c r="E1224" s="41"/>
      <c r="F1224" s="41"/>
      <c r="G1224" s="41"/>
      <c r="H1224" s="41"/>
      <c r="I1224" s="42"/>
      <c r="J1224" s="41"/>
      <c r="K1224" s="41"/>
      <c r="L1224" s="43"/>
    </row>
    <row r="1225" spans="2:12" outlineLevel="2">
      <c r="B1225" s="35">
        <f t="shared" si="37"/>
        <v>760</v>
      </c>
      <c r="C1225" s="41" t="s">
        <v>69</v>
      </c>
      <c r="D1225" s="41"/>
      <c r="E1225" s="41"/>
      <c r="F1225" s="41"/>
      <c r="G1225" s="41"/>
      <c r="H1225" s="41"/>
      <c r="I1225" s="42"/>
      <c r="J1225" s="41"/>
      <c r="K1225" s="41"/>
      <c r="L1225" s="43"/>
    </row>
    <row r="1226" spans="2:12" outlineLevel="2">
      <c r="B1226" s="35">
        <f t="shared" si="37"/>
        <v>761</v>
      </c>
      <c r="C1226" s="41" t="s">
        <v>69</v>
      </c>
      <c r="D1226" s="41"/>
      <c r="E1226" s="41"/>
      <c r="F1226" s="41"/>
      <c r="G1226" s="41"/>
      <c r="H1226" s="41"/>
      <c r="I1226" s="42"/>
      <c r="J1226" s="41"/>
      <c r="K1226" s="41"/>
      <c r="L1226" s="43"/>
    </row>
    <row r="1227" spans="2:12" outlineLevel="2">
      <c r="B1227" s="35">
        <f t="shared" si="37"/>
        <v>762</v>
      </c>
      <c r="C1227" s="41" t="s">
        <v>69</v>
      </c>
      <c r="D1227" s="41"/>
      <c r="E1227" s="41"/>
      <c r="F1227" s="41"/>
      <c r="G1227" s="41"/>
      <c r="H1227" s="41"/>
      <c r="I1227" s="42"/>
      <c r="J1227" s="41"/>
      <c r="K1227" s="41"/>
      <c r="L1227" s="43"/>
    </row>
    <row r="1228" spans="2:12" outlineLevel="2">
      <c r="B1228" s="35">
        <f t="shared" si="37"/>
        <v>763</v>
      </c>
      <c r="C1228" s="41" t="s">
        <v>69</v>
      </c>
      <c r="D1228" s="41"/>
      <c r="E1228" s="41"/>
      <c r="F1228" s="41"/>
      <c r="G1228" s="41"/>
      <c r="H1228" s="41"/>
      <c r="I1228" s="42"/>
      <c r="J1228" s="41"/>
      <c r="K1228" s="41"/>
      <c r="L1228" s="43"/>
    </row>
    <row r="1229" spans="2:12" outlineLevel="2">
      <c r="B1229" s="35">
        <f t="shared" si="37"/>
        <v>764</v>
      </c>
      <c r="C1229" s="41" t="s">
        <v>69</v>
      </c>
      <c r="D1229" s="41"/>
      <c r="E1229" s="41"/>
      <c r="F1229" s="41"/>
      <c r="G1229" s="41"/>
      <c r="H1229" s="41"/>
      <c r="I1229" s="42"/>
      <c r="J1229" s="41"/>
      <c r="K1229" s="41"/>
      <c r="L1229" s="43"/>
    </row>
    <row r="1230" spans="2:12" outlineLevel="2">
      <c r="B1230" s="35">
        <f t="shared" si="37"/>
        <v>765</v>
      </c>
      <c r="C1230" s="41" t="s">
        <v>69</v>
      </c>
      <c r="D1230" s="41"/>
      <c r="E1230" s="41"/>
      <c r="F1230" s="41"/>
      <c r="G1230" s="41"/>
      <c r="H1230" s="41"/>
      <c r="I1230" s="42"/>
      <c r="J1230" s="41"/>
      <c r="K1230" s="41"/>
      <c r="L1230" s="43"/>
    </row>
    <row r="1231" spans="2:12" outlineLevel="2">
      <c r="B1231" s="35">
        <f t="shared" si="37"/>
        <v>766</v>
      </c>
      <c r="C1231" s="41" t="s">
        <v>69</v>
      </c>
      <c r="D1231" s="41"/>
      <c r="E1231" s="41"/>
      <c r="F1231" s="41"/>
      <c r="G1231" s="41"/>
      <c r="H1231" s="41"/>
      <c r="I1231" s="42"/>
      <c r="J1231" s="41"/>
      <c r="K1231" s="41"/>
      <c r="L1231" s="43"/>
    </row>
    <row r="1232" spans="2:12" outlineLevel="2">
      <c r="B1232" s="35">
        <f t="shared" si="37"/>
        <v>767</v>
      </c>
      <c r="C1232" s="41" t="s">
        <v>69</v>
      </c>
      <c r="D1232" s="41"/>
      <c r="E1232" s="41"/>
      <c r="F1232" s="41"/>
      <c r="G1232" s="41"/>
      <c r="H1232" s="41"/>
      <c r="I1232" s="42"/>
      <c r="J1232" s="41"/>
      <c r="K1232" s="41"/>
      <c r="L1232" s="43"/>
    </row>
    <row r="1233" spans="2:12" outlineLevel="2">
      <c r="B1233" s="35">
        <f t="shared" si="37"/>
        <v>768</v>
      </c>
      <c r="C1233" s="41" t="s">
        <v>69</v>
      </c>
      <c r="D1233" s="41"/>
      <c r="E1233" s="41"/>
      <c r="F1233" s="41"/>
      <c r="G1233" s="41"/>
      <c r="H1233" s="41"/>
      <c r="I1233" s="42"/>
      <c r="J1233" s="41"/>
      <c r="K1233" s="41"/>
      <c r="L1233" s="43"/>
    </row>
    <row r="1234" spans="2:12" outlineLevel="2">
      <c r="B1234" s="35">
        <f t="shared" si="37"/>
        <v>769</v>
      </c>
      <c r="C1234" s="41" t="s">
        <v>69</v>
      </c>
      <c r="D1234" s="41"/>
      <c r="E1234" s="41"/>
      <c r="F1234" s="41"/>
      <c r="G1234" s="41"/>
      <c r="H1234" s="41"/>
      <c r="I1234" s="42"/>
      <c r="J1234" s="41"/>
      <c r="K1234" s="41"/>
      <c r="L1234" s="43"/>
    </row>
    <row r="1235" spans="2:12" outlineLevel="2">
      <c r="B1235" s="35">
        <f t="shared" si="37"/>
        <v>770</v>
      </c>
      <c r="C1235" s="41" t="s">
        <v>69</v>
      </c>
      <c r="D1235" s="41"/>
      <c r="E1235" s="41"/>
      <c r="F1235" s="41"/>
      <c r="G1235" s="41"/>
      <c r="H1235" s="41"/>
      <c r="I1235" s="42"/>
      <c r="J1235" s="41"/>
      <c r="K1235" s="41"/>
      <c r="L1235" s="43"/>
    </row>
    <row r="1236" spans="2:12" outlineLevel="2">
      <c r="B1236" s="35">
        <f t="shared" si="37"/>
        <v>771</v>
      </c>
      <c r="C1236" s="41" t="s">
        <v>69</v>
      </c>
      <c r="D1236" s="41"/>
      <c r="E1236" s="41"/>
      <c r="F1236" s="41"/>
      <c r="G1236" s="41"/>
      <c r="H1236" s="41"/>
      <c r="I1236" s="42"/>
      <c r="J1236" s="41"/>
      <c r="K1236" s="41"/>
      <c r="L1236" s="43"/>
    </row>
    <row r="1237" spans="2:12" outlineLevel="2">
      <c r="B1237" s="35">
        <f t="shared" si="37"/>
        <v>772</v>
      </c>
      <c r="C1237" s="41" t="s">
        <v>69</v>
      </c>
      <c r="D1237" s="41"/>
      <c r="E1237" s="41"/>
      <c r="F1237" s="41"/>
      <c r="G1237" s="41"/>
      <c r="H1237" s="41"/>
      <c r="I1237" s="42"/>
      <c r="J1237" s="41"/>
      <c r="K1237" s="41"/>
      <c r="L1237" s="43"/>
    </row>
    <row r="1238" spans="2:12" outlineLevel="2">
      <c r="B1238" s="35">
        <f t="shared" si="37"/>
        <v>773</v>
      </c>
      <c r="C1238" s="41" t="s">
        <v>69</v>
      </c>
      <c r="D1238" s="41"/>
      <c r="E1238" s="41"/>
      <c r="F1238" s="41"/>
      <c r="G1238" s="41"/>
      <c r="H1238" s="41"/>
      <c r="I1238" s="42"/>
      <c r="J1238" s="41"/>
      <c r="K1238" s="41"/>
      <c r="L1238" s="43"/>
    </row>
    <row r="1239" spans="2:12" outlineLevel="2">
      <c r="B1239" s="35">
        <f t="shared" si="37"/>
        <v>774</v>
      </c>
      <c r="C1239" s="41" t="s">
        <v>69</v>
      </c>
      <c r="D1239" s="41"/>
      <c r="E1239" s="41"/>
      <c r="F1239" s="41"/>
      <c r="G1239" s="41"/>
      <c r="H1239" s="41"/>
      <c r="I1239" s="42"/>
      <c r="J1239" s="41"/>
      <c r="K1239" s="41"/>
      <c r="L1239" s="43"/>
    </row>
    <row r="1240" spans="2:12" outlineLevel="2">
      <c r="B1240" s="35">
        <f t="shared" si="37"/>
        <v>775</v>
      </c>
      <c r="C1240" s="41" t="s">
        <v>69</v>
      </c>
      <c r="D1240" s="41"/>
      <c r="E1240" s="41"/>
      <c r="F1240" s="41"/>
      <c r="G1240" s="41"/>
      <c r="H1240" s="41"/>
      <c r="I1240" s="42"/>
      <c r="J1240" s="41"/>
      <c r="K1240" s="41"/>
      <c r="L1240" s="43"/>
    </row>
    <row r="1241" spans="2:12" outlineLevel="2">
      <c r="B1241" s="35">
        <f t="shared" si="37"/>
        <v>776</v>
      </c>
      <c r="C1241" s="41" t="s">
        <v>69</v>
      </c>
      <c r="D1241" s="41"/>
      <c r="E1241" s="41"/>
      <c r="F1241" s="41"/>
      <c r="G1241" s="41"/>
      <c r="H1241" s="41"/>
      <c r="I1241" s="42"/>
      <c r="J1241" s="41"/>
      <c r="K1241" s="41"/>
      <c r="L1241" s="43"/>
    </row>
    <row r="1242" spans="2:12" outlineLevel="2">
      <c r="B1242" s="35">
        <f t="shared" si="37"/>
        <v>777</v>
      </c>
      <c r="C1242" s="41" t="s">
        <v>69</v>
      </c>
      <c r="D1242" s="41"/>
      <c r="E1242" s="41"/>
      <c r="F1242" s="41"/>
      <c r="G1242" s="41"/>
      <c r="H1242" s="41"/>
      <c r="I1242" s="42"/>
      <c r="J1242" s="41"/>
      <c r="K1242" s="41"/>
      <c r="L1242" s="43"/>
    </row>
    <row r="1243" spans="2:12" outlineLevel="2">
      <c r="B1243" s="35">
        <f t="shared" si="37"/>
        <v>778</v>
      </c>
      <c r="C1243" s="41" t="s">
        <v>69</v>
      </c>
      <c r="D1243" s="41"/>
      <c r="E1243" s="41"/>
      <c r="F1243" s="41"/>
      <c r="G1243" s="41"/>
      <c r="H1243" s="41"/>
      <c r="I1243" s="42"/>
      <c r="J1243" s="41"/>
      <c r="K1243" s="41"/>
      <c r="L1243" s="43"/>
    </row>
    <row r="1244" spans="2:12" outlineLevel="2">
      <c r="B1244" s="35">
        <f t="shared" si="37"/>
        <v>779</v>
      </c>
      <c r="C1244" s="41" t="s">
        <v>69</v>
      </c>
      <c r="D1244" s="41"/>
      <c r="E1244" s="41"/>
      <c r="F1244" s="41"/>
      <c r="G1244" s="41"/>
      <c r="H1244" s="41"/>
      <c r="I1244" s="42"/>
      <c r="J1244" s="41"/>
      <c r="K1244" s="41"/>
      <c r="L1244" s="43"/>
    </row>
    <row r="1245" spans="2:12" outlineLevel="2">
      <c r="B1245" s="35">
        <f t="shared" si="37"/>
        <v>780</v>
      </c>
      <c r="C1245" s="41" t="s">
        <v>69</v>
      </c>
      <c r="D1245" s="41"/>
      <c r="E1245" s="41"/>
      <c r="F1245" s="41"/>
      <c r="G1245" s="41"/>
      <c r="H1245" s="41"/>
      <c r="I1245" s="42"/>
      <c r="J1245" s="41"/>
      <c r="K1245" s="41"/>
      <c r="L1245" s="43"/>
    </row>
    <row r="1246" spans="2:12" outlineLevel="2">
      <c r="B1246" s="35">
        <f t="shared" si="37"/>
        <v>781</v>
      </c>
      <c r="C1246" s="41" t="s">
        <v>69</v>
      </c>
      <c r="D1246" s="41"/>
      <c r="E1246" s="41"/>
      <c r="F1246" s="41"/>
      <c r="G1246" s="41"/>
      <c r="H1246" s="41"/>
      <c r="I1246" s="42"/>
      <c r="J1246" s="41"/>
      <c r="K1246" s="41"/>
      <c r="L1246" s="43"/>
    </row>
    <row r="1247" spans="2:12" outlineLevel="2">
      <c r="B1247" s="35">
        <f t="shared" si="37"/>
        <v>782</v>
      </c>
      <c r="C1247" s="41" t="s">
        <v>69</v>
      </c>
      <c r="D1247" s="41"/>
      <c r="E1247" s="41"/>
      <c r="F1247" s="41"/>
      <c r="G1247" s="41"/>
      <c r="H1247" s="41"/>
      <c r="I1247" s="42"/>
      <c r="J1247" s="41"/>
      <c r="K1247" s="41"/>
      <c r="L1247" s="43"/>
    </row>
    <row r="1248" spans="2:12" outlineLevel="2">
      <c r="B1248" s="35">
        <f t="shared" si="37"/>
        <v>783</v>
      </c>
      <c r="C1248" s="41" t="s">
        <v>69</v>
      </c>
      <c r="D1248" s="41"/>
      <c r="E1248" s="41"/>
      <c r="F1248" s="41"/>
      <c r="G1248" s="41"/>
      <c r="H1248" s="41"/>
      <c r="I1248" s="42"/>
      <c r="J1248" s="41"/>
      <c r="K1248" s="41"/>
      <c r="L1248" s="43"/>
    </row>
    <row r="1249" spans="2:12" outlineLevel="2">
      <c r="B1249" s="35">
        <f t="shared" si="37"/>
        <v>784</v>
      </c>
      <c r="C1249" s="41" t="s">
        <v>69</v>
      </c>
      <c r="D1249" s="41"/>
      <c r="E1249" s="41"/>
      <c r="F1249" s="41"/>
      <c r="G1249" s="41"/>
      <c r="H1249" s="41"/>
      <c r="I1249" s="42"/>
      <c r="J1249" s="41"/>
      <c r="K1249" s="41"/>
      <c r="L1249" s="43"/>
    </row>
    <row r="1250" spans="2:12" outlineLevel="2">
      <c r="B1250" s="35">
        <f t="shared" si="37"/>
        <v>785</v>
      </c>
      <c r="C1250" s="41" t="s">
        <v>69</v>
      </c>
      <c r="D1250" s="41"/>
      <c r="E1250" s="41"/>
      <c r="F1250" s="41"/>
      <c r="G1250" s="41"/>
      <c r="H1250" s="41"/>
      <c r="I1250" s="42"/>
      <c r="J1250" s="41"/>
      <c r="K1250" s="41"/>
      <c r="L1250" s="43"/>
    </row>
    <row r="1251" spans="2:12" outlineLevel="2">
      <c r="B1251" s="35">
        <f t="shared" si="37"/>
        <v>786</v>
      </c>
      <c r="C1251" s="41" t="s">
        <v>69</v>
      </c>
      <c r="D1251" s="41"/>
      <c r="E1251" s="41"/>
      <c r="F1251" s="41"/>
      <c r="G1251" s="41"/>
      <c r="H1251" s="41"/>
      <c r="I1251" s="42"/>
      <c r="J1251" s="41"/>
      <c r="K1251" s="41"/>
      <c r="L1251" s="43"/>
    </row>
    <row r="1252" spans="2:12" outlineLevel="2">
      <c r="B1252" s="35">
        <f t="shared" si="37"/>
        <v>787</v>
      </c>
      <c r="C1252" s="41" t="s">
        <v>69</v>
      </c>
      <c r="D1252" s="41"/>
      <c r="E1252" s="41"/>
      <c r="F1252" s="41"/>
      <c r="G1252" s="41"/>
      <c r="H1252" s="41"/>
      <c r="I1252" s="42"/>
      <c r="J1252" s="41"/>
      <c r="K1252" s="41"/>
      <c r="L1252" s="43"/>
    </row>
    <row r="1253" spans="2:12" outlineLevel="2">
      <c r="B1253" s="35">
        <f t="shared" si="37"/>
        <v>788</v>
      </c>
      <c r="C1253" s="41" t="s">
        <v>69</v>
      </c>
      <c r="D1253" s="41"/>
      <c r="E1253" s="41"/>
      <c r="F1253" s="41"/>
      <c r="G1253" s="41"/>
      <c r="H1253" s="41"/>
      <c r="I1253" s="42"/>
      <c r="J1253" s="41"/>
      <c r="K1253" s="41"/>
      <c r="L1253" s="43"/>
    </row>
    <row r="1254" spans="2:12" outlineLevel="2">
      <c r="B1254" s="35">
        <f t="shared" si="37"/>
        <v>789</v>
      </c>
      <c r="C1254" s="41" t="s">
        <v>69</v>
      </c>
      <c r="D1254" s="41"/>
      <c r="E1254" s="41"/>
      <c r="F1254" s="41"/>
      <c r="G1254" s="41"/>
      <c r="H1254" s="41"/>
      <c r="I1254" s="42"/>
      <c r="J1254" s="41"/>
      <c r="K1254" s="41"/>
      <c r="L1254" s="43"/>
    </row>
    <row r="1255" spans="2:12" outlineLevel="2">
      <c r="B1255" s="35">
        <f t="shared" si="37"/>
        <v>790</v>
      </c>
      <c r="C1255" s="41" t="s">
        <v>69</v>
      </c>
      <c r="D1255" s="41"/>
      <c r="E1255" s="41"/>
      <c r="F1255" s="41"/>
      <c r="G1255" s="41"/>
      <c r="H1255" s="41"/>
      <c r="I1255" s="42"/>
      <c r="J1255" s="41"/>
      <c r="K1255" s="41"/>
      <c r="L1255" s="43"/>
    </row>
    <row r="1256" spans="2:12" outlineLevel="2">
      <c r="B1256" s="35">
        <f t="shared" si="37"/>
        <v>791</v>
      </c>
      <c r="C1256" s="41" t="s">
        <v>69</v>
      </c>
      <c r="D1256" s="41"/>
      <c r="E1256" s="41"/>
      <c r="F1256" s="41"/>
      <c r="G1256" s="41"/>
      <c r="H1256" s="41"/>
      <c r="I1256" s="42"/>
      <c r="J1256" s="41"/>
      <c r="K1256" s="41"/>
      <c r="L1256" s="43"/>
    </row>
    <row r="1257" spans="2:12" outlineLevel="2">
      <c r="B1257" s="35">
        <f t="shared" si="37"/>
        <v>792</v>
      </c>
      <c r="C1257" s="41" t="s">
        <v>69</v>
      </c>
      <c r="D1257" s="41"/>
      <c r="E1257" s="41"/>
      <c r="F1257" s="41"/>
      <c r="G1257" s="41"/>
      <c r="H1257" s="41"/>
      <c r="I1257" s="42"/>
      <c r="J1257" s="41"/>
      <c r="K1257" s="41"/>
      <c r="L1257" s="43"/>
    </row>
    <row r="1258" spans="2:12" outlineLevel="2">
      <c r="B1258" s="35">
        <f t="shared" si="37"/>
        <v>793</v>
      </c>
      <c r="C1258" s="41" t="s">
        <v>69</v>
      </c>
      <c r="D1258" s="41"/>
      <c r="E1258" s="41"/>
      <c r="F1258" s="41"/>
      <c r="G1258" s="41"/>
      <c r="H1258" s="41"/>
      <c r="I1258" s="42"/>
      <c r="J1258" s="41"/>
      <c r="K1258" s="41"/>
      <c r="L1258" s="43"/>
    </row>
    <row r="1259" spans="2:12" outlineLevel="2">
      <c r="B1259" s="35">
        <f t="shared" si="37"/>
        <v>794</v>
      </c>
      <c r="C1259" s="41" t="s">
        <v>69</v>
      </c>
      <c r="D1259" s="41"/>
      <c r="E1259" s="41"/>
      <c r="F1259" s="41"/>
      <c r="G1259" s="41"/>
      <c r="H1259" s="41"/>
      <c r="I1259" s="42"/>
      <c r="J1259" s="41"/>
      <c r="K1259" s="41"/>
      <c r="L1259" s="43"/>
    </row>
    <row r="1260" spans="2:12" outlineLevel="2">
      <c r="B1260" s="35">
        <f t="shared" si="37"/>
        <v>795</v>
      </c>
      <c r="C1260" s="41" t="s">
        <v>69</v>
      </c>
      <c r="D1260" s="41"/>
      <c r="E1260" s="41"/>
      <c r="F1260" s="41"/>
      <c r="G1260" s="41"/>
      <c r="H1260" s="41"/>
      <c r="I1260" s="42"/>
      <c r="J1260" s="41"/>
      <c r="K1260" s="41"/>
      <c r="L1260" s="43"/>
    </row>
    <row r="1261" spans="2:12" outlineLevel="2">
      <c r="B1261" s="35">
        <f t="shared" si="37"/>
        <v>796</v>
      </c>
      <c r="C1261" s="41" t="s">
        <v>69</v>
      </c>
      <c r="D1261" s="41"/>
      <c r="E1261" s="41"/>
      <c r="F1261" s="41"/>
      <c r="G1261" s="41"/>
      <c r="H1261" s="41"/>
      <c r="I1261" s="42"/>
      <c r="J1261" s="41"/>
      <c r="K1261" s="41"/>
      <c r="L1261" s="43"/>
    </row>
    <row r="1262" spans="2:12" outlineLevel="2">
      <c r="B1262" s="35">
        <f t="shared" si="37"/>
        <v>797</v>
      </c>
      <c r="C1262" s="41" t="s">
        <v>69</v>
      </c>
      <c r="D1262" s="41"/>
      <c r="E1262" s="41"/>
      <c r="F1262" s="41"/>
      <c r="G1262" s="41"/>
      <c r="H1262" s="41"/>
      <c r="I1262" s="42"/>
      <c r="J1262" s="41"/>
      <c r="K1262" s="41"/>
      <c r="L1262" s="43"/>
    </row>
    <row r="1263" spans="2:12" outlineLevel="2">
      <c r="B1263" s="35">
        <f t="shared" si="37"/>
        <v>798</v>
      </c>
      <c r="C1263" s="41" t="s">
        <v>69</v>
      </c>
      <c r="D1263" s="41"/>
      <c r="E1263" s="41"/>
      <c r="F1263" s="41"/>
      <c r="G1263" s="41"/>
      <c r="H1263" s="41"/>
      <c r="I1263" s="42"/>
      <c r="J1263" s="41"/>
      <c r="K1263" s="41"/>
      <c r="L1263" s="43"/>
    </row>
    <row r="1264" spans="2:12" outlineLevel="2">
      <c r="B1264" s="35">
        <f t="shared" si="37"/>
        <v>799</v>
      </c>
      <c r="C1264" s="41" t="s">
        <v>69</v>
      </c>
      <c r="D1264" s="41"/>
      <c r="E1264" s="41"/>
      <c r="F1264" s="41"/>
      <c r="G1264" s="41"/>
      <c r="H1264" s="41"/>
      <c r="I1264" s="42"/>
      <c r="J1264" s="41"/>
      <c r="K1264" s="41"/>
      <c r="L1264" s="43"/>
    </row>
    <row r="1265" spans="2:12" outlineLevel="2">
      <c r="B1265" s="35">
        <f t="shared" si="37"/>
        <v>800</v>
      </c>
      <c r="C1265" s="41" t="s">
        <v>69</v>
      </c>
      <c r="D1265" s="41"/>
      <c r="E1265" s="41"/>
      <c r="F1265" s="41"/>
      <c r="G1265" s="41"/>
      <c r="H1265" s="41"/>
      <c r="I1265" s="42"/>
      <c r="J1265" s="41"/>
      <c r="K1265" s="41"/>
      <c r="L1265" s="43"/>
    </row>
    <row r="1266" spans="2:12" outlineLevel="2">
      <c r="B1266" s="35">
        <f t="shared" si="37"/>
        <v>801</v>
      </c>
      <c r="C1266" s="41" t="s">
        <v>69</v>
      </c>
      <c r="D1266" s="41"/>
      <c r="E1266" s="41"/>
      <c r="F1266" s="41"/>
      <c r="G1266" s="41"/>
      <c r="H1266" s="41"/>
      <c r="I1266" s="42"/>
      <c r="J1266" s="41"/>
      <c r="K1266" s="41"/>
      <c r="L1266" s="43"/>
    </row>
    <row r="1267" spans="2:12" outlineLevel="2">
      <c r="B1267" s="35">
        <f t="shared" si="37"/>
        <v>802</v>
      </c>
      <c r="C1267" s="41" t="s">
        <v>69</v>
      </c>
      <c r="D1267" s="41"/>
      <c r="E1267" s="41"/>
      <c r="F1267" s="41"/>
      <c r="G1267" s="41"/>
      <c r="H1267" s="41"/>
      <c r="I1267" s="42"/>
      <c r="J1267" s="41"/>
      <c r="K1267" s="41"/>
      <c r="L1267" s="43"/>
    </row>
    <row r="1268" spans="2:12" outlineLevel="2">
      <c r="B1268" s="35">
        <f t="shared" si="37"/>
        <v>803</v>
      </c>
      <c r="C1268" s="41" t="s">
        <v>69</v>
      </c>
      <c r="D1268" s="41"/>
      <c r="E1268" s="41"/>
      <c r="F1268" s="41"/>
      <c r="G1268" s="41"/>
      <c r="H1268" s="41"/>
      <c r="I1268" s="42"/>
      <c r="J1268" s="41"/>
      <c r="K1268" s="41"/>
      <c r="L1268" s="43"/>
    </row>
    <row r="1269" spans="2:12" outlineLevel="2">
      <c r="B1269" s="35">
        <f t="shared" si="37"/>
        <v>804</v>
      </c>
      <c r="C1269" s="41" t="s">
        <v>69</v>
      </c>
      <c r="D1269" s="41"/>
      <c r="E1269" s="41"/>
      <c r="F1269" s="41"/>
      <c r="G1269" s="41"/>
      <c r="H1269" s="41"/>
      <c r="I1269" s="42"/>
      <c r="J1269" s="41"/>
      <c r="K1269" s="41"/>
      <c r="L1269" s="43"/>
    </row>
    <row r="1270" spans="2:12" outlineLevel="2">
      <c r="B1270" s="35">
        <f t="shared" si="37"/>
        <v>805</v>
      </c>
      <c r="C1270" s="41" t="s">
        <v>69</v>
      </c>
      <c r="D1270" s="41"/>
      <c r="E1270" s="41"/>
      <c r="F1270" s="41"/>
      <c r="G1270" s="41"/>
      <c r="H1270" s="41"/>
      <c r="I1270" s="42"/>
      <c r="J1270" s="41"/>
      <c r="K1270" s="41"/>
      <c r="L1270" s="43"/>
    </row>
    <row r="1271" spans="2:12" outlineLevel="2">
      <c r="B1271" s="35">
        <f t="shared" si="37"/>
        <v>806</v>
      </c>
      <c r="C1271" s="41" t="s">
        <v>69</v>
      </c>
      <c r="D1271" s="41"/>
      <c r="E1271" s="41"/>
      <c r="F1271" s="41"/>
      <c r="G1271" s="41"/>
      <c r="H1271" s="41"/>
      <c r="I1271" s="42"/>
      <c r="J1271" s="41"/>
      <c r="K1271" s="41"/>
      <c r="L1271" s="43"/>
    </row>
    <row r="1272" spans="2:12" outlineLevel="2">
      <c r="B1272" s="35">
        <f t="shared" si="37"/>
        <v>807</v>
      </c>
      <c r="C1272" s="41" t="s">
        <v>69</v>
      </c>
      <c r="D1272" s="41"/>
      <c r="E1272" s="41"/>
      <c r="F1272" s="41"/>
      <c r="G1272" s="41"/>
      <c r="H1272" s="41"/>
      <c r="I1272" s="42"/>
      <c r="J1272" s="41"/>
      <c r="K1272" s="41"/>
      <c r="L1272" s="43"/>
    </row>
    <row r="1273" spans="2:12" outlineLevel="2">
      <c r="B1273" s="35">
        <f t="shared" si="37"/>
        <v>808</v>
      </c>
      <c r="C1273" s="41" t="s">
        <v>69</v>
      </c>
      <c r="D1273" s="41"/>
      <c r="E1273" s="41"/>
      <c r="F1273" s="41"/>
      <c r="G1273" s="41"/>
      <c r="H1273" s="41"/>
      <c r="I1273" s="42"/>
      <c r="J1273" s="41"/>
      <c r="K1273" s="41"/>
      <c r="L1273" s="43"/>
    </row>
    <row r="1274" spans="2:12" outlineLevel="2">
      <c r="B1274" s="35">
        <f t="shared" si="37"/>
        <v>809</v>
      </c>
      <c r="C1274" s="41" t="s">
        <v>69</v>
      </c>
      <c r="D1274" s="41"/>
      <c r="E1274" s="41"/>
      <c r="F1274" s="41"/>
      <c r="G1274" s="41"/>
      <c r="H1274" s="41"/>
      <c r="I1274" s="42"/>
      <c r="J1274" s="41"/>
      <c r="K1274" s="41"/>
      <c r="L1274" s="43"/>
    </row>
    <row r="1275" spans="2:12" outlineLevel="2">
      <c r="B1275" s="35">
        <f t="shared" si="37"/>
        <v>810</v>
      </c>
      <c r="C1275" s="41" t="s">
        <v>69</v>
      </c>
      <c r="D1275" s="41"/>
      <c r="E1275" s="41"/>
      <c r="F1275" s="41"/>
      <c r="G1275" s="41"/>
      <c r="H1275" s="41"/>
      <c r="I1275" s="42"/>
      <c r="J1275" s="41"/>
      <c r="K1275" s="41"/>
      <c r="L1275" s="43"/>
    </row>
    <row r="1276" spans="2:12" outlineLevel="2">
      <c r="B1276" s="35">
        <f t="shared" si="37"/>
        <v>811</v>
      </c>
      <c r="C1276" s="41" t="s">
        <v>69</v>
      </c>
      <c r="D1276" s="41"/>
      <c r="E1276" s="41"/>
      <c r="F1276" s="41"/>
      <c r="G1276" s="41"/>
      <c r="H1276" s="41"/>
      <c r="I1276" s="42"/>
      <c r="J1276" s="41"/>
      <c r="K1276" s="41"/>
      <c r="L1276" s="43"/>
    </row>
    <row r="1277" spans="2:12" outlineLevel="2">
      <c r="B1277" s="35">
        <f t="shared" si="37"/>
        <v>812</v>
      </c>
      <c r="C1277" s="41" t="s">
        <v>69</v>
      </c>
      <c r="D1277" s="41"/>
      <c r="E1277" s="41"/>
      <c r="F1277" s="41"/>
      <c r="G1277" s="41"/>
      <c r="H1277" s="41"/>
      <c r="I1277" s="42"/>
      <c r="J1277" s="41"/>
      <c r="K1277" s="41"/>
      <c r="L1277" s="43"/>
    </row>
    <row r="1278" spans="2:12" outlineLevel="2">
      <c r="B1278" s="35">
        <f t="shared" si="37"/>
        <v>813</v>
      </c>
      <c r="C1278" s="41" t="s">
        <v>69</v>
      </c>
      <c r="D1278" s="41"/>
      <c r="E1278" s="41"/>
      <c r="F1278" s="41"/>
      <c r="G1278" s="41"/>
      <c r="H1278" s="41"/>
      <c r="I1278" s="42"/>
      <c r="J1278" s="41"/>
      <c r="K1278" s="41"/>
      <c r="L1278" s="43"/>
    </row>
    <row r="1279" spans="2:12" outlineLevel="2">
      <c r="B1279" s="35">
        <f t="shared" ref="B1279:B1342" si="38">(B1278+1)</f>
        <v>814</v>
      </c>
      <c r="C1279" s="41" t="s">
        <v>69</v>
      </c>
      <c r="D1279" s="41"/>
      <c r="E1279" s="41"/>
      <c r="F1279" s="41"/>
      <c r="G1279" s="41"/>
      <c r="H1279" s="41"/>
      <c r="I1279" s="42"/>
      <c r="J1279" s="41"/>
      <c r="K1279" s="41"/>
      <c r="L1279" s="43"/>
    </row>
    <row r="1280" spans="2:12" outlineLevel="2">
      <c r="B1280" s="35">
        <f t="shared" si="38"/>
        <v>815</v>
      </c>
      <c r="C1280" s="41" t="s">
        <v>69</v>
      </c>
      <c r="D1280" s="41"/>
      <c r="E1280" s="41"/>
      <c r="F1280" s="41"/>
      <c r="G1280" s="41"/>
      <c r="H1280" s="41"/>
      <c r="I1280" s="42"/>
      <c r="J1280" s="41"/>
      <c r="K1280" s="41"/>
      <c r="L1280" s="43"/>
    </row>
    <row r="1281" spans="2:12" outlineLevel="2">
      <c r="B1281" s="35">
        <f t="shared" si="38"/>
        <v>816</v>
      </c>
      <c r="C1281" s="41" t="s">
        <v>69</v>
      </c>
      <c r="D1281" s="41"/>
      <c r="E1281" s="41"/>
      <c r="F1281" s="41"/>
      <c r="G1281" s="41"/>
      <c r="H1281" s="41"/>
      <c r="I1281" s="42"/>
      <c r="J1281" s="41"/>
      <c r="K1281" s="41"/>
      <c r="L1281" s="43"/>
    </row>
    <row r="1282" spans="2:12" outlineLevel="2">
      <c r="B1282" s="35">
        <f t="shared" si="38"/>
        <v>817</v>
      </c>
      <c r="C1282" s="41" t="s">
        <v>69</v>
      </c>
      <c r="D1282" s="41"/>
      <c r="E1282" s="41"/>
      <c r="F1282" s="41"/>
      <c r="G1282" s="41"/>
      <c r="H1282" s="41"/>
      <c r="I1282" s="42"/>
      <c r="J1282" s="41"/>
      <c r="K1282" s="41"/>
      <c r="L1282" s="43"/>
    </row>
    <row r="1283" spans="2:12" outlineLevel="2">
      <c r="B1283" s="35">
        <f t="shared" si="38"/>
        <v>818</v>
      </c>
      <c r="C1283" s="41" t="s">
        <v>69</v>
      </c>
      <c r="D1283" s="41"/>
      <c r="E1283" s="41"/>
      <c r="F1283" s="41"/>
      <c r="G1283" s="41"/>
      <c r="H1283" s="41"/>
      <c r="I1283" s="42"/>
      <c r="J1283" s="41"/>
      <c r="K1283" s="41"/>
      <c r="L1283" s="43"/>
    </row>
    <row r="1284" spans="2:12" outlineLevel="2">
      <c r="B1284" s="35">
        <f t="shared" si="38"/>
        <v>819</v>
      </c>
      <c r="C1284" s="41" t="s">
        <v>69</v>
      </c>
      <c r="D1284" s="41"/>
      <c r="E1284" s="41"/>
      <c r="F1284" s="41"/>
      <c r="G1284" s="41"/>
      <c r="H1284" s="41"/>
      <c r="I1284" s="42"/>
      <c r="J1284" s="41"/>
      <c r="K1284" s="41"/>
      <c r="L1284" s="43"/>
    </row>
    <row r="1285" spans="2:12" outlineLevel="2">
      <c r="B1285" s="35">
        <f t="shared" si="38"/>
        <v>820</v>
      </c>
      <c r="C1285" s="41" t="s">
        <v>69</v>
      </c>
      <c r="D1285" s="41"/>
      <c r="E1285" s="41"/>
      <c r="F1285" s="41"/>
      <c r="G1285" s="41"/>
      <c r="H1285" s="41"/>
      <c r="I1285" s="42"/>
      <c r="J1285" s="41"/>
      <c r="K1285" s="41"/>
      <c r="L1285" s="43"/>
    </row>
    <row r="1286" spans="2:12" outlineLevel="2">
      <c r="B1286" s="35">
        <f t="shared" si="38"/>
        <v>821</v>
      </c>
      <c r="C1286" s="41" t="s">
        <v>69</v>
      </c>
      <c r="D1286" s="41"/>
      <c r="E1286" s="41"/>
      <c r="F1286" s="41"/>
      <c r="G1286" s="41"/>
      <c r="H1286" s="41"/>
      <c r="I1286" s="42"/>
      <c r="J1286" s="41"/>
      <c r="K1286" s="41"/>
      <c r="L1286" s="43"/>
    </row>
    <row r="1287" spans="2:12" outlineLevel="2">
      <c r="B1287" s="35">
        <f t="shared" si="38"/>
        <v>822</v>
      </c>
      <c r="C1287" s="41" t="s">
        <v>69</v>
      </c>
      <c r="D1287" s="41"/>
      <c r="E1287" s="41"/>
      <c r="F1287" s="41"/>
      <c r="G1287" s="41"/>
      <c r="H1287" s="41"/>
      <c r="I1287" s="42"/>
      <c r="J1287" s="41"/>
      <c r="K1287" s="41"/>
      <c r="L1287" s="43"/>
    </row>
    <row r="1288" spans="2:12" outlineLevel="2">
      <c r="B1288" s="35">
        <f t="shared" si="38"/>
        <v>823</v>
      </c>
      <c r="C1288" s="41" t="s">
        <v>69</v>
      </c>
      <c r="D1288" s="41"/>
      <c r="E1288" s="41"/>
      <c r="F1288" s="41"/>
      <c r="G1288" s="41"/>
      <c r="H1288" s="41"/>
      <c r="I1288" s="42"/>
      <c r="J1288" s="41"/>
      <c r="K1288" s="41"/>
      <c r="L1288" s="43"/>
    </row>
    <row r="1289" spans="2:12" outlineLevel="2">
      <c r="B1289" s="35">
        <f t="shared" si="38"/>
        <v>824</v>
      </c>
      <c r="C1289" s="41" t="s">
        <v>69</v>
      </c>
      <c r="D1289" s="41"/>
      <c r="E1289" s="41"/>
      <c r="F1289" s="41"/>
      <c r="G1289" s="41"/>
      <c r="H1289" s="41"/>
      <c r="I1289" s="42"/>
      <c r="J1289" s="41"/>
      <c r="K1289" s="41"/>
      <c r="L1289" s="43"/>
    </row>
    <row r="1290" spans="2:12" outlineLevel="2">
      <c r="B1290" s="35">
        <f t="shared" si="38"/>
        <v>825</v>
      </c>
      <c r="C1290" s="41" t="s">
        <v>69</v>
      </c>
      <c r="D1290" s="41"/>
      <c r="E1290" s="41"/>
      <c r="F1290" s="41"/>
      <c r="G1290" s="41"/>
      <c r="H1290" s="41"/>
      <c r="I1290" s="42"/>
      <c r="J1290" s="41"/>
      <c r="K1290" s="41"/>
      <c r="L1290" s="43"/>
    </row>
    <row r="1291" spans="2:12" outlineLevel="2">
      <c r="B1291" s="35">
        <f t="shared" si="38"/>
        <v>826</v>
      </c>
      <c r="C1291" s="41" t="s">
        <v>69</v>
      </c>
      <c r="D1291" s="41"/>
      <c r="E1291" s="41"/>
      <c r="F1291" s="41"/>
      <c r="G1291" s="41"/>
      <c r="H1291" s="41"/>
      <c r="I1291" s="42"/>
      <c r="J1291" s="41"/>
      <c r="K1291" s="41"/>
      <c r="L1291" s="43"/>
    </row>
    <row r="1292" spans="2:12" outlineLevel="2">
      <c r="B1292" s="35">
        <f t="shared" si="38"/>
        <v>827</v>
      </c>
      <c r="C1292" s="41" t="s">
        <v>69</v>
      </c>
      <c r="D1292" s="41"/>
      <c r="E1292" s="41"/>
      <c r="F1292" s="41"/>
      <c r="G1292" s="41"/>
      <c r="H1292" s="41"/>
      <c r="I1292" s="42"/>
      <c r="J1292" s="41"/>
      <c r="K1292" s="41"/>
      <c r="L1292" s="43"/>
    </row>
    <row r="1293" spans="2:12" outlineLevel="2">
      <c r="B1293" s="35">
        <f t="shared" si="38"/>
        <v>828</v>
      </c>
      <c r="C1293" s="41" t="s">
        <v>69</v>
      </c>
      <c r="D1293" s="41"/>
      <c r="E1293" s="41"/>
      <c r="F1293" s="41"/>
      <c r="G1293" s="41"/>
      <c r="H1293" s="41"/>
      <c r="I1293" s="42"/>
      <c r="J1293" s="41"/>
      <c r="K1293" s="41"/>
      <c r="L1293" s="43"/>
    </row>
    <row r="1294" spans="2:12" outlineLevel="2">
      <c r="B1294" s="35">
        <f t="shared" si="38"/>
        <v>829</v>
      </c>
      <c r="C1294" s="41" t="s">
        <v>69</v>
      </c>
      <c r="D1294" s="41"/>
      <c r="E1294" s="41"/>
      <c r="F1294" s="41"/>
      <c r="G1294" s="41"/>
      <c r="H1294" s="41"/>
      <c r="I1294" s="42"/>
      <c r="J1294" s="41"/>
      <c r="K1294" s="41"/>
      <c r="L1294" s="43"/>
    </row>
    <row r="1295" spans="2:12" outlineLevel="2">
      <c r="B1295" s="35">
        <f t="shared" si="38"/>
        <v>830</v>
      </c>
      <c r="C1295" s="41" t="s">
        <v>69</v>
      </c>
      <c r="D1295" s="41"/>
      <c r="E1295" s="41"/>
      <c r="F1295" s="41"/>
      <c r="G1295" s="41"/>
      <c r="H1295" s="41"/>
      <c r="I1295" s="42"/>
      <c r="J1295" s="41"/>
      <c r="K1295" s="41"/>
      <c r="L1295" s="43"/>
    </row>
    <row r="1296" spans="2:12" outlineLevel="2">
      <c r="B1296" s="35">
        <f t="shared" si="38"/>
        <v>831</v>
      </c>
      <c r="C1296" s="41" t="s">
        <v>69</v>
      </c>
      <c r="D1296" s="41"/>
      <c r="E1296" s="41"/>
      <c r="F1296" s="41"/>
      <c r="G1296" s="41"/>
      <c r="H1296" s="41"/>
      <c r="I1296" s="42"/>
      <c r="J1296" s="41"/>
      <c r="K1296" s="41"/>
      <c r="L1296" s="43"/>
    </row>
    <row r="1297" spans="2:12" outlineLevel="2">
      <c r="B1297" s="35">
        <f t="shared" si="38"/>
        <v>832</v>
      </c>
      <c r="C1297" s="41" t="s">
        <v>69</v>
      </c>
      <c r="D1297" s="41"/>
      <c r="E1297" s="41"/>
      <c r="F1297" s="41"/>
      <c r="G1297" s="41"/>
      <c r="H1297" s="41"/>
      <c r="I1297" s="42"/>
      <c r="J1297" s="41"/>
      <c r="K1297" s="41"/>
      <c r="L1297" s="43"/>
    </row>
    <row r="1298" spans="2:12" outlineLevel="2">
      <c r="B1298" s="35">
        <f t="shared" si="38"/>
        <v>833</v>
      </c>
      <c r="C1298" s="41" t="s">
        <v>69</v>
      </c>
      <c r="D1298" s="41"/>
      <c r="E1298" s="41"/>
      <c r="F1298" s="41"/>
      <c r="G1298" s="41"/>
      <c r="H1298" s="41"/>
      <c r="I1298" s="42"/>
      <c r="J1298" s="41"/>
      <c r="K1298" s="41"/>
      <c r="L1298" s="43"/>
    </row>
    <row r="1299" spans="2:12" outlineLevel="2">
      <c r="B1299" s="35">
        <f t="shared" si="38"/>
        <v>834</v>
      </c>
      <c r="C1299" s="41" t="s">
        <v>69</v>
      </c>
      <c r="D1299" s="41"/>
      <c r="E1299" s="41"/>
      <c r="F1299" s="41"/>
      <c r="G1299" s="41"/>
      <c r="H1299" s="41"/>
      <c r="I1299" s="42"/>
      <c r="J1299" s="41"/>
      <c r="K1299" s="41"/>
      <c r="L1299" s="43"/>
    </row>
    <row r="1300" spans="2:12" outlineLevel="2">
      <c r="B1300" s="35">
        <f t="shared" si="38"/>
        <v>835</v>
      </c>
      <c r="C1300" s="41" t="s">
        <v>69</v>
      </c>
      <c r="D1300" s="41"/>
      <c r="E1300" s="41"/>
      <c r="F1300" s="41"/>
      <c r="G1300" s="41"/>
      <c r="H1300" s="41"/>
      <c r="I1300" s="42"/>
      <c r="J1300" s="41"/>
      <c r="K1300" s="41"/>
      <c r="L1300" s="43"/>
    </row>
    <row r="1301" spans="2:12" outlineLevel="2">
      <c r="B1301" s="35">
        <f t="shared" si="38"/>
        <v>836</v>
      </c>
      <c r="C1301" s="41" t="s">
        <v>69</v>
      </c>
      <c r="D1301" s="41"/>
      <c r="E1301" s="41"/>
      <c r="F1301" s="41"/>
      <c r="G1301" s="41"/>
      <c r="H1301" s="41"/>
      <c r="I1301" s="42"/>
      <c r="J1301" s="41"/>
      <c r="K1301" s="41"/>
      <c r="L1301" s="43"/>
    </row>
    <row r="1302" spans="2:12" outlineLevel="2">
      <c r="B1302" s="35">
        <f t="shared" si="38"/>
        <v>837</v>
      </c>
      <c r="C1302" s="41" t="s">
        <v>69</v>
      </c>
      <c r="D1302" s="41"/>
      <c r="E1302" s="41"/>
      <c r="F1302" s="41"/>
      <c r="G1302" s="41"/>
      <c r="H1302" s="41"/>
      <c r="I1302" s="42"/>
      <c r="J1302" s="41"/>
      <c r="K1302" s="41"/>
      <c r="L1302" s="43"/>
    </row>
    <row r="1303" spans="2:12" outlineLevel="2">
      <c r="B1303" s="35">
        <f t="shared" si="38"/>
        <v>838</v>
      </c>
      <c r="C1303" s="41" t="s">
        <v>69</v>
      </c>
      <c r="D1303" s="41"/>
      <c r="E1303" s="41"/>
      <c r="F1303" s="41"/>
      <c r="G1303" s="41"/>
      <c r="H1303" s="41"/>
      <c r="I1303" s="42"/>
      <c r="J1303" s="41"/>
      <c r="K1303" s="41"/>
      <c r="L1303" s="43"/>
    </row>
    <row r="1304" spans="2:12" outlineLevel="2">
      <c r="B1304" s="35">
        <f t="shared" si="38"/>
        <v>839</v>
      </c>
      <c r="C1304" s="41" t="s">
        <v>69</v>
      </c>
      <c r="D1304" s="41"/>
      <c r="E1304" s="41"/>
      <c r="F1304" s="41"/>
      <c r="G1304" s="41"/>
      <c r="H1304" s="41"/>
      <c r="I1304" s="42"/>
      <c r="J1304" s="41"/>
      <c r="K1304" s="41"/>
      <c r="L1304" s="43"/>
    </row>
    <row r="1305" spans="2:12" outlineLevel="2">
      <c r="B1305" s="35">
        <f t="shared" si="38"/>
        <v>840</v>
      </c>
      <c r="C1305" s="41" t="s">
        <v>69</v>
      </c>
      <c r="D1305" s="41"/>
      <c r="E1305" s="41"/>
      <c r="F1305" s="41"/>
      <c r="G1305" s="41"/>
      <c r="H1305" s="41"/>
      <c r="I1305" s="42"/>
      <c r="J1305" s="41"/>
      <c r="K1305" s="41"/>
      <c r="L1305" s="43"/>
    </row>
    <row r="1306" spans="2:12" outlineLevel="2">
      <c r="B1306" s="35">
        <f t="shared" si="38"/>
        <v>841</v>
      </c>
      <c r="C1306" s="41" t="s">
        <v>69</v>
      </c>
      <c r="D1306" s="41"/>
      <c r="E1306" s="41"/>
      <c r="F1306" s="41"/>
      <c r="G1306" s="41"/>
      <c r="H1306" s="41"/>
      <c r="I1306" s="42"/>
      <c r="J1306" s="41"/>
      <c r="K1306" s="41"/>
      <c r="L1306" s="43"/>
    </row>
    <row r="1307" spans="2:12" outlineLevel="2">
      <c r="B1307" s="35">
        <f t="shared" si="38"/>
        <v>842</v>
      </c>
      <c r="C1307" s="41" t="s">
        <v>69</v>
      </c>
      <c r="D1307" s="41"/>
      <c r="E1307" s="41"/>
      <c r="F1307" s="41"/>
      <c r="G1307" s="41"/>
      <c r="H1307" s="41"/>
      <c r="I1307" s="42"/>
      <c r="J1307" s="41"/>
      <c r="K1307" s="41"/>
      <c r="L1307" s="43"/>
    </row>
    <row r="1308" spans="2:12" outlineLevel="2">
      <c r="B1308" s="35">
        <f t="shared" si="38"/>
        <v>843</v>
      </c>
      <c r="C1308" s="41" t="s">
        <v>69</v>
      </c>
      <c r="D1308" s="41"/>
      <c r="E1308" s="41"/>
      <c r="F1308" s="41"/>
      <c r="G1308" s="41"/>
      <c r="H1308" s="41"/>
      <c r="I1308" s="42"/>
      <c r="J1308" s="41"/>
      <c r="K1308" s="41"/>
      <c r="L1308" s="43"/>
    </row>
    <row r="1309" spans="2:12" outlineLevel="2">
      <c r="B1309" s="35">
        <f t="shared" si="38"/>
        <v>844</v>
      </c>
      <c r="C1309" s="41" t="s">
        <v>69</v>
      </c>
      <c r="D1309" s="41"/>
      <c r="E1309" s="41"/>
      <c r="F1309" s="41"/>
      <c r="G1309" s="41"/>
      <c r="H1309" s="41"/>
      <c r="I1309" s="42"/>
      <c r="J1309" s="41"/>
      <c r="K1309" s="41"/>
      <c r="L1309" s="43"/>
    </row>
    <row r="1310" spans="2:12" outlineLevel="2">
      <c r="B1310" s="35">
        <f t="shared" si="38"/>
        <v>845</v>
      </c>
      <c r="C1310" s="41" t="s">
        <v>69</v>
      </c>
      <c r="D1310" s="41"/>
      <c r="E1310" s="41"/>
      <c r="F1310" s="41"/>
      <c r="G1310" s="41"/>
      <c r="H1310" s="41"/>
      <c r="I1310" s="42"/>
      <c r="J1310" s="41"/>
      <c r="K1310" s="41"/>
      <c r="L1310" s="43"/>
    </row>
    <row r="1311" spans="2:12" outlineLevel="2">
      <c r="B1311" s="35">
        <f t="shared" si="38"/>
        <v>846</v>
      </c>
      <c r="C1311" s="41" t="s">
        <v>69</v>
      </c>
      <c r="D1311" s="41"/>
      <c r="E1311" s="41"/>
      <c r="F1311" s="41"/>
      <c r="G1311" s="41"/>
      <c r="H1311" s="41"/>
      <c r="I1311" s="42"/>
      <c r="J1311" s="41"/>
      <c r="K1311" s="41"/>
      <c r="L1311" s="43"/>
    </row>
    <row r="1312" spans="2:12" outlineLevel="2">
      <c r="B1312" s="35">
        <f t="shared" si="38"/>
        <v>847</v>
      </c>
      <c r="C1312" s="41" t="s">
        <v>69</v>
      </c>
      <c r="D1312" s="41"/>
      <c r="E1312" s="41"/>
      <c r="F1312" s="41"/>
      <c r="G1312" s="41"/>
      <c r="H1312" s="41"/>
      <c r="I1312" s="42"/>
      <c r="J1312" s="41"/>
      <c r="K1312" s="41"/>
      <c r="L1312" s="43"/>
    </row>
    <row r="1313" spans="2:12" outlineLevel="2">
      <c r="B1313" s="35">
        <f t="shared" si="38"/>
        <v>848</v>
      </c>
      <c r="C1313" s="41" t="s">
        <v>69</v>
      </c>
      <c r="D1313" s="41"/>
      <c r="E1313" s="41"/>
      <c r="F1313" s="41"/>
      <c r="G1313" s="41"/>
      <c r="H1313" s="41"/>
      <c r="I1313" s="42"/>
      <c r="J1313" s="41"/>
      <c r="K1313" s="41"/>
      <c r="L1313" s="43"/>
    </row>
    <row r="1314" spans="2:12" outlineLevel="2">
      <c r="B1314" s="35">
        <f t="shared" si="38"/>
        <v>849</v>
      </c>
      <c r="C1314" s="41" t="s">
        <v>69</v>
      </c>
      <c r="D1314" s="41"/>
      <c r="E1314" s="41"/>
      <c r="F1314" s="41"/>
      <c r="G1314" s="41"/>
      <c r="H1314" s="41"/>
      <c r="I1314" s="42"/>
      <c r="J1314" s="41"/>
      <c r="K1314" s="41"/>
      <c r="L1314" s="43"/>
    </row>
    <row r="1315" spans="2:12" outlineLevel="2">
      <c r="B1315" s="35">
        <f t="shared" si="38"/>
        <v>850</v>
      </c>
      <c r="C1315" s="41" t="s">
        <v>69</v>
      </c>
      <c r="D1315" s="41"/>
      <c r="E1315" s="41"/>
      <c r="F1315" s="41"/>
      <c r="G1315" s="41"/>
      <c r="H1315" s="41"/>
      <c r="I1315" s="42"/>
      <c r="J1315" s="41"/>
      <c r="K1315" s="41"/>
      <c r="L1315" s="43"/>
    </row>
    <row r="1316" spans="2:12" outlineLevel="2">
      <c r="B1316" s="35">
        <f t="shared" si="38"/>
        <v>851</v>
      </c>
      <c r="C1316" s="41" t="s">
        <v>69</v>
      </c>
      <c r="D1316" s="41"/>
      <c r="E1316" s="41"/>
      <c r="F1316" s="41"/>
      <c r="G1316" s="41"/>
      <c r="H1316" s="41"/>
      <c r="I1316" s="42"/>
      <c r="J1316" s="41"/>
      <c r="K1316" s="41"/>
      <c r="L1316" s="43"/>
    </row>
    <row r="1317" spans="2:12" outlineLevel="2">
      <c r="B1317" s="35">
        <f t="shared" si="38"/>
        <v>852</v>
      </c>
      <c r="C1317" s="41" t="s">
        <v>69</v>
      </c>
      <c r="D1317" s="41"/>
      <c r="E1317" s="41"/>
      <c r="F1317" s="41"/>
      <c r="G1317" s="41"/>
      <c r="H1317" s="41"/>
      <c r="I1317" s="42"/>
      <c r="J1317" s="41"/>
      <c r="K1317" s="41"/>
      <c r="L1317" s="43"/>
    </row>
    <row r="1318" spans="2:12" outlineLevel="2">
      <c r="B1318" s="35">
        <f t="shared" si="38"/>
        <v>853</v>
      </c>
      <c r="C1318" s="41" t="s">
        <v>69</v>
      </c>
      <c r="D1318" s="41"/>
      <c r="E1318" s="41"/>
      <c r="F1318" s="41"/>
      <c r="G1318" s="41"/>
      <c r="H1318" s="41"/>
      <c r="I1318" s="42"/>
      <c r="J1318" s="41"/>
      <c r="K1318" s="41"/>
      <c r="L1318" s="43"/>
    </row>
    <row r="1319" spans="2:12" outlineLevel="2">
      <c r="B1319" s="35">
        <f t="shared" si="38"/>
        <v>854</v>
      </c>
      <c r="C1319" s="41" t="s">
        <v>69</v>
      </c>
      <c r="D1319" s="41"/>
      <c r="E1319" s="41"/>
      <c r="F1319" s="41"/>
      <c r="G1319" s="41"/>
      <c r="H1319" s="41"/>
      <c r="I1319" s="42"/>
      <c r="J1319" s="41"/>
      <c r="K1319" s="41"/>
      <c r="L1319" s="43"/>
    </row>
    <row r="1320" spans="2:12" outlineLevel="2">
      <c r="B1320" s="35">
        <f t="shared" si="38"/>
        <v>855</v>
      </c>
      <c r="C1320" s="41" t="s">
        <v>69</v>
      </c>
      <c r="D1320" s="41"/>
      <c r="E1320" s="41"/>
      <c r="F1320" s="41"/>
      <c r="G1320" s="41"/>
      <c r="H1320" s="41"/>
      <c r="I1320" s="42"/>
      <c r="J1320" s="41"/>
      <c r="K1320" s="41"/>
      <c r="L1320" s="43"/>
    </row>
    <row r="1321" spans="2:12" outlineLevel="2">
      <c r="B1321" s="35">
        <f t="shared" si="38"/>
        <v>856</v>
      </c>
      <c r="C1321" s="41" t="s">
        <v>69</v>
      </c>
      <c r="D1321" s="41"/>
      <c r="E1321" s="41"/>
      <c r="F1321" s="41"/>
      <c r="G1321" s="41"/>
      <c r="H1321" s="41"/>
      <c r="I1321" s="42"/>
      <c r="J1321" s="41"/>
      <c r="K1321" s="41"/>
      <c r="L1321" s="43"/>
    </row>
    <row r="1322" spans="2:12" outlineLevel="2">
      <c r="B1322" s="35">
        <f t="shared" si="38"/>
        <v>857</v>
      </c>
      <c r="C1322" s="41" t="s">
        <v>69</v>
      </c>
      <c r="D1322" s="41"/>
      <c r="E1322" s="41"/>
      <c r="F1322" s="41"/>
      <c r="G1322" s="41"/>
      <c r="H1322" s="41"/>
      <c r="I1322" s="42"/>
      <c r="J1322" s="41"/>
      <c r="K1322" s="41"/>
      <c r="L1322" s="43"/>
    </row>
    <row r="1323" spans="2:12" outlineLevel="2">
      <c r="B1323" s="35">
        <f t="shared" si="38"/>
        <v>858</v>
      </c>
      <c r="C1323" s="41" t="s">
        <v>69</v>
      </c>
      <c r="D1323" s="41"/>
      <c r="E1323" s="41"/>
      <c r="F1323" s="41"/>
      <c r="G1323" s="41"/>
      <c r="H1323" s="41"/>
      <c r="I1323" s="42"/>
      <c r="J1323" s="41"/>
      <c r="K1323" s="41"/>
      <c r="L1323" s="43"/>
    </row>
    <row r="1324" spans="2:12" outlineLevel="2">
      <c r="B1324" s="35">
        <f t="shared" si="38"/>
        <v>859</v>
      </c>
      <c r="C1324" s="41" t="s">
        <v>69</v>
      </c>
      <c r="D1324" s="41"/>
      <c r="E1324" s="41"/>
      <c r="F1324" s="41"/>
      <c r="G1324" s="41"/>
      <c r="H1324" s="41"/>
      <c r="I1324" s="42"/>
      <c r="J1324" s="41"/>
      <c r="K1324" s="41"/>
      <c r="L1324" s="43"/>
    </row>
    <row r="1325" spans="2:12" outlineLevel="2">
      <c r="B1325" s="35">
        <f t="shared" si="38"/>
        <v>860</v>
      </c>
      <c r="C1325" s="41" t="s">
        <v>69</v>
      </c>
      <c r="D1325" s="41"/>
      <c r="E1325" s="41"/>
      <c r="F1325" s="41"/>
      <c r="G1325" s="41"/>
      <c r="H1325" s="41"/>
      <c r="I1325" s="42"/>
      <c r="J1325" s="41"/>
      <c r="K1325" s="41"/>
      <c r="L1325" s="43"/>
    </row>
    <row r="1326" spans="2:12" outlineLevel="2">
      <c r="B1326" s="35">
        <f t="shared" si="38"/>
        <v>861</v>
      </c>
      <c r="C1326" s="41" t="s">
        <v>69</v>
      </c>
      <c r="D1326" s="41"/>
      <c r="E1326" s="41"/>
      <c r="F1326" s="41"/>
      <c r="G1326" s="41"/>
      <c r="H1326" s="41"/>
      <c r="I1326" s="42"/>
      <c r="J1326" s="41"/>
      <c r="K1326" s="41"/>
      <c r="L1326" s="43"/>
    </row>
    <row r="1327" spans="2:12" outlineLevel="2">
      <c r="B1327" s="35">
        <f t="shared" si="38"/>
        <v>862</v>
      </c>
      <c r="C1327" s="41" t="s">
        <v>69</v>
      </c>
      <c r="D1327" s="41"/>
      <c r="E1327" s="41"/>
      <c r="F1327" s="41"/>
      <c r="G1327" s="41"/>
      <c r="H1327" s="41"/>
      <c r="I1327" s="42"/>
      <c r="J1327" s="41"/>
      <c r="K1327" s="41"/>
      <c r="L1327" s="43"/>
    </row>
    <row r="1328" spans="2:12" outlineLevel="2">
      <c r="B1328" s="35">
        <f t="shared" si="38"/>
        <v>863</v>
      </c>
      <c r="C1328" s="41" t="s">
        <v>69</v>
      </c>
      <c r="D1328" s="41"/>
      <c r="E1328" s="41"/>
      <c r="F1328" s="41"/>
      <c r="G1328" s="41"/>
      <c r="H1328" s="41"/>
      <c r="I1328" s="42"/>
      <c r="J1328" s="41"/>
      <c r="K1328" s="41"/>
      <c r="L1328" s="43"/>
    </row>
    <row r="1329" spans="2:12" outlineLevel="2">
      <c r="B1329" s="35">
        <f t="shared" si="38"/>
        <v>864</v>
      </c>
      <c r="C1329" s="41" t="s">
        <v>69</v>
      </c>
      <c r="D1329" s="41"/>
      <c r="E1329" s="41"/>
      <c r="F1329" s="41"/>
      <c r="G1329" s="41"/>
      <c r="H1329" s="41"/>
      <c r="I1329" s="42"/>
      <c r="J1329" s="41"/>
      <c r="K1329" s="41"/>
      <c r="L1329" s="43"/>
    </row>
    <row r="1330" spans="2:12" outlineLevel="2">
      <c r="B1330" s="35">
        <f t="shared" si="38"/>
        <v>865</v>
      </c>
      <c r="C1330" s="41" t="s">
        <v>69</v>
      </c>
      <c r="D1330" s="41"/>
      <c r="E1330" s="41"/>
      <c r="F1330" s="41"/>
      <c r="G1330" s="41"/>
      <c r="H1330" s="41"/>
      <c r="I1330" s="42"/>
      <c r="J1330" s="41"/>
      <c r="K1330" s="41"/>
      <c r="L1330" s="43"/>
    </row>
    <row r="1331" spans="2:12" outlineLevel="2">
      <c r="B1331" s="35">
        <f t="shared" si="38"/>
        <v>866</v>
      </c>
      <c r="C1331" s="41" t="s">
        <v>69</v>
      </c>
      <c r="D1331" s="41"/>
      <c r="E1331" s="41"/>
      <c r="F1331" s="41"/>
      <c r="G1331" s="41"/>
      <c r="H1331" s="41"/>
      <c r="I1331" s="42"/>
      <c r="J1331" s="41"/>
      <c r="K1331" s="41"/>
      <c r="L1331" s="43"/>
    </row>
    <row r="1332" spans="2:12" outlineLevel="2">
      <c r="B1332" s="35">
        <f t="shared" si="38"/>
        <v>867</v>
      </c>
      <c r="C1332" s="41" t="s">
        <v>69</v>
      </c>
      <c r="D1332" s="41"/>
      <c r="E1332" s="41"/>
      <c r="F1332" s="41"/>
      <c r="G1332" s="41"/>
      <c r="H1332" s="41"/>
      <c r="I1332" s="42"/>
      <c r="J1332" s="41"/>
      <c r="K1332" s="41"/>
      <c r="L1332" s="43"/>
    </row>
    <row r="1333" spans="2:12" outlineLevel="2">
      <c r="B1333" s="35">
        <f t="shared" si="38"/>
        <v>868</v>
      </c>
      <c r="C1333" s="41" t="s">
        <v>69</v>
      </c>
      <c r="D1333" s="41"/>
      <c r="E1333" s="41"/>
      <c r="F1333" s="41"/>
      <c r="G1333" s="41"/>
      <c r="H1333" s="41"/>
      <c r="I1333" s="42"/>
      <c r="J1333" s="41"/>
      <c r="K1333" s="41"/>
      <c r="L1333" s="43"/>
    </row>
    <row r="1334" spans="2:12" outlineLevel="2">
      <c r="B1334" s="35">
        <f t="shared" si="38"/>
        <v>869</v>
      </c>
      <c r="C1334" s="41" t="s">
        <v>69</v>
      </c>
      <c r="D1334" s="41"/>
      <c r="E1334" s="41"/>
      <c r="F1334" s="41"/>
      <c r="G1334" s="41"/>
      <c r="H1334" s="41"/>
      <c r="I1334" s="42"/>
      <c r="J1334" s="41"/>
      <c r="K1334" s="41"/>
      <c r="L1334" s="43"/>
    </row>
    <row r="1335" spans="2:12" outlineLevel="2">
      <c r="B1335" s="35">
        <f t="shared" si="38"/>
        <v>870</v>
      </c>
      <c r="C1335" s="41" t="s">
        <v>69</v>
      </c>
      <c r="D1335" s="41"/>
      <c r="E1335" s="41"/>
      <c r="F1335" s="41"/>
      <c r="G1335" s="41"/>
      <c r="H1335" s="41"/>
      <c r="I1335" s="42"/>
      <c r="J1335" s="41"/>
      <c r="K1335" s="41"/>
      <c r="L1335" s="43"/>
    </row>
    <row r="1336" spans="2:12" outlineLevel="2">
      <c r="B1336" s="35">
        <f t="shared" si="38"/>
        <v>871</v>
      </c>
      <c r="C1336" s="41" t="s">
        <v>69</v>
      </c>
      <c r="D1336" s="41"/>
      <c r="E1336" s="41"/>
      <c r="F1336" s="41"/>
      <c r="G1336" s="41"/>
      <c r="H1336" s="41"/>
      <c r="I1336" s="42"/>
      <c r="J1336" s="41"/>
      <c r="K1336" s="41"/>
      <c r="L1336" s="43"/>
    </row>
    <row r="1337" spans="2:12" outlineLevel="2">
      <c r="B1337" s="35">
        <f t="shared" si="38"/>
        <v>872</v>
      </c>
      <c r="C1337" s="41" t="s">
        <v>69</v>
      </c>
      <c r="D1337" s="41"/>
      <c r="E1337" s="41"/>
      <c r="F1337" s="41"/>
      <c r="G1337" s="41"/>
      <c r="H1337" s="41"/>
      <c r="I1337" s="42"/>
      <c r="J1337" s="41"/>
      <c r="K1337" s="41"/>
      <c r="L1337" s="43"/>
    </row>
    <row r="1338" spans="2:12" outlineLevel="2">
      <c r="B1338" s="35">
        <f t="shared" si="38"/>
        <v>873</v>
      </c>
      <c r="C1338" s="41" t="s">
        <v>69</v>
      </c>
      <c r="D1338" s="41"/>
      <c r="E1338" s="41"/>
      <c r="F1338" s="41"/>
      <c r="G1338" s="41"/>
      <c r="H1338" s="41"/>
      <c r="I1338" s="42"/>
      <c r="J1338" s="41"/>
      <c r="K1338" s="41"/>
      <c r="L1338" s="43"/>
    </row>
    <row r="1339" spans="2:12" outlineLevel="2">
      <c r="B1339" s="35">
        <f t="shared" si="38"/>
        <v>874</v>
      </c>
      <c r="C1339" s="41" t="s">
        <v>69</v>
      </c>
      <c r="D1339" s="41"/>
      <c r="E1339" s="41"/>
      <c r="F1339" s="41"/>
      <c r="G1339" s="41"/>
      <c r="H1339" s="41"/>
      <c r="I1339" s="42"/>
      <c r="J1339" s="41"/>
      <c r="K1339" s="41"/>
      <c r="L1339" s="43"/>
    </row>
    <row r="1340" spans="2:12" outlineLevel="2">
      <c r="B1340" s="35">
        <f t="shared" si="38"/>
        <v>875</v>
      </c>
      <c r="C1340" s="41" t="s">
        <v>69</v>
      </c>
      <c r="D1340" s="41"/>
      <c r="E1340" s="41"/>
      <c r="F1340" s="41"/>
      <c r="G1340" s="41"/>
      <c r="H1340" s="41"/>
      <c r="I1340" s="42"/>
      <c r="J1340" s="41"/>
      <c r="K1340" s="41"/>
      <c r="L1340" s="43"/>
    </row>
    <row r="1341" spans="2:12" outlineLevel="2">
      <c r="B1341" s="35">
        <f t="shared" si="38"/>
        <v>876</v>
      </c>
      <c r="C1341" s="41" t="s">
        <v>69</v>
      </c>
      <c r="D1341" s="41"/>
      <c r="E1341" s="41"/>
      <c r="F1341" s="41"/>
      <c r="G1341" s="41"/>
      <c r="H1341" s="41"/>
      <c r="I1341" s="42"/>
      <c r="J1341" s="41"/>
      <c r="K1341" s="41"/>
      <c r="L1341" s="43"/>
    </row>
    <row r="1342" spans="2:12" outlineLevel="2">
      <c r="B1342" s="35">
        <f t="shared" si="38"/>
        <v>877</v>
      </c>
      <c r="C1342" s="41" t="s">
        <v>69</v>
      </c>
      <c r="D1342" s="41"/>
      <c r="E1342" s="41"/>
      <c r="F1342" s="41"/>
      <c r="G1342" s="41"/>
      <c r="H1342" s="41"/>
      <c r="I1342" s="42"/>
      <c r="J1342" s="41"/>
      <c r="K1342" s="41"/>
      <c r="L1342" s="43"/>
    </row>
    <row r="1343" spans="2:12" outlineLevel="2">
      <c r="B1343" s="35">
        <f t="shared" ref="B1343:B1362" si="39">(B1342+1)</f>
        <v>878</v>
      </c>
      <c r="C1343" s="41" t="s">
        <v>69</v>
      </c>
      <c r="D1343" s="41"/>
      <c r="E1343" s="41"/>
      <c r="F1343" s="41"/>
      <c r="G1343" s="41"/>
      <c r="H1343" s="41"/>
      <c r="I1343" s="42"/>
      <c r="J1343" s="41"/>
      <c r="K1343" s="41"/>
      <c r="L1343" s="43"/>
    </row>
    <row r="1344" spans="2:12" outlineLevel="2">
      <c r="B1344" s="35">
        <f t="shared" si="39"/>
        <v>879</v>
      </c>
      <c r="C1344" s="41" t="s">
        <v>69</v>
      </c>
      <c r="D1344" s="41"/>
      <c r="E1344" s="41"/>
      <c r="F1344" s="41"/>
      <c r="G1344" s="41"/>
      <c r="H1344" s="41"/>
      <c r="I1344" s="42"/>
      <c r="J1344" s="41"/>
      <c r="K1344" s="41"/>
      <c r="L1344" s="43"/>
    </row>
    <row r="1345" spans="2:12" outlineLevel="2">
      <c r="B1345" s="35">
        <f t="shared" si="39"/>
        <v>880</v>
      </c>
      <c r="C1345" s="41" t="s">
        <v>69</v>
      </c>
      <c r="D1345" s="41"/>
      <c r="E1345" s="41"/>
      <c r="F1345" s="41"/>
      <c r="G1345" s="41"/>
      <c r="H1345" s="41"/>
      <c r="I1345" s="42"/>
      <c r="J1345" s="41"/>
      <c r="K1345" s="41"/>
      <c r="L1345" s="43"/>
    </row>
    <row r="1346" spans="2:12" outlineLevel="2">
      <c r="B1346" s="35">
        <f t="shared" si="39"/>
        <v>881</v>
      </c>
      <c r="C1346" s="41" t="s">
        <v>69</v>
      </c>
      <c r="D1346" s="41"/>
      <c r="E1346" s="41"/>
      <c r="F1346" s="41"/>
      <c r="G1346" s="41"/>
      <c r="H1346" s="41"/>
      <c r="I1346" s="42"/>
      <c r="J1346" s="41"/>
      <c r="K1346" s="41"/>
      <c r="L1346" s="43"/>
    </row>
    <row r="1347" spans="2:12" outlineLevel="2">
      <c r="B1347" s="35">
        <f t="shared" si="39"/>
        <v>882</v>
      </c>
      <c r="C1347" s="41" t="s">
        <v>69</v>
      </c>
      <c r="D1347" s="41"/>
      <c r="E1347" s="41"/>
      <c r="F1347" s="41"/>
      <c r="G1347" s="41"/>
      <c r="H1347" s="41"/>
      <c r="I1347" s="42"/>
      <c r="J1347" s="41"/>
      <c r="K1347" s="41"/>
      <c r="L1347" s="43"/>
    </row>
    <row r="1348" spans="2:12" outlineLevel="2">
      <c r="B1348" s="35">
        <f t="shared" si="39"/>
        <v>883</v>
      </c>
      <c r="C1348" s="41" t="s">
        <v>69</v>
      </c>
      <c r="D1348" s="41"/>
      <c r="E1348" s="41"/>
      <c r="F1348" s="41"/>
      <c r="G1348" s="41"/>
      <c r="H1348" s="41"/>
      <c r="I1348" s="42"/>
      <c r="J1348" s="41"/>
      <c r="K1348" s="41"/>
      <c r="L1348" s="43"/>
    </row>
    <row r="1349" spans="2:12" outlineLevel="2">
      <c r="B1349" s="35">
        <f t="shared" si="39"/>
        <v>884</v>
      </c>
      <c r="C1349" s="41" t="s">
        <v>69</v>
      </c>
      <c r="D1349" s="41"/>
      <c r="E1349" s="41"/>
      <c r="F1349" s="41"/>
      <c r="G1349" s="41"/>
      <c r="H1349" s="41"/>
      <c r="I1349" s="42"/>
      <c r="J1349" s="41"/>
      <c r="K1349" s="41"/>
      <c r="L1349" s="43"/>
    </row>
    <row r="1350" spans="2:12" outlineLevel="2">
      <c r="B1350" s="35">
        <f t="shared" si="39"/>
        <v>885</v>
      </c>
      <c r="C1350" s="41" t="s">
        <v>69</v>
      </c>
      <c r="D1350" s="41"/>
      <c r="E1350" s="41"/>
      <c r="F1350" s="41"/>
      <c r="G1350" s="41"/>
      <c r="H1350" s="41"/>
      <c r="I1350" s="42"/>
      <c r="J1350" s="41"/>
      <c r="K1350" s="41"/>
      <c r="L1350" s="43"/>
    </row>
    <row r="1351" spans="2:12" outlineLevel="2">
      <c r="B1351" s="35">
        <f t="shared" si="39"/>
        <v>886</v>
      </c>
      <c r="C1351" s="41" t="s">
        <v>69</v>
      </c>
      <c r="D1351" s="41"/>
      <c r="E1351" s="41"/>
      <c r="F1351" s="41"/>
      <c r="G1351" s="41"/>
      <c r="H1351" s="41"/>
      <c r="I1351" s="42"/>
      <c r="J1351" s="41"/>
      <c r="K1351" s="41"/>
      <c r="L1351" s="43"/>
    </row>
    <row r="1352" spans="2:12" outlineLevel="2">
      <c r="B1352" s="35">
        <f t="shared" si="39"/>
        <v>887</v>
      </c>
      <c r="C1352" s="41" t="s">
        <v>69</v>
      </c>
      <c r="D1352" s="41"/>
      <c r="E1352" s="41"/>
      <c r="F1352" s="41"/>
      <c r="G1352" s="41"/>
      <c r="H1352" s="41"/>
      <c r="I1352" s="42"/>
      <c r="J1352" s="41"/>
      <c r="K1352" s="41"/>
      <c r="L1352" s="43"/>
    </row>
    <row r="1353" spans="2:12" outlineLevel="2">
      <c r="B1353" s="35">
        <f t="shared" si="39"/>
        <v>888</v>
      </c>
      <c r="C1353" s="41" t="s">
        <v>69</v>
      </c>
      <c r="D1353" s="41"/>
      <c r="E1353" s="41"/>
      <c r="F1353" s="41"/>
      <c r="G1353" s="41"/>
      <c r="H1353" s="41"/>
      <c r="I1353" s="42"/>
      <c r="J1353" s="41"/>
      <c r="K1353" s="41"/>
      <c r="L1353" s="43"/>
    </row>
    <row r="1354" spans="2:12" outlineLevel="2">
      <c r="B1354" s="35">
        <f t="shared" si="39"/>
        <v>889</v>
      </c>
      <c r="C1354" s="41" t="s">
        <v>69</v>
      </c>
      <c r="D1354" s="41"/>
      <c r="E1354" s="41"/>
      <c r="F1354" s="41"/>
      <c r="G1354" s="41"/>
      <c r="H1354" s="41"/>
      <c r="I1354" s="42"/>
      <c r="J1354" s="41"/>
      <c r="K1354" s="41"/>
      <c r="L1354" s="43"/>
    </row>
    <row r="1355" spans="2:12" outlineLevel="2">
      <c r="B1355" s="35">
        <f t="shared" si="39"/>
        <v>890</v>
      </c>
      <c r="C1355" s="41" t="s">
        <v>69</v>
      </c>
      <c r="D1355" s="41"/>
      <c r="E1355" s="41"/>
      <c r="F1355" s="41"/>
      <c r="G1355" s="41"/>
      <c r="H1355" s="41"/>
      <c r="I1355" s="42"/>
      <c r="J1355" s="41"/>
      <c r="K1355" s="41"/>
      <c r="L1355" s="43"/>
    </row>
    <row r="1356" spans="2:12" outlineLevel="2">
      <c r="B1356" s="35">
        <f t="shared" si="39"/>
        <v>891</v>
      </c>
      <c r="C1356" s="41" t="s">
        <v>69</v>
      </c>
      <c r="D1356" s="41"/>
      <c r="E1356" s="41"/>
      <c r="F1356" s="41"/>
      <c r="G1356" s="41"/>
      <c r="H1356" s="41"/>
      <c r="I1356" s="42"/>
      <c r="J1356" s="41"/>
      <c r="K1356" s="41"/>
      <c r="L1356" s="43"/>
    </row>
    <row r="1357" spans="2:12" outlineLevel="2">
      <c r="B1357" s="35">
        <f t="shared" si="39"/>
        <v>892</v>
      </c>
      <c r="C1357" s="41" t="s">
        <v>69</v>
      </c>
      <c r="D1357" s="41"/>
      <c r="E1357" s="41"/>
      <c r="F1357" s="41"/>
      <c r="G1357" s="41"/>
      <c r="H1357" s="41"/>
      <c r="I1357" s="42"/>
      <c r="J1357" s="41"/>
      <c r="K1357" s="41"/>
      <c r="L1357" s="43"/>
    </row>
    <row r="1358" spans="2:12" outlineLevel="2">
      <c r="B1358" s="35">
        <f t="shared" si="39"/>
        <v>893</v>
      </c>
      <c r="C1358" s="41" t="s">
        <v>69</v>
      </c>
      <c r="D1358" s="41"/>
      <c r="E1358" s="41"/>
      <c r="F1358" s="41"/>
      <c r="G1358" s="41"/>
      <c r="H1358" s="41"/>
      <c r="I1358" s="42"/>
      <c r="J1358" s="41"/>
      <c r="K1358" s="41"/>
      <c r="L1358" s="43"/>
    </row>
    <row r="1359" spans="2:12" outlineLevel="2">
      <c r="B1359" s="35">
        <f t="shared" si="39"/>
        <v>894</v>
      </c>
      <c r="C1359" s="41" t="s">
        <v>69</v>
      </c>
      <c r="D1359" s="41"/>
      <c r="E1359" s="41"/>
      <c r="F1359" s="41"/>
      <c r="G1359" s="41"/>
      <c r="H1359" s="41"/>
      <c r="I1359" s="42"/>
      <c r="J1359" s="41"/>
      <c r="K1359" s="41"/>
      <c r="L1359" s="43"/>
    </row>
    <row r="1360" spans="2:12" outlineLevel="2">
      <c r="B1360" s="35">
        <f t="shared" si="39"/>
        <v>895</v>
      </c>
      <c r="C1360" s="41" t="s">
        <v>69</v>
      </c>
      <c r="D1360" s="41"/>
      <c r="E1360" s="41"/>
      <c r="F1360" s="41"/>
      <c r="G1360" s="41"/>
      <c r="H1360" s="41"/>
      <c r="I1360" s="42"/>
      <c r="J1360" s="41"/>
      <c r="K1360" s="41"/>
      <c r="L1360" s="43"/>
    </row>
    <row r="1361" spans="2:12" outlineLevel="2">
      <c r="B1361" s="35">
        <f t="shared" si="39"/>
        <v>896</v>
      </c>
      <c r="C1361" s="41" t="s">
        <v>69</v>
      </c>
      <c r="D1361" s="41"/>
      <c r="E1361" s="41"/>
      <c r="F1361" s="41"/>
      <c r="G1361" s="41"/>
      <c r="H1361" s="41"/>
      <c r="I1361" s="42"/>
      <c r="J1361" s="41"/>
      <c r="K1361" s="41"/>
      <c r="L1361" s="43"/>
    </row>
    <row r="1362" spans="2:12" outlineLevel="2">
      <c r="B1362" s="35">
        <f t="shared" si="39"/>
        <v>897</v>
      </c>
      <c r="C1362" s="41" t="s">
        <v>69</v>
      </c>
      <c r="D1362" s="41"/>
      <c r="E1362" s="41"/>
      <c r="F1362" s="41"/>
      <c r="G1362" s="41"/>
      <c r="H1362" s="41"/>
      <c r="I1362" s="42"/>
      <c r="J1362" s="41"/>
      <c r="K1362" s="41"/>
      <c r="L1362" s="43"/>
    </row>
    <row r="1363" spans="2:12" outlineLevel="2">
      <c r="B1363" s="35">
        <f t="shared" ref="B1363" si="40">(B1362+1)</f>
        <v>898</v>
      </c>
      <c r="C1363" s="41" t="s">
        <v>69</v>
      </c>
      <c r="D1363" s="41"/>
      <c r="E1363" s="41"/>
      <c r="F1363" s="41"/>
      <c r="G1363" s="41"/>
      <c r="H1363" s="41"/>
      <c r="I1363" s="42"/>
      <c r="J1363" s="41"/>
      <c r="K1363" s="41"/>
      <c r="L1363" s="43"/>
    </row>
    <row r="1364" spans="2:12" outlineLevel="2">
      <c r="B1364" s="35">
        <f t="shared" ref="B1364:B1376" si="41">(B1363+1)</f>
        <v>899</v>
      </c>
      <c r="C1364" s="41" t="s">
        <v>69</v>
      </c>
      <c r="D1364" s="41"/>
      <c r="E1364" s="41"/>
      <c r="F1364" s="41"/>
      <c r="G1364" s="41"/>
      <c r="H1364" s="41"/>
      <c r="I1364" s="42"/>
      <c r="J1364" s="41"/>
      <c r="K1364" s="41"/>
      <c r="L1364" s="43"/>
    </row>
    <row r="1365" spans="2:12" outlineLevel="2">
      <c r="B1365" s="35">
        <f t="shared" si="41"/>
        <v>900</v>
      </c>
      <c r="C1365" s="41" t="s">
        <v>69</v>
      </c>
      <c r="D1365" s="41"/>
      <c r="E1365" s="41"/>
      <c r="F1365" s="41"/>
      <c r="G1365" s="41"/>
      <c r="H1365" s="41"/>
      <c r="I1365" s="42"/>
      <c r="J1365" s="41"/>
      <c r="K1365" s="41"/>
      <c r="L1365" s="43"/>
    </row>
    <row r="1366" spans="2:12" outlineLevel="2">
      <c r="B1366" s="35">
        <f t="shared" si="41"/>
        <v>901</v>
      </c>
      <c r="C1366" s="41" t="s">
        <v>69</v>
      </c>
      <c r="D1366" s="41"/>
      <c r="E1366" s="41"/>
      <c r="F1366" s="41"/>
      <c r="G1366" s="41"/>
      <c r="H1366" s="41"/>
      <c r="I1366" s="42"/>
      <c r="J1366" s="41"/>
      <c r="K1366" s="41"/>
      <c r="L1366" s="43"/>
    </row>
    <row r="1367" spans="2:12" outlineLevel="2">
      <c r="B1367" s="35">
        <f t="shared" si="41"/>
        <v>902</v>
      </c>
      <c r="C1367" s="41" t="s">
        <v>69</v>
      </c>
      <c r="D1367" s="41"/>
      <c r="E1367" s="41"/>
      <c r="F1367" s="41"/>
      <c r="G1367" s="41"/>
      <c r="H1367" s="41"/>
      <c r="I1367" s="42"/>
      <c r="J1367" s="41"/>
      <c r="K1367" s="41"/>
      <c r="L1367" s="43"/>
    </row>
    <row r="1368" spans="2:12" outlineLevel="2">
      <c r="B1368" s="35">
        <f t="shared" si="41"/>
        <v>903</v>
      </c>
      <c r="C1368" s="41" t="s">
        <v>69</v>
      </c>
      <c r="D1368" s="41"/>
      <c r="E1368" s="41"/>
      <c r="F1368" s="41"/>
      <c r="G1368" s="41"/>
      <c r="H1368" s="41"/>
      <c r="I1368" s="42"/>
      <c r="J1368" s="41"/>
      <c r="K1368" s="41"/>
      <c r="L1368" s="43"/>
    </row>
    <row r="1369" spans="2:12" outlineLevel="2">
      <c r="B1369" s="35">
        <f t="shared" si="41"/>
        <v>904</v>
      </c>
      <c r="C1369" s="41" t="s">
        <v>69</v>
      </c>
      <c r="D1369" s="41"/>
      <c r="E1369" s="41"/>
      <c r="F1369" s="41"/>
      <c r="G1369" s="41"/>
      <c r="H1369" s="41"/>
      <c r="I1369" s="42"/>
      <c r="J1369" s="41"/>
      <c r="K1369" s="41"/>
      <c r="L1369" s="43"/>
    </row>
    <row r="1370" spans="2:12" outlineLevel="2">
      <c r="B1370" s="35">
        <f t="shared" si="41"/>
        <v>905</v>
      </c>
      <c r="C1370" s="41" t="s">
        <v>69</v>
      </c>
      <c r="D1370" s="41"/>
      <c r="E1370" s="41"/>
      <c r="F1370" s="41"/>
      <c r="G1370" s="41"/>
      <c r="H1370" s="41"/>
      <c r="I1370" s="42"/>
      <c r="J1370" s="41"/>
      <c r="K1370" s="41"/>
      <c r="L1370" s="43"/>
    </row>
    <row r="1371" spans="2:12" outlineLevel="2">
      <c r="B1371" s="35">
        <f t="shared" si="41"/>
        <v>906</v>
      </c>
      <c r="C1371" s="41" t="s">
        <v>69</v>
      </c>
      <c r="D1371" s="41"/>
      <c r="E1371" s="41"/>
      <c r="F1371" s="41"/>
      <c r="G1371" s="41"/>
      <c r="H1371" s="41"/>
      <c r="I1371" s="42"/>
      <c r="J1371" s="41"/>
      <c r="K1371" s="41"/>
      <c r="L1371" s="43"/>
    </row>
    <row r="1372" spans="2:12" outlineLevel="2">
      <c r="B1372" s="35">
        <f t="shared" si="41"/>
        <v>907</v>
      </c>
      <c r="C1372" s="41" t="s">
        <v>69</v>
      </c>
      <c r="D1372" s="41"/>
      <c r="E1372" s="41"/>
      <c r="F1372" s="41"/>
      <c r="G1372" s="41"/>
      <c r="H1372" s="41"/>
      <c r="I1372" s="42"/>
      <c r="J1372" s="41"/>
      <c r="K1372" s="41"/>
      <c r="L1372" s="43"/>
    </row>
    <row r="1373" spans="2:12" outlineLevel="2">
      <c r="B1373" s="35">
        <f t="shared" si="41"/>
        <v>908</v>
      </c>
      <c r="C1373" s="41" t="s">
        <v>69</v>
      </c>
      <c r="D1373" s="41"/>
      <c r="E1373" s="41"/>
      <c r="F1373" s="41"/>
      <c r="G1373" s="41"/>
      <c r="H1373" s="41"/>
      <c r="I1373" s="42"/>
      <c r="J1373" s="41"/>
      <c r="K1373" s="41"/>
      <c r="L1373" s="43"/>
    </row>
    <row r="1374" spans="2:12" outlineLevel="2">
      <c r="B1374" s="35">
        <f t="shared" si="41"/>
        <v>909</v>
      </c>
      <c r="C1374" s="41" t="s">
        <v>69</v>
      </c>
      <c r="D1374" s="41"/>
      <c r="E1374" s="41"/>
      <c r="F1374" s="41"/>
      <c r="G1374" s="41"/>
      <c r="H1374" s="41"/>
      <c r="I1374" s="42"/>
      <c r="J1374" s="41"/>
      <c r="K1374" s="41"/>
      <c r="L1374" s="43"/>
    </row>
    <row r="1375" spans="2:12" outlineLevel="2">
      <c r="B1375" s="35">
        <f t="shared" si="41"/>
        <v>910</v>
      </c>
      <c r="C1375" s="41" t="s">
        <v>69</v>
      </c>
      <c r="D1375" s="41"/>
      <c r="E1375" s="41"/>
      <c r="F1375" s="41"/>
      <c r="G1375" s="41"/>
      <c r="H1375" s="41"/>
      <c r="I1375" s="42"/>
      <c r="J1375" s="41"/>
      <c r="K1375" s="41"/>
      <c r="L1375" s="43"/>
    </row>
    <row r="1376" spans="2:12" outlineLevel="2">
      <c r="B1376" s="35">
        <f t="shared" si="41"/>
        <v>911</v>
      </c>
      <c r="C1376" s="41" t="s">
        <v>69</v>
      </c>
      <c r="D1376" s="41"/>
      <c r="E1376" s="41"/>
      <c r="F1376" s="41"/>
      <c r="G1376" s="41"/>
      <c r="H1376" s="41"/>
      <c r="I1376" s="42"/>
      <c r="J1376" s="41"/>
      <c r="K1376" s="41"/>
      <c r="L1376" s="43"/>
    </row>
    <row r="1377" spans="2:12" outlineLevel="2">
      <c r="B1377" s="35">
        <f t="shared" ref="B1377" si="42">(B1376+1)</f>
        <v>912</v>
      </c>
      <c r="C1377" s="41" t="s">
        <v>69</v>
      </c>
      <c r="D1377" s="41"/>
      <c r="E1377" s="41"/>
      <c r="F1377" s="41"/>
      <c r="G1377" s="41"/>
      <c r="H1377" s="41"/>
      <c r="I1377" s="42"/>
      <c r="J1377" s="41"/>
      <c r="K1377" s="41"/>
      <c r="L1377" s="43"/>
    </row>
    <row r="1378" spans="2:12" outlineLevel="1">
      <c r="B1378" s="64" t="s">
        <v>314</v>
      </c>
      <c r="C1378" s="61">
        <f>SUBTOTAL(3,C1150:C1377)</f>
        <v>228</v>
      </c>
      <c r="D1378" s="61"/>
      <c r="E1378" s="61"/>
      <c r="F1378" s="61"/>
      <c r="G1378" s="61"/>
      <c r="H1378" s="61"/>
      <c r="I1378" s="62"/>
      <c r="J1378" s="61"/>
      <c r="K1378" s="61"/>
      <c r="L1378" s="63"/>
    </row>
    <row r="1379" spans="2:12" ht="15.75" thickBot="1">
      <c r="B1379" s="64" t="s">
        <v>315</v>
      </c>
      <c r="C1379" s="61">
        <f>SUBTOTAL(3,C463:C1377)</f>
        <v>912</v>
      </c>
      <c r="D1379" s="61"/>
      <c r="E1379" s="61"/>
      <c r="F1379" s="61"/>
      <c r="G1379" s="61"/>
      <c r="H1379" s="61"/>
      <c r="I1379" s="62"/>
      <c r="J1379" s="61"/>
      <c r="K1379" s="61"/>
      <c r="L1379" s="63"/>
    </row>
    <row r="1380" spans="2:12" ht="15.75" thickBot="1">
      <c r="B1380" s="320" t="s">
        <v>59</v>
      </c>
      <c r="C1380" s="321"/>
      <c r="D1380" s="321"/>
      <c r="E1380" s="321"/>
      <c r="F1380" s="321"/>
      <c r="G1380" s="321"/>
      <c r="H1380" s="321"/>
      <c r="I1380" s="321"/>
      <c r="J1380" s="321"/>
      <c r="K1380" s="321"/>
      <c r="L1380" s="322"/>
    </row>
    <row r="1381" spans="2:12" ht="15.75" thickBot="1">
      <c r="B1381" s="26" t="s">
        <v>49</v>
      </c>
      <c r="C1381" s="27" t="s">
        <v>60</v>
      </c>
      <c r="D1381" s="27" t="s">
        <v>62</v>
      </c>
      <c r="E1381" s="27" t="s">
        <v>63</v>
      </c>
      <c r="F1381" s="27" t="s">
        <v>64</v>
      </c>
      <c r="G1381" s="27" t="s">
        <v>65</v>
      </c>
      <c r="H1381" s="27" t="s">
        <v>66</v>
      </c>
      <c r="I1381" s="27" t="s">
        <v>67</v>
      </c>
      <c r="J1381" s="27" t="s">
        <v>6</v>
      </c>
      <c r="K1381" s="27" t="s">
        <v>7</v>
      </c>
      <c r="L1381" s="28" t="s">
        <v>68</v>
      </c>
    </row>
    <row r="1382" spans="2:12">
      <c r="B1382" s="46" t="s">
        <v>8</v>
      </c>
      <c r="C1382" s="41">
        <f>COUNTIFS(B463:B1377,"&gt;"&amp;0,C463:C1377,"="&amp;B1382)</f>
        <v>228</v>
      </c>
      <c r="D1382" s="41">
        <f>COUNTIFS(B463:B1377,"&gt;="&amp;1,C463:C1377,B1382,K463:K1377,"&gt;="&amp;0,K463:K1377,"&lt;"&amp;50)</f>
        <v>152</v>
      </c>
      <c r="E1382" s="41">
        <f>COUNTIFS(B463:B1377,"&gt;="&amp;1,C463:C1377,B1382,K463:K1377,"&gt;="&amp;50,K463:K1377,"&lt;"&amp;500)</f>
        <v>4</v>
      </c>
      <c r="F1382" s="41">
        <f>COUNTIFS(B463:B1377,"&gt;="&amp;1,C463:C1377,B1382,K463:K1377,"&gt;="&amp;500)</f>
        <v>0</v>
      </c>
      <c r="G1382" s="41">
        <f>COUNTIFS(B463:B1377,"&gt;="&amp;1,C463:C1377,B1382,K463:K1377,"&gt;="&amp;0,I463:I1377,"&gt;"&amp;DATE(2021,1,1))</f>
        <v>89</v>
      </c>
      <c r="H1382" s="47">
        <f>IF(G1382=0,"-",(SUM(E1382,F1382)/G1382))</f>
        <v>4.49438202247191E-2</v>
      </c>
      <c r="I1382" s="41">
        <f>IF((COUNTIFS(B463:B1377,"&gt;="&amp;1,C463:C1377,"="&amp;B1382))&gt;228,228,(COUNTIFS(B463:B1377,"&gt;="&amp;1,C463:C1377,"="&amp;B1382)))</f>
        <v>228</v>
      </c>
      <c r="J1382" s="47">
        <f>IF(I1382=0,"-",(COUNTIFS(C463:C1377,"="&amp;B1382,I463:I1377,"&lt;="&amp;DATE(2024,12,31),K463:K1377,"&gt;="&amp;0)/I1382))</f>
        <v>0.39035087719298245</v>
      </c>
      <c r="K1382" s="47">
        <f>IF(I1382=0,"-",IF(J1382=1,"-",(COUNTIFS(B463:B1377,"&gt;"&amp;0,C463:C1377,"="&amp;B1382,I463:I1377,"&gt;"&amp;DATE(2024,12,31),K463:K1377,"&gt;="&amp;0)/(I1382-COUNTIFS(B463:B1377,"&gt;"&amp;0,C463:C1377,"="&amp;B1382,I463:I1377,"&lt;="&amp;DATE(2024,12,31),K463:K1377,"&gt;="&amp;0)))))</f>
        <v>0</v>
      </c>
      <c r="L1382" s="48">
        <f>IF(I1382=0,"-",G1382/I1382)</f>
        <v>0.39035087719298245</v>
      </c>
    </row>
    <row r="1383" spans="2:12">
      <c r="B1383" s="7" t="s">
        <v>9</v>
      </c>
      <c r="C1383" s="1">
        <f>COUNTIFS(B463:B1377,"&gt;"&amp;0,C463:C1377,"="&amp;B1383)</f>
        <v>228</v>
      </c>
      <c r="D1383" s="1">
        <f>COUNTIFS(B463:B1377,"&gt;="&amp;1,C463:C1377,B1383,K463:K1377,"&gt;="&amp;0,K463:K1377,"&lt;"&amp;50)</f>
        <v>0</v>
      </c>
      <c r="E1383" s="1">
        <f>COUNTIFS(B463:B1377,"&gt;="&amp;1,C463:C1377,B1383,K463:K1377,"&gt;="&amp;50,K463:K1377,"&lt;"&amp;500)</f>
        <v>0</v>
      </c>
      <c r="F1383" s="1">
        <f>COUNTIFS(B463:B1377,"&gt;="&amp;1,C463:C1377,B1383,K463:K1377,"&gt;="&amp;500)</f>
        <v>0</v>
      </c>
      <c r="G1383" s="1">
        <f>COUNTIFS(B463:B1377,"&gt;="&amp;1,C463:C1377,B1383,K463:K1377,"&gt;="&amp;0,I463:I1377,"&gt;"&amp;DATE(2021,1,1))</f>
        <v>0</v>
      </c>
      <c r="H1383" s="44" t="str">
        <f t="shared" ref="H1383:H1386" si="43">IF(G1383=0,"-",(SUM(E1383,F1383)/G1383))</f>
        <v>-</v>
      </c>
      <c r="I1383" s="1">
        <f>IF((COUNTIFS(B463:B1377,"&gt;="&amp;1,C463:C1377,"="&amp;B1383))&gt;228,228,(COUNTIFS(B463:B1377,"&gt;="&amp;1,C463:C1377,"="&amp;B1383)))</f>
        <v>228</v>
      </c>
      <c r="J1383" s="44">
        <f>IF(I1383=0,"-",(COUNTIFS(C463:C1377,"="&amp;B1383,I463:I1377,"&lt;="&amp;DATE(2024,12,31),K463:K1377,"&gt;="&amp;0)/I1383))</f>
        <v>0</v>
      </c>
      <c r="K1383" s="47">
        <f>IF(I1383=0,"-",IF(J1383=1,"-",(COUNTIFS(B463:B1377,"&gt;"&amp;0,C463:C1377,"="&amp;B1383,I463:I1377,"&gt;"&amp;DATE(2024,12,31),K463:K1377,"&gt;="&amp;0)/(I1383-COUNTIFS(B463:B1377,"&gt;"&amp;0,C463:C1377,"="&amp;B1383,I463:I1377,"&lt;="&amp;DATE(2024,12,31),K463:K1377,"&gt;="&amp;0)))))</f>
        <v>0</v>
      </c>
      <c r="L1383" s="45">
        <f t="shared" ref="L1383:L1386" si="44">IF(I1383=0,"-",G1383/I1383)</f>
        <v>0</v>
      </c>
    </row>
    <row r="1384" spans="2:12">
      <c r="B1384" s="7" t="s">
        <v>175</v>
      </c>
      <c r="C1384" s="1">
        <f>COUNTIFS(B463:B1377,"&gt;"&amp;0,C463:C1377,"="&amp;B1384)</f>
        <v>228</v>
      </c>
      <c r="D1384" s="1">
        <f>COUNTIFS(B463:B1377,"&gt;="&amp;1,C463:C1377,B1384,K463:K1377,"&gt;="&amp;0,K463:K1377,"&lt;"&amp;50)</f>
        <v>0</v>
      </c>
      <c r="E1384" s="1">
        <f>COUNTIFS(B463:B1377,"&gt;="&amp;1,C463:C1377,B1384,K463:K1377,"&gt;="&amp;50,K463:K1377,"&lt;"&amp;500)</f>
        <v>0</v>
      </c>
      <c r="F1384" s="1">
        <f>COUNTIFS(B463:B1377,"&gt;="&amp;1,C463:C1377,B1384,K463:K1377,"&gt;="&amp;500)</f>
        <v>0</v>
      </c>
      <c r="G1384" s="1">
        <f>COUNTIFS(B463:B1377,"&gt;="&amp;1,C463:C1377,B1384,K463:K1377,"&gt;="&amp;0,I463:I1377,"&gt;"&amp;DATE(2021,1,1))</f>
        <v>0</v>
      </c>
      <c r="H1384" s="44" t="str">
        <f t="shared" si="43"/>
        <v>-</v>
      </c>
      <c r="I1384" s="1">
        <f>IF((COUNTIFS(B463:B1377,"&gt;="&amp;1,C463:C1377,"="&amp;B1384))&gt;228,228,(COUNTIFS(B463:B1377,"&gt;="&amp;1,C463:C1377,"="&amp;B1384)))</f>
        <v>228</v>
      </c>
      <c r="J1384" s="44">
        <f>IF(I1384=0,"-",(COUNTIFS(C463:C1377,"="&amp;B1384,I463:I1377,"&lt;="&amp;DATE(2024,12,31),K463:K1377,"&gt;="&amp;0)/I1384))</f>
        <v>0</v>
      </c>
      <c r="K1384" s="47">
        <f>IF(I1384=0,"-",IF(J1384=1,"-",(COUNTIFS(B463:B1377,"&gt;"&amp;0,C463:C1377,"="&amp;B1384,I463:I1377,"&gt;"&amp;DATE(2024,12,31),K463:K1377,"&gt;="&amp;0)/(I1384-COUNTIFS(B463:B1377,"&gt;"&amp;0,C463:C1377,"="&amp;B1384,I463:I1377,"&lt;="&amp;DATE(2024,12,31),K463:K1377,"&gt;="&amp;0)))))</f>
        <v>0</v>
      </c>
      <c r="L1384" s="45">
        <f t="shared" si="44"/>
        <v>0</v>
      </c>
    </row>
    <row r="1385" spans="2:12">
      <c r="B1385" s="7" t="s">
        <v>69</v>
      </c>
      <c r="C1385" s="1">
        <f>COUNTIFS(B463:B1377,"&gt;"&amp;0,C463:C1377,"="&amp;B1385)</f>
        <v>228</v>
      </c>
      <c r="D1385" s="1">
        <f>COUNTIFS(B463:B1377,"&gt;="&amp;1,C463:C1377,B1385,K463:K1377,"&gt;="&amp;0,K463:K1377,"&lt;"&amp;50)</f>
        <v>0</v>
      </c>
      <c r="E1385" s="1">
        <f>COUNTIFS(B463:B1377,"&gt;="&amp;1,C463:C1377,B1385,K463:K1377,"&gt;="&amp;50,K463:K1377,"&lt;"&amp;500)</f>
        <v>0</v>
      </c>
      <c r="F1385" s="1">
        <f>COUNTIFS(B463:B1377,"&gt;="&amp;1,C463:C1377,B1385,K463:K1377,"&gt;="&amp;500)</f>
        <v>0</v>
      </c>
      <c r="G1385" s="1">
        <f>COUNTIFS(B463:B1377,"&gt;="&amp;1,C463:C1377,B1385,K463:K1377,"&gt;="&amp;0,I463:I1377,"&gt;"&amp;DATE(2021,1,1))</f>
        <v>0</v>
      </c>
      <c r="H1385" s="44" t="str">
        <f t="shared" si="43"/>
        <v>-</v>
      </c>
      <c r="I1385" s="1">
        <f>IF((COUNTIFS(B463:B1377,"&gt;="&amp;1,C463:C1377,"="&amp;B1385))&gt;228,228,(COUNTIFS(B463:B1377,"&gt;="&amp;1,C463:C1377,"="&amp;B1385)))</f>
        <v>228</v>
      </c>
      <c r="J1385" s="44">
        <f>IF(I1385=0,"-",(COUNTIFS(C463:C1377,"="&amp;B1385,I463:I1377,"&lt;="&amp;DATE(2024,12,31),K463:K1377,"&gt;="&amp;0)/I1385))</f>
        <v>0</v>
      </c>
      <c r="K1385" s="47">
        <f>IF(I1385=0,"-",IF(J1385=1,"-",(COUNTIFS(B463:B1377,"&gt;"&amp;0,C463:C1377,"="&amp;B1385,I463:I1377,"&gt;"&amp;DATE(2024,12,31),K463:K1377,"&gt;="&amp;0)/(I1385-COUNTIFS(B463:B1377,"&gt;"&amp;0,C463:C1377,"="&amp;B1385,I463:I1377,"&lt;="&amp;DATE(2024,12,31),K463:K1377,"&gt;="&amp;0)))))</f>
        <v>0</v>
      </c>
      <c r="L1385" s="45">
        <f t="shared" si="44"/>
        <v>0</v>
      </c>
    </row>
    <row r="1386" spans="2:12" ht="15.75" thickBot="1">
      <c r="B1386" s="49" t="s">
        <v>59</v>
      </c>
      <c r="C1386" s="50">
        <f>SUM(C1382:C1385)</f>
        <v>912</v>
      </c>
      <c r="D1386" s="50">
        <f>SUM(D1382:D1385)</f>
        <v>152</v>
      </c>
      <c r="E1386" s="50">
        <f>SUM(E1382:E1385)</f>
        <v>4</v>
      </c>
      <c r="F1386" s="50">
        <f>SUM(F1382:F1385)</f>
        <v>0</v>
      </c>
      <c r="G1386" s="50">
        <f>SUM(G1382:G1385)</f>
        <v>89</v>
      </c>
      <c r="H1386" s="51">
        <f t="shared" si="43"/>
        <v>4.49438202247191E-2</v>
      </c>
      <c r="I1386" s="50">
        <f>SUM(I1382:I1385)</f>
        <v>912</v>
      </c>
      <c r="J1386" s="51">
        <f>IF(I1386=0,"-",(COUNTIFS(I463:I1377,"&lt;="&amp;DATE(2024,12,31),K463:K1377,"&gt;="&amp;0)/I1386))</f>
        <v>9.7587719298245612E-2</v>
      </c>
      <c r="K1386" s="51">
        <f>IF(I1386=0,"-",IF(J1386=1,"-",(COUNTIFS(B463:B1377,"&gt;"&amp;0,I463:I1377,"&gt;"&amp;DATE(2024,12,31),K463:K1377,"&gt;="&amp;0)/(I1386-COUNTIFS(B463:B1377,"&gt;"&amp;0,I463:I1377,"&lt;="&amp;DATE(2024,12,31),K463:K1377,"&gt;="&amp;0)))))</f>
        <v>0</v>
      </c>
      <c r="L1386" s="52">
        <f t="shared" si="44"/>
        <v>9.7587719298245612E-2</v>
      </c>
    </row>
  </sheetData>
  <mergeCells count="13">
    <mergeCell ref="B461:L461"/>
    <mergeCell ref="B1380:L1380"/>
    <mergeCell ref="B81:L81"/>
    <mergeCell ref="B89:L89"/>
    <mergeCell ref="B343:L343"/>
    <mergeCell ref="B351:L351"/>
    <mergeCell ref="B453:L453"/>
    <mergeCell ref="B57:L57"/>
    <mergeCell ref="B1:L2"/>
    <mergeCell ref="B4:L4"/>
    <mergeCell ref="B9:L9"/>
    <mergeCell ref="B17:L17"/>
    <mergeCell ref="B49:L49"/>
  </mergeCells>
  <dataValidations count="3">
    <dataValidation type="list" allowBlank="1" showInputMessage="1" showErrorMessage="1" promptTitle="Selecionar a Sub-Família" sqref="C8:D8 C452 C342 C80 C48" xr:uid="{453F8B74-9C2A-4990-B56E-9A5D44D7CBA2}">
      <formula1>"Até 1988, Após 1988, Sem Info"</formula1>
    </dataValidation>
    <dataValidation type="list" allowBlank="1" showInputMessage="1" showErrorMessage="1" error="Dado Inserido errado" promptTitle="Selecionar a Sub-Família" sqref="C6:D7 C353:C451 C19:C47 C59:C79 C91:C341" xr:uid="{03DF3F0B-A292-4B94-A737-59FB44708429}">
      <formula1>$B$11:$B$13</formula1>
    </dataValidation>
    <dataValidation type="list" allowBlank="1" showInputMessage="1" showErrorMessage="1" sqref="C463:C690 C1150:C1377 C921:C1148 C692:C919" xr:uid="{59618405-5B83-455D-9ACF-0D0412EF39A3}">
      <formula1>$B$1382:$B$1385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9697-57AD-48D2-9A02-7752A5F2EFA9}">
  <dimension ref="B1:L1386"/>
  <sheetViews>
    <sheetView showGridLines="0" topLeftCell="A461" workbookViewId="0">
      <pane ySplit="2" topLeftCell="A468" activePane="bottomLeft" state="frozen"/>
      <selection pane="bottomLeft" activeCell="A463" sqref="A462:XFD463"/>
    </sheetView>
  </sheetViews>
  <sheetFormatPr defaultRowHeight="15" outlineLevelRow="2"/>
  <cols>
    <col min="2" max="2" width="12.7109375" bestFit="1" customWidth="1"/>
    <col min="3" max="3" width="16.85546875" customWidth="1"/>
    <col min="4" max="5" width="18.42578125" bestFit="1" customWidth="1"/>
    <col min="6" max="6" width="17.5703125" customWidth="1"/>
    <col min="7" max="8" width="17.7109375" bestFit="1" customWidth="1"/>
    <col min="9" max="9" width="17" bestFit="1" customWidth="1"/>
    <col min="10" max="10" width="14.7109375" bestFit="1" customWidth="1"/>
    <col min="11" max="11" width="11.85546875" bestFit="1" customWidth="1"/>
    <col min="12" max="12" width="19.5703125" bestFit="1" customWidth="1"/>
    <col min="13" max="13" width="17.28515625" bestFit="1" customWidth="1"/>
  </cols>
  <sheetData>
    <row r="1" spans="2:12">
      <c r="B1" s="310" t="s">
        <v>47</v>
      </c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2:12" ht="19.5" customHeight="1" thickBot="1">
      <c r="B2" s="347"/>
      <c r="C2" s="348"/>
      <c r="D2" s="348"/>
      <c r="E2" s="348"/>
      <c r="F2" s="348"/>
      <c r="G2" s="348"/>
      <c r="H2" s="348"/>
      <c r="I2" s="348"/>
      <c r="J2" s="348"/>
      <c r="K2" s="348"/>
      <c r="L2" s="349"/>
    </row>
    <row r="3" spans="2:12" ht="19.5" customHeight="1" thickBot="1"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ht="32.25" customHeight="1" thickBot="1">
      <c r="B4" s="320" t="str">
        <f>_xlfn.CONCAT("Transformadores de Rede Subterrânea",TEXT(IF(SUM(I11:I13)=0," ",(SUM(G11:G13)/SUM(I11:I13))), " 0,00%"))</f>
        <v xml:space="preserve">Transformadores de Rede Subterrânea </v>
      </c>
      <c r="C4" s="321"/>
      <c r="D4" s="321"/>
      <c r="E4" s="321"/>
      <c r="F4" s="321"/>
      <c r="G4" s="321"/>
      <c r="H4" s="321"/>
      <c r="I4" s="321"/>
      <c r="J4" s="321"/>
      <c r="K4" s="321"/>
      <c r="L4" s="322"/>
    </row>
    <row r="5" spans="2:12" ht="24" hidden="1" customHeight="1" outlineLevel="1" thickBot="1">
      <c r="B5" s="26" t="s">
        <v>48</v>
      </c>
      <c r="C5" s="27" t="s">
        <v>49</v>
      </c>
      <c r="D5" s="27" t="s">
        <v>50</v>
      </c>
      <c r="E5" s="27" t="s">
        <v>51</v>
      </c>
      <c r="F5" s="27" t="s">
        <v>52</v>
      </c>
      <c r="G5" s="27" t="s">
        <v>53</v>
      </c>
      <c r="H5" s="27" t="s">
        <v>54</v>
      </c>
      <c r="I5" s="27" t="s">
        <v>55</v>
      </c>
      <c r="J5" s="27" t="s">
        <v>56</v>
      </c>
      <c r="K5" s="27" t="s">
        <v>57</v>
      </c>
      <c r="L5" s="28" t="s">
        <v>58</v>
      </c>
    </row>
    <row r="6" spans="2:12" ht="15.75" hidden="1" outlineLevel="1" thickBot="1">
      <c r="B6" s="40" t="str">
        <f>IF(C6="","",ROW($A$1))</f>
        <v/>
      </c>
      <c r="C6" s="41"/>
      <c r="D6" s="41"/>
      <c r="E6" s="41"/>
      <c r="F6" s="41"/>
      <c r="G6" s="41"/>
      <c r="H6" s="41"/>
      <c r="I6" s="42"/>
      <c r="J6" s="41"/>
      <c r="K6" s="41"/>
      <c r="L6" s="43"/>
    </row>
    <row r="7" spans="2:12" ht="15.75" hidden="1" outlineLevel="1" thickBot="1">
      <c r="B7" s="35" t="str">
        <f>IF(B6="","",(B6+1))</f>
        <v/>
      </c>
      <c r="C7" s="1"/>
      <c r="D7" s="1"/>
      <c r="E7" s="1"/>
      <c r="F7" s="1"/>
      <c r="G7" s="1"/>
      <c r="H7" s="1"/>
      <c r="I7" s="36"/>
      <c r="J7" s="1"/>
      <c r="K7" s="1"/>
      <c r="L7" s="2"/>
    </row>
    <row r="8" spans="2:12" ht="15.75" hidden="1" outlineLevel="1" thickBot="1">
      <c r="B8" s="37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2:12" ht="26.25" customHeight="1" collapsed="1" thickBot="1">
      <c r="B9" s="320" t="s">
        <v>59</v>
      </c>
      <c r="C9" s="321"/>
      <c r="D9" s="321"/>
      <c r="E9" s="321"/>
      <c r="F9" s="321"/>
      <c r="G9" s="321"/>
      <c r="H9" s="321"/>
      <c r="I9" s="321"/>
      <c r="J9" s="321"/>
      <c r="K9" s="321"/>
      <c r="L9" s="322"/>
    </row>
    <row r="10" spans="2:12" ht="24" customHeight="1" thickBot="1">
      <c r="B10" s="26" t="s">
        <v>49</v>
      </c>
      <c r="C10" s="27" t="s">
        <v>60</v>
      </c>
      <c r="D10" s="27" t="s">
        <v>62</v>
      </c>
      <c r="E10" s="27" t="s">
        <v>63</v>
      </c>
      <c r="F10" s="27" t="s">
        <v>64</v>
      </c>
      <c r="G10" s="27" t="s">
        <v>65</v>
      </c>
      <c r="H10" s="27" t="s">
        <v>66</v>
      </c>
      <c r="I10" s="27" t="s">
        <v>67</v>
      </c>
      <c r="J10" s="27" t="s">
        <v>6</v>
      </c>
      <c r="K10" s="27" t="s">
        <v>7</v>
      </c>
      <c r="L10" s="28" t="s">
        <v>68</v>
      </c>
    </row>
    <row r="11" spans="2:12">
      <c r="B11" s="46" t="s">
        <v>8</v>
      </c>
      <c r="C11" s="41">
        <f>COUNTIFS(B6:B8,"&gt;"&amp;0,C6:C8,"="&amp;B11)</f>
        <v>0</v>
      </c>
      <c r="D11" s="41">
        <f>COUNTIFS(B6:B8,"&gt;="&amp;1,C6:C8,B11,K6:K8,"&gt;="&amp;0,K6:K8,"&lt;"&amp;50)</f>
        <v>0</v>
      </c>
      <c r="E11" s="41">
        <f>COUNTIFS(B6:B8,"&gt;="&amp;1,C6:C8,B11,K6:K8,"&gt;="&amp;50,K6:K8,"&lt;"&amp;500)</f>
        <v>0</v>
      </c>
      <c r="F11" s="41">
        <f>COUNTIFS(B6:B8,"&gt;="&amp;1,C6:C8,B11,K6:K8,"&gt;="&amp;500)</f>
        <v>0</v>
      </c>
      <c r="G11" s="41">
        <f>COUNTIFS(B6:B8,"&gt;="&amp;1,C6:C8,B11,K6:K8,"&gt;="&amp;0,I6:I8,"&gt;"&amp;DATE(2021,1,1))</f>
        <v>0</v>
      </c>
      <c r="H11" s="47" t="str">
        <f>IF(G11=0,"-",(SUM(E11,F11)/G11))</f>
        <v>-</v>
      </c>
      <c r="I11" s="41">
        <f>IF((COUNTIFS(B6:B8,"&gt;="&amp;1,C6:C8,"="&amp;B11))&gt;228,228,(COUNTIFS(B6:B8,"&gt;="&amp;1,C6:C8,"="&amp;B11)))</f>
        <v>0</v>
      </c>
      <c r="J11" s="47" t="str">
        <f>IF(I11=0,"-",(COUNTIFS(C6:C8,"="&amp;B11,I6:I8,"&lt;="&amp;DATE(2024,12,31),K6:K8,"&gt;="&amp;0)/I11))</f>
        <v>-</v>
      </c>
      <c r="K11" s="47" t="str">
        <f>IF(I11=0,"-",IF(J11=1,"-",(COUNTIFS(B6:B8,"&gt;"&amp;0,C6:C8,"="&amp;B11,I6:I8,"&gt;"&amp;DATE(2024,12,31),K6:K8,"&gt;="&amp;0)/(I11-COUNTIFS(B6:B8,"&gt;"&amp;0,C6:C8,"="&amp;B11,I6:I8,"&lt;="&amp;DATE(2024,12,31),K6:K8,"&gt;="&amp;0)))))</f>
        <v>-</v>
      </c>
      <c r="L11" s="48" t="str">
        <f>IF(I11=0,"-",G11/I11)</f>
        <v>-</v>
      </c>
    </row>
    <row r="12" spans="2:12">
      <c r="B12" s="7" t="s">
        <v>9</v>
      </c>
      <c r="C12" s="1">
        <f>COUNTIFS(B6:B8,"&gt;"&amp;0,C6:C8,"="&amp;B12)</f>
        <v>0</v>
      </c>
      <c r="D12" s="1">
        <f>COUNTIFS(B6:B8,"&gt;="&amp;1,C6:C8,B12,K6:K8,"&gt;="&amp;0,K6:K8,"&lt;"&amp;50)</f>
        <v>0</v>
      </c>
      <c r="E12" s="1">
        <f>COUNTIFS(B6:B8,"&gt;="&amp;1,C6:C8,B12,K6:K8,"&gt;="&amp;50,K6:K8,"&lt;"&amp;500)</f>
        <v>0</v>
      </c>
      <c r="F12" s="1">
        <f>COUNTIFS(B6:B8,"&gt;="&amp;1,C6:C8,B12,K6:K8,"&gt;="&amp;500)</f>
        <v>0</v>
      </c>
      <c r="G12" s="1">
        <f>COUNTIFS(B6:B8,"&gt;="&amp;1,C6:C8,B12,K6:K8,"&gt;="&amp;0,I6:I8,"&gt;"&amp;DATE(2021,1,1))</f>
        <v>0</v>
      </c>
      <c r="H12" s="44" t="str">
        <f t="shared" ref="H12:H14" si="0">IF(G12=0,"-",(SUM(E12,F12)/G12))</f>
        <v>-</v>
      </c>
      <c r="I12" s="1">
        <f>IF((COUNTIFS(B6:B8,"&gt;="&amp;1,C6:C8,"="&amp;B12))&gt;228,228,(COUNTIFS(B6:B8,"&gt;="&amp;1,C6:C8,"="&amp;B12)))</f>
        <v>0</v>
      </c>
      <c r="J12" s="44" t="str">
        <f>IF(I12=0,"-",(COUNTIFS(C6:C8,"="&amp;B12,I6:I8,"&lt;="&amp;DATE(2024,12,31),K6:K8,"&gt;="&amp;0)/I12))</f>
        <v>-</v>
      </c>
      <c r="K12" s="47" t="str">
        <f>IF(I12=0,"-",IF(J12=1,"-",(COUNTIFS(B6:B8,"&gt;"&amp;0,C6:C8,"="&amp;B12,I6:I8,"&gt;"&amp;DATE(2024,12,31),K6:K8,"&gt;="&amp;0)/(I12-COUNTIFS(B6:B8,"&gt;"&amp;0,C6:C8,"="&amp;B12,I6:I8,"&lt;="&amp;DATE(2024,12,31),K6:K8,"&gt;="&amp;0)))))</f>
        <v>-</v>
      </c>
      <c r="L12" s="45" t="str">
        <f t="shared" ref="L12:L14" si="1">IF(I12=0,"-",G12/I12)</f>
        <v>-</v>
      </c>
    </row>
    <row r="13" spans="2:12">
      <c r="B13" s="7" t="s">
        <v>69</v>
      </c>
      <c r="C13" s="1">
        <f>COUNTIFS(B6:B8,"&gt;"&amp;0,C6:C8,"="&amp;B13)</f>
        <v>0</v>
      </c>
      <c r="D13" s="1">
        <f>COUNTIFS(B6:B8,"&gt;="&amp;1,C6:C8,B13,K6:K8,"&gt;="&amp;0,K6:K8,"&lt;"&amp;50)</f>
        <v>0</v>
      </c>
      <c r="E13" s="1">
        <f>COUNTIFS(B6:B8,"&gt;="&amp;1,C6:C8,B13,K6:K8,"&gt;="&amp;50,K6:K8,"&lt;"&amp;500)</f>
        <v>0</v>
      </c>
      <c r="F13" s="1">
        <f>COUNTIFS(B6:B7,"&gt;="&amp;1,C6:C7,B13,K6:K7,"&gt;="&amp;500)</f>
        <v>0</v>
      </c>
      <c r="G13" s="1">
        <f>COUNTIFS(B6:B8,"&gt;="&amp;1,C6:C8,B13,K6:K8,"&gt;="&amp;0,I6:I8,"&gt;"&amp;DATE(2021,1,1))</f>
        <v>0</v>
      </c>
      <c r="H13" s="44" t="str">
        <f t="shared" si="0"/>
        <v>-</v>
      </c>
      <c r="I13" s="1">
        <f>IF((COUNTIFS(B6:B7,"&gt;="&amp;1,C6:C7,"="&amp;B13))&gt;228,228,(COUNTIFS(B6:B7,"&gt;="&amp;1,C6:C7,"="&amp;B13)))</f>
        <v>0</v>
      </c>
      <c r="J13" s="44" t="str">
        <f>IF(I13=0,"-",(COUNTIFS(C6:C8,"="&amp;B13,I6:I8,"&lt;="&amp;DATE(2024,12,31),K6:K8,"&gt;="&amp;0)/I13))</f>
        <v>-</v>
      </c>
      <c r="K13" s="47" t="str">
        <f>IF(I13=0,"-",IF(J13=1,"-",(COUNTIFS(B6:B8,"&gt;"&amp;0,C6:C8,"="&amp;B13,I6:I8,"&gt;"&amp;DATE(2024,12,31),K6:K8,"&gt;="&amp;0)/(I13-COUNTIFS(B6:B8,"&gt;"&amp;0,C6:C8,"="&amp;B13,I6:I8,"&lt;="&amp;DATE(2024,12,31),K6:K8,"&gt;="&amp;0)))))</f>
        <v>-</v>
      </c>
      <c r="L13" s="45" t="str">
        <f t="shared" si="1"/>
        <v>-</v>
      </c>
    </row>
    <row r="14" spans="2:12" ht="23.25" customHeight="1" thickBot="1">
      <c r="B14" s="49" t="s">
        <v>59</v>
      </c>
      <c r="C14" s="50">
        <f>SUM(C11:C13)</f>
        <v>0</v>
      </c>
      <c r="D14" s="50">
        <f>SUM(D11:D13)</f>
        <v>0</v>
      </c>
      <c r="E14" s="50">
        <f>SUM(E11:E13)</f>
        <v>0</v>
      </c>
      <c r="F14" s="50">
        <f>SUM(F11:F13)</f>
        <v>0</v>
      </c>
      <c r="G14" s="50">
        <f>SUM(G11:G13)</f>
        <v>0</v>
      </c>
      <c r="H14" s="51" t="str">
        <f t="shared" si="0"/>
        <v>-</v>
      </c>
      <c r="I14" s="50">
        <f>SUM(I11:I13)</f>
        <v>0</v>
      </c>
      <c r="J14" s="51" t="str">
        <f>IF(I14=0,"-",(COUNTIFS(I6:I8,"&lt;="&amp;DATE(2024,12,31),K6:K8,"&gt;="&amp;0)/I14))</f>
        <v>-</v>
      </c>
      <c r="K14" s="51" t="str">
        <f>IF(I14=0,"-",IF(J14=1,"-",(COUNTIFS(B6:B8,"&gt;"&amp;0,I6:I8,"&gt;"&amp;DATE(2024,12,31),K6:K8,"&gt;="&amp;0)/(I14-COUNTIFS(B6:B8,"&gt;"&amp;0,I6:I8,"&lt;="&amp;DATE(2024,12,31),K6:K8,"&gt;="&amp;0)))))</f>
        <v>-</v>
      </c>
      <c r="L14" s="52" t="str">
        <f t="shared" si="1"/>
        <v>-</v>
      </c>
    </row>
    <row r="16" spans="2:12" ht="15.75" thickBot="1"/>
    <row r="17" spans="2:12" ht="32.25" customHeight="1" thickBot="1">
      <c r="B17" s="320" t="str">
        <f>_xlfn.CONCAT("Disjuntores com extinção de arco OMI (PVO e GVO)",TEXT(IF(SUM(I51:I53)=0," ",(SUM(G51:G53)/SUM(I51:I53))), " 0,00%"))</f>
        <v xml:space="preserve">Disjuntores com extinção de arco OMI (PVO e GVO) </v>
      </c>
      <c r="C17" s="321"/>
      <c r="D17" s="321"/>
      <c r="E17" s="321"/>
      <c r="F17" s="321"/>
      <c r="G17" s="321"/>
      <c r="H17" s="321"/>
      <c r="I17" s="321"/>
      <c r="J17" s="321"/>
      <c r="K17" s="321"/>
      <c r="L17" s="322"/>
    </row>
    <row r="18" spans="2:12" ht="24" hidden="1" customHeight="1" outlineLevel="1" thickBot="1">
      <c r="B18" s="26" t="s">
        <v>48</v>
      </c>
      <c r="C18" s="27" t="s">
        <v>49</v>
      </c>
      <c r="D18" s="27" t="s">
        <v>50</v>
      </c>
      <c r="E18" s="27" t="s">
        <v>51</v>
      </c>
      <c r="F18" s="27" t="s">
        <v>52</v>
      </c>
      <c r="G18" s="27" t="s">
        <v>53</v>
      </c>
      <c r="H18" s="27" t="s">
        <v>54</v>
      </c>
      <c r="I18" s="27" t="s">
        <v>55</v>
      </c>
      <c r="J18" s="27" t="s">
        <v>56</v>
      </c>
      <c r="K18" s="27" t="s">
        <v>57</v>
      </c>
      <c r="L18" s="28" t="s">
        <v>58</v>
      </c>
    </row>
    <row r="19" spans="2:12" hidden="1" outlineLevel="1">
      <c r="B19" s="46" t="str">
        <f>IF(C19="","",ROW($A$1))</f>
        <v/>
      </c>
      <c r="C19" s="41"/>
      <c r="D19" s="41"/>
      <c r="E19" s="41"/>
      <c r="F19" s="41"/>
      <c r="G19" s="41"/>
      <c r="H19" s="41"/>
      <c r="I19" s="42"/>
      <c r="J19" s="41"/>
      <c r="K19" s="41"/>
      <c r="L19" s="43"/>
    </row>
    <row r="20" spans="2:12" hidden="1" outlineLevel="1">
      <c r="B20" s="46" t="str">
        <f>IF(C20="","",B19+1)</f>
        <v/>
      </c>
      <c r="C20" s="41"/>
      <c r="D20" s="41"/>
      <c r="E20" s="41"/>
      <c r="F20" s="41"/>
      <c r="G20" s="41"/>
      <c r="H20" s="41"/>
      <c r="I20" s="42"/>
      <c r="J20" s="41"/>
      <c r="K20" s="41"/>
      <c r="L20" s="43"/>
    </row>
    <row r="21" spans="2:12" hidden="1" outlineLevel="1">
      <c r="B21" s="46" t="str">
        <f t="shared" ref="B21:B48" si="2">IF(C21="","",B20+1)</f>
        <v/>
      </c>
      <c r="C21" s="41"/>
      <c r="D21" s="41"/>
      <c r="E21" s="41"/>
      <c r="F21" s="41"/>
      <c r="G21" s="41"/>
      <c r="H21" s="41"/>
      <c r="I21" s="42"/>
      <c r="J21" s="41"/>
      <c r="K21" s="41"/>
      <c r="L21" s="43"/>
    </row>
    <row r="22" spans="2:12" hidden="1" outlineLevel="1">
      <c r="B22" s="46" t="str">
        <f t="shared" si="2"/>
        <v/>
      </c>
      <c r="C22" s="41"/>
      <c r="D22" s="41"/>
      <c r="E22" s="41"/>
      <c r="F22" s="41"/>
      <c r="G22" s="41"/>
      <c r="H22" s="41"/>
      <c r="I22" s="42"/>
      <c r="J22" s="41"/>
      <c r="K22" s="41"/>
      <c r="L22" s="43"/>
    </row>
    <row r="23" spans="2:12" hidden="1" outlineLevel="1">
      <c r="B23" s="46" t="str">
        <f t="shared" si="2"/>
        <v/>
      </c>
      <c r="C23" s="41"/>
      <c r="D23" s="41"/>
      <c r="E23" s="41"/>
      <c r="F23" s="41"/>
      <c r="G23" s="41"/>
      <c r="H23" s="41"/>
      <c r="I23" s="42"/>
      <c r="J23" s="41"/>
      <c r="K23" s="41"/>
      <c r="L23" s="43"/>
    </row>
    <row r="24" spans="2:12" hidden="1" outlineLevel="1">
      <c r="B24" s="46" t="str">
        <f t="shared" si="2"/>
        <v/>
      </c>
      <c r="C24" s="41"/>
      <c r="D24" s="41"/>
      <c r="E24" s="41"/>
      <c r="F24" s="41"/>
      <c r="G24" s="41"/>
      <c r="H24" s="41"/>
      <c r="I24" s="42"/>
      <c r="J24" s="41"/>
      <c r="K24" s="41"/>
      <c r="L24" s="43"/>
    </row>
    <row r="25" spans="2:12" hidden="1" outlineLevel="1">
      <c r="B25" s="46" t="str">
        <f t="shared" si="2"/>
        <v/>
      </c>
      <c r="C25" s="41"/>
      <c r="D25" s="41"/>
      <c r="E25" s="41"/>
      <c r="F25" s="41"/>
      <c r="G25" s="41"/>
      <c r="H25" s="41"/>
      <c r="I25" s="42"/>
      <c r="J25" s="41"/>
      <c r="K25" s="41"/>
      <c r="L25" s="43"/>
    </row>
    <row r="26" spans="2:12" hidden="1" outlineLevel="1">
      <c r="B26" s="46" t="str">
        <f t="shared" si="2"/>
        <v/>
      </c>
      <c r="C26" s="41"/>
      <c r="D26" s="41"/>
      <c r="E26" s="41"/>
      <c r="F26" s="41"/>
      <c r="G26" s="41"/>
      <c r="H26" s="41"/>
      <c r="I26" s="42"/>
      <c r="J26" s="41"/>
      <c r="K26" s="41"/>
      <c r="L26" s="43"/>
    </row>
    <row r="27" spans="2:12" hidden="1" outlineLevel="1">
      <c r="B27" s="46" t="str">
        <f t="shared" si="2"/>
        <v/>
      </c>
      <c r="C27" s="41"/>
      <c r="D27" s="41"/>
      <c r="E27" s="41"/>
      <c r="F27" s="41"/>
      <c r="G27" s="41"/>
      <c r="H27" s="41"/>
      <c r="I27" s="42"/>
      <c r="J27" s="41"/>
      <c r="K27" s="41"/>
      <c r="L27" s="43"/>
    </row>
    <row r="28" spans="2:12" hidden="1" outlineLevel="1">
      <c r="B28" s="46" t="str">
        <f t="shared" si="2"/>
        <v/>
      </c>
      <c r="C28" s="41"/>
      <c r="D28" s="41"/>
      <c r="E28" s="41"/>
      <c r="F28" s="41"/>
      <c r="G28" s="41"/>
      <c r="H28" s="41"/>
      <c r="I28" s="42"/>
      <c r="J28" s="41"/>
      <c r="K28" s="41"/>
      <c r="L28" s="43"/>
    </row>
    <row r="29" spans="2:12" hidden="1" outlineLevel="1">
      <c r="B29" s="46" t="str">
        <f t="shared" si="2"/>
        <v/>
      </c>
      <c r="C29" s="41"/>
      <c r="D29" s="41"/>
      <c r="E29" s="41"/>
      <c r="F29" s="41"/>
      <c r="G29" s="41"/>
      <c r="H29" s="41"/>
      <c r="I29" s="42"/>
      <c r="J29" s="41"/>
      <c r="K29" s="41"/>
      <c r="L29" s="43"/>
    </row>
    <row r="30" spans="2:12" hidden="1" outlineLevel="1">
      <c r="B30" s="46" t="str">
        <f t="shared" si="2"/>
        <v/>
      </c>
      <c r="C30" s="41"/>
      <c r="D30" s="41"/>
      <c r="E30" s="41"/>
      <c r="F30" s="41"/>
      <c r="G30" s="41"/>
      <c r="H30" s="41"/>
      <c r="I30" s="42"/>
      <c r="J30" s="41"/>
      <c r="K30" s="41"/>
      <c r="L30" s="43"/>
    </row>
    <row r="31" spans="2:12" hidden="1" outlineLevel="1">
      <c r="B31" s="46" t="str">
        <f t="shared" si="2"/>
        <v/>
      </c>
      <c r="C31" s="41"/>
      <c r="D31" s="41"/>
      <c r="E31" s="41"/>
      <c r="F31" s="41"/>
      <c r="G31" s="41"/>
      <c r="H31" s="41"/>
      <c r="I31" s="42"/>
      <c r="J31" s="41"/>
      <c r="K31" s="41"/>
      <c r="L31" s="43"/>
    </row>
    <row r="32" spans="2:12" hidden="1" outlineLevel="1">
      <c r="B32" s="46" t="str">
        <f t="shared" si="2"/>
        <v/>
      </c>
      <c r="C32" s="41"/>
      <c r="D32" s="41"/>
      <c r="E32" s="41"/>
      <c r="F32" s="41"/>
      <c r="G32" s="41"/>
      <c r="H32" s="41"/>
      <c r="I32" s="42"/>
      <c r="J32" s="41"/>
      <c r="K32" s="41"/>
      <c r="L32" s="43"/>
    </row>
    <row r="33" spans="2:12" hidden="1" outlineLevel="1">
      <c r="B33" s="46" t="str">
        <f t="shared" si="2"/>
        <v/>
      </c>
      <c r="C33" s="41"/>
      <c r="D33" s="41"/>
      <c r="E33" s="41"/>
      <c r="F33" s="41"/>
      <c r="G33" s="41"/>
      <c r="H33" s="41"/>
      <c r="I33" s="42"/>
      <c r="J33" s="41"/>
      <c r="K33" s="41"/>
      <c r="L33" s="43"/>
    </row>
    <row r="34" spans="2:12" hidden="1" outlineLevel="1">
      <c r="B34" s="46" t="str">
        <f t="shared" si="2"/>
        <v/>
      </c>
      <c r="C34" s="41"/>
      <c r="D34" s="41"/>
      <c r="E34" s="41"/>
      <c r="F34" s="41"/>
      <c r="G34" s="41"/>
      <c r="H34" s="41"/>
      <c r="I34" s="42"/>
      <c r="J34" s="41"/>
      <c r="K34" s="41"/>
      <c r="L34" s="43"/>
    </row>
    <row r="35" spans="2:12" hidden="1" outlineLevel="1">
      <c r="B35" s="46" t="str">
        <f t="shared" si="2"/>
        <v/>
      </c>
      <c r="C35" s="41"/>
      <c r="D35" s="41"/>
      <c r="E35" s="41"/>
      <c r="F35" s="41"/>
      <c r="G35" s="41"/>
      <c r="H35" s="41"/>
      <c r="I35" s="42"/>
      <c r="J35" s="41"/>
      <c r="K35" s="41"/>
      <c r="L35" s="43"/>
    </row>
    <row r="36" spans="2:12" hidden="1" outlineLevel="1">
      <c r="B36" s="46" t="str">
        <f t="shared" si="2"/>
        <v/>
      </c>
      <c r="C36" s="41"/>
      <c r="D36" s="41"/>
      <c r="E36" s="41"/>
      <c r="F36" s="41"/>
      <c r="G36" s="41"/>
      <c r="H36" s="41"/>
      <c r="I36" s="42"/>
      <c r="J36" s="41"/>
      <c r="K36" s="41"/>
      <c r="L36" s="43"/>
    </row>
    <row r="37" spans="2:12" hidden="1" outlineLevel="1">
      <c r="B37" s="46" t="str">
        <f t="shared" si="2"/>
        <v/>
      </c>
      <c r="C37" s="41"/>
      <c r="D37" s="41"/>
      <c r="E37" s="41"/>
      <c r="F37" s="41"/>
      <c r="G37" s="41"/>
      <c r="H37" s="41"/>
      <c r="I37" s="42"/>
      <c r="J37" s="41"/>
      <c r="K37" s="41"/>
      <c r="L37" s="43"/>
    </row>
    <row r="38" spans="2:12" hidden="1" outlineLevel="1">
      <c r="B38" s="46" t="str">
        <f t="shared" si="2"/>
        <v/>
      </c>
      <c r="C38" s="41"/>
      <c r="D38" s="41"/>
      <c r="E38" s="41"/>
      <c r="F38" s="41"/>
      <c r="G38" s="41"/>
      <c r="H38" s="41"/>
      <c r="I38" s="42"/>
      <c r="J38" s="41"/>
      <c r="K38" s="41"/>
      <c r="L38" s="43"/>
    </row>
    <row r="39" spans="2:12" hidden="1" outlineLevel="1">
      <c r="B39" s="46" t="str">
        <f t="shared" si="2"/>
        <v/>
      </c>
      <c r="C39" s="41"/>
      <c r="D39" s="41"/>
      <c r="E39" s="41"/>
      <c r="F39" s="41"/>
      <c r="G39" s="41"/>
      <c r="H39" s="41"/>
      <c r="I39" s="42"/>
      <c r="J39" s="41"/>
      <c r="K39" s="41"/>
      <c r="L39" s="43"/>
    </row>
    <row r="40" spans="2:12" hidden="1" outlineLevel="1">
      <c r="B40" s="46" t="str">
        <f t="shared" si="2"/>
        <v/>
      </c>
      <c r="C40" s="41"/>
      <c r="D40" s="41"/>
      <c r="E40" s="41"/>
      <c r="F40" s="41"/>
      <c r="G40" s="41"/>
      <c r="H40" s="41"/>
      <c r="I40" s="42"/>
      <c r="J40" s="41"/>
      <c r="K40" s="41"/>
      <c r="L40" s="43"/>
    </row>
    <row r="41" spans="2:12" hidden="1" outlineLevel="1">
      <c r="B41" s="46" t="str">
        <f t="shared" si="2"/>
        <v/>
      </c>
      <c r="C41" s="41"/>
      <c r="D41" s="41"/>
      <c r="E41" s="41"/>
      <c r="F41" s="41"/>
      <c r="G41" s="41"/>
      <c r="H41" s="41"/>
      <c r="I41" s="42"/>
      <c r="J41" s="41"/>
      <c r="K41" s="41"/>
      <c r="L41" s="43"/>
    </row>
    <row r="42" spans="2:12" hidden="1" outlineLevel="1">
      <c r="B42" s="46" t="str">
        <f t="shared" si="2"/>
        <v/>
      </c>
      <c r="C42" s="41"/>
      <c r="D42" s="41"/>
      <c r="E42" s="41"/>
      <c r="F42" s="41"/>
      <c r="G42" s="41"/>
      <c r="H42" s="41"/>
      <c r="I42" s="42"/>
      <c r="J42" s="41"/>
      <c r="K42" s="41"/>
      <c r="L42" s="43"/>
    </row>
    <row r="43" spans="2:12" hidden="1" outlineLevel="1">
      <c r="B43" s="46" t="str">
        <f t="shared" si="2"/>
        <v/>
      </c>
      <c r="C43" s="41"/>
      <c r="D43" s="41"/>
      <c r="E43" s="41"/>
      <c r="F43" s="41"/>
      <c r="G43" s="41"/>
      <c r="H43" s="41"/>
      <c r="I43" s="42"/>
      <c r="J43" s="41"/>
      <c r="K43" s="41"/>
      <c r="L43" s="43"/>
    </row>
    <row r="44" spans="2:12" hidden="1" outlineLevel="1">
      <c r="B44" s="46" t="str">
        <f t="shared" si="2"/>
        <v/>
      </c>
      <c r="C44" s="41"/>
      <c r="D44" s="41"/>
      <c r="E44" s="41"/>
      <c r="F44" s="41"/>
      <c r="G44" s="41"/>
      <c r="H44" s="41"/>
      <c r="I44" s="42"/>
      <c r="J44" s="41"/>
      <c r="K44" s="41"/>
      <c r="L44" s="43"/>
    </row>
    <row r="45" spans="2:12" hidden="1" outlineLevel="1">
      <c r="B45" s="46" t="str">
        <f t="shared" si="2"/>
        <v/>
      </c>
      <c r="C45" s="41"/>
      <c r="D45" s="41"/>
      <c r="E45" s="41"/>
      <c r="F45" s="41"/>
      <c r="G45" s="41"/>
      <c r="H45" s="41"/>
      <c r="I45" s="42"/>
      <c r="J45" s="41"/>
      <c r="K45" s="41"/>
      <c r="L45" s="43"/>
    </row>
    <row r="46" spans="2:12" hidden="1" outlineLevel="1">
      <c r="B46" s="46" t="str">
        <f t="shared" si="2"/>
        <v/>
      </c>
      <c r="C46" s="41"/>
      <c r="D46" s="41"/>
      <c r="E46" s="41"/>
      <c r="F46" s="41"/>
      <c r="G46" s="41"/>
      <c r="H46" s="41"/>
      <c r="I46" s="42"/>
      <c r="J46" s="41"/>
      <c r="K46" s="41"/>
      <c r="L46" s="43"/>
    </row>
    <row r="47" spans="2:12" hidden="1" outlineLevel="1">
      <c r="B47" s="46" t="str">
        <f t="shared" si="2"/>
        <v/>
      </c>
      <c r="C47" s="1"/>
      <c r="D47" s="1"/>
      <c r="E47" s="1"/>
      <c r="F47" s="1"/>
      <c r="G47" s="1"/>
      <c r="H47" s="1"/>
      <c r="I47" s="36"/>
      <c r="J47" s="1"/>
      <c r="K47" s="1"/>
      <c r="L47" s="2"/>
    </row>
    <row r="48" spans="2:12" ht="15.75" hidden="1" outlineLevel="1" thickBot="1">
      <c r="B48" s="56" t="str">
        <f t="shared" si="2"/>
        <v/>
      </c>
      <c r="C48" s="38"/>
      <c r="D48" s="38"/>
      <c r="E48" s="38"/>
      <c r="F48" s="38"/>
      <c r="G48" s="38"/>
      <c r="H48" s="38"/>
      <c r="I48" s="38"/>
      <c r="J48" s="38"/>
      <c r="K48" s="38"/>
      <c r="L48" s="39"/>
    </row>
    <row r="49" spans="2:12" ht="24" customHeight="1" collapsed="1" thickBot="1">
      <c r="B49" s="320" t="s">
        <v>59</v>
      </c>
      <c r="C49" s="321"/>
      <c r="D49" s="321"/>
      <c r="E49" s="321"/>
      <c r="F49" s="321"/>
      <c r="G49" s="321"/>
      <c r="H49" s="321"/>
      <c r="I49" s="321"/>
      <c r="J49" s="321"/>
      <c r="K49" s="321"/>
      <c r="L49" s="322"/>
    </row>
    <row r="50" spans="2:12" ht="24" customHeight="1" thickBot="1">
      <c r="B50" s="26" t="s">
        <v>49</v>
      </c>
      <c r="C50" s="27" t="s">
        <v>60</v>
      </c>
      <c r="D50" s="27" t="s">
        <v>62</v>
      </c>
      <c r="E50" s="27" t="s">
        <v>63</v>
      </c>
      <c r="F50" s="27" t="s">
        <v>64</v>
      </c>
      <c r="G50" s="27" t="s">
        <v>65</v>
      </c>
      <c r="H50" s="27" t="s">
        <v>66</v>
      </c>
      <c r="I50" s="27" t="s">
        <v>67</v>
      </c>
      <c r="J50" s="27" t="s">
        <v>6</v>
      </c>
      <c r="K50" s="27" t="s">
        <v>7</v>
      </c>
      <c r="L50" s="28" t="s">
        <v>68</v>
      </c>
    </row>
    <row r="51" spans="2:12">
      <c r="B51" s="46" t="s">
        <v>8</v>
      </c>
      <c r="C51" s="41">
        <f>COUNTIFS(B19:B48,"&gt;"&amp;0,C19:C48,"="&amp;B51)</f>
        <v>0</v>
      </c>
      <c r="D51" s="41">
        <f>COUNTIFS(B19:B48,"&gt;="&amp;1,C19:C48,B51,K19:K48,"&gt;="&amp;0,K19:K48,"&lt;"&amp;50)</f>
        <v>0</v>
      </c>
      <c r="E51" s="41">
        <f>COUNTIFS(B19:B48,"&gt;="&amp;1,C19:C48,B51,K19:K48,"&gt;="&amp;50,K19:K48,"&lt;"&amp;500)</f>
        <v>0</v>
      </c>
      <c r="F51" s="41">
        <f>COUNTIFS(B19:B48,"&gt;="&amp;1,C19:C48,B51,K19:K48,"&gt;="&amp;500)</f>
        <v>0</v>
      </c>
      <c r="G51" s="41">
        <f>COUNTIFS(B19:B48,"&gt;="&amp;1,C19:C48,B51,K19:K48,"&gt;="&amp;0,I19:I48,"&gt;"&amp;DATE(2021,1,1))</f>
        <v>0</v>
      </c>
      <c r="H51" s="47" t="str">
        <f>IF(G51=0,"-",(SUM(E51,F51)/G51))</f>
        <v>-</v>
      </c>
      <c r="I51" s="41">
        <f>IF((COUNTIFS(B19:B48,"&gt;="&amp;1,C19:C48,"="&amp;B51))&gt;228,228,(COUNTIFS(B19:B48,"&gt;="&amp;1,C19:C48,"="&amp;B51)))</f>
        <v>0</v>
      </c>
      <c r="J51" s="47" t="str">
        <f>IF(I51=0,"-",(COUNTIFS(C19:C48,"="&amp;B51,I19:I48,"&lt;="&amp;DATE(2024,12,31),K19:K48,"&gt;="&amp;0)/I51))</f>
        <v>-</v>
      </c>
      <c r="K51" s="47" t="str">
        <f>IF(I51=0,"-",IF(J51=1,"-",(COUNTIFS(B19:B48,"&gt;"&amp;0,C19:C48,"="&amp;B51,I19:I48,"&gt;"&amp;DATE(2024,12,31),K19:K48,"&gt;="&amp;0)/(I51-COUNTIFS(B19:B48,"&gt;"&amp;0,C19:C48,"="&amp;B51,I19:I48,"&lt;="&amp;DATE(2024,12,31),K19:K48,"&gt;="&amp;0)))))</f>
        <v>-</v>
      </c>
      <c r="L51" s="48" t="str">
        <f>IF(I51=0,"-",G51/I51)</f>
        <v>-</v>
      </c>
    </row>
    <row r="52" spans="2:12">
      <c r="B52" s="7" t="s">
        <v>9</v>
      </c>
      <c r="C52" s="1">
        <f>COUNTIFS(B19:B48,"&gt;"&amp;0,C19:C48,"="&amp;B52)</f>
        <v>0</v>
      </c>
      <c r="D52" s="1">
        <f>COUNTIFS(B19:B48,"&gt;="&amp;1,C19:C48,B52,K19:K48,"&gt;="&amp;0,K19:K48,"&lt;"&amp;50)</f>
        <v>0</v>
      </c>
      <c r="E52" s="1">
        <f>COUNTIFS(B19:B48,"&gt;="&amp;1,C19:C48,B52,K19:K48,"&gt;="&amp;50,K19:K48,"&lt;"&amp;500)</f>
        <v>0</v>
      </c>
      <c r="F52" s="1">
        <f>COUNTIFS(B19:B48,"&gt;="&amp;1,C19:C48,B52,K19:K48,"&gt;="&amp;500)</f>
        <v>0</v>
      </c>
      <c r="G52" s="1">
        <f>COUNTIFS(B19:B48,"&gt;="&amp;1,C19:C48,B52,K19:K48,"&gt;="&amp;0,I19:I48,"&gt;"&amp;DATE(2021,1,1))</f>
        <v>0</v>
      </c>
      <c r="H52" s="44" t="str">
        <f t="shared" ref="H52:H54" si="3">IF(G52=0,"-",(SUM(E52,F52)/G52))</f>
        <v>-</v>
      </c>
      <c r="I52" s="1">
        <f>IF((COUNTIFS(B19:B48,"&gt;="&amp;1,C19:C48,"="&amp;B52))&gt;228,228,(COUNTIFS(B19:B48,"&gt;="&amp;1,C19:C48,"="&amp;B52)))</f>
        <v>0</v>
      </c>
      <c r="J52" s="44" t="str">
        <f>IF(I52=0,"-",(COUNTIFS(C19:C48,"="&amp;B52,I19:I48,"&lt;="&amp;DATE(2024,12,31),K19:K48,"&gt;="&amp;0)/I52))</f>
        <v>-</v>
      </c>
      <c r="K52" s="47" t="str">
        <f>IF(I52=0,"-",IF(J52=1,"-",(COUNTIFS(B19:B48,"&gt;"&amp;0,C19:C48,"="&amp;B52,I19:I48,"&gt;"&amp;DATE(2024,12,31),K19:K48,"&gt;="&amp;0)/(I52-COUNTIFS(B19:B48,"&gt;"&amp;0,C19:C48,"="&amp;B52,I19:I48,"&lt;="&amp;DATE(2024,12,31),K19:K48,"&gt;="&amp;0)))))</f>
        <v>-</v>
      </c>
      <c r="L52" s="45" t="str">
        <f t="shared" ref="L52:L54" si="4">IF(I52=0,"-",G52/I52)</f>
        <v>-</v>
      </c>
    </row>
    <row r="53" spans="2:12">
      <c r="B53" s="7" t="s">
        <v>69</v>
      </c>
      <c r="C53" s="1">
        <f>COUNTIFS(B19:B48,"&gt;"&amp;0,C19:C48,"="&amp;B53)</f>
        <v>0</v>
      </c>
      <c r="D53" s="1">
        <f>COUNTIFS(B19:B48,"&gt;="&amp;1,C19:C48,B53,K19:K48,"&gt;="&amp;0,K19:K48,"&lt;"&amp;50)</f>
        <v>0</v>
      </c>
      <c r="E53" s="1">
        <f>COUNTIFS(B19:B48,"&gt;="&amp;1,C19:C48,B53,K19:K48,"&gt;="&amp;50,K19:K48,"&lt;"&amp;500)</f>
        <v>0</v>
      </c>
      <c r="F53" s="1">
        <f>COUNTIFS(B19:B47,"&gt;="&amp;1,C19:C47,B53,K19:K47,"&gt;="&amp;500)</f>
        <v>0</v>
      </c>
      <c r="G53" s="1">
        <f>COUNTIFS(B19:B48,"&gt;="&amp;1,C19:C48,B53,K19:K48,"&gt;="&amp;0,I19:I48,"&gt;"&amp;DATE(2021,1,1))</f>
        <v>0</v>
      </c>
      <c r="H53" s="44" t="str">
        <f t="shared" si="3"/>
        <v>-</v>
      </c>
      <c r="I53" s="1">
        <f>IF((COUNTIFS(B19:B47,"&gt;="&amp;1,C19:C47,"="&amp;B53))&gt;228,228,(COUNTIFS(B19:B47,"&gt;="&amp;1,C19:C47,"="&amp;B53)))</f>
        <v>0</v>
      </c>
      <c r="J53" s="44" t="str">
        <f>IF(I53=0,"-",(COUNTIFS(C19:C48,"="&amp;B53,I19:I48,"&lt;="&amp;DATE(2024,12,31),K19:K48,"&gt;="&amp;0)/I53))</f>
        <v>-</v>
      </c>
      <c r="K53" s="47" t="str">
        <f>IF(I53=0,"-",IF(J53=1,"-",(COUNTIFS(B19:B48,"&gt;"&amp;0,C19:C48,"="&amp;B53,I19:I48,"&gt;"&amp;DATE(2024,12,31),K19:K48,"&gt;="&amp;0)/(I53-COUNTIFS(B19:B48,"&gt;"&amp;0,C19:C48,"="&amp;B53,I19:I48,"&lt;="&amp;DATE(2024,12,31),K19:K48,"&gt;="&amp;0)))))</f>
        <v>-</v>
      </c>
      <c r="L53" s="45" t="str">
        <f t="shared" si="4"/>
        <v>-</v>
      </c>
    </row>
    <row r="54" spans="2:12" ht="24" customHeight="1" thickBot="1">
      <c r="B54" s="49" t="s">
        <v>59</v>
      </c>
      <c r="C54" s="50">
        <f>SUM(C51:C53)</f>
        <v>0</v>
      </c>
      <c r="D54" s="50">
        <f>SUM(D51:D53)</f>
        <v>0</v>
      </c>
      <c r="E54" s="50">
        <f>SUM(E51:E53)</f>
        <v>0</v>
      </c>
      <c r="F54" s="50">
        <f>SUM(F51:F53)</f>
        <v>0</v>
      </c>
      <c r="G54" s="50">
        <f>SUM(G51:G53)</f>
        <v>0</v>
      </c>
      <c r="H54" s="51" t="str">
        <f t="shared" si="3"/>
        <v>-</v>
      </c>
      <c r="I54" s="50">
        <f>SUM(I51:I53)</f>
        <v>0</v>
      </c>
      <c r="J54" s="51" t="str">
        <f>IF(I54=0,"-",(COUNTIFS(I19:I48,"&lt;="&amp;DATE(2024,12,31),K19:K48,"&gt;="&amp;0)/I54))</f>
        <v>-</v>
      </c>
      <c r="K54" s="51" t="str">
        <f>IF(I54=0,"-",IF(J54=1,"-",(COUNTIFS(B19:B48,"&gt;"&amp;0,I19:I48,"&gt;"&amp;DATE(2024,12,31),K19:K48,"&gt;="&amp;0)/(I54-COUNTIFS(B19:B48,"&gt;"&amp;0,I19:I48,"&lt;="&amp;DATE(2024,12,31),K19:K48,"&gt;="&amp;0)))))</f>
        <v>-</v>
      </c>
      <c r="L54" s="52" t="str">
        <f t="shared" si="4"/>
        <v>-</v>
      </c>
    </row>
    <row r="56" spans="2:12" ht="15.75" thickBot="1"/>
    <row r="57" spans="2:12" ht="32.25" customHeight="1" thickBot="1">
      <c r="B57" s="320" t="str">
        <f>_xlfn.CONCAT("Religadores",TEXT(IF(SUM(I83:I85)=0," ",(SUM(G83:G85)/SUM(I83:I85))), " 0,00%"))</f>
        <v xml:space="preserve">Religadores </v>
      </c>
      <c r="C57" s="321"/>
      <c r="D57" s="321"/>
      <c r="E57" s="321"/>
      <c r="F57" s="321"/>
      <c r="G57" s="321"/>
      <c r="H57" s="321"/>
      <c r="I57" s="321"/>
      <c r="J57" s="321"/>
      <c r="K57" s="321"/>
      <c r="L57" s="322"/>
    </row>
    <row r="58" spans="2:12" ht="24" hidden="1" customHeight="1" outlineLevel="1" thickBot="1">
      <c r="B58" s="26" t="s">
        <v>48</v>
      </c>
      <c r="C58" s="27" t="s">
        <v>49</v>
      </c>
      <c r="D58" s="27" t="s">
        <v>50</v>
      </c>
      <c r="E58" s="27" t="s">
        <v>51</v>
      </c>
      <c r="F58" s="27" t="s">
        <v>52</v>
      </c>
      <c r="G58" s="27" t="s">
        <v>53</v>
      </c>
      <c r="H58" s="27" t="s">
        <v>54</v>
      </c>
      <c r="I58" s="27" t="s">
        <v>55</v>
      </c>
      <c r="J58" s="27" t="s">
        <v>56</v>
      </c>
      <c r="K58" s="27" t="s">
        <v>57</v>
      </c>
      <c r="L58" s="28" t="s">
        <v>58</v>
      </c>
    </row>
    <row r="59" spans="2:12" hidden="1" outlineLevel="1">
      <c r="B59" s="46" t="str">
        <f>IF(C59="","",ROW($A$1))</f>
        <v/>
      </c>
      <c r="C59" s="41"/>
      <c r="D59" s="41"/>
      <c r="E59" s="41"/>
      <c r="F59" s="41"/>
      <c r="G59" s="41"/>
      <c r="H59" s="41"/>
      <c r="I59" s="42"/>
      <c r="J59" s="41"/>
      <c r="K59" s="41"/>
      <c r="L59" s="43"/>
    </row>
    <row r="60" spans="2:12" hidden="1" outlineLevel="1">
      <c r="B60" s="7" t="str">
        <f>IF(C60="","",(B59+1))</f>
        <v/>
      </c>
      <c r="C60" s="1"/>
      <c r="D60" s="41"/>
      <c r="E60" s="1"/>
      <c r="F60" s="1"/>
      <c r="G60" s="1"/>
      <c r="H60" s="1"/>
      <c r="I60" s="36"/>
      <c r="J60" s="1"/>
      <c r="K60" s="1"/>
      <c r="L60" s="2"/>
    </row>
    <row r="61" spans="2:12" hidden="1" outlineLevel="1">
      <c r="B61" s="7" t="str">
        <f t="shared" ref="B61:B80" si="5">IF(C61="","",(B60+1))</f>
        <v/>
      </c>
      <c r="C61" s="53"/>
      <c r="D61" s="41"/>
      <c r="E61" s="53"/>
      <c r="F61" s="53"/>
      <c r="G61" s="53"/>
      <c r="H61" s="53"/>
      <c r="I61" s="54"/>
      <c r="J61" s="53"/>
      <c r="K61" s="53"/>
      <c r="L61" s="55"/>
    </row>
    <row r="62" spans="2:12" hidden="1" outlineLevel="1">
      <c r="B62" s="7" t="str">
        <f t="shared" si="5"/>
        <v/>
      </c>
      <c r="C62" s="53"/>
      <c r="D62" s="41"/>
      <c r="E62" s="53"/>
      <c r="F62" s="53"/>
      <c r="G62" s="53"/>
      <c r="H62" s="53"/>
      <c r="I62" s="54"/>
      <c r="J62" s="53"/>
      <c r="K62" s="53"/>
      <c r="L62" s="55"/>
    </row>
    <row r="63" spans="2:12" hidden="1" outlineLevel="1">
      <c r="B63" s="7" t="str">
        <f t="shared" si="5"/>
        <v/>
      </c>
      <c r="C63" s="53"/>
      <c r="D63" s="41"/>
      <c r="E63" s="53"/>
      <c r="F63" s="53"/>
      <c r="G63" s="53"/>
      <c r="H63" s="53"/>
      <c r="I63" s="54"/>
      <c r="J63" s="53"/>
      <c r="K63" s="53"/>
      <c r="L63" s="55"/>
    </row>
    <row r="64" spans="2:12" hidden="1" outlineLevel="1">
      <c r="B64" s="7" t="str">
        <f t="shared" si="5"/>
        <v/>
      </c>
      <c r="C64" s="53"/>
      <c r="D64" s="41"/>
      <c r="E64" s="53"/>
      <c r="F64" s="53"/>
      <c r="G64" s="53"/>
      <c r="H64" s="53"/>
      <c r="I64" s="54"/>
      <c r="J64" s="53"/>
      <c r="K64" s="53"/>
      <c r="L64" s="55"/>
    </row>
    <row r="65" spans="2:12" hidden="1" outlineLevel="1">
      <c r="B65" s="7" t="str">
        <f t="shared" si="5"/>
        <v/>
      </c>
      <c r="C65" s="53"/>
      <c r="D65" s="41"/>
      <c r="E65" s="53"/>
      <c r="F65" s="53"/>
      <c r="G65" s="53"/>
      <c r="H65" s="53"/>
      <c r="I65" s="54"/>
      <c r="J65" s="53"/>
      <c r="K65" s="53"/>
      <c r="L65" s="55"/>
    </row>
    <row r="66" spans="2:12" hidden="1" outlineLevel="1">
      <c r="B66" s="7" t="str">
        <f t="shared" si="5"/>
        <v/>
      </c>
      <c r="C66" s="53"/>
      <c r="D66" s="41"/>
      <c r="E66" s="53"/>
      <c r="F66" s="53"/>
      <c r="G66" s="53"/>
      <c r="H66" s="53"/>
      <c r="I66" s="54"/>
      <c r="J66" s="53"/>
      <c r="K66" s="53"/>
      <c r="L66" s="55"/>
    </row>
    <row r="67" spans="2:12" hidden="1" outlineLevel="1">
      <c r="B67" s="7" t="str">
        <f t="shared" si="5"/>
        <v/>
      </c>
      <c r="C67" s="53"/>
      <c r="D67" s="41"/>
      <c r="E67" s="53"/>
      <c r="F67" s="53"/>
      <c r="G67" s="53"/>
      <c r="H67" s="53"/>
      <c r="I67" s="54"/>
      <c r="J67" s="53"/>
      <c r="K67" s="53"/>
      <c r="L67" s="55"/>
    </row>
    <row r="68" spans="2:12" hidden="1" outlineLevel="1">
      <c r="B68" s="7" t="str">
        <f t="shared" si="5"/>
        <v/>
      </c>
      <c r="C68" s="53"/>
      <c r="D68" s="41"/>
      <c r="E68" s="53"/>
      <c r="F68" s="53"/>
      <c r="G68" s="53"/>
      <c r="H68" s="53"/>
      <c r="I68" s="54"/>
      <c r="J68" s="53"/>
      <c r="K68" s="53"/>
      <c r="L68" s="55"/>
    </row>
    <row r="69" spans="2:12" hidden="1" outlineLevel="1">
      <c r="B69" s="7" t="str">
        <f t="shared" si="5"/>
        <v/>
      </c>
      <c r="C69" s="53"/>
      <c r="D69" s="41"/>
      <c r="E69" s="53"/>
      <c r="F69" s="53"/>
      <c r="G69" s="53"/>
      <c r="H69" s="53"/>
      <c r="I69" s="54"/>
      <c r="J69" s="53"/>
      <c r="K69" s="53"/>
      <c r="L69" s="55"/>
    </row>
    <row r="70" spans="2:12" hidden="1" outlineLevel="1">
      <c r="B70" s="7" t="str">
        <f t="shared" si="5"/>
        <v/>
      </c>
      <c r="C70" s="53"/>
      <c r="D70" s="41"/>
      <c r="E70" s="53"/>
      <c r="F70" s="53"/>
      <c r="G70" s="53"/>
      <c r="H70" s="53"/>
      <c r="I70" s="54"/>
      <c r="J70" s="53"/>
      <c r="K70" s="53"/>
      <c r="L70" s="55"/>
    </row>
    <row r="71" spans="2:12" hidden="1" outlineLevel="1">
      <c r="B71" s="7" t="str">
        <f t="shared" si="5"/>
        <v/>
      </c>
      <c r="C71" s="53"/>
      <c r="D71" s="41"/>
      <c r="E71" s="53"/>
      <c r="F71" s="53"/>
      <c r="G71" s="53"/>
      <c r="H71" s="53"/>
      <c r="I71" s="54"/>
      <c r="J71" s="53"/>
      <c r="K71" s="53"/>
      <c r="L71" s="55"/>
    </row>
    <row r="72" spans="2:12" hidden="1" outlineLevel="1">
      <c r="B72" s="7" t="str">
        <f t="shared" si="5"/>
        <v/>
      </c>
      <c r="C72" s="53"/>
      <c r="D72" s="41"/>
      <c r="E72" s="53"/>
      <c r="F72" s="53"/>
      <c r="G72" s="53"/>
      <c r="H72" s="53"/>
      <c r="I72" s="54"/>
      <c r="J72" s="53"/>
      <c r="K72" s="53"/>
      <c r="L72" s="55"/>
    </row>
    <row r="73" spans="2:12" hidden="1" outlineLevel="1">
      <c r="B73" s="7" t="str">
        <f t="shared" si="5"/>
        <v/>
      </c>
      <c r="C73" s="53"/>
      <c r="D73" s="41"/>
      <c r="E73" s="53"/>
      <c r="F73" s="53"/>
      <c r="G73" s="53"/>
      <c r="H73" s="53"/>
      <c r="I73" s="54"/>
      <c r="J73" s="53"/>
      <c r="K73" s="53"/>
      <c r="L73" s="55"/>
    </row>
    <row r="74" spans="2:12" hidden="1" outlineLevel="1">
      <c r="B74" s="7" t="str">
        <f t="shared" si="5"/>
        <v/>
      </c>
      <c r="C74" s="53"/>
      <c r="D74" s="41"/>
      <c r="E74" s="53"/>
      <c r="F74" s="53"/>
      <c r="G74" s="53"/>
      <c r="H74" s="53"/>
      <c r="I74" s="54"/>
      <c r="J74" s="53"/>
      <c r="K74" s="53"/>
      <c r="L74" s="55"/>
    </row>
    <row r="75" spans="2:12" hidden="1" outlineLevel="1">
      <c r="B75" s="7" t="str">
        <f>IF(C75="","",(B74+1))</f>
        <v/>
      </c>
      <c r="C75" s="53"/>
      <c r="D75" s="41"/>
      <c r="E75" s="53"/>
      <c r="F75" s="53"/>
      <c r="G75" s="53"/>
      <c r="H75" s="53"/>
      <c r="I75" s="54"/>
      <c r="J75" s="53"/>
      <c r="K75" s="53"/>
      <c r="L75" s="55"/>
    </row>
    <row r="76" spans="2:12" hidden="1" outlineLevel="1">
      <c r="B76" s="7" t="str">
        <f>IF(C76="","",(B75+1))</f>
        <v/>
      </c>
      <c r="C76" s="53"/>
      <c r="D76" s="41"/>
      <c r="E76" s="53"/>
      <c r="F76" s="53"/>
      <c r="G76" s="53"/>
      <c r="H76" s="53"/>
      <c r="I76" s="54"/>
      <c r="J76" s="53"/>
      <c r="K76" s="53"/>
      <c r="L76" s="55"/>
    </row>
    <row r="77" spans="2:12" hidden="1" outlineLevel="1">
      <c r="B77" s="7" t="str">
        <f t="shared" si="5"/>
        <v/>
      </c>
      <c r="C77" s="53"/>
      <c r="D77" s="53"/>
      <c r="E77" s="53"/>
      <c r="F77" s="53"/>
      <c r="G77" s="53"/>
      <c r="H77" s="53"/>
      <c r="I77" s="54"/>
      <c r="J77" s="53"/>
      <c r="K77" s="53"/>
      <c r="L77" s="55"/>
    </row>
    <row r="78" spans="2:12" hidden="1" outlineLevel="1">
      <c r="B78" s="7" t="str">
        <f t="shared" si="5"/>
        <v/>
      </c>
      <c r="C78" s="53"/>
      <c r="D78" s="53"/>
      <c r="E78" s="53"/>
      <c r="F78" s="53"/>
      <c r="G78" s="53"/>
      <c r="H78" s="53"/>
      <c r="I78" s="54"/>
      <c r="J78" s="53"/>
      <c r="K78" s="53"/>
      <c r="L78" s="55"/>
    </row>
    <row r="79" spans="2:12" hidden="1" outlineLevel="1">
      <c r="B79" s="7" t="str">
        <f t="shared" si="5"/>
        <v/>
      </c>
      <c r="C79" s="53"/>
      <c r="D79" s="53"/>
      <c r="E79" s="53"/>
      <c r="F79" s="53"/>
      <c r="G79" s="53"/>
      <c r="H79" s="53"/>
      <c r="I79" s="54"/>
      <c r="J79" s="53"/>
      <c r="K79" s="53"/>
      <c r="L79" s="55"/>
    </row>
    <row r="80" spans="2:12" ht="15.75" hidden="1" outlineLevel="1" thickBot="1">
      <c r="B80" s="56" t="str">
        <f t="shared" si="5"/>
        <v/>
      </c>
      <c r="C80" s="38"/>
      <c r="D80" s="38"/>
      <c r="E80" s="38"/>
      <c r="F80" s="38"/>
      <c r="G80" s="38"/>
      <c r="H80" s="38"/>
      <c r="I80" s="57"/>
      <c r="J80" s="38"/>
      <c r="K80" s="38"/>
      <c r="L80" s="39"/>
    </row>
    <row r="81" spans="2:12" ht="24" customHeight="1" collapsed="1" thickBot="1">
      <c r="B81" s="320" t="s">
        <v>59</v>
      </c>
      <c r="C81" s="321"/>
      <c r="D81" s="321"/>
      <c r="E81" s="321"/>
      <c r="F81" s="321"/>
      <c r="G81" s="321"/>
      <c r="H81" s="321"/>
      <c r="I81" s="321"/>
      <c r="J81" s="321"/>
      <c r="K81" s="321"/>
      <c r="L81" s="322"/>
    </row>
    <row r="82" spans="2:12" ht="24" customHeight="1" thickBot="1">
      <c r="B82" s="26" t="s">
        <v>49</v>
      </c>
      <c r="C82" s="27" t="s">
        <v>60</v>
      </c>
      <c r="D82" s="27" t="s">
        <v>62</v>
      </c>
      <c r="E82" s="27" t="s">
        <v>63</v>
      </c>
      <c r="F82" s="27" t="s">
        <v>64</v>
      </c>
      <c r="G82" s="27" t="s">
        <v>65</v>
      </c>
      <c r="H82" s="27" t="s">
        <v>66</v>
      </c>
      <c r="I82" s="27" t="s">
        <v>67</v>
      </c>
      <c r="J82" s="27" t="s">
        <v>6</v>
      </c>
      <c r="K82" s="27" t="s">
        <v>7</v>
      </c>
      <c r="L82" s="28" t="s">
        <v>68</v>
      </c>
    </row>
    <row r="83" spans="2:12">
      <c r="B83" s="46" t="s">
        <v>8</v>
      </c>
      <c r="C83" s="41">
        <f>COUNTIFS(B59:B80,"&gt;"&amp;0,C59:C80,"="&amp;B83)</f>
        <v>0</v>
      </c>
      <c r="D83" s="41">
        <f>COUNTIFS(B59:B80,"&gt;="&amp;1,C59:C80,B83,K59:K80,"&gt;="&amp;0,K59:K80,"&lt;"&amp;50)</f>
        <v>0</v>
      </c>
      <c r="E83" s="41">
        <f>COUNTIFS(B59:B80,"&gt;="&amp;1,C59:C80,B83,K59:K80,"&gt;="&amp;50,K59:K80,"&lt;"&amp;500)</f>
        <v>0</v>
      </c>
      <c r="F83" s="41">
        <f>COUNTIFS(B59:B80,"&gt;="&amp;1,C59:C80,B83,K59:K80,"&gt;="&amp;500)</f>
        <v>0</v>
      </c>
      <c r="G83" s="41">
        <f>COUNTIFS(B59:B80,"&gt;="&amp;1,C59:C80,B83,K59:K80,"&gt;="&amp;0,I59:I80,"&gt;"&amp;DATE(2021,1,1))</f>
        <v>0</v>
      </c>
      <c r="H83" s="47" t="str">
        <f>IF(G83=0,"-",(SUM(E83,F83)/G83))</f>
        <v>-</v>
      </c>
      <c r="I83" s="41">
        <f>IF((COUNTIFS(B59:B80,"&gt;="&amp;1,C59:C80,"="&amp;B83))&gt;228,228,(COUNTIFS(B59:B80,"&gt;="&amp;1,C59:C80,"="&amp;B83)))</f>
        <v>0</v>
      </c>
      <c r="J83" s="47" t="str">
        <f>IF(I83=0,"-",(COUNTIFS(C59:C80,"="&amp;B83,I59:I80,"&lt;="&amp;DATE(2024,12,31),K59:K80,"&gt;="&amp;0)/I83))</f>
        <v>-</v>
      </c>
      <c r="K83" s="47" t="str">
        <f>IF(I83=0,"-",IF(J83=1,"-",(COUNTIFS(B59:B80,"&gt;"&amp;0,C59:C80,"="&amp;B83,I59:I80,"&gt;"&amp;DATE(2024,12,31),K59:K80,"&gt;="&amp;0)/(I83-COUNTIFS(B59:B80,"&gt;"&amp;0,C59:C80,"="&amp;B83,I59:I80,"&lt;="&amp;DATE(2024,12,31),K59:K80,"&gt;="&amp;0)))))</f>
        <v>-</v>
      </c>
      <c r="L83" s="48" t="str">
        <f>IF(I83=0,"-",G83/I83)</f>
        <v>-</v>
      </c>
    </row>
    <row r="84" spans="2:12">
      <c r="B84" s="7" t="s">
        <v>9</v>
      </c>
      <c r="C84" s="1">
        <f>COUNTIFS(B59:B80,"&gt;"&amp;0,C59:C80,"="&amp;B84)</f>
        <v>0</v>
      </c>
      <c r="D84" s="1">
        <f>COUNTIFS(B59:B80,"&gt;="&amp;1,C59:C80,B84,K59:K80,"&gt;="&amp;0,K59:K80,"&lt;"&amp;50)</f>
        <v>0</v>
      </c>
      <c r="E84" s="1">
        <f>COUNTIFS(B59:B80,"&gt;="&amp;1,C59:C80,B84,K59:K80,"&gt;="&amp;50,K59:K80,"&lt;"&amp;500)</f>
        <v>0</v>
      </c>
      <c r="F84" s="1">
        <f>COUNTIFS(B59:B80,"&gt;="&amp;1,C59:C80,B84,K59:K80,"&gt;="&amp;500)</f>
        <v>0</v>
      </c>
      <c r="G84" s="1">
        <f>COUNTIFS(B59:B80,"&gt;="&amp;1,C59:C80,B84,K59:K80,"&gt;="&amp;0,I59:I80,"&gt;"&amp;DATE(2021,1,1))</f>
        <v>0</v>
      </c>
      <c r="H84" s="44" t="str">
        <f t="shared" ref="H84:H86" si="6">IF(G84=0,"-",(SUM(E84,F84)/G84))</f>
        <v>-</v>
      </c>
      <c r="I84" s="1">
        <f>IF((COUNTIFS(B59:B80,"&gt;="&amp;1,C59:C80,"="&amp;B84))&gt;228,228,(COUNTIFS(B59:B80,"&gt;="&amp;1,C59:C80,"="&amp;B84)))</f>
        <v>0</v>
      </c>
      <c r="J84" s="44" t="str">
        <f>IF(I84=0,"-",(COUNTIFS(C59:C80,"="&amp;B84,I59:I80,"&lt;="&amp;DATE(2024,12,31),K59:K80,"&gt;="&amp;0)/I84))</f>
        <v>-</v>
      </c>
      <c r="K84" s="47" t="str">
        <f>IF(I84=0,"-",IF(J84=1,"-",(COUNTIFS(B59:B80,"&gt;"&amp;0,C59:C80,"="&amp;B84,I59:I80,"&gt;"&amp;DATE(2024,12,31),K59:K80,"&gt;="&amp;0)/(I84-COUNTIFS(B59:B80,"&gt;"&amp;0,C59:C80,"="&amp;B84,I59:I80,"&lt;="&amp;DATE(2024,12,31),K59:K80,"&gt;="&amp;0)))))</f>
        <v>-</v>
      </c>
      <c r="L84" s="45" t="str">
        <f t="shared" ref="L84:L86" si="7">IF(I84=0,"-",G84/I84)</f>
        <v>-</v>
      </c>
    </row>
    <row r="85" spans="2:12">
      <c r="B85" s="7" t="s">
        <v>69</v>
      </c>
      <c r="C85" s="1">
        <f>COUNTIFS(B59:B80,"&gt;"&amp;0,C59:C80,"="&amp;B85)</f>
        <v>0</v>
      </c>
      <c r="D85" s="1">
        <f>COUNTIFS(B59:B80,"&gt;="&amp;1,C59:C80,B85,K59:K80,"&gt;="&amp;0,K59:K80,"&lt;"&amp;50)</f>
        <v>0</v>
      </c>
      <c r="E85" s="1">
        <f>COUNTIFS(B59:B80,"&gt;="&amp;1,C59:C80,B85,K59:K80,"&gt;="&amp;50,K59:K80,"&lt;"&amp;500)</f>
        <v>0</v>
      </c>
      <c r="F85" s="1">
        <f>COUNTIFS(B59:B60,"&gt;="&amp;1,C59:C60,B85,K59:K60,"&gt;="&amp;500)</f>
        <v>0</v>
      </c>
      <c r="G85" s="1">
        <f>COUNTIFS(B59:B80,"&gt;="&amp;1,C59:C80,B85,K59:K80,"&gt;="&amp;0,I59:I80,"&gt;"&amp;DATE(2021,1,1))</f>
        <v>0</v>
      </c>
      <c r="H85" s="44" t="str">
        <f t="shared" si="6"/>
        <v>-</v>
      </c>
      <c r="I85" s="1">
        <f>IF((COUNTIFS(B59:B60,"&gt;="&amp;1,C59:C60,"="&amp;B85))&gt;228,228,(COUNTIFS(B59:B60,"&gt;="&amp;1,C59:C60,"="&amp;B85)))</f>
        <v>0</v>
      </c>
      <c r="J85" s="44" t="str">
        <f>IF(I85=0,"-",(COUNTIFS(C59:C80,"="&amp;B85,I59:I80,"&lt;="&amp;DATE(2024,12,31),K59:K80,"&gt;="&amp;0)/I85))</f>
        <v>-</v>
      </c>
      <c r="K85" s="47" t="str">
        <f>IF(I85=0,"-",IF(J85=1,"-",(COUNTIFS(B59:B80,"&gt;"&amp;0,C59:C80,"="&amp;B85,I59:I80,"&gt;"&amp;DATE(2024,12,31),K59:K80,"&gt;="&amp;0)/(I85-COUNTIFS(B59:B80,"&gt;"&amp;0,C59:C80,"="&amp;B85,I59:I80,"&lt;="&amp;DATE(2024,12,31),K59:K80,"&gt;="&amp;0)))))</f>
        <v>-</v>
      </c>
      <c r="L85" s="45" t="str">
        <f t="shared" si="7"/>
        <v>-</v>
      </c>
    </row>
    <row r="86" spans="2:12" ht="24" customHeight="1" thickBot="1">
      <c r="B86" s="49" t="s">
        <v>59</v>
      </c>
      <c r="C86" s="50">
        <f>SUM(C83:C85)</f>
        <v>0</v>
      </c>
      <c r="D86" s="50">
        <f>SUM(D83:D85)</f>
        <v>0</v>
      </c>
      <c r="E86" s="50">
        <f>SUM(E83:E85)</f>
        <v>0</v>
      </c>
      <c r="F86" s="50">
        <f>SUM(F83:F85)</f>
        <v>0</v>
      </c>
      <c r="G86" s="50">
        <f>SUM(G83:G85)</f>
        <v>0</v>
      </c>
      <c r="H86" s="51" t="str">
        <f t="shared" si="6"/>
        <v>-</v>
      </c>
      <c r="I86" s="50">
        <f>SUM(I83:I85)</f>
        <v>0</v>
      </c>
      <c r="J86" s="51" t="str">
        <f>IF(I86=0,"-",(COUNTIFS(I59:I80,"&lt;="&amp;DATE(2024,12,31),K59:K80,"&gt;="&amp;0)/I86))</f>
        <v>-</v>
      </c>
      <c r="K86" s="51" t="str">
        <f>IF(I86=0,"-",IF(J86=1,"-",(COUNTIFS(B59:B80,"&gt;"&amp;0,I59:I80,"&gt;"&amp;DATE(2024,12,31),K59:K80,"&gt;="&amp;0)/(I86-COUNTIFS(B59:B80,"&gt;"&amp;0,I59:I80,"&lt;="&amp;DATE(2024,12,31),K59:K80,"&gt;="&amp;0)))))</f>
        <v>-</v>
      </c>
      <c r="L86" s="52" t="str">
        <f t="shared" si="7"/>
        <v>-</v>
      </c>
    </row>
    <row r="88" spans="2:12" ht="15.75" thickBot="1"/>
    <row r="89" spans="2:12" ht="32.25" customHeight="1" thickBot="1">
      <c r="B89" s="320" t="str">
        <f>_xlfn.CONCAT("Reguladores de Tensão",TEXT(IF(SUM(I345:I347)=0," ",(SUM(G345:G347)/SUM(I345:I347))), " 0,00%"))</f>
        <v xml:space="preserve">Reguladores de Tensão </v>
      </c>
      <c r="C89" s="321"/>
      <c r="D89" s="321"/>
      <c r="E89" s="321"/>
      <c r="F89" s="321"/>
      <c r="G89" s="321"/>
      <c r="H89" s="321"/>
      <c r="I89" s="321"/>
      <c r="J89" s="321"/>
      <c r="K89" s="321"/>
      <c r="L89" s="322"/>
    </row>
    <row r="90" spans="2:12" ht="24" hidden="1" customHeight="1" outlineLevel="1" thickBot="1">
      <c r="B90" s="26" t="s">
        <v>48</v>
      </c>
      <c r="C90" s="27" t="s">
        <v>49</v>
      </c>
      <c r="D90" s="27" t="s">
        <v>50</v>
      </c>
      <c r="E90" s="27" t="s">
        <v>51</v>
      </c>
      <c r="F90" s="27" t="s">
        <v>52</v>
      </c>
      <c r="G90" s="27" t="s">
        <v>53</v>
      </c>
      <c r="H90" s="27" t="s">
        <v>54</v>
      </c>
      <c r="I90" s="27" t="s">
        <v>55</v>
      </c>
      <c r="J90" s="27" t="s">
        <v>56</v>
      </c>
      <c r="K90" s="27" t="s">
        <v>57</v>
      </c>
      <c r="L90" s="28" t="s">
        <v>58</v>
      </c>
    </row>
    <row r="91" spans="2:12" hidden="1" outlineLevel="1">
      <c r="B91" s="46" t="str">
        <f>IF(C91="","",ROW($A$1))</f>
        <v/>
      </c>
      <c r="C91" s="41"/>
      <c r="D91" s="41"/>
      <c r="E91" s="41"/>
      <c r="F91" s="41"/>
      <c r="G91" s="41"/>
      <c r="H91" s="41"/>
      <c r="I91" s="42"/>
      <c r="J91" s="41"/>
      <c r="K91" s="41"/>
      <c r="L91" s="43"/>
    </row>
    <row r="92" spans="2:12" hidden="1" outlineLevel="1">
      <c r="B92" s="7" t="str">
        <f>IF(C92="","",(B91+1))</f>
        <v/>
      </c>
      <c r="C92" s="41"/>
      <c r="D92" s="41"/>
      <c r="E92" s="41"/>
      <c r="F92" s="41"/>
      <c r="G92" s="41"/>
      <c r="H92" s="41"/>
      <c r="I92" s="42"/>
      <c r="J92" s="41"/>
      <c r="K92" s="41"/>
      <c r="L92" s="43"/>
    </row>
    <row r="93" spans="2:12" hidden="1" outlineLevel="1">
      <c r="B93" s="7" t="str">
        <f t="shared" ref="B93:B156" si="8">IF(C93="","",(B92+1))</f>
        <v/>
      </c>
      <c r="C93" s="41"/>
      <c r="D93" s="41"/>
      <c r="E93" s="41"/>
      <c r="F93" s="41"/>
      <c r="G93" s="41"/>
      <c r="H93" s="41"/>
      <c r="I93" s="42"/>
      <c r="J93" s="41"/>
      <c r="K93" s="41"/>
      <c r="L93" s="43"/>
    </row>
    <row r="94" spans="2:12" hidden="1" outlineLevel="1">
      <c r="B94" s="7" t="str">
        <f t="shared" si="8"/>
        <v/>
      </c>
      <c r="C94" s="41"/>
      <c r="D94" s="41"/>
      <c r="E94" s="41"/>
      <c r="F94" s="41"/>
      <c r="G94" s="41"/>
      <c r="H94" s="41"/>
      <c r="I94" s="42"/>
      <c r="J94" s="41"/>
      <c r="K94" s="41"/>
      <c r="L94" s="43"/>
    </row>
    <row r="95" spans="2:12" hidden="1" outlineLevel="1">
      <c r="B95" s="7" t="str">
        <f t="shared" si="8"/>
        <v/>
      </c>
      <c r="C95" s="41"/>
      <c r="D95" s="41"/>
      <c r="E95" s="41"/>
      <c r="F95" s="41"/>
      <c r="G95" s="41"/>
      <c r="H95" s="41"/>
      <c r="I95" s="42"/>
      <c r="J95" s="41"/>
      <c r="K95" s="41"/>
      <c r="L95" s="43"/>
    </row>
    <row r="96" spans="2:12" hidden="1" outlineLevel="1">
      <c r="B96" s="7" t="str">
        <f t="shared" si="8"/>
        <v/>
      </c>
      <c r="C96" s="41"/>
      <c r="D96" s="41"/>
      <c r="E96" s="41"/>
      <c r="F96" s="41"/>
      <c r="G96" s="41"/>
      <c r="H96" s="41"/>
      <c r="I96" s="42"/>
      <c r="J96" s="41"/>
      <c r="K96" s="41"/>
      <c r="L96" s="43"/>
    </row>
    <row r="97" spans="2:12" hidden="1" outlineLevel="1">
      <c r="B97" s="7" t="str">
        <f t="shared" si="8"/>
        <v/>
      </c>
      <c r="C97" s="41"/>
      <c r="D97" s="41"/>
      <c r="E97" s="41"/>
      <c r="F97" s="41"/>
      <c r="G97" s="41"/>
      <c r="H97" s="41"/>
      <c r="I97" s="42"/>
      <c r="J97" s="41"/>
      <c r="K97" s="41"/>
      <c r="L97" s="43"/>
    </row>
    <row r="98" spans="2:12" hidden="1" outlineLevel="1">
      <c r="B98" s="7" t="str">
        <f t="shared" si="8"/>
        <v/>
      </c>
      <c r="C98" s="41"/>
      <c r="D98" s="41"/>
      <c r="E98" s="58"/>
      <c r="F98" s="41"/>
      <c r="G98" s="41"/>
      <c r="H98" s="41"/>
      <c r="I98" s="42"/>
      <c r="J98" s="41"/>
      <c r="K98" s="41"/>
      <c r="L98" s="43"/>
    </row>
    <row r="99" spans="2:12" hidden="1" outlineLevel="1">
      <c r="B99" s="7" t="str">
        <f t="shared" si="8"/>
        <v/>
      </c>
      <c r="C99" s="41"/>
      <c r="D99" s="41"/>
      <c r="E99" s="58"/>
      <c r="F99" s="41"/>
      <c r="G99" s="41"/>
      <c r="H99" s="41"/>
      <c r="I99" s="42"/>
      <c r="J99" s="41"/>
      <c r="K99" s="41"/>
      <c r="L99" s="43"/>
    </row>
    <row r="100" spans="2:12" hidden="1" outlineLevel="1">
      <c r="B100" s="7" t="str">
        <f t="shared" si="8"/>
        <v/>
      </c>
      <c r="C100" s="41"/>
      <c r="D100" s="41"/>
      <c r="E100" s="58"/>
      <c r="F100" s="41"/>
      <c r="G100" s="41"/>
      <c r="H100" s="41"/>
      <c r="I100" s="42"/>
      <c r="J100" s="41"/>
      <c r="K100" s="41"/>
      <c r="L100" s="43"/>
    </row>
    <row r="101" spans="2:12" hidden="1" outlineLevel="1">
      <c r="B101" s="7" t="str">
        <f t="shared" si="8"/>
        <v/>
      </c>
      <c r="C101" s="41"/>
      <c r="D101" s="41"/>
      <c r="E101" s="41"/>
      <c r="F101" s="41"/>
      <c r="G101" s="41"/>
      <c r="H101" s="41"/>
      <c r="I101" s="42"/>
      <c r="J101" s="41"/>
      <c r="K101" s="41"/>
      <c r="L101" s="43"/>
    </row>
    <row r="102" spans="2:12" hidden="1" outlineLevel="1">
      <c r="B102" s="7" t="str">
        <f t="shared" si="8"/>
        <v/>
      </c>
      <c r="C102" s="41"/>
      <c r="D102" s="41"/>
      <c r="E102" s="41"/>
      <c r="F102" s="41"/>
      <c r="G102" s="41"/>
      <c r="H102" s="41"/>
      <c r="I102" s="42"/>
      <c r="J102" s="41"/>
      <c r="K102" s="41"/>
      <c r="L102" s="43"/>
    </row>
    <row r="103" spans="2:12" hidden="1" outlineLevel="1">
      <c r="B103" s="7" t="str">
        <f t="shared" si="8"/>
        <v/>
      </c>
      <c r="C103" s="41"/>
      <c r="D103" s="41"/>
      <c r="E103" s="41"/>
      <c r="F103" s="41"/>
      <c r="G103" s="41"/>
      <c r="H103" s="41"/>
      <c r="I103" s="42"/>
      <c r="J103" s="41"/>
      <c r="K103" s="41"/>
      <c r="L103" s="43"/>
    </row>
    <row r="104" spans="2:12" hidden="1" outlineLevel="1">
      <c r="B104" s="7" t="str">
        <f t="shared" si="8"/>
        <v/>
      </c>
      <c r="C104" s="41"/>
      <c r="D104" s="41"/>
      <c r="E104" s="41"/>
      <c r="F104" s="41"/>
      <c r="G104" s="41"/>
      <c r="H104" s="41"/>
      <c r="I104" s="42"/>
      <c r="J104" s="41"/>
      <c r="K104" s="41"/>
      <c r="L104" s="43"/>
    </row>
    <row r="105" spans="2:12" hidden="1" outlineLevel="1">
      <c r="B105" s="7" t="str">
        <f t="shared" si="8"/>
        <v/>
      </c>
      <c r="C105" s="41"/>
      <c r="D105" s="41"/>
      <c r="E105" s="41"/>
      <c r="F105" s="41"/>
      <c r="G105" s="41"/>
      <c r="H105" s="41"/>
      <c r="I105" s="42"/>
      <c r="J105" s="41"/>
      <c r="K105" s="41"/>
      <c r="L105" s="43"/>
    </row>
    <row r="106" spans="2:12" hidden="1" outlineLevel="1">
      <c r="B106" s="7" t="str">
        <f t="shared" si="8"/>
        <v/>
      </c>
      <c r="C106" s="41"/>
      <c r="D106" s="41"/>
      <c r="E106" s="41"/>
      <c r="F106" s="41"/>
      <c r="G106" s="41"/>
      <c r="H106" s="41"/>
      <c r="I106" s="42"/>
      <c r="J106" s="41"/>
      <c r="K106" s="41"/>
      <c r="L106" s="43"/>
    </row>
    <row r="107" spans="2:12" hidden="1" outlineLevel="1">
      <c r="B107" s="7" t="str">
        <f t="shared" si="8"/>
        <v/>
      </c>
      <c r="C107" s="41"/>
      <c r="D107" s="41"/>
      <c r="E107" s="58"/>
      <c r="F107" s="41"/>
      <c r="G107" s="41"/>
      <c r="H107" s="41"/>
      <c r="I107" s="42"/>
      <c r="J107" s="41"/>
      <c r="K107" s="41"/>
      <c r="L107" s="43"/>
    </row>
    <row r="108" spans="2:12" hidden="1" outlineLevel="1">
      <c r="B108" s="7" t="str">
        <f t="shared" si="8"/>
        <v/>
      </c>
      <c r="C108" s="41"/>
      <c r="D108" s="41"/>
      <c r="E108" s="41"/>
      <c r="F108" s="41"/>
      <c r="G108" s="41"/>
      <c r="H108" s="41"/>
      <c r="I108" s="42"/>
      <c r="J108" s="41"/>
      <c r="K108" s="41"/>
      <c r="L108" s="43"/>
    </row>
    <row r="109" spans="2:12" hidden="1" outlineLevel="1">
      <c r="B109" s="7" t="str">
        <f t="shared" si="8"/>
        <v/>
      </c>
      <c r="C109" s="41"/>
      <c r="D109" s="41"/>
      <c r="E109" s="41"/>
      <c r="F109" s="41"/>
      <c r="G109" s="41"/>
      <c r="H109" s="41"/>
      <c r="I109" s="42"/>
      <c r="J109" s="41"/>
      <c r="K109" s="41"/>
      <c r="L109" s="43"/>
    </row>
    <row r="110" spans="2:12" hidden="1" outlineLevel="1">
      <c r="B110" s="7" t="str">
        <f t="shared" si="8"/>
        <v/>
      </c>
      <c r="C110" s="41"/>
      <c r="D110" s="41"/>
      <c r="E110" s="41"/>
      <c r="F110" s="41"/>
      <c r="G110" s="41"/>
      <c r="H110" s="41"/>
      <c r="I110" s="42"/>
      <c r="J110" s="41"/>
      <c r="K110" s="41"/>
      <c r="L110" s="43"/>
    </row>
    <row r="111" spans="2:12" hidden="1" outlineLevel="1">
      <c r="B111" s="7" t="str">
        <f t="shared" si="8"/>
        <v/>
      </c>
      <c r="C111" s="41"/>
      <c r="D111" s="41"/>
      <c r="E111" s="41"/>
      <c r="F111" s="41"/>
      <c r="G111" s="41"/>
      <c r="H111" s="41"/>
      <c r="I111" s="42"/>
      <c r="J111" s="41"/>
      <c r="K111" s="41"/>
      <c r="L111" s="43"/>
    </row>
    <row r="112" spans="2:12" hidden="1" outlineLevel="1">
      <c r="B112" s="7" t="str">
        <f t="shared" si="8"/>
        <v/>
      </c>
      <c r="C112" s="41"/>
      <c r="D112" s="41"/>
      <c r="E112" s="41"/>
      <c r="F112" s="41"/>
      <c r="G112" s="41"/>
      <c r="H112" s="41"/>
      <c r="I112" s="42"/>
      <c r="J112" s="41"/>
      <c r="K112" s="41"/>
      <c r="L112" s="43"/>
    </row>
    <row r="113" spans="2:12" hidden="1" outlineLevel="1">
      <c r="B113" s="7" t="str">
        <f t="shared" si="8"/>
        <v/>
      </c>
      <c r="C113" s="41"/>
      <c r="D113" s="41"/>
      <c r="E113" s="41"/>
      <c r="F113" s="41"/>
      <c r="G113" s="41"/>
      <c r="H113" s="41"/>
      <c r="I113" s="42"/>
      <c r="J113" s="41"/>
      <c r="K113" s="41"/>
      <c r="L113" s="43"/>
    </row>
    <row r="114" spans="2:12" hidden="1" outlineLevel="1">
      <c r="B114" s="7" t="str">
        <f t="shared" si="8"/>
        <v/>
      </c>
      <c r="C114" s="41"/>
      <c r="D114" s="41"/>
      <c r="E114" s="41"/>
      <c r="F114" s="41"/>
      <c r="G114" s="41"/>
      <c r="H114" s="41"/>
      <c r="I114" s="42"/>
      <c r="J114" s="41"/>
      <c r="K114" s="41"/>
      <c r="L114" s="43"/>
    </row>
    <row r="115" spans="2:12" hidden="1" outlineLevel="1">
      <c r="B115" s="7" t="str">
        <f t="shared" si="8"/>
        <v/>
      </c>
      <c r="C115" s="41"/>
      <c r="D115" s="41"/>
      <c r="E115" s="41"/>
      <c r="F115" s="41"/>
      <c r="G115" s="41"/>
      <c r="H115" s="41"/>
      <c r="I115" s="42"/>
      <c r="J115" s="41"/>
      <c r="K115" s="41"/>
      <c r="L115" s="43"/>
    </row>
    <row r="116" spans="2:12" hidden="1" outlineLevel="1">
      <c r="B116" s="7" t="str">
        <f t="shared" si="8"/>
        <v/>
      </c>
      <c r="C116" s="41"/>
      <c r="D116" s="41"/>
      <c r="E116" s="41"/>
      <c r="F116" s="41"/>
      <c r="G116" s="41"/>
      <c r="H116" s="41"/>
      <c r="I116" s="42"/>
      <c r="J116" s="41"/>
      <c r="K116" s="41"/>
      <c r="L116" s="43"/>
    </row>
    <row r="117" spans="2:12" hidden="1" outlineLevel="1">
      <c r="B117" s="7" t="str">
        <f t="shared" si="8"/>
        <v/>
      </c>
      <c r="C117" s="41"/>
      <c r="D117" s="41"/>
      <c r="E117" s="41"/>
      <c r="F117" s="41"/>
      <c r="G117" s="41"/>
      <c r="H117" s="41"/>
      <c r="I117" s="42"/>
      <c r="J117" s="41"/>
      <c r="K117" s="41"/>
      <c r="L117" s="43"/>
    </row>
    <row r="118" spans="2:12" hidden="1" outlineLevel="1">
      <c r="B118" s="7" t="str">
        <f t="shared" si="8"/>
        <v/>
      </c>
      <c r="C118" s="41"/>
      <c r="D118" s="41"/>
      <c r="E118" s="41"/>
      <c r="F118" s="41"/>
      <c r="G118" s="41"/>
      <c r="H118" s="41"/>
      <c r="I118" s="42"/>
      <c r="J118" s="41"/>
      <c r="K118" s="41"/>
      <c r="L118" s="43"/>
    </row>
    <row r="119" spans="2:12" hidden="1" outlineLevel="1">
      <c r="B119" s="7" t="str">
        <f t="shared" si="8"/>
        <v/>
      </c>
      <c r="C119" s="41"/>
      <c r="D119" s="41"/>
      <c r="E119" s="41"/>
      <c r="F119" s="41"/>
      <c r="G119" s="41"/>
      <c r="H119" s="41"/>
      <c r="I119" s="42"/>
      <c r="J119" s="41"/>
      <c r="K119" s="41"/>
      <c r="L119" s="43"/>
    </row>
    <row r="120" spans="2:12" hidden="1" outlineLevel="1">
      <c r="B120" s="7" t="str">
        <f t="shared" si="8"/>
        <v/>
      </c>
      <c r="C120" s="41"/>
      <c r="D120" s="41"/>
      <c r="E120" s="41"/>
      <c r="F120" s="41"/>
      <c r="G120" s="41"/>
      <c r="H120" s="41"/>
      <c r="I120" s="42"/>
      <c r="J120" s="41"/>
      <c r="K120" s="41"/>
      <c r="L120" s="43"/>
    </row>
    <row r="121" spans="2:12" hidden="1" outlineLevel="1">
      <c r="B121" s="7" t="str">
        <f t="shared" si="8"/>
        <v/>
      </c>
      <c r="C121" s="41"/>
      <c r="D121" s="41"/>
      <c r="E121" s="41"/>
      <c r="F121" s="41"/>
      <c r="G121" s="41"/>
      <c r="H121" s="41"/>
      <c r="I121" s="42"/>
      <c r="J121" s="41"/>
      <c r="K121" s="41"/>
      <c r="L121" s="43"/>
    </row>
    <row r="122" spans="2:12" hidden="1" outlineLevel="1">
      <c r="B122" s="7" t="str">
        <f t="shared" si="8"/>
        <v/>
      </c>
      <c r="C122" s="41"/>
      <c r="D122" s="41"/>
      <c r="E122" s="41"/>
      <c r="F122" s="41"/>
      <c r="G122" s="41"/>
      <c r="H122" s="41"/>
      <c r="I122" s="42"/>
      <c r="J122" s="41"/>
      <c r="K122" s="41"/>
      <c r="L122" s="43"/>
    </row>
    <row r="123" spans="2:12" hidden="1" outlineLevel="1">
      <c r="B123" s="7" t="str">
        <f t="shared" si="8"/>
        <v/>
      </c>
      <c r="C123" s="41"/>
      <c r="D123" s="41"/>
      <c r="E123" s="41"/>
      <c r="F123" s="41"/>
      <c r="G123" s="41"/>
      <c r="H123" s="41"/>
      <c r="I123" s="42"/>
      <c r="J123" s="41"/>
      <c r="K123" s="41"/>
      <c r="L123" s="43"/>
    </row>
    <row r="124" spans="2:12" hidden="1" outlineLevel="1">
      <c r="B124" s="7" t="str">
        <f t="shared" si="8"/>
        <v/>
      </c>
      <c r="C124" s="41"/>
      <c r="D124" s="41"/>
      <c r="E124" s="41"/>
      <c r="F124" s="41"/>
      <c r="G124" s="41"/>
      <c r="H124" s="41"/>
      <c r="I124" s="42"/>
      <c r="J124" s="41"/>
      <c r="K124" s="41"/>
      <c r="L124" s="43"/>
    </row>
    <row r="125" spans="2:12" hidden="1" outlineLevel="1">
      <c r="B125" s="7" t="str">
        <f t="shared" si="8"/>
        <v/>
      </c>
      <c r="C125" s="41"/>
      <c r="D125" s="41"/>
      <c r="E125" s="41"/>
      <c r="F125" s="41"/>
      <c r="G125" s="41"/>
      <c r="H125" s="41"/>
      <c r="I125" s="42"/>
      <c r="J125" s="41"/>
      <c r="K125" s="41"/>
      <c r="L125" s="43"/>
    </row>
    <row r="126" spans="2:12" hidden="1" outlineLevel="1">
      <c r="B126" s="7" t="str">
        <f t="shared" si="8"/>
        <v/>
      </c>
      <c r="C126" s="41"/>
      <c r="D126" s="41"/>
      <c r="E126" s="41"/>
      <c r="F126" s="41"/>
      <c r="G126" s="41"/>
      <c r="H126" s="41"/>
      <c r="I126" s="42"/>
      <c r="J126" s="41"/>
      <c r="K126" s="41"/>
      <c r="L126" s="43"/>
    </row>
    <row r="127" spans="2:12" hidden="1" outlineLevel="1">
      <c r="B127" s="7" t="str">
        <f t="shared" si="8"/>
        <v/>
      </c>
      <c r="C127" s="41"/>
      <c r="D127" s="41"/>
      <c r="E127" s="58"/>
      <c r="F127" s="41"/>
      <c r="G127" s="41"/>
      <c r="H127" s="41"/>
      <c r="I127" s="42"/>
      <c r="J127" s="41"/>
      <c r="K127" s="41"/>
      <c r="L127" s="43"/>
    </row>
    <row r="128" spans="2:12" hidden="1" outlineLevel="1">
      <c r="B128" s="7" t="str">
        <f t="shared" si="8"/>
        <v/>
      </c>
      <c r="C128" s="41"/>
      <c r="D128" s="41"/>
      <c r="E128" s="58"/>
      <c r="F128" s="41"/>
      <c r="G128" s="41"/>
      <c r="H128" s="41"/>
      <c r="I128" s="42"/>
      <c r="J128" s="41"/>
      <c r="K128" s="41"/>
      <c r="L128" s="43"/>
    </row>
    <row r="129" spans="2:12" hidden="1" outlineLevel="1">
      <c r="B129" s="7" t="str">
        <f t="shared" si="8"/>
        <v/>
      </c>
      <c r="C129" s="41"/>
      <c r="D129" s="41"/>
      <c r="E129" s="41"/>
      <c r="F129" s="41"/>
      <c r="G129" s="41"/>
      <c r="H129" s="41"/>
      <c r="I129" s="42"/>
      <c r="J129" s="41"/>
      <c r="K129" s="41"/>
      <c r="L129" s="43"/>
    </row>
    <row r="130" spans="2:12" hidden="1" outlineLevel="1">
      <c r="B130" s="7" t="str">
        <f t="shared" si="8"/>
        <v/>
      </c>
      <c r="C130" s="41"/>
      <c r="D130" s="41"/>
      <c r="E130" s="41"/>
      <c r="F130" s="41"/>
      <c r="G130" s="41"/>
      <c r="H130" s="41"/>
      <c r="I130" s="42"/>
      <c r="J130" s="41"/>
      <c r="K130" s="41"/>
      <c r="L130" s="43"/>
    </row>
    <row r="131" spans="2:12" hidden="1" outlineLevel="1">
      <c r="B131" s="7" t="str">
        <f t="shared" si="8"/>
        <v/>
      </c>
      <c r="C131" s="41"/>
      <c r="D131" s="41"/>
      <c r="E131" s="41"/>
      <c r="F131" s="41"/>
      <c r="G131" s="41"/>
      <c r="H131" s="41"/>
      <c r="I131" s="42"/>
      <c r="J131" s="41"/>
      <c r="K131" s="41"/>
      <c r="L131" s="43"/>
    </row>
    <row r="132" spans="2:12" hidden="1" outlineLevel="1">
      <c r="B132" s="7" t="str">
        <f t="shared" si="8"/>
        <v/>
      </c>
      <c r="C132" s="41"/>
      <c r="D132" s="41"/>
      <c r="E132" s="41"/>
      <c r="F132" s="41"/>
      <c r="G132" s="41"/>
      <c r="H132" s="41"/>
      <c r="I132" s="42"/>
      <c r="J132" s="41"/>
      <c r="K132" s="41"/>
      <c r="L132" s="43"/>
    </row>
    <row r="133" spans="2:12" hidden="1" outlineLevel="1">
      <c r="B133" s="7" t="str">
        <f t="shared" si="8"/>
        <v/>
      </c>
      <c r="C133" s="41"/>
      <c r="D133" s="41"/>
      <c r="E133" s="41"/>
      <c r="F133" s="41"/>
      <c r="G133" s="41"/>
      <c r="H133" s="41"/>
      <c r="I133" s="42"/>
      <c r="J133" s="41"/>
      <c r="K133" s="41"/>
      <c r="L133" s="43"/>
    </row>
    <row r="134" spans="2:12" hidden="1" outlineLevel="1">
      <c r="B134" s="7" t="str">
        <f t="shared" si="8"/>
        <v/>
      </c>
      <c r="C134" s="41"/>
      <c r="D134" s="41"/>
      <c r="E134" s="41"/>
      <c r="F134" s="41"/>
      <c r="G134" s="41"/>
      <c r="H134" s="41"/>
      <c r="I134" s="42"/>
      <c r="J134" s="41"/>
      <c r="K134" s="41"/>
      <c r="L134" s="43"/>
    </row>
    <row r="135" spans="2:12" hidden="1" outlineLevel="1">
      <c r="B135" s="7" t="str">
        <f t="shared" si="8"/>
        <v/>
      </c>
      <c r="C135" s="41"/>
      <c r="D135" s="41"/>
      <c r="E135" s="41"/>
      <c r="F135" s="41"/>
      <c r="G135" s="41"/>
      <c r="H135" s="41"/>
      <c r="I135" s="42"/>
      <c r="J135" s="41"/>
      <c r="K135" s="41"/>
      <c r="L135" s="43"/>
    </row>
    <row r="136" spans="2:12" hidden="1" outlineLevel="1">
      <c r="B136" s="7" t="str">
        <f t="shared" si="8"/>
        <v/>
      </c>
      <c r="C136" s="41"/>
      <c r="D136" s="41"/>
      <c r="E136" s="41"/>
      <c r="F136" s="41"/>
      <c r="G136" s="41"/>
      <c r="H136" s="41"/>
      <c r="I136" s="42"/>
      <c r="J136" s="41"/>
      <c r="K136" s="41"/>
      <c r="L136" s="43"/>
    </row>
    <row r="137" spans="2:12" hidden="1" outlineLevel="1">
      <c r="B137" s="7" t="str">
        <f t="shared" si="8"/>
        <v/>
      </c>
      <c r="C137" s="41"/>
      <c r="D137" s="41"/>
      <c r="E137" s="41"/>
      <c r="F137" s="41"/>
      <c r="G137" s="41"/>
      <c r="H137" s="41"/>
      <c r="I137" s="42"/>
      <c r="J137" s="41"/>
      <c r="K137" s="41"/>
      <c r="L137" s="43"/>
    </row>
    <row r="138" spans="2:12" hidden="1" outlineLevel="1">
      <c r="B138" s="7" t="str">
        <f t="shared" si="8"/>
        <v/>
      </c>
      <c r="C138" s="41"/>
      <c r="D138" s="41"/>
      <c r="E138" s="41"/>
      <c r="F138" s="41"/>
      <c r="G138" s="41"/>
      <c r="H138" s="41"/>
      <c r="I138" s="42"/>
      <c r="J138" s="41"/>
      <c r="K138" s="41"/>
      <c r="L138" s="43"/>
    </row>
    <row r="139" spans="2:12" hidden="1" outlineLevel="1">
      <c r="B139" s="7" t="str">
        <f t="shared" si="8"/>
        <v/>
      </c>
      <c r="C139" s="41"/>
      <c r="D139" s="41"/>
      <c r="E139" s="41"/>
      <c r="F139" s="41"/>
      <c r="G139" s="41"/>
      <c r="H139" s="41"/>
      <c r="I139" s="42"/>
      <c r="J139" s="41"/>
      <c r="K139" s="41"/>
      <c r="L139" s="43"/>
    </row>
    <row r="140" spans="2:12" hidden="1" outlineLevel="1">
      <c r="B140" s="7" t="str">
        <f t="shared" si="8"/>
        <v/>
      </c>
      <c r="C140" s="41"/>
      <c r="D140" s="41"/>
      <c r="E140" s="41"/>
      <c r="F140" s="41"/>
      <c r="G140" s="41"/>
      <c r="H140" s="41"/>
      <c r="I140" s="42"/>
      <c r="J140" s="41"/>
      <c r="K140" s="41"/>
      <c r="L140" s="43"/>
    </row>
    <row r="141" spans="2:12" hidden="1" outlineLevel="1">
      <c r="B141" s="7" t="str">
        <f t="shared" si="8"/>
        <v/>
      </c>
      <c r="C141" s="41"/>
      <c r="D141" s="41"/>
      <c r="E141" s="41"/>
      <c r="F141" s="41"/>
      <c r="G141" s="41"/>
      <c r="H141" s="41"/>
      <c r="I141" s="42"/>
      <c r="J141" s="41"/>
      <c r="K141" s="41"/>
      <c r="L141" s="43"/>
    </row>
    <row r="142" spans="2:12" hidden="1" outlineLevel="1">
      <c r="B142" s="7" t="str">
        <f t="shared" si="8"/>
        <v/>
      </c>
      <c r="C142" s="41"/>
      <c r="D142" s="41"/>
      <c r="E142" s="41"/>
      <c r="F142" s="41"/>
      <c r="G142" s="41"/>
      <c r="H142" s="41"/>
      <c r="I142" s="42"/>
      <c r="J142" s="41"/>
      <c r="K142" s="41"/>
      <c r="L142" s="43"/>
    </row>
    <row r="143" spans="2:12" hidden="1" outlineLevel="1">
      <c r="B143" s="7" t="str">
        <f t="shared" si="8"/>
        <v/>
      </c>
      <c r="C143" s="41"/>
      <c r="D143" s="41"/>
      <c r="E143" s="41"/>
      <c r="F143" s="41"/>
      <c r="G143" s="41"/>
      <c r="H143" s="41"/>
      <c r="I143" s="42"/>
      <c r="J143" s="41"/>
      <c r="K143" s="41"/>
      <c r="L143" s="43"/>
    </row>
    <row r="144" spans="2:12" hidden="1" outlineLevel="1">
      <c r="B144" s="7" t="str">
        <f t="shared" si="8"/>
        <v/>
      </c>
      <c r="C144" s="41"/>
      <c r="D144" s="41"/>
      <c r="E144" s="41"/>
      <c r="F144" s="41"/>
      <c r="G144" s="41"/>
      <c r="H144" s="41"/>
      <c r="I144" s="42"/>
      <c r="J144" s="41"/>
      <c r="K144" s="41"/>
      <c r="L144" s="43"/>
    </row>
    <row r="145" spans="2:12" hidden="1" outlineLevel="1">
      <c r="B145" s="7" t="str">
        <f t="shared" si="8"/>
        <v/>
      </c>
      <c r="C145" s="41"/>
      <c r="D145" s="41"/>
      <c r="E145" s="41"/>
      <c r="F145" s="41"/>
      <c r="G145" s="41"/>
      <c r="H145" s="41"/>
      <c r="I145" s="42"/>
      <c r="J145" s="41"/>
      <c r="K145" s="41"/>
      <c r="L145" s="43"/>
    </row>
    <row r="146" spans="2:12" hidden="1" outlineLevel="1">
      <c r="B146" s="7" t="str">
        <f t="shared" si="8"/>
        <v/>
      </c>
      <c r="C146" s="41"/>
      <c r="D146" s="41"/>
      <c r="E146" s="41"/>
      <c r="F146" s="41"/>
      <c r="G146" s="41"/>
      <c r="H146" s="41"/>
      <c r="I146" s="42"/>
      <c r="J146" s="41"/>
      <c r="K146" s="41"/>
      <c r="L146" s="43"/>
    </row>
    <row r="147" spans="2:12" hidden="1" outlineLevel="1">
      <c r="B147" s="7" t="str">
        <f t="shared" si="8"/>
        <v/>
      </c>
      <c r="C147" s="41"/>
      <c r="D147" s="41"/>
      <c r="E147" s="41"/>
      <c r="F147" s="41"/>
      <c r="G147" s="41"/>
      <c r="H147" s="41"/>
      <c r="I147" s="42"/>
      <c r="J147" s="41"/>
      <c r="K147" s="41"/>
      <c r="L147" s="43"/>
    </row>
    <row r="148" spans="2:12" hidden="1" outlineLevel="1">
      <c r="B148" s="7" t="str">
        <f t="shared" si="8"/>
        <v/>
      </c>
      <c r="C148" s="41"/>
      <c r="D148" s="41"/>
      <c r="E148" s="41"/>
      <c r="F148" s="41"/>
      <c r="G148" s="41"/>
      <c r="H148" s="41"/>
      <c r="I148" s="42"/>
      <c r="J148" s="41"/>
      <c r="K148" s="41"/>
      <c r="L148" s="43"/>
    </row>
    <row r="149" spans="2:12" hidden="1" outlineLevel="1">
      <c r="B149" s="7" t="str">
        <f t="shared" si="8"/>
        <v/>
      </c>
      <c r="C149" s="41"/>
      <c r="D149" s="41"/>
      <c r="E149" s="41"/>
      <c r="F149" s="41"/>
      <c r="G149" s="41"/>
      <c r="H149" s="41"/>
      <c r="I149" s="42"/>
      <c r="J149" s="41"/>
      <c r="K149" s="41"/>
      <c r="L149" s="43"/>
    </row>
    <row r="150" spans="2:12" hidden="1" outlineLevel="1">
      <c r="B150" s="7" t="str">
        <f t="shared" si="8"/>
        <v/>
      </c>
      <c r="C150" s="41"/>
      <c r="D150" s="41"/>
      <c r="E150" s="41"/>
      <c r="F150" s="41"/>
      <c r="G150" s="41"/>
      <c r="H150" s="41"/>
      <c r="I150" s="42"/>
      <c r="J150" s="41"/>
      <c r="K150" s="41"/>
      <c r="L150" s="43"/>
    </row>
    <row r="151" spans="2:12" hidden="1" outlineLevel="1">
      <c r="B151" s="7" t="str">
        <f t="shared" si="8"/>
        <v/>
      </c>
      <c r="C151" s="41"/>
      <c r="D151" s="41"/>
      <c r="E151" s="41"/>
      <c r="F151" s="41"/>
      <c r="G151" s="41"/>
      <c r="H151" s="41"/>
      <c r="I151" s="42"/>
      <c r="J151" s="41"/>
      <c r="K151" s="41"/>
      <c r="L151" s="43"/>
    </row>
    <row r="152" spans="2:12" hidden="1" outlineLevel="1">
      <c r="B152" s="7" t="str">
        <f t="shared" si="8"/>
        <v/>
      </c>
      <c r="C152" s="41"/>
      <c r="D152" s="41"/>
      <c r="E152" s="58"/>
      <c r="F152" s="41"/>
      <c r="G152" s="41"/>
      <c r="H152" s="41"/>
      <c r="I152" s="42"/>
      <c r="J152" s="41"/>
      <c r="K152" s="41"/>
      <c r="L152" s="43"/>
    </row>
    <row r="153" spans="2:12" hidden="1" outlineLevel="1">
      <c r="B153" s="7" t="str">
        <f t="shared" si="8"/>
        <v/>
      </c>
      <c r="C153" s="41"/>
      <c r="D153" s="41"/>
      <c r="E153" s="41"/>
      <c r="F153" s="41"/>
      <c r="G153" s="41"/>
      <c r="H153" s="41"/>
      <c r="I153" s="42"/>
      <c r="J153" s="41"/>
      <c r="K153" s="41"/>
      <c r="L153" s="43"/>
    </row>
    <row r="154" spans="2:12" hidden="1" outlineLevel="1">
      <c r="B154" s="7" t="str">
        <f t="shared" si="8"/>
        <v/>
      </c>
      <c r="C154" s="41"/>
      <c r="D154" s="41"/>
      <c r="E154" s="41"/>
      <c r="F154" s="41"/>
      <c r="G154" s="41"/>
      <c r="H154" s="41"/>
      <c r="I154" s="42"/>
      <c r="J154" s="41"/>
      <c r="K154" s="41"/>
      <c r="L154" s="43"/>
    </row>
    <row r="155" spans="2:12" hidden="1" outlineLevel="1">
      <c r="B155" s="7" t="str">
        <f t="shared" si="8"/>
        <v/>
      </c>
      <c r="C155" s="41"/>
      <c r="D155" s="41"/>
      <c r="E155" s="41"/>
      <c r="F155" s="41"/>
      <c r="G155" s="41"/>
      <c r="H155" s="41"/>
      <c r="I155" s="42"/>
      <c r="J155" s="41"/>
      <c r="K155" s="41"/>
      <c r="L155" s="43"/>
    </row>
    <row r="156" spans="2:12" hidden="1" outlineLevel="1">
      <c r="B156" s="7" t="str">
        <f t="shared" si="8"/>
        <v/>
      </c>
      <c r="C156" s="41"/>
      <c r="D156" s="41"/>
      <c r="E156" s="41"/>
      <c r="F156" s="41"/>
      <c r="G156" s="41"/>
      <c r="H156" s="41"/>
      <c r="I156" s="42"/>
      <c r="J156" s="41"/>
      <c r="K156" s="41"/>
      <c r="L156" s="43"/>
    </row>
    <row r="157" spans="2:12" hidden="1" outlineLevel="1">
      <c r="B157" s="7" t="str">
        <f t="shared" ref="B157:B220" si="9">IF(C157="","",(B156+1))</f>
        <v/>
      </c>
      <c r="C157" s="41"/>
      <c r="D157" s="41"/>
      <c r="E157" s="41"/>
      <c r="F157" s="41"/>
      <c r="G157" s="41"/>
      <c r="H157" s="41"/>
      <c r="I157" s="42"/>
      <c r="J157" s="41"/>
      <c r="K157" s="41"/>
      <c r="L157" s="43"/>
    </row>
    <row r="158" spans="2:12" hidden="1" outlineLevel="1">
      <c r="B158" s="7" t="str">
        <f t="shared" si="9"/>
        <v/>
      </c>
      <c r="C158" s="41"/>
      <c r="D158" s="41"/>
      <c r="E158" s="41"/>
      <c r="F158" s="41"/>
      <c r="G158" s="41"/>
      <c r="H158" s="41"/>
      <c r="I158" s="42"/>
      <c r="J158" s="41"/>
      <c r="K158" s="41"/>
      <c r="L158" s="43"/>
    </row>
    <row r="159" spans="2:12" hidden="1" outlineLevel="1">
      <c r="B159" s="7" t="str">
        <f t="shared" si="9"/>
        <v/>
      </c>
      <c r="C159" s="41"/>
      <c r="D159" s="41"/>
      <c r="E159" s="58"/>
      <c r="F159" s="41"/>
      <c r="G159" s="41"/>
      <c r="H159" s="41"/>
      <c r="I159" s="42"/>
      <c r="J159" s="41"/>
      <c r="K159" s="41"/>
      <c r="L159" s="43"/>
    </row>
    <row r="160" spans="2:12" hidden="1" outlineLevel="1">
      <c r="B160" s="7" t="str">
        <f t="shared" si="9"/>
        <v/>
      </c>
      <c r="C160" s="41"/>
      <c r="D160" s="41"/>
      <c r="E160" s="41"/>
      <c r="F160" s="41"/>
      <c r="G160" s="41"/>
      <c r="H160" s="41"/>
      <c r="I160" s="42"/>
      <c r="J160" s="41"/>
      <c r="K160" s="41"/>
      <c r="L160" s="43"/>
    </row>
    <row r="161" spans="2:12" hidden="1" outlineLevel="1">
      <c r="B161" s="7" t="str">
        <f t="shared" si="9"/>
        <v/>
      </c>
      <c r="C161" s="41"/>
      <c r="D161" s="41"/>
      <c r="E161" s="58"/>
      <c r="F161" s="41"/>
      <c r="G161" s="41"/>
      <c r="H161" s="41"/>
      <c r="I161" s="42"/>
      <c r="J161" s="41"/>
      <c r="K161" s="41"/>
      <c r="L161" s="43"/>
    </row>
    <row r="162" spans="2:12" hidden="1" outlineLevel="1">
      <c r="B162" s="7" t="str">
        <f t="shared" si="9"/>
        <v/>
      </c>
      <c r="C162" s="41"/>
      <c r="D162" s="41"/>
      <c r="E162" s="41"/>
      <c r="F162" s="41"/>
      <c r="G162" s="41"/>
      <c r="H162" s="41"/>
      <c r="I162" s="42"/>
      <c r="J162" s="41"/>
      <c r="K162" s="41"/>
      <c r="L162" s="43"/>
    </row>
    <row r="163" spans="2:12" hidden="1" outlineLevel="1">
      <c r="B163" s="7" t="str">
        <f t="shared" si="9"/>
        <v/>
      </c>
      <c r="C163" s="41"/>
      <c r="D163" s="41"/>
      <c r="E163" s="41"/>
      <c r="F163" s="41"/>
      <c r="G163" s="41"/>
      <c r="H163" s="41"/>
      <c r="I163" s="42"/>
      <c r="J163" s="41"/>
      <c r="K163" s="41"/>
      <c r="L163" s="43"/>
    </row>
    <row r="164" spans="2:12" hidden="1" outlineLevel="1">
      <c r="B164" s="7" t="str">
        <f t="shared" si="9"/>
        <v/>
      </c>
      <c r="C164" s="41"/>
      <c r="D164" s="41"/>
      <c r="E164" s="41"/>
      <c r="F164" s="41"/>
      <c r="G164" s="41"/>
      <c r="H164" s="41"/>
      <c r="I164" s="42"/>
      <c r="J164" s="41"/>
      <c r="K164" s="41"/>
      <c r="L164" s="43"/>
    </row>
    <row r="165" spans="2:12" hidden="1" outlineLevel="1">
      <c r="B165" s="7" t="str">
        <f t="shared" si="9"/>
        <v/>
      </c>
      <c r="C165" s="41"/>
      <c r="D165" s="41"/>
      <c r="E165" s="41"/>
      <c r="F165" s="41"/>
      <c r="G165" s="41"/>
      <c r="H165" s="41"/>
      <c r="I165" s="42"/>
      <c r="J165" s="41"/>
      <c r="K165" s="41"/>
      <c r="L165" s="43"/>
    </row>
    <row r="166" spans="2:12" hidden="1" outlineLevel="1">
      <c r="B166" s="7" t="str">
        <f t="shared" si="9"/>
        <v/>
      </c>
      <c r="C166" s="41"/>
      <c r="D166" s="41"/>
      <c r="E166" s="41"/>
      <c r="F166" s="41"/>
      <c r="G166" s="41"/>
      <c r="H166" s="41"/>
      <c r="I166" s="42"/>
      <c r="J166" s="41"/>
      <c r="K166" s="41"/>
      <c r="L166" s="43"/>
    </row>
    <row r="167" spans="2:12" hidden="1" outlineLevel="1">
      <c r="B167" s="7" t="str">
        <f t="shared" si="9"/>
        <v/>
      </c>
      <c r="C167" s="41"/>
      <c r="D167" s="41"/>
      <c r="E167" s="58"/>
      <c r="F167" s="41"/>
      <c r="G167" s="41"/>
      <c r="H167" s="41"/>
      <c r="I167" s="42"/>
      <c r="J167" s="41"/>
      <c r="K167" s="41"/>
      <c r="L167" s="43"/>
    </row>
    <row r="168" spans="2:12" hidden="1" outlineLevel="1">
      <c r="B168" s="7" t="str">
        <f t="shared" si="9"/>
        <v/>
      </c>
      <c r="C168" s="41"/>
      <c r="D168" s="41"/>
      <c r="E168" s="41"/>
      <c r="F168" s="41"/>
      <c r="G168" s="41"/>
      <c r="H168" s="41"/>
      <c r="I168" s="42"/>
      <c r="J168" s="41"/>
      <c r="K168" s="41"/>
      <c r="L168" s="43"/>
    </row>
    <row r="169" spans="2:12" hidden="1" outlineLevel="1">
      <c r="B169" s="7" t="str">
        <f t="shared" si="9"/>
        <v/>
      </c>
      <c r="C169" s="41"/>
      <c r="D169" s="41"/>
      <c r="E169" s="41"/>
      <c r="F169" s="41"/>
      <c r="G169" s="41"/>
      <c r="H169" s="41"/>
      <c r="I169" s="42"/>
      <c r="J169" s="41"/>
      <c r="K169" s="41"/>
      <c r="L169" s="43"/>
    </row>
    <row r="170" spans="2:12" hidden="1" outlineLevel="1">
      <c r="B170" s="7" t="str">
        <f t="shared" si="9"/>
        <v/>
      </c>
      <c r="C170" s="41"/>
      <c r="D170" s="41"/>
      <c r="E170" s="41"/>
      <c r="F170" s="41"/>
      <c r="G170" s="41"/>
      <c r="H170" s="41"/>
      <c r="I170" s="42"/>
      <c r="J170" s="41"/>
      <c r="K170" s="41"/>
      <c r="L170" s="43"/>
    </row>
    <row r="171" spans="2:12" hidden="1" outlineLevel="1">
      <c r="B171" s="7" t="str">
        <f t="shared" si="9"/>
        <v/>
      </c>
      <c r="C171" s="41"/>
      <c r="D171" s="41"/>
      <c r="E171" s="41"/>
      <c r="F171" s="41"/>
      <c r="G171" s="41"/>
      <c r="H171" s="41"/>
      <c r="I171" s="42"/>
      <c r="J171" s="41"/>
      <c r="K171" s="41"/>
      <c r="L171" s="43"/>
    </row>
    <row r="172" spans="2:12" hidden="1" outlineLevel="1">
      <c r="B172" s="7" t="str">
        <f t="shared" si="9"/>
        <v/>
      </c>
      <c r="C172" s="41"/>
      <c r="D172" s="41"/>
      <c r="E172" s="58"/>
      <c r="F172" s="41"/>
      <c r="G172" s="41"/>
      <c r="H172" s="41"/>
      <c r="I172" s="42"/>
      <c r="J172" s="41"/>
      <c r="K172" s="41"/>
      <c r="L172" s="43"/>
    </row>
    <row r="173" spans="2:12" hidden="1" outlineLevel="1">
      <c r="B173" s="7" t="str">
        <f t="shared" si="9"/>
        <v/>
      </c>
      <c r="C173" s="41"/>
      <c r="D173" s="41"/>
      <c r="E173" s="41"/>
      <c r="F173" s="41"/>
      <c r="G173" s="41"/>
      <c r="H173" s="41"/>
      <c r="I173" s="42"/>
      <c r="J173" s="41"/>
      <c r="K173" s="41"/>
      <c r="L173" s="43"/>
    </row>
    <row r="174" spans="2:12" hidden="1" outlineLevel="1">
      <c r="B174" s="7" t="str">
        <f t="shared" si="9"/>
        <v/>
      </c>
      <c r="C174" s="41"/>
      <c r="D174" s="41"/>
      <c r="E174" s="41"/>
      <c r="F174" s="41"/>
      <c r="G174" s="41"/>
      <c r="H174" s="41"/>
      <c r="I174" s="42"/>
      <c r="J174" s="41"/>
      <c r="K174" s="41"/>
      <c r="L174" s="43"/>
    </row>
    <row r="175" spans="2:12" hidden="1" outlineLevel="1">
      <c r="B175" s="7" t="str">
        <f t="shared" si="9"/>
        <v/>
      </c>
      <c r="C175" s="41"/>
      <c r="D175" s="41"/>
      <c r="E175" s="41"/>
      <c r="F175" s="41"/>
      <c r="G175" s="41"/>
      <c r="H175" s="41"/>
      <c r="I175" s="42"/>
      <c r="J175" s="41"/>
      <c r="K175" s="41"/>
      <c r="L175" s="43"/>
    </row>
    <row r="176" spans="2:12" hidden="1" outlineLevel="1">
      <c r="B176" s="7" t="str">
        <f t="shared" si="9"/>
        <v/>
      </c>
      <c r="C176" s="41"/>
      <c r="D176" s="41"/>
      <c r="E176" s="41"/>
      <c r="F176" s="41"/>
      <c r="G176" s="41"/>
      <c r="H176" s="41"/>
      <c r="I176" s="42"/>
      <c r="J176" s="41"/>
      <c r="K176" s="41"/>
      <c r="L176" s="43"/>
    </row>
    <row r="177" spans="2:12" hidden="1" outlineLevel="1">
      <c r="B177" s="7" t="str">
        <f t="shared" si="9"/>
        <v/>
      </c>
      <c r="C177" s="41"/>
      <c r="D177" s="41"/>
      <c r="E177" s="41"/>
      <c r="F177" s="41"/>
      <c r="G177" s="41"/>
      <c r="H177" s="41"/>
      <c r="I177" s="42"/>
      <c r="J177" s="41"/>
      <c r="K177" s="41"/>
      <c r="L177" s="43"/>
    </row>
    <row r="178" spans="2:12" hidden="1" outlineLevel="1">
      <c r="B178" s="7" t="str">
        <f t="shared" si="9"/>
        <v/>
      </c>
      <c r="C178" s="41"/>
      <c r="D178" s="41"/>
      <c r="E178" s="41"/>
      <c r="F178" s="41"/>
      <c r="G178" s="41"/>
      <c r="H178" s="41"/>
      <c r="I178" s="42"/>
      <c r="J178" s="41"/>
      <c r="K178" s="41"/>
      <c r="L178" s="43"/>
    </row>
    <row r="179" spans="2:12" hidden="1" outlineLevel="1">
      <c r="B179" s="7" t="str">
        <f t="shared" si="9"/>
        <v/>
      </c>
      <c r="C179" s="41"/>
      <c r="D179" s="41"/>
      <c r="E179" s="41"/>
      <c r="F179" s="41"/>
      <c r="G179" s="41"/>
      <c r="H179" s="41"/>
      <c r="I179" s="42"/>
      <c r="J179" s="41"/>
      <c r="K179" s="41"/>
      <c r="L179" s="43"/>
    </row>
    <row r="180" spans="2:12" hidden="1" outlineLevel="1">
      <c r="B180" s="7" t="str">
        <f t="shared" si="9"/>
        <v/>
      </c>
      <c r="C180" s="41"/>
      <c r="D180" s="41"/>
      <c r="E180" s="41"/>
      <c r="F180" s="41"/>
      <c r="G180" s="41"/>
      <c r="H180" s="41"/>
      <c r="I180" s="42"/>
      <c r="J180" s="41"/>
      <c r="K180" s="41"/>
      <c r="L180" s="43"/>
    </row>
    <row r="181" spans="2:12" hidden="1" outlineLevel="1">
      <c r="B181" s="7" t="str">
        <f t="shared" si="9"/>
        <v/>
      </c>
      <c r="C181" s="41"/>
      <c r="D181" s="41"/>
      <c r="E181" s="41"/>
      <c r="F181" s="41"/>
      <c r="G181" s="41"/>
      <c r="H181" s="41"/>
      <c r="I181" s="42"/>
      <c r="J181" s="41"/>
      <c r="K181" s="41"/>
      <c r="L181" s="43"/>
    </row>
    <row r="182" spans="2:12" hidden="1" outlineLevel="1">
      <c r="B182" s="7" t="str">
        <f t="shared" si="9"/>
        <v/>
      </c>
      <c r="C182" s="41"/>
      <c r="D182" s="41"/>
      <c r="E182" s="41"/>
      <c r="F182" s="41"/>
      <c r="G182" s="41"/>
      <c r="H182" s="41"/>
      <c r="I182" s="42"/>
      <c r="J182" s="41"/>
      <c r="K182" s="41"/>
      <c r="L182" s="43"/>
    </row>
    <row r="183" spans="2:12" hidden="1" outlineLevel="1">
      <c r="B183" s="7" t="str">
        <f t="shared" si="9"/>
        <v/>
      </c>
      <c r="C183" s="41"/>
      <c r="D183" s="41"/>
      <c r="E183" s="41"/>
      <c r="F183" s="41"/>
      <c r="G183" s="41"/>
      <c r="H183" s="41"/>
      <c r="I183" s="42"/>
      <c r="J183" s="41"/>
      <c r="K183" s="41"/>
      <c r="L183" s="43"/>
    </row>
    <row r="184" spans="2:12" hidden="1" outlineLevel="1">
      <c r="B184" s="7" t="str">
        <f t="shared" si="9"/>
        <v/>
      </c>
      <c r="C184" s="41"/>
      <c r="D184" s="41"/>
      <c r="E184" s="41"/>
      <c r="F184" s="41"/>
      <c r="G184" s="41"/>
      <c r="H184" s="41"/>
      <c r="I184" s="42"/>
      <c r="J184" s="41"/>
      <c r="K184" s="41"/>
      <c r="L184" s="43"/>
    </row>
    <row r="185" spans="2:12" hidden="1" outlineLevel="1">
      <c r="B185" s="7" t="str">
        <f t="shared" si="9"/>
        <v/>
      </c>
      <c r="C185" s="41"/>
      <c r="D185" s="41"/>
      <c r="E185" s="41"/>
      <c r="F185" s="41"/>
      <c r="G185" s="41"/>
      <c r="H185" s="41"/>
      <c r="I185" s="42"/>
      <c r="J185" s="41"/>
      <c r="K185" s="41"/>
      <c r="L185" s="43"/>
    </row>
    <row r="186" spans="2:12" hidden="1" outlineLevel="1">
      <c r="B186" s="7" t="str">
        <f t="shared" si="9"/>
        <v/>
      </c>
      <c r="C186" s="41"/>
      <c r="D186" s="41"/>
      <c r="E186" s="41"/>
      <c r="F186" s="41"/>
      <c r="G186" s="41"/>
      <c r="H186" s="41"/>
      <c r="I186" s="42"/>
      <c r="J186" s="41"/>
      <c r="K186" s="41"/>
      <c r="L186" s="43"/>
    </row>
    <row r="187" spans="2:12" hidden="1" outlineLevel="1">
      <c r="B187" s="7" t="str">
        <f t="shared" si="9"/>
        <v/>
      </c>
      <c r="C187" s="41"/>
      <c r="D187" s="41"/>
      <c r="E187" s="41"/>
      <c r="F187" s="41"/>
      <c r="G187" s="41"/>
      <c r="H187" s="41"/>
      <c r="I187" s="42"/>
      <c r="J187" s="41"/>
      <c r="K187" s="41"/>
      <c r="L187" s="43"/>
    </row>
    <row r="188" spans="2:12" hidden="1" outlineLevel="1">
      <c r="B188" s="7" t="str">
        <f t="shared" si="9"/>
        <v/>
      </c>
      <c r="C188" s="41"/>
      <c r="D188" s="41"/>
      <c r="E188" s="41"/>
      <c r="F188" s="41"/>
      <c r="G188" s="41"/>
      <c r="H188" s="41"/>
      <c r="I188" s="42"/>
      <c r="J188" s="41"/>
      <c r="K188" s="41"/>
      <c r="L188" s="43"/>
    </row>
    <row r="189" spans="2:12" hidden="1" outlineLevel="1">
      <c r="B189" s="7" t="str">
        <f t="shared" si="9"/>
        <v/>
      </c>
      <c r="C189" s="41"/>
      <c r="D189" s="41"/>
      <c r="E189" s="41"/>
      <c r="F189" s="41"/>
      <c r="G189" s="41"/>
      <c r="H189" s="41"/>
      <c r="I189" s="42"/>
      <c r="J189" s="41"/>
      <c r="K189" s="41"/>
      <c r="L189" s="43"/>
    </row>
    <row r="190" spans="2:12" hidden="1" outlineLevel="1">
      <c r="B190" s="7" t="str">
        <f t="shared" si="9"/>
        <v/>
      </c>
      <c r="C190" s="41"/>
      <c r="D190" s="41"/>
      <c r="E190" s="41"/>
      <c r="F190" s="41"/>
      <c r="G190" s="41"/>
      <c r="H190" s="41"/>
      <c r="I190" s="42"/>
      <c r="J190" s="41"/>
      <c r="K190" s="41"/>
      <c r="L190" s="43"/>
    </row>
    <row r="191" spans="2:12" hidden="1" outlineLevel="1">
      <c r="B191" s="7" t="str">
        <f t="shared" si="9"/>
        <v/>
      </c>
      <c r="C191" s="41"/>
      <c r="D191" s="41"/>
      <c r="E191" s="41"/>
      <c r="F191" s="41"/>
      <c r="G191" s="41"/>
      <c r="H191" s="41"/>
      <c r="I191" s="42"/>
      <c r="J191" s="41"/>
      <c r="K191" s="41"/>
      <c r="L191" s="43"/>
    </row>
    <row r="192" spans="2:12" hidden="1" outlineLevel="1">
      <c r="B192" s="7" t="str">
        <f t="shared" si="9"/>
        <v/>
      </c>
      <c r="C192" s="41"/>
      <c r="D192" s="41"/>
      <c r="E192" s="41"/>
      <c r="F192" s="41"/>
      <c r="G192" s="41"/>
      <c r="H192" s="41"/>
      <c r="I192" s="42"/>
      <c r="J192" s="41"/>
      <c r="K192" s="41"/>
      <c r="L192" s="43"/>
    </row>
    <row r="193" spans="2:12" hidden="1" outlineLevel="1">
      <c r="B193" s="7" t="str">
        <f t="shared" si="9"/>
        <v/>
      </c>
      <c r="C193" s="41"/>
      <c r="D193" s="41"/>
      <c r="E193" s="41"/>
      <c r="F193" s="41"/>
      <c r="G193" s="41"/>
      <c r="H193" s="41"/>
      <c r="I193" s="42"/>
      <c r="J193" s="41"/>
      <c r="K193" s="41"/>
      <c r="L193" s="43"/>
    </row>
    <row r="194" spans="2:12" hidden="1" outlineLevel="1">
      <c r="B194" s="7" t="str">
        <f t="shared" si="9"/>
        <v/>
      </c>
      <c r="C194" s="41"/>
      <c r="D194" s="41"/>
      <c r="E194" s="41"/>
      <c r="F194" s="41"/>
      <c r="G194" s="41"/>
      <c r="H194" s="41"/>
      <c r="I194" s="42"/>
      <c r="J194" s="41"/>
      <c r="K194" s="41"/>
      <c r="L194" s="43"/>
    </row>
    <row r="195" spans="2:12" hidden="1" outlineLevel="1">
      <c r="B195" s="7" t="str">
        <f t="shared" si="9"/>
        <v/>
      </c>
      <c r="C195" s="41"/>
      <c r="D195" s="41"/>
      <c r="E195" s="41"/>
      <c r="F195" s="41"/>
      <c r="G195" s="41"/>
      <c r="H195" s="41"/>
      <c r="I195" s="42"/>
      <c r="J195" s="41"/>
      <c r="K195" s="41"/>
      <c r="L195" s="43"/>
    </row>
    <row r="196" spans="2:12" hidden="1" outlineLevel="1">
      <c r="B196" s="7" t="str">
        <f t="shared" si="9"/>
        <v/>
      </c>
      <c r="C196" s="41"/>
      <c r="D196" s="41"/>
      <c r="E196" s="41"/>
      <c r="F196" s="41"/>
      <c r="G196" s="41"/>
      <c r="H196" s="41"/>
      <c r="I196" s="42"/>
      <c r="J196" s="41"/>
      <c r="K196" s="41"/>
      <c r="L196" s="43"/>
    </row>
    <row r="197" spans="2:12" hidden="1" outlineLevel="1">
      <c r="B197" s="7" t="str">
        <f t="shared" si="9"/>
        <v/>
      </c>
      <c r="C197" s="41"/>
      <c r="D197" s="41"/>
      <c r="E197" s="41"/>
      <c r="F197" s="41"/>
      <c r="G197" s="41"/>
      <c r="H197" s="41"/>
      <c r="I197" s="42"/>
      <c r="J197" s="41"/>
      <c r="K197" s="41"/>
      <c r="L197" s="43"/>
    </row>
    <row r="198" spans="2:12" hidden="1" outlineLevel="1">
      <c r="B198" s="7" t="str">
        <f t="shared" si="9"/>
        <v/>
      </c>
      <c r="C198" s="41"/>
      <c r="D198" s="41"/>
      <c r="E198" s="41"/>
      <c r="F198" s="41"/>
      <c r="G198" s="41"/>
      <c r="H198" s="41"/>
      <c r="I198" s="42"/>
      <c r="J198" s="41"/>
      <c r="K198" s="41"/>
      <c r="L198" s="43"/>
    </row>
    <row r="199" spans="2:12" hidden="1" outlineLevel="1">
      <c r="B199" s="7" t="str">
        <f t="shared" si="9"/>
        <v/>
      </c>
      <c r="C199" s="41"/>
      <c r="D199" s="41"/>
      <c r="E199" s="41"/>
      <c r="F199" s="41"/>
      <c r="G199" s="41"/>
      <c r="H199" s="41"/>
      <c r="I199" s="42"/>
      <c r="J199" s="41"/>
      <c r="K199" s="41"/>
      <c r="L199" s="43"/>
    </row>
    <row r="200" spans="2:12" hidden="1" outlineLevel="1">
      <c r="B200" s="7" t="str">
        <f t="shared" si="9"/>
        <v/>
      </c>
      <c r="C200" s="41"/>
      <c r="D200" s="41"/>
      <c r="E200" s="41"/>
      <c r="F200" s="41"/>
      <c r="G200" s="41"/>
      <c r="H200" s="41"/>
      <c r="I200" s="42"/>
      <c r="J200" s="41"/>
      <c r="K200" s="41"/>
      <c r="L200" s="43"/>
    </row>
    <row r="201" spans="2:12" hidden="1" outlineLevel="1">
      <c r="B201" s="7" t="str">
        <f t="shared" si="9"/>
        <v/>
      </c>
      <c r="C201" s="41"/>
      <c r="D201" s="41"/>
      <c r="E201" s="41"/>
      <c r="F201" s="41"/>
      <c r="G201" s="41"/>
      <c r="H201" s="41"/>
      <c r="I201" s="42"/>
      <c r="J201" s="41"/>
      <c r="K201" s="41"/>
      <c r="L201" s="43"/>
    </row>
    <row r="202" spans="2:12" hidden="1" outlineLevel="1">
      <c r="B202" s="7" t="str">
        <f t="shared" si="9"/>
        <v/>
      </c>
      <c r="C202" s="41"/>
      <c r="D202" s="41"/>
      <c r="E202" s="41"/>
      <c r="F202" s="41"/>
      <c r="G202" s="41"/>
      <c r="H202" s="41"/>
      <c r="I202" s="42"/>
      <c r="J202" s="41"/>
      <c r="K202" s="41"/>
      <c r="L202" s="43"/>
    </row>
    <row r="203" spans="2:12" hidden="1" outlineLevel="1">
      <c r="B203" s="7" t="str">
        <f t="shared" si="9"/>
        <v/>
      </c>
      <c r="C203" s="41"/>
      <c r="D203" s="41"/>
      <c r="E203" s="41"/>
      <c r="F203" s="41"/>
      <c r="G203" s="41"/>
      <c r="H203" s="41"/>
      <c r="I203" s="42"/>
      <c r="J203" s="41"/>
      <c r="K203" s="41"/>
      <c r="L203" s="43"/>
    </row>
    <row r="204" spans="2:12" hidden="1" outlineLevel="1">
      <c r="B204" s="7" t="str">
        <f t="shared" si="9"/>
        <v/>
      </c>
      <c r="C204" s="41"/>
      <c r="D204" s="41"/>
      <c r="E204" s="41"/>
      <c r="F204" s="41"/>
      <c r="G204" s="41"/>
      <c r="H204" s="41"/>
      <c r="I204" s="42"/>
      <c r="J204" s="41"/>
      <c r="K204" s="41"/>
      <c r="L204" s="43"/>
    </row>
    <row r="205" spans="2:12" hidden="1" outlineLevel="1">
      <c r="B205" s="7" t="str">
        <f t="shared" si="9"/>
        <v/>
      </c>
      <c r="C205" s="41"/>
      <c r="D205" s="41"/>
      <c r="E205" s="41"/>
      <c r="F205" s="41"/>
      <c r="G205" s="41"/>
      <c r="H205" s="41"/>
      <c r="I205" s="42"/>
      <c r="J205" s="41"/>
      <c r="K205" s="41"/>
      <c r="L205" s="43"/>
    </row>
    <row r="206" spans="2:12" hidden="1" outlineLevel="1">
      <c r="B206" s="7" t="str">
        <f t="shared" si="9"/>
        <v/>
      </c>
      <c r="C206" s="41"/>
      <c r="D206" s="41"/>
      <c r="E206" s="41"/>
      <c r="F206" s="41"/>
      <c r="G206" s="41"/>
      <c r="H206" s="41"/>
      <c r="I206" s="42"/>
      <c r="J206" s="41"/>
      <c r="K206" s="41"/>
      <c r="L206" s="43"/>
    </row>
    <row r="207" spans="2:12" hidden="1" outlineLevel="1">
      <c r="B207" s="7" t="str">
        <f t="shared" si="9"/>
        <v/>
      </c>
      <c r="C207" s="41"/>
      <c r="D207" s="41"/>
      <c r="E207" s="41"/>
      <c r="F207" s="41"/>
      <c r="G207" s="41"/>
      <c r="H207" s="41"/>
      <c r="I207" s="42"/>
      <c r="J207" s="41"/>
      <c r="K207" s="41"/>
      <c r="L207" s="43"/>
    </row>
    <row r="208" spans="2:12" hidden="1" outlineLevel="1">
      <c r="B208" s="7" t="str">
        <f t="shared" si="9"/>
        <v/>
      </c>
      <c r="C208" s="41"/>
      <c r="D208" s="41"/>
      <c r="E208" s="41"/>
      <c r="F208" s="41"/>
      <c r="G208" s="41"/>
      <c r="H208" s="41"/>
      <c r="I208" s="42"/>
      <c r="J208" s="41"/>
      <c r="K208" s="41"/>
      <c r="L208" s="43"/>
    </row>
    <row r="209" spans="2:12" hidden="1" outlineLevel="1">
      <c r="B209" s="7" t="str">
        <f t="shared" si="9"/>
        <v/>
      </c>
      <c r="C209" s="41"/>
      <c r="D209" s="41"/>
      <c r="E209" s="41"/>
      <c r="F209" s="41"/>
      <c r="G209" s="41"/>
      <c r="H209" s="41"/>
      <c r="I209" s="42"/>
      <c r="J209" s="41"/>
      <c r="K209" s="41"/>
      <c r="L209" s="43"/>
    </row>
    <row r="210" spans="2:12" hidden="1" outlineLevel="1">
      <c r="B210" s="7" t="str">
        <f t="shared" si="9"/>
        <v/>
      </c>
      <c r="C210" s="41"/>
      <c r="D210" s="41"/>
      <c r="E210" s="41"/>
      <c r="F210" s="41"/>
      <c r="G210" s="41"/>
      <c r="H210" s="41"/>
      <c r="I210" s="42"/>
      <c r="J210" s="41"/>
      <c r="K210" s="41"/>
      <c r="L210" s="43"/>
    </row>
    <row r="211" spans="2:12" hidden="1" outlineLevel="1">
      <c r="B211" s="7" t="str">
        <f t="shared" si="9"/>
        <v/>
      </c>
      <c r="C211" s="41"/>
      <c r="D211" s="41"/>
      <c r="E211" s="41"/>
      <c r="F211" s="41"/>
      <c r="G211" s="41"/>
      <c r="H211" s="41"/>
      <c r="I211" s="42"/>
      <c r="J211" s="41"/>
      <c r="K211" s="41"/>
      <c r="L211" s="43"/>
    </row>
    <row r="212" spans="2:12" hidden="1" outlineLevel="1">
      <c r="B212" s="7" t="str">
        <f t="shared" si="9"/>
        <v/>
      </c>
      <c r="C212" s="41"/>
      <c r="D212" s="41"/>
      <c r="E212" s="41"/>
      <c r="F212" s="41"/>
      <c r="G212" s="41"/>
      <c r="H212" s="41"/>
      <c r="I212" s="42"/>
      <c r="J212" s="41"/>
      <c r="K212" s="41"/>
      <c r="L212" s="43"/>
    </row>
    <row r="213" spans="2:12" hidden="1" outlineLevel="1">
      <c r="B213" s="7" t="str">
        <f t="shared" si="9"/>
        <v/>
      </c>
      <c r="C213" s="41"/>
      <c r="D213" s="41"/>
      <c r="E213" s="41"/>
      <c r="F213" s="41"/>
      <c r="G213" s="41"/>
      <c r="H213" s="41"/>
      <c r="I213" s="42"/>
      <c r="J213" s="41"/>
      <c r="K213" s="41"/>
      <c r="L213" s="43"/>
    </row>
    <row r="214" spans="2:12" hidden="1" outlineLevel="1">
      <c r="B214" s="7" t="str">
        <f t="shared" si="9"/>
        <v/>
      </c>
      <c r="C214" s="41"/>
      <c r="D214" s="41"/>
      <c r="E214" s="41"/>
      <c r="F214" s="41"/>
      <c r="G214" s="41"/>
      <c r="H214" s="41"/>
      <c r="I214" s="42"/>
      <c r="J214" s="41"/>
      <c r="K214" s="41"/>
      <c r="L214" s="43"/>
    </row>
    <row r="215" spans="2:12" hidden="1" outlineLevel="1">
      <c r="B215" s="7" t="str">
        <f t="shared" si="9"/>
        <v/>
      </c>
      <c r="C215" s="41"/>
      <c r="D215" s="41"/>
      <c r="E215" s="41"/>
      <c r="F215" s="41"/>
      <c r="G215" s="41"/>
      <c r="H215" s="41"/>
      <c r="I215" s="42"/>
      <c r="J215" s="41"/>
      <c r="K215" s="41"/>
      <c r="L215" s="43"/>
    </row>
    <row r="216" spans="2:12" hidden="1" outlineLevel="1">
      <c r="B216" s="7" t="str">
        <f t="shared" si="9"/>
        <v/>
      </c>
      <c r="C216" s="41"/>
      <c r="D216" s="41"/>
      <c r="E216" s="41"/>
      <c r="F216" s="41"/>
      <c r="G216" s="41"/>
      <c r="H216" s="41"/>
      <c r="I216" s="42"/>
      <c r="J216" s="41"/>
      <c r="K216" s="41"/>
      <c r="L216" s="43"/>
    </row>
    <row r="217" spans="2:12" hidden="1" outlineLevel="1">
      <c r="B217" s="7" t="str">
        <f t="shared" si="9"/>
        <v/>
      </c>
      <c r="C217" s="41"/>
      <c r="D217" s="41"/>
      <c r="E217" s="41"/>
      <c r="F217" s="41"/>
      <c r="G217" s="41"/>
      <c r="H217" s="41"/>
      <c r="I217" s="42"/>
      <c r="J217" s="41"/>
      <c r="K217" s="41"/>
      <c r="L217" s="43"/>
    </row>
    <row r="218" spans="2:12" hidden="1" outlineLevel="1">
      <c r="B218" s="7" t="str">
        <f t="shared" si="9"/>
        <v/>
      </c>
      <c r="C218" s="41"/>
      <c r="D218" s="41"/>
      <c r="E218" s="41"/>
      <c r="F218" s="41"/>
      <c r="G218" s="41"/>
      <c r="H218" s="41"/>
      <c r="I218" s="42"/>
      <c r="J218" s="41"/>
      <c r="K218" s="41"/>
      <c r="L218" s="43"/>
    </row>
    <row r="219" spans="2:12" hidden="1" outlineLevel="1">
      <c r="B219" s="7" t="str">
        <f t="shared" si="9"/>
        <v/>
      </c>
      <c r="C219" s="41"/>
      <c r="D219" s="41"/>
      <c r="E219" s="41"/>
      <c r="F219" s="41"/>
      <c r="G219" s="41"/>
      <c r="H219" s="41"/>
      <c r="I219" s="42"/>
      <c r="J219" s="41"/>
      <c r="K219" s="41"/>
      <c r="L219" s="43"/>
    </row>
    <row r="220" spans="2:12" hidden="1" outlineLevel="1">
      <c r="B220" s="7" t="str">
        <f t="shared" si="9"/>
        <v/>
      </c>
      <c r="C220" s="41"/>
      <c r="D220" s="41"/>
      <c r="E220" s="41"/>
      <c r="F220" s="41"/>
      <c r="G220" s="41"/>
      <c r="H220" s="41"/>
      <c r="I220" s="42"/>
      <c r="J220" s="41"/>
      <c r="K220" s="41"/>
      <c r="L220" s="43"/>
    </row>
    <row r="221" spans="2:12" hidden="1" outlineLevel="1">
      <c r="B221" s="7" t="str">
        <f t="shared" ref="B221:B284" si="10">IF(C221="","",(B220+1))</f>
        <v/>
      </c>
      <c r="C221" s="41"/>
      <c r="D221" s="41"/>
      <c r="E221" s="41"/>
      <c r="F221" s="41"/>
      <c r="G221" s="41"/>
      <c r="H221" s="41"/>
      <c r="I221" s="42"/>
      <c r="J221" s="41"/>
      <c r="K221" s="41"/>
      <c r="L221" s="43"/>
    </row>
    <row r="222" spans="2:12" hidden="1" outlineLevel="1">
      <c r="B222" s="7" t="str">
        <f t="shared" si="10"/>
        <v/>
      </c>
      <c r="C222" s="41"/>
      <c r="D222" s="41"/>
      <c r="E222" s="41"/>
      <c r="F222" s="41"/>
      <c r="G222" s="41"/>
      <c r="H222" s="41"/>
      <c r="I222" s="42"/>
      <c r="J222" s="41"/>
      <c r="K222" s="41"/>
      <c r="L222" s="43"/>
    </row>
    <row r="223" spans="2:12" hidden="1" outlineLevel="1">
      <c r="B223" s="7" t="str">
        <f t="shared" si="10"/>
        <v/>
      </c>
      <c r="C223" s="41"/>
      <c r="D223" s="41"/>
      <c r="E223" s="58"/>
      <c r="F223" s="41"/>
      <c r="G223" s="41"/>
      <c r="H223" s="41"/>
      <c r="I223" s="42"/>
      <c r="J223" s="41"/>
      <c r="K223" s="41"/>
      <c r="L223" s="43"/>
    </row>
    <row r="224" spans="2:12" hidden="1" outlineLevel="1">
      <c r="B224" s="7" t="str">
        <f t="shared" si="10"/>
        <v/>
      </c>
      <c r="C224" s="41"/>
      <c r="D224" s="41"/>
      <c r="E224" s="41"/>
      <c r="F224" s="41"/>
      <c r="G224" s="41"/>
      <c r="H224" s="41"/>
      <c r="I224" s="42"/>
      <c r="J224" s="41"/>
      <c r="K224" s="41"/>
      <c r="L224" s="43"/>
    </row>
    <row r="225" spans="2:12" hidden="1" outlineLevel="1">
      <c r="B225" s="7" t="str">
        <f t="shared" si="10"/>
        <v/>
      </c>
      <c r="C225" s="41"/>
      <c r="D225" s="41"/>
      <c r="E225" s="41"/>
      <c r="F225" s="41"/>
      <c r="G225" s="41"/>
      <c r="H225" s="41"/>
      <c r="I225" s="42"/>
      <c r="J225" s="41"/>
      <c r="K225" s="41"/>
      <c r="L225" s="43"/>
    </row>
    <row r="226" spans="2:12" hidden="1" outlineLevel="1">
      <c r="B226" s="7" t="str">
        <f t="shared" si="10"/>
        <v/>
      </c>
      <c r="C226" s="41"/>
      <c r="D226" s="41"/>
      <c r="E226" s="58"/>
      <c r="F226" s="41"/>
      <c r="G226" s="41"/>
      <c r="H226" s="41"/>
      <c r="I226" s="42"/>
      <c r="J226" s="41"/>
      <c r="K226" s="41"/>
      <c r="L226" s="43"/>
    </row>
    <row r="227" spans="2:12" hidden="1" outlineLevel="1">
      <c r="B227" s="7" t="str">
        <f t="shared" si="10"/>
        <v/>
      </c>
      <c r="C227" s="41"/>
      <c r="D227" s="41"/>
      <c r="E227" s="41"/>
      <c r="F227" s="41"/>
      <c r="G227" s="41"/>
      <c r="H227" s="41"/>
      <c r="I227" s="42"/>
      <c r="J227" s="41"/>
      <c r="K227" s="41"/>
      <c r="L227" s="43"/>
    </row>
    <row r="228" spans="2:12" hidden="1" outlineLevel="1">
      <c r="B228" s="7" t="str">
        <f t="shared" si="10"/>
        <v/>
      </c>
      <c r="C228" s="41"/>
      <c r="D228" s="41"/>
      <c r="E228" s="41"/>
      <c r="F228" s="41"/>
      <c r="G228" s="41"/>
      <c r="H228" s="41"/>
      <c r="I228" s="42"/>
      <c r="J228" s="41"/>
      <c r="K228" s="41"/>
      <c r="L228" s="43"/>
    </row>
    <row r="229" spans="2:12" hidden="1" outlineLevel="1">
      <c r="B229" s="7" t="str">
        <f t="shared" si="10"/>
        <v/>
      </c>
      <c r="C229" s="41"/>
      <c r="D229" s="41"/>
      <c r="E229" s="41"/>
      <c r="F229" s="41"/>
      <c r="G229" s="41"/>
      <c r="H229" s="41"/>
      <c r="I229" s="42"/>
      <c r="J229" s="41"/>
      <c r="K229" s="41"/>
      <c r="L229" s="43"/>
    </row>
    <row r="230" spans="2:12" hidden="1" outlineLevel="1">
      <c r="B230" s="7" t="str">
        <f t="shared" si="10"/>
        <v/>
      </c>
      <c r="C230" s="41"/>
      <c r="D230" s="41"/>
      <c r="E230" s="41"/>
      <c r="F230" s="41"/>
      <c r="G230" s="41"/>
      <c r="H230" s="41"/>
      <c r="I230" s="42"/>
      <c r="J230" s="41"/>
      <c r="K230" s="41"/>
      <c r="L230" s="43"/>
    </row>
    <row r="231" spans="2:12" hidden="1" outlineLevel="1">
      <c r="B231" s="7" t="str">
        <f t="shared" si="10"/>
        <v/>
      </c>
      <c r="C231" s="41"/>
      <c r="D231" s="41"/>
      <c r="E231" s="41"/>
      <c r="F231" s="41"/>
      <c r="G231" s="41"/>
      <c r="H231" s="41"/>
      <c r="I231" s="42"/>
      <c r="J231" s="41"/>
      <c r="K231" s="41"/>
      <c r="L231" s="43"/>
    </row>
    <row r="232" spans="2:12" hidden="1" outlineLevel="1">
      <c r="B232" s="7" t="str">
        <f t="shared" si="10"/>
        <v/>
      </c>
      <c r="C232" s="41"/>
      <c r="D232" s="41"/>
      <c r="E232" s="41"/>
      <c r="F232" s="41"/>
      <c r="G232" s="41"/>
      <c r="H232" s="41"/>
      <c r="I232" s="42"/>
      <c r="J232" s="41"/>
      <c r="K232" s="41"/>
      <c r="L232" s="43"/>
    </row>
    <row r="233" spans="2:12" hidden="1" outlineLevel="1">
      <c r="B233" s="7" t="str">
        <f t="shared" si="10"/>
        <v/>
      </c>
      <c r="C233" s="41"/>
      <c r="D233" s="41"/>
      <c r="E233" s="41"/>
      <c r="F233" s="41"/>
      <c r="G233" s="41"/>
      <c r="H233" s="41"/>
      <c r="I233" s="42"/>
      <c r="J233" s="41"/>
      <c r="K233" s="41"/>
      <c r="L233" s="43"/>
    </row>
    <row r="234" spans="2:12" hidden="1" outlineLevel="1">
      <c r="B234" s="7" t="str">
        <f t="shared" si="10"/>
        <v/>
      </c>
      <c r="C234" s="41"/>
      <c r="D234" s="41"/>
      <c r="E234" s="41"/>
      <c r="F234" s="41"/>
      <c r="G234" s="41"/>
      <c r="H234" s="41"/>
      <c r="I234" s="42"/>
      <c r="J234" s="41"/>
      <c r="K234" s="41"/>
      <c r="L234" s="43"/>
    </row>
    <row r="235" spans="2:12" hidden="1" outlineLevel="1">
      <c r="B235" s="7" t="str">
        <f t="shared" si="10"/>
        <v/>
      </c>
      <c r="C235" s="41"/>
      <c r="D235" s="41"/>
      <c r="E235" s="41"/>
      <c r="F235" s="41"/>
      <c r="G235" s="41"/>
      <c r="H235" s="41"/>
      <c r="I235" s="42"/>
      <c r="J235" s="41"/>
      <c r="K235" s="41"/>
      <c r="L235" s="43"/>
    </row>
    <row r="236" spans="2:12" hidden="1" outlineLevel="1">
      <c r="B236" s="7" t="str">
        <f t="shared" si="10"/>
        <v/>
      </c>
      <c r="C236" s="41"/>
      <c r="D236" s="41"/>
      <c r="E236" s="41"/>
      <c r="F236" s="41"/>
      <c r="G236" s="41"/>
      <c r="H236" s="41"/>
      <c r="I236" s="42"/>
      <c r="J236" s="41"/>
      <c r="K236" s="41"/>
      <c r="L236" s="43"/>
    </row>
    <row r="237" spans="2:12" hidden="1" outlineLevel="1">
      <c r="B237" s="7" t="str">
        <f t="shared" si="10"/>
        <v/>
      </c>
      <c r="C237" s="41"/>
      <c r="D237" s="41"/>
      <c r="E237" s="41"/>
      <c r="F237" s="41"/>
      <c r="G237" s="41"/>
      <c r="H237" s="41"/>
      <c r="I237" s="42"/>
      <c r="J237" s="41"/>
      <c r="K237" s="41"/>
      <c r="L237" s="43"/>
    </row>
    <row r="238" spans="2:12" hidden="1" outlineLevel="1">
      <c r="B238" s="7" t="str">
        <f t="shared" si="10"/>
        <v/>
      </c>
      <c r="C238" s="41"/>
      <c r="D238" s="41"/>
      <c r="E238" s="41"/>
      <c r="F238" s="41"/>
      <c r="G238" s="41"/>
      <c r="H238" s="41"/>
      <c r="I238" s="42"/>
      <c r="J238" s="41"/>
      <c r="K238" s="41"/>
      <c r="L238" s="43"/>
    </row>
    <row r="239" spans="2:12" hidden="1" outlineLevel="1">
      <c r="B239" s="7" t="str">
        <f t="shared" si="10"/>
        <v/>
      </c>
      <c r="C239" s="41"/>
      <c r="D239" s="41"/>
      <c r="E239" s="41"/>
      <c r="F239" s="41"/>
      <c r="G239" s="41"/>
      <c r="H239" s="41"/>
      <c r="I239" s="42"/>
      <c r="J239" s="41"/>
      <c r="K239" s="41"/>
      <c r="L239" s="43"/>
    </row>
    <row r="240" spans="2:12" hidden="1" outlineLevel="1">
      <c r="B240" s="7" t="str">
        <f t="shared" si="10"/>
        <v/>
      </c>
      <c r="C240" s="41"/>
      <c r="D240" s="41"/>
      <c r="E240" s="41"/>
      <c r="F240" s="41"/>
      <c r="G240" s="41"/>
      <c r="H240" s="41"/>
      <c r="I240" s="42"/>
      <c r="J240" s="41"/>
      <c r="K240" s="41"/>
      <c r="L240" s="43"/>
    </row>
    <row r="241" spans="2:12" hidden="1" outlineLevel="1">
      <c r="B241" s="7" t="str">
        <f t="shared" si="10"/>
        <v/>
      </c>
      <c r="C241" s="41"/>
      <c r="D241" s="41"/>
      <c r="E241" s="41"/>
      <c r="F241" s="41"/>
      <c r="G241" s="41"/>
      <c r="H241" s="41"/>
      <c r="I241" s="42"/>
      <c r="J241" s="41"/>
      <c r="K241" s="41"/>
      <c r="L241" s="43"/>
    </row>
    <row r="242" spans="2:12" hidden="1" outlineLevel="1">
      <c r="B242" s="7" t="str">
        <f t="shared" si="10"/>
        <v/>
      </c>
      <c r="C242" s="41"/>
      <c r="D242" s="41"/>
      <c r="E242" s="41"/>
      <c r="F242" s="41"/>
      <c r="G242" s="41"/>
      <c r="H242" s="41"/>
      <c r="I242" s="42"/>
      <c r="J242" s="41"/>
      <c r="K242" s="41"/>
      <c r="L242" s="43"/>
    </row>
    <row r="243" spans="2:12" hidden="1" outlineLevel="1">
      <c r="B243" s="7" t="str">
        <f t="shared" si="10"/>
        <v/>
      </c>
      <c r="C243" s="41"/>
      <c r="D243" s="41"/>
      <c r="E243" s="58"/>
      <c r="F243" s="41"/>
      <c r="G243" s="41"/>
      <c r="H243" s="41"/>
      <c r="I243" s="42"/>
      <c r="J243" s="41"/>
      <c r="K243" s="41"/>
      <c r="L243" s="43"/>
    </row>
    <row r="244" spans="2:12" hidden="1" outlineLevel="1">
      <c r="B244" s="7" t="str">
        <f t="shared" si="10"/>
        <v/>
      </c>
      <c r="C244" s="41"/>
      <c r="D244" s="41"/>
      <c r="E244" s="41"/>
      <c r="F244" s="41"/>
      <c r="G244" s="41"/>
      <c r="H244" s="41"/>
      <c r="I244" s="42"/>
      <c r="J244" s="41"/>
      <c r="K244" s="41"/>
      <c r="L244" s="43"/>
    </row>
    <row r="245" spans="2:12" hidden="1" outlineLevel="1">
      <c r="B245" s="7" t="str">
        <f t="shared" si="10"/>
        <v/>
      </c>
      <c r="C245" s="41"/>
      <c r="D245" s="41"/>
      <c r="E245" s="41"/>
      <c r="F245" s="41"/>
      <c r="G245" s="41"/>
      <c r="H245" s="41"/>
      <c r="I245" s="42"/>
      <c r="J245" s="41"/>
      <c r="K245" s="41"/>
      <c r="L245" s="43"/>
    </row>
    <row r="246" spans="2:12" hidden="1" outlineLevel="1">
      <c r="B246" s="7" t="str">
        <f t="shared" si="10"/>
        <v/>
      </c>
      <c r="C246" s="41"/>
      <c r="D246" s="41"/>
      <c r="E246" s="41"/>
      <c r="F246" s="41"/>
      <c r="G246" s="41"/>
      <c r="H246" s="41"/>
      <c r="I246" s="42"/>
      <c r="J246" s="41"/>
      <c r="K246" s="41"/>
      <c r="L246" s="43"/>
    </row>
    <row r="247" spans="2:12" hidden="1" outlineLevel="1">
      <c r="B247" s="7" t="str">
        <f t="shared" si="10"/>
        <v/>
      </c>
      <c r="C247" s="41"/>
      <c r="D247" s="41"/>
      <c r="E247" s="41"/>
      <c r="F247" s="41"/>
      <c r="G247" s="41"/>
      <c r="H247" s="41"/>
      <c r="I247" s="42"/>
      <c r="J247" s="41"/>
      <c r="K247" s="41"/>
      <c r="L247" s="43"/>
    </row>
    <row r="248" spans="2:12" hidden="1" outlineLevel="1">
      <c r="B248" s="7" t="str">
        <f t="shared" si="10"/>
        <v/>
      </c>
      <c r="C248" s="41"/>
      <c r="D248" s="41"/>
      <c r="E248" s="41"/>
      <c r="F248" s="41"/>
      <c r="G248" s="41"/>
      <c r="H248" s="41"/>
      <c r="I248" s="42"/>
      <c r="J248" s="41"/>
      <c r="K248" s="41"/>
      <c r="L248" s="43"/>
    </row>
    <row r="249" spans="2:12" hidden="1" outlineLevel="1">
      <c r="B249" s="7" t="str">
        <f t="shared" si="10"/>
        <v/>
      </c>
      <c r="C249" s="41"/>
      <c r="D249" s="41"/>
      <c r="E249" s="58"/>
      <c r="F249" s="41"/>
      <c r="G249" s="41"/>
      <c r="H249" s="41"/>
      <c r="I249" s="42"/>
      <c r="J249" s="41"/>
      <c r="K249" s="41"/>
      <c r="L249" s="43"/>
    </row>
    <row r="250" spans="2:12" hidden="1" outlineLevel="1">
      <c r="B250" s="7" t="str">
        <f t="shared" si="10"/>
        <v/>
      </c>
      <c r="C250" s="41"/>
      <c r="D250" s="41"/>
      <c r="E250" s="41"/>
      <c r="F250" s="41"/>
      <c r="G250" s="41"/>
      <c r="H250" s="41"/>
      <c r="I250" s="42"/>
      <c r="J250" s="41"/>
      <c r="K250" s="41"/>
      <c r="L250" s="43"/>
    </row>
    <row r="251" spans="2:12" hidden="1" outlineLevel="1">
      <c r="B251" s="7" t="str">
        <f t="shared" si="10"/>
        <v/>
      </c>
      <c r="C251" s="41"/>
      <c r="D251" s="41"/>
      <c r="E251" s="41"/>
      <c r="F251" s="41"/>
      <c r="G251" s="41"/>
      <c r="H251" s="41"/>
      <c r="I251" s="42"/>
      <c r="J251" s="41"/>
      <c r="K251" s="41"/>
      <c r="L251" s="43"/>
    </row>
    <row r="252" spans="2:12" hidden="1" outlineLevel="1">
      <c r="B252" s="7" t="str">
        <f t="shared" si="10"/>
        <v/>
      </c>
      <c r="C252" s="41"/>
      <c r="D252" s="41"/>
      <c r="E252" s="58"/>
      <c r="F252" s="41"/>
      <c r="G252" s="41"/>
      <c r="H252" s="41"/>
      <c r="I252" s="42"/>
      <c r="J252" s="41"/>
      <c r="K252" s="41"/>
      <c r="L252" s="43"/>
    </row>
    <row r="253" spans="2:12" hidden="1" outlineLevel="1">
      <c r="B253" s="7" t="str">
        <f t="shared" si="10"/>
        <v/>
      </c>
      <c r="C253" s="41"/>
      <c r="D253" s="41"/>
      <c r="E253" s="58"/>
      <c r="F253" s="41"/>
      <c r="G253" s="41"/>
      <c r="H253" s="41"/>
      <c r="I253" s="42"/>
      <c r="J253" s="41"/>
      <c r="K253" s="41"/>
      <c r="L253" s="43"/>
    </row>
    <row r="254" spans="2:12" hidden="1" outlineLevel="1">
      <c r="B254" s="7" t="str">
        <f t="shared" si="10"/>
        <v/>
      </c>
      <c r="C254" s="41"/>
      <c r="D254" s="41"/>
      <c r="E254" s="58"/>
      <c r="F254" s="41"/>
      <c r="G254" s="41"/>
      <c r="H254" s="41"/>
      <c r="I254" s="42"/>
      <c r="J254" s="41"/>
      <c r="K254" s="41"/>
      <c r="L254" s="43"/>
    </row>
    <row r="255" spans="2:12" hidden="1" outlineLevel="1">
      <c r="B255" s="7" t="str">
        <f t="shared" si="10"/>
        <v/>
      </c>
      <c r="C255" s="41"/>
      <c r="D255" s="41"/>
      <c r="E255" s="41"/>
      <c r="F255" s="41"/>
      <c r="G255" s="41"/>
      <c r="H255" s="41"/>
      <c r="I255" s="42"/>
      <c r="J255" s="41"/>
      <c r="K255" s="41"/>
      <c r="L255" s="43"/>
    </row>
    <row r="256" spans="2:12" hidden="1" outlineLevel="1">
      <c r="B256" s="7" t="str">
        <f t="shared" si="10"/>
        <v/>
      </c>
      <c r="C256" s="41"/>
      <c r="D256" s="41"/>
      <c r="E256" s="41"/>
      <c r="F256" s="41"/>
      <c r="G256" s="41"/>
      <c r="H256" s="41"/>
      <c r="I256" s="42"/>
      <c r="J256" s="41"/>
      <c r="K256" s="41"/>
      <c r="L256" s="43"/>
    </row>
    <row r="257" spans="2:12" hidden="1" outlineLevel="1">
      <c r="B257" s="7" t="str">
        <f t="shared" si="10"/>
        <v/>
      </c>
      <c r="C257" s="41"/>
      <c r="D257" s="41"/>
      <c r="E257" s="41"/>
      <c r="F257" s="41"/>
      <c r="G257" s="41"/>
      <c r="H257" s="41"/>
      <c r="I257" s="42"/>
      <c r="J257" s="41"/>
      <c r="K257" s="41"/>
      <c r="L257" s="43"/>
    </row>
    <row r="258" spans="2:12" hidden="1" outlineLevel="1">
      <c r="B258" s="7" t="str">
        <f t="shared" si="10"/>
        <v/>
      </c>
      <c r="C258" s="41"/>
      <c r="D258" s="41"/>
      <c r="E258" s="41"/>
      <c r="F258" s="41"/>
      <c r="G258" s="41"/>
      <c r="H258" s="41"/>
      <c r="I258" s="42"/>
      <c r="J258" s="41"/>
      <c r="K258" s="41"/>
      <c r="L258" s="43"/>
    </row>
    <row r="259" spans="2:12" hidden="1" outlineLevel="1">
      <c r="B259" s="7" t="str">
        <f t="shared" si="10"/>
        <v/>
      </c>
      <c r="C259" s="41"/>
      <c r="D259" s="41"/>
      <c r="E259" s="41"/>
      <c r="F259" s="41"/>
      <c r="G259" s="41"/>
      <c r="H259" s="41"/>
      <c r="I259" s="42"/>
      <c r="J259" s="41"/>
      <c r="K259" s="41"/>
      <c r="L259" s="43"/>
    </row>
    <row r="260" spans="2:12" hidden="1" outlineLevel="1">
      <c r="B260" s="7" t="str">
        <f t="shared" si="10"/>
        <v/>
      </c>
      <c r="C260" s="41"/>
      <c r="D260" s="41"/>
      <c r="E260" s="41"/>
      <c r="F260" s="41"/>
      <c r="G260" s="41"/>
      <c r="H260" s="41"/>
      <c r="I260" s="42"/>
      <c r="J260" s="41"/>
      <c r="K260" s="41"/>
      <c r="L260" s="43"/>
    </row>
    <row r="261" spans="2:12" hidden="1" outlineLevel="1">
      <c r="B261" s="7" t="str">
        <f t="shared" si="10"/>
        <v/>
      </c>
      <c r="C261" s="41"/>
      <c r="D261" s="41"/>
      <c r="E261" s="41"/>
      <c r="F261" s="41"/>
      <c r="G261" s="41"/>
      <c r="H261" s="41"/>
      <c r="I261" s="42"/>
      <c r="J261" s="41"/>
      <c r="K261" s="41"/>
      <c r="L261" s="43"/>
    </row>
    <row r="262" spans="2:12" hidden="1" outlineLevel="1">
      <c r="B262" s="7" t="str">
        <f t="shared" si="10"/>
        <v/>
      </c>
      <c r="C262" s="41"/>
      <c r="D262" s="41"/>
      <c r="E262" s="41"/>
      <c r="F262" s="41"/>
      <c r="G262" s="41"/>
      <c r="H262" s="41"/>
      <c r="I262" s="42"/>
      <c r="J262" s="41"/>
      <c r="K262" s="41"/>
      <c r="L262" s="43"/>
    </row>
    <row r="263" spans="2:12" hidden="1" outlineLevel="1">
      <c r="B263" s="7" t="str">
        <f t="shared" si="10"/>
        <v/>
      </c>
      <c r="C263" s="41"/>
      <c r="D263" s="41"/>
      <c r="E263" s="41"/>
      <c r="F263" s="41"/>
      <c r="G263" s="41"/>
      <c r="H263" s="41"/>
      <c r="I263" s="42"/>
      <c r="J263" s="41"/>
      <c r="K263" s="41"/>
      <c r="L263" s="43"/>
    </row>
    <row r="264" spans="2:12" hidden="1" outlineLevel="1">
      <c r="B264" s="7" t="str">
        <f t="shared" si="10"/>
        <v/>
      </c>
      <c r="C264" s="41"/>
      <c r="D264" s="41"/>
      <c r="E264" s="41"/>
      <c r="F264" s="41"/>
      <c r="G264" s="41"/>
      <c r="H264" s="41"/>
      <c r="I264" s="42"/>
      <c r="J264" s="41"/>
      <c r="K264" s="41"/>
      <c r="L264" s="43"/>
    </row>
    <row r="265" spans="2:12" hidden="1" outlineLevel="1">
      <c r="B265" s="7" t="str">
        <f t="shared" si="10"/>
        <v/>
      </c>
      <c r="C265" s="41"/>
      <c r="D265" s="41"/>
      <c r="E265" s="41"/>
      <c r="F265" s="41"/>
      <c r="G265" s="41"/>
      <c r="H265" s="41"/>
      <c r="I265" s="42"/>
      <c r="J265" s="41"/>
      <c r="K265" s="41"/>
      <c r="L265" s="43"/>
    </row>
    <row r="266" spans="2:12" hidden="1" outlineLevel="1">
      <c r="B266" s="7" t="str">
        <f t="shared" si="10"/>
        <v/>
      </c>
      <c r="C266" s="41"/>
      <c r="D266" s="41"/>
      <c r="E266" s="58"/>
      <c r="F266" s="41"/>
      <c r="G266" s="41"/>
      <c r="H266" s="41"/>
      <c r="I266" s="42"/>
      <c r="J266" s="41"/>
      <c r="K266" s="41"/>
      <c r="L266" s="43"/>
    </row>
    <row r="267" spans="2:12" hidden="1" outlineLevel="1">
      <c r="B267" s="7" t="str">
        <f t="shared" si="10"/>
        <v/>
      </c>
      <c r="C267" s="41"/>
      <c r="D267" s="41"/>
      <c r="E267" s="41"/>
      <c r="F267" s="41"/>
      <c r="G267" s="41"/>
      <c r="H267" s="41"/>
      <c r="I267" s="42"/>
      <c r="J267" s="41"/>
      <c r="K267" s="41"/>
      <c r="L267" s="43"/>
    </row>
    <row r="268" spans="2:12" hidden="1" outlineLevel="1">
      <c r="B268" s="7" t="str">
        <f t="shared" si="10"/>
        <v/>
      </c>
      <c r="C268" s="41"/>
      <c r="D268" s="41"/>
      <c r="E268" s="58"/>
      <c r="F268" s="41"/>
      <c r="G268" s="41"/>
      <c r="H268" s="41"/>
      <c r="I268" s="42"/>
      <c r="J268" s="41"/>
      <c r="K268" s="41"/>
      <c r="L268" s="43"/>
    </row>
    <row r="269" spans="2:12" hidden="1" outlineLevel="1">
      <c r="B269" s="7" t="str">
        <f t="shared" si="10"/>
        <v/>
      </c>
      <c r="C269" s="41"/>
      <c r="D269" s="41"/>
      <c r="E269" s="41"/>
      <c r="F269" s="41"/>
      <c r="G269" s="41"/>
      <c r="H269" s="41"/>
      <c r="I269" s="42"/>
      <c r="J269" s="41"/>
      <c r="K269" s="41"/>
      <c r="L269" s="43"/>
    </row>
    <row r="270" spans="2:12" hidden="1" outlineLevel="1">
      <c r="B270" s="7" t="str">
        <f t="shared" si="10"/>
        <v/>
      </c>
      <c r="C270" s="41"/>
      <c r="D270" s="41"/>
      <c r="E270" s="58"/>
      <c r="F270" s="41"/>
      <c r="G270" s="41"/>
      <c r="H270" s="41"/>
      <c r="I270" s="42"/>
      <c r="J270" s="41"/>
      <c r="K270" s="41"/>
      <c r="L270" s="43"/>
    </row>
    <row r="271" spans="2:12" hidden="1" outlineLevel="1">
      <c r="B271" s="7" t="str">
        <f t="shared" si="10"/>
        <v/>
      </c>
      <c r="C271" s="41"/>
      <c r="D271" s="41"/>
      <c r="E271" s="41"/>
      <c r="F271" s="41"/>
      <c r="G271" s="41"/>
      <c r="H271" s="41"/>
      <c r="I271" s="42"/>
      <c r="J271" s="41"/>
      <c r="K271" s="41"/>
      <c r="L271" s="43"/>
    </row>
    <row r="272" spans="2:12" hidden="1" outlineLevel="1">
      <c r="B272" s="7" t="str">
        <f t="shared" si="10"/>
        <v/>
      </c>
      <c r="C272" s="41"/>
      <c r="D272" s="41"/>
      <c r="E272" s="58"/>
      <c r="F272" s="41"/>
      <c r="G272" s="41"/>
      <c r="H272" s="41"/>
      <c r="I272" s="42"/>
      <c r="J272" s="41"/>
      <c r="K272" s="41"/>
      <c r="L272" s="43"/>
    </row>
    <row r="273" spans="2:12" hidden="1" outlineLevel="1">
      <c r="B273" s="7" t="str">
        <f t="shared" si="10"/>
        <v/>
      </c>
      <c r="C273" s="41"/>
      <c r="D273" s="41"/>
      <c r="E273" s="41"/>
      <c r="F273" s="41"/>
      <c r="G273" s="41"/>
      <c r="H273" s="41"/>
      <c r="I273" s="42"/>
      <c r="J273" s="41"/>
      <c r="K273" s="41"/>
      <c r="L273" s="43"/>
    </row>
    <row r="274" spans="2:12" hidden="1" outlineLevel="1">
      <c r="B274" s="7" t="str">
        <f t="shared" si="10"/>
        <v/>
      </c>
      <c r="C274" s="41"/>
      <c r="D274" s="41"/>
      <c r="E274" s="41"/>
      <c r="F274" s="41"/>
      <c r="G274" s="41"/>
      <c r="H274" s="41"/>
      <c r="I274" s="42"/>
      <c r="J274" s="41"/>
      <c r="K274" s="41"/>
      <c r="L274" s="43"/>
    </row>
    <row r="275" spans="2:12" hidden="1" outlineLevel="1">
      <c r="B275" s="7" t="str">
        <f t="shared" si="10"/>
        <v/>
      </c>
      <c r="C275" s="41"/>
      <c r="D275" s="41"/>
      <c r="E275" s="41"/>
      <c r="F275" s="41"/>
      <c r="G275" s="41"/>
      <c r="H275" s="41"/>
      <c r="I275" s="42"/>
      <c r="J275" s="41"/>
      <c r="K275" s="41"/>
      <c r="L275" s="43"/>
    </row>
    <row r="276" spans="2:12" hidden="1" outlineLevel="1">
      <c r="B276" s="7" t="str">
        <f t="shared" si="10"/>
        <v/>
      </c>
      <c r="C276" s="41"/>
      <c r="D276" s="41"/>
      <c r="E276" s="58"/>
      <c r="F276" s="41"/>
      <c r="G276" s="41"/>
      <c r="H276" s="41"/>
      <c r="I276" s="42"/>
      <c r="J276" s="41"/>
      <c r="K276" s="41"/>
      <c r="L276" s="43"/>
    </row>
    <row r="277" spans="2:12" hidden="1" outlineLevel="1">
      <c r="B277" s="7" t="str">
        <f t="shared" si="10"/>
        <v/>
      </c>
      <c r="C277" s="41"/>
      <c r="D277" s="41"/>
      <c r="E277" s="41"/>
      <c r="F277" s="41"/>
      <c r="G277" s="41"/>
      <c r="H277" s="41"/>
      <c r="I277" s="42"/>
      <c r="J277" s="41"/>
      <c r="K277" s="41"/>
      <c r="L277" s="43"/>
    </row>
    <row r="278" spans="2:12" hidden="1" outlineLevel="1">
      <c r="B278" s="7" t="str">
        <f t="shared" si="10"/>
        <v/>
      </c>
      <c r="C278" s="41"/>
      <c r="D278" s="41"/>
      <c r="E278" s="41"/>
      <c r="F278" s="41"/>
      <c r="G278" s="41"/>
      <c r="H278" s="41"/>
      <c r="I278" s="42"/>
      <c r="J278" s="41"/>
      <c r="K278" s="41"/>
      <c r="L278" s="43"/>
    </row>
    <row r="279" spans="2:12" hidden="1" outlineLevel="1">
      <c r="B279" s="7" t="str">
        <f t="shared" si="10"/>
        <v/>
      </c>
      <c r="C279" s="41"/>
      <c r="D279" s="41"/>
      <c r="E279" s="58"/>
      <c r="F279" s="41"/>
      <c r="G279" s="41"/>
      <c r="H279" s="41"/>
      <c r="I279" s="42"/>
      <c r="J279" s="41"/>
      <c r="K279" s="41"/>
      <c r="L279" s="43"/>
    </row>
    <row r="280" spans="2:12" hidden="1" outlineLevel="1">
      <c r="B280" s="7" t="str">
        <f t="shared" si="10"/>
        <v/>
      </c>
      <c r="C280" s="41"/>
      <c r="D280" s="41"/>
      <c r="E280" s="41"/>
      <c r="F280" s="41"/>
      <c r="G280" s="41"/>
      <c r="H280" s="41"/>
      <c r="I280" s="42"/>
      <c r="J280" s="41"/>
      <c r="K280" s="41"/>
      <c r="L280" s="43"/>
    </row>
    <row r="281" spans="2:12" hidden="1" outlineLevel="1">
      <c r="B281" s="7" t="str">
        <f t="shared" si="10"/>
        <v/>
      </c>
      <c r="C281" s="41"/>
      <c r="D281" s="41"/>
      <c r="E281" s="41"/>
      <c r="F281" s="41"/>
      <c r="G281" s="41"/>
      <c r="H281" s="41"/>
      <c r="I281" s="42"/>
      <c r="J281" s="41"/>
      <c r="K281" s="41"/>
      <c r="L281" s="43"/>
    </row>
    <row r="282" spans="2:12" hidden="1" outlineLevel="1">
      <c r="B282" s="7" t="str">
        <f t="shared" si="10"/>
        <v/>
      </c>
      <c r="C282" s="41"/>
      <c r="D282" s="41"/>
      <c r="E282" s="41"/>
      <c r="F282" s="41"/>
      <c r="G282" s="41"/>
      <c r="H282" s="41"/>
      <c r="I282" s="42"/>
      <c r="J282" s="41"/>
      <c r="K282" s="41"/>
      <c r="L282" s="43"/>
    </row>
    <row r="283" spans="2:12" hidden="1" outlineLevel="1">
      <c r="B283" s="7" t="str">
        <f t="shared" si="10"/>
        <v/>
      </c>
      <c r="C283" s="41"/>
      <c r="D283" s="41"/>
      <c r="E283" s="41"/>
      <c r="F283" s="41"/>
      <c r="G283" s="41"/>
      <c r="H283" s="41"/>
      <c r="I283" s="42"/>
      <c r="J283" s="41"/>
      <c r="K283" s="41"/>
      <c r="L283" s="43"/>
    </row>
    <row r="284" spans="2:12" hidden="1" outlineLevel="1">
      <c r="B284" s="7" t="str">
        <f t="shared" si="10"/>
        <v/>
      </c>
      <c r="C284" s="41"/>
      <c r="D284" s="41"/>
      <c r="E284" s="41"/>
      <c r="F284" s="41"/>
      <c r="G284" s="41"/>
      <c r="H284" s="41"/>
      <c r="I284" s="42"/>
      <c r="J284" s="41"/>
      <c r="K284" s="41"/>
      <c r="L284" s="43"/>
    </row>
    <row r="285" spans="2:12" hidden="1" outlineLevel="1">
      <c r="B285" s="7" t="str">
        <f t="shared" ref="B285:B324" si="11">IF(C285="","",(B284+1))</f>
        <v/>
      </c>
      <c r="C285" s="41"/>
      <c r="D285" s="41"/>
      <c r="E285" s="58"/>
      <c r="F285" s="41"/>
      <c r="G285" s="41"/>
      <c r="H285" s="41"/>
      <c r="I285" s="42"/>
      <c r="J285" s="41"/>
      <c r="K285" s="41"/>
      <c r="L285" s="43"/>
    </row>
    <row r="286" spans="2:12" hidden="1" outlineLevel="1">
      <c r="B286" s="7" t="str">
        <f t="shared" si="11"/>
        <v/>
      </c>
      <c r="C286" s="41"/>
      <c r="D286" s="41"/>
      <c r="E286" s="41"/>
      <c r="F286" s="41"/>
      <c r="G286" s="41"/>
      <c r="H286" s="41"/>
      <c r="I286" s="42"/>
      <c r="J286" s="41"/>
      <c r="K286" s="41"/>
      <c r="L286" s="43"/>
    </row>
    <row r="287" spans="2:12" hidden="1" outlineLevel="1">
      <c r="B287" s="7" t="str">
        <f t="shared" si="11"/>
        <v/>
      </c>
      <c r="C287" s="41"/>
      <c r="D287" s="41"/>
      <c r="E287" s="58"/>
      <c r="F287" s="41"/>
      <c r="G287" s="41"/>
      <c r="H287" s="41"/>
      <c r="I287" s="42"/>
      <c r="J287" s="41"/>
      <c r="K287" s="41"/>
      <c r="L287" s="43"/>
    </row>
    <row r="288" spans="2:12" hidden="1" outlineLevel="1">
      <c r="B288" s="7" t="str">
        <f t="shared" si="11"/>
        <v/>
      </c>
      <c r="C288" s="41"/>
      <c r="D288" s="41"/>
      <c r="E288" s="41"/>
      <c r="F288" s="41"/>
      <c r="G288" s="41"/>
      <c r="H288" s="41"/>
      <c r="I288" s="42"/>
      <c r="J288" s="41"/>
      <c r="K288" s="41"/>
      <c r="L288" s="43"/>
    </row>
    <row r="289" spans="2:12" hidden="1" outlineLevel="1">
      <c r="B289" s="7" t="str">
        <f t="shared" si="11"/>
        <v/>
      </c>
      <c r="C289" s="41"/>
      <c r="D289" s="41"/>
      <c r="E289" s="41"/>
      <c r="F289" s="41"/>
      <c r="G289" s="41"/>
      <c r="H289" s="41"/>
      <c r="I289" s="42"/>
      <c r="J289" s="41"/>
      <c r="K289" s="41"/>
      <c r="L289" s="43"/>
    </row>
    <row r="290" spans="2:12" hidden="1" outlineLevel="1">
      <c r="B290" s="7" t="str">
        <f t="shared" si="11"/>
        <v/>
      </c>
      <c r="C290" s="41"/>
      <c r="D290" s="41"/>
      <c r="E290" s="41"/>
      <c r="F290" s="41"/>
      <c r="G290" s="41"/>
      <c r="H290" s="41"/>
      <c r="I290" s="42"/>
      <c r="J290" s="41"/>
      <c r="K290" s="41"/>
      <c r="L290" s="43"/>
    </row>
    <row r="291" spans="2:12" hidden="1" outlineLevel="1">
      <c r="B291" s="7" t="str">
        <f t="shared" si="11"/>
        <v/>
      </c>
      <c r="C291" s="41"/>
      <c r="D291" s="41"/>
      <c r="E291" s="41"/>
      <c r="F291" s="41"/>
      <c r="G291" s="41"/>
      <c r="H291" s="41"/>
      <c r="I291" s="42"/>
      <c r="J291" s="41"/>
      <c r="K291" s="41"/>
      <c r="L291" s="43"/>
    </row>
    <row r="292" spans="2:12" hidden="1" outlineLevel="1">
      <c r="B292" s="7" t="str">
        <f t="shared" si="11"/>
        <v/>
      </c>
      <c r="C292" s="41"/>
      <c r="D292" s="41"/>
      <c r="E292" s="41"/>
      <c r="F292" s="41"/>
      <c r="G292" s="41"/>
      <c r="H292" s="41"/>
      <c r="I292" s="42"/>
      <c r="J292" s="41"/>
      <c r="K292" s="41"/>
      <c r="L292" s="43"/>
    </row>
    <row r="293" spans="2:12" hidden="1" outlineLevel="1">
      <c r="B293" s="7" t="str">
        <f t="shared" si="11"/>
        <v/>
      </c>
      <c r="C293" s="41"/>
      <c r="D293" s="41"/>
      <c r="E293" s="41"/>
      <c r="F293" s="41"/>
      <c r="G293" s="41"/>
      <c r="H293" s="41"/>
      <c r="I293" s="42"/>
      <c r="J293" s="41"/>
      <c r="K293" s="41"/>
      <c r="L293" s="43"/>
    </row>
    <row r="294" spans="2:12" hidden="1" outlineLevel="1">
      <c r="B294" s="7" t="str">
        <f t="shared" si="11"/>
        <v/>
      </c>
      <c r="C294" s="41"/>
      <c r="D294" s="41"/>
      <c r="E294" s="41"/>
      <c r="F294" s="41"/>
      <c r="G294" s="41"/>
      <c r="H294" s="41"/>
      <c r="I294" s="42"/>
      <c r="J294" s="41"/>
      <c r="K294" s="41"/>
      <c r="L294" s="43"/>
    </row>
    <row r="295" spans="2:12" hidden="1" outlineLevel="1">
      <c r="B295" s="7" t="str">
        <f t="shared" si="11"/>
        <v/>
      </c>
      <c r="C295" s="41"/>
      <c r="D295" s="41"/>
      <c r="E295" s="41"/>
      <c r="F295" s="41"/>
      <c r="G295" s="41"/>
      <c r="H295" s="41"/>
      <c r="I295" s="42"/>
      <c r="J295" s="41"/>
      <c r="K295" s="41"/>
      <c r="L295" s="43"/>
    </row>
    <row r="296" spans="2:12" hidden="1" outlineLevel="1">
      <c r="B296" s="7" t="str">
        <f t="shared" si="11"/>
        <v/>
      </c>
      <c r="C296" s="41"/>
      <c r="D296" s="41"/>
      <c r="E296" s="41"/>
      <c r="F296" s="41"/>
      <c r="G296" s="41"/>
      <c r="H296" s="41"/>
      <c r="I296" s="42"/>
      <c r="J296" s="41"/>
      <c r="K296" s="41"/>
      <c r="L296" s="43"/>
    </row>
    <row r="297" spans="2:12" hidden="1" outlineLevel="1">
      <c r="B297" s="7" t="str">
        <f t="shared" si="11"/>
        <v/>
      </c>
      <c r="C297" s="41"/>
      <c r="D297" s="41"/>
      <c r="E297" s="41"/>
      <c r="F297" s="41"/>
      <c r="G297" s="41"/>
      <c r="H297" s="41"/>
      <c r="I297" s="42"/>
      <c r="J297" s="41"/>
      <c r="K297" s="41"/>
      <c r="L297" s="43"/>
    </row>
    <row r="298" spans="2:12" hidden="1" outlineLevel="1">
      <c r="B298" s="7" t="str">
        <f t="shared" si="11"/>
        <v/>
      </c>
      <c r="C298" s="41"/>
      <c r="D298" s="41"/>
      <c r="E298" s="41"/>
      <c r="F298" s="41"/>
      <c r="G298" s="41"/>
      <c r="H298" s="41"/>
      <c r="I298" s="42"/>
      <c r="J298" s="41"/>
      <c r="K298" s="41"/>
      <c r="L298" s="43"/>
    </row>
    <row r="299" spans="2:12" hidden="1" outlineLevel="1">
      <c r="B299" s="7" t="str">
        <f t="shared" si="11"/>
        <v/>
      </c>
      <c r="C299" s="41"/>
      <c r="D299" s="41"/>
      <c r="E299" s="41"/>
      <c r="F299" s="41"/>
      <c r="G299" s="41"/>
      <c r="H299" s="41"/>
      <c r="I299" s="42"/>
      <c r="J299" s="41"/>
      <c r="K299" s="41"/>
      <c r="L299" s="43"/>
    </row>
    <row r="300" spans="2:12" hidden="1" outlineLevel="1">
      <c r="B300" s="7" t="str">
        <f t="shared" si="11"/>
        <v/>
      </c>
      <c r="C300" s="41"/>
      <c r="D300" s="41"/>
      <c r="E300" s="41"/>
      <c r="F300" s="41"/>
      <c r="G300" s="41"/>
      <c r="H300" s="41"/>
      <c r="I300" s="42"/>
      <c r="J300" s="41"/>
      <c r="K300" s="41"/>
      <c r="L300" s="43"/>
    </row>
    <row r="301" spans="2:12" hidden="1" outlineLevel="1">
      <c r="B301" s="7" t="str">
        <f t="shared" si="11"/>
        <v/>
      </c>
      <c r="C301" s="41"/>
      <c r="D301" s="41"/>
      <c r="E301" s="41"/>
      <c r="F301" s="41"/>
      <c r="G301" s="41"/>
      <c r="H301" s="41"/>
      <c r="I301" s="42"/>
      <c r="J301" s="41"/>
      <c r="K301" s="41"/>
      <c r="L301" s="43"/>
    </row>
    <row r="302" spans="2:12" hidden="1" outlineLevel="1">
      <c r="B302" s="7" t="str">
        <f t="shared" si="11"/>
        <v/>
      </c>
      <c r="C302" s="41"/>
      <c r="D302" s="41"/>
      <c r="E302" s="41"/>
      <c r="F302" s="41"/>
      <c r="G302" s="41"/>
      <c r="H302" s="41"/>
      <c r="I302" s="42"/>
      <c r="J302" s="41"/>
      <c r="K302" s="41"/>
      <c r="L302" s="43"/>
    </row>
    <row r="303" spans="2:12" hidden="1" outlineLevel="1">
      <c r="B303" s="7" t="str">
        <f t="shared" si="11"/>
        <v/>
      </c>
      <c r="C303" s="41"/>
      <c r="D303" s="41"/>
      <c r="E303" s="41"/>
      <c r="F303" s="41"/>
      <c r="G303" s="41"/>
      <c r="H303" s="41"/>
      <c r="I303" s="42"/>
      <c r="J303" s="41"/>
      <c r="K303" s="41"/>
      <c r="L303" s="43"/>
    </row>
    <row r="304" spans="2:12" hidden="1" outlineLevel="1">
      <c r="B304" s="7" t="str">
        <f t="shared" si="11"/>
        <v/>
      </c>
      <c r="C304" s="41"/>
      <c r="D304" s="41"/>
      <c r="E304" s="41"/>
      <c r="F304" s="41"/>
      <c r="G304" s="41"/>
      <c r="H304" s="41"/>
      <c r="I304" s="42"/>
      <c r="J304" s="41"/>
      <c r="K304" s="41"/>
      <c r="L304" s="43"/>
    </row>
    <row r="305" spans="2:12" hidden="1" outlineLevel="1">
      <c r="B305" s="7" t="str">
        <f t="shared" si="11"/>
        <v/>
      </c>
      <c r="C305" s="41"/>
      <c r="D305" s="41"/>
      <c r="E305" s="41"/>
      <c r="F305" s="41"/>
      <c r="G305" s="41"/>
      <c r="H305" s="41"/>
      <c r="I305" s="42"/>
      <c r="J305" s="41"/>
      <c r="K305" s="41"/>
      <c r="L305" s="43"/>
    </row>
    <row r="306" spans="2:12" hidden="1" outlineLevel="1">
      <c r="B306" s="7" t="str">
        <f t="shared" si="11"/>
        <v/>
      </c>
      <c r="C306" s="41"/>
      <c r="D306" s="41"/>
      <c r="E306" s="41"/>
      <c r="F306" s="41"/>
      <c r="G306" s="41"/>
      <c r="H306" s="41"/>
      <c r="I306" s="42"/>
      <c r="J306" s="41"/>
      <c r="K306" s="41"/>
      <c r="L306" s="43"/>
    </row>
    <row r="307" spans="2:12" hidden="1" outlineLevel="1">
      <c r="B307" s="7" t="str">
        <f t="shared" si="11"/>
        <v/>
      </c>
      <c r="C307" s="41"/>
      <c r="D307" s="41"/>
      <c r="E307" s="41"/>
      <c r="F307" s="41"/>
      <c r="G307" s="41"/>
      <c r="H307" s="41"/>
      <c r="I307" s="42"/>
      <c r="J307" s="41"/>
      <c r="K307" s="41"/>
      <c r="L307" s="43"/>
    </row>
    <row r="308" spans="2:12" hidden="1" outlineLevel="1">
      <c r="B308" s="7" t="str">
        <f t="shared" si="11"/>
        <v/>
      </c>
      <c r="C308" s="41"/>
      <c r="D308" s="41"/>
      <c r="E308" s="41"/>
      <c r="F308" s="41"/>
      <c r="G308" s="41"/>
      <c r="H308" s="41"/>
      <c r="I308" s="42"/>
      <c r="J308" s="41"/>
      <c r="K308" s="41"/>
      <c r="L308" s="43"/>
    </row>
    <row r="309" spans="2:12" hidden="1" outlineLevel="1">
      <c r="B309" s="7" t="str">
        <f t="shared" si="11"/>
        <v/>
      </c>
      <c r="C309" s="41"/>
      <c r="D309" s="41"/>
      <c r="E309" s="41"/>
      <c r="F309" s="41"/>
      <c r="G309" s="41"/>
      <c r="H309" s="41"/>
      <c r="I309" s="42"/>
      <c r="J309" s="41"/>
      <c r="K309" s="41"/>
      <c r="L309" s="43"/>
    </row>
    <row r="310" spans="2:12" hidden="1" outlineLevel="1">
      <c r="B310" s="7" t="str">
        <f t="shared" si="11"/>
        <v/>
      </c>
      <c r="C310" s="41"/>
      <c r="D310" s="41"/>
      <c r="E310" s="41"/>
      <c r="F310" s="41"/>
      <c r="G310" s="41"/>
      <c r="H310" s="41"/>
      <c r="I310" s="42"/>
      <c r="J310" s="41"/>
      <c r="K310" s="41"/>
      <c r="L310" s="43"/>
    </row>
    <row r="311" spans="2:12" hidden="1" outlineLevel="1">
      <c r="B311" s="7" t="str">
        <f t="shared" si="11"/>
        <v/>
      </c>
      <c r="C311" s="41"/>
      <c r="D311" s="41"/>
      <c r="E311" s="41"/>
      <c r="F311" s="41"/>
      <c r="G311" s="41"/>
      <c r="H311" s="41"/>
      <c r="I311" s="42"/>
      <c r="J311" s="41"/>
      <c r="K311" s="41"/>
      <c r="L311" s="43"/>
    </row>
    <row r="312" spans="2:12" hidden="1" outlineLevel="1">
      <c r="B312" s="7" t="str">
        <f t="shared" si="11"/>
        <v/>
      </c>
      <c r="C312" s="41"/>
      <c r="D312" s="41"/>
      <c r="E312" s="41"/>
      <c r="F312" s="41"/>
      <c r="G312" s="41"/>
      <c r="H312" s="41"/>
      <c r="I312" s="42"/>
      <c r="J312" s="41"/>
      <c r="K312" s="41"/>
      <c r="L312" s="43"/>
    </row>
    <row r="313" spans="2:12" hidden="1" outlineLevel="1">
      <c r="B313" s="7" t="str">
        <f t="shared" si="11"/>
        <v/>
      </c>
      <c r="C313" s="41"/>
      <c r="D313" s="41"/>
      <c r="E313" s="41"/>
      <c r="F313" s="41"/>
      <c r="G313" s="41"/>
      <c r="H313" s="41"/>
      <c r="I313" s="42"/>
      <c r="J313" s="41"/>
      <c r="K313" s="41"/>
      <c r="L313" s="43"/>
    </row>
    <row r="314" spans="2:12" hidden="1" outlineLevel="1">
      <c r="B314" s="7" t="str">
        <f t="shared" si="11"/>
        <v/>
      </c>
      <c r="C314" s="41"/>
      <c r="D314" s="41"/>
      <c r="E314" s="41"/>
      <c r="F314" s="41"/>
      <c r="G314" s="41"/>
      <c r="H314" s="41"/>
      <c r="I314" s="42"/>
      <c r="J314" s="41"/>
      <c r="K314" s="41"/>
      <c r="L314" s="43"/>
    </row>
    <row r="315" spans="2:12" hidden="1" outlineLevel="1">
      <c r="B315" s="7" t="str">
        <f t="shared" si="11"/>
        <v/>
      </c>
      <c r="C315" s="41"/>
      <c r="D315" s="41"/>
      <c r="E315" s="41"/>
      <c r="F315" s="41"/>
      <c r="G315" s="41"/>
      <c r="H315" s="41"/>
      <c r="I315" s="42"/>
      <c r="J315" s="41"/>
      <c r="K315" s="41"/>
      <c r="L315" s="43"/>
    </row>
    <row r="316" spans="2:12" hidden="1" outlineLevel="1">
      <c r="B316" s="7" t="str">
        <f t="shared" si="11"/>
        <v/>
      </c>
      <c r="C316" s="41"/>
      <c r="D316" s="41"/>
      <c r="E316" s="41"/>
      <c r="F316" s="41"/>
      <c r="G316" s="41"/>
      <c r="H316" s="41"/>
      <c r="I316" s="42"/>
      <c r="J316" s="41"/>
      <c r="K316" s="41"/>
      <c r="L316" s="43"/>
    </row>
    <row r="317" spans="2:12" hidden="1" outlineLevel="1">
      <c r="B317" s="7" t="str">
        <f t="shared" si="11"/>
        <v/>
      </c>
      <c r="C317" s="41"/>
      <c r="D317" s="41"/>
      <c r="E317" s="41"/>
      <c r="F317" s="41"/>
      <c r="G317" s="41"/>
      <c r="H317" s="41"/>
      <c r="I317" s="42"/>
      <c r="J317" s="41"/>
      <c r="K317" s="41"/>
      <c r="L317" s="43"/>
    </row>
    <row r="318" spans="2:12" hidden="1" outlineLevel="1">
      <c r="B318" s="7" t="str">
        <f t="shared" si="11"/>
        <v/>
      </c>
      <c r="C318" s="41"/>
      <c r="D318" s="41"/>
      <c r="E318" s="41"/>
      <c r="F318" s="41"/>
      <c r="G318" s="41"/>
      <c r="H318" s="41"/>
      <c r="I318" s="42"/>
      <c r="J318" s="41"/>
      <c r="K318" s="41"/>
      <c r="L318" s="43"/>
    </row>
    <row r="319" spans="2:12" hidden="1" outlineLevel="1">
      <c r="B319" s="7" t="str">
        <f t="shared" si="11"/>
        <v/>
      </c>
      <c r="C319" s="41"/>
      <c r="D319" s="41"/>
      <c r="E319" s="41"/>
      <c r="F319" s="41"/>
      <c r="G319" s="41"/>
      <c r="H319" s="41"/>
      <c r="I319" s="42"/>
      <c r="J319" s="41"/>
      <c r="K319" s="41"/>
      <c r="L319" s="43"/>
    </row>
    <row r="320" spans="2:12" hidden="1" outlineLevel="1">
      <c r="B320" s="7" t="str">
        <f t="shared" si="11"/>
        <v/>
      </c>
      <c r="C320" s="41"/>
      <c r="D320" s="41"/>
      <c r="E320" s="41"/>
      <c r="F320" s="41"/>
      <c r="G320" s="41"/>
      <c r="H320" s="41"/>
      <c r="I320" s="42"/>
      <c r="J320" s="41"/>
      <c r="K320" s="41"/>
      <c r="L320" s="43"/>
    </row>
    <row r="321" spans="2:12" hidden="1" outlineLevel="1">
      <c r="B321" s="7" t="str">
        <f t="shared" si="11"/>
        <v/>
      </c>
      <c r="C321" s="41"/>
      <c r="D321" s="41"/>
      <c r="E321" s="41"/>
      <c r="F321" s="41"/>
      <c r="G321" s="41"/>
      <c r="H321" s="41"/>
      <c r="I321" s="42"/>
      <c r="J321" s="41"/>
      <c r="K321" s="41"/>
      <c r="L321" s="43"/>
    </row>
    <row r="322" spans="2:12" hidden="1" outlineLevel="1">
      <c r="B322" s="7" t="str">
        <f t="shared" si="11"/>
        <v/>
      </c>
      <c r="C322" s="41"/>
      <c r="D322" s="41"/>
      <c r="E322" s="41"/>
      <c r="F322" s="41"/>
      <c r="G322" s="41"/>
      <c r="H322" s="41"/>
      <c r="I322" s="42"/>
      <c r="J322" s="41"/>
      <c r="K322" s="41"/>
      <c r="L322" s="43"/>
    </row>
    <row r="323" spans="2:12" hidden="1" outlineLevel="1">
      <c r="B323" s="7" t="str">
        <f t="shared" si="11"/>
        <v/>
      </c>
      <c r="C323" s="41"/>
      <c r="D323" s="41"/>
      <c r="E323" s="41"/>
      <c r="F323" s="41"/>
      <c r="G323" s="41"/>
      <c r="H323" s="41"/>
      <c r="I323" s="42"/>
      <c r="J323" s="41"/>
      <c r="K323" s="41"/>
      <c r="L323" s="43"/>
    </row>
    <row r="324" spans="2:12" hidden="1" outlineLevel="1">
      <c r="B324" s="7" t="str">
        <f t="shared" si="11"/>
        <v/>
      </c>
      <c r="C324" s="41"/>
      <c r="D324" s="41"/>
      <c r="E324" s="41"/>
      <c r="F324" s="41"/>
      <c r="G324" s="41"/>
      <c r="H324" s="41"/>
      <c r="I324" s="42"/>
      <c r="J324" s="41"/>
      <c r="K324" s="41"/>
      <c r="L324" s="43"/>
    </row>
    <row r="325" spans="2:12" hidden="1" outlineLevel="1">
      <c r="B325" s="7" t="str">
        <f>IF(C325="","",(#REF!+1))</f>
        <v/>
      </c>
      <c r="C325" s="41"/>
      <c r="D325" s="41"/>
      <c r="E325" s="41"/>
      <c r="F325" s="41"/>
      <c r="G325" s="41"/>
      <c r="H325" s="41"/>
      <c r="I325" s="42"/>
      <c r="J325" s="41"/>
      <c r="K325" s="41"/>
      <c r="L325" s="43"/>
    </row>
    <row r="326" spans="2:12" hidden="1" outlineLevel="1">
      <c r="B326" s="7" t="str">
        <f t="shared" ref="B326:B342" si="12">IF(C326="","",(B325+1))</f>
        <v/>
      </c>
      <c r="C326" s="41"/>
      <c r="D326" s="41"/>
      <c r="E326" s="41"/>
      <c r="F326" s="41"/>
      <c r="G326" s="41"/>
      <c r="H326" s="41"/>
      <c r="I326" s="42"/>
      <c r="J326" s="41"/>
      <c r="K326" s="41"/>
      <c r="L326" s="43"/>
    </row>
    <row r="327" spans="2:12" hidden="1" outlineLevel="1">
      <c r="B327" s="7" t="str">
        <f t="shared" si="12"/>
        <v/>
      </c>
      <c r="C327" s="41"/>
      <c r="D327" s="41"/>
      <c r="E327" s="41"/>
      <c r="F327" s="41"/>
      <c r="G327" s="41"/>
      <c r="H327" s="41"/>
      <c r="I327" s="42"/>
      <c r="J327" s="41"/>
      <c r="K327" s="41"/>
      <c r="L327" s="43"/>
    </row>
    <row r="328" spans="2:12" hidden="1" outlineLevel="1">
      <c r="B328" s="7" t="str">
        <f t="shared" si="12"/>
        <v/>
      </c>
      <c r="C328" s="41"/>
      <c r="D328" s="41"/>
      <c r="E328" s="41"/>
      <c r="F328" s="41"/>
      <c r="G328" s="41"/>
      <c r="H328" s="41"/>
      <c r="I328" s="42"/>
      <c r="J328" s="41"/>
      <c r="K328" s="41"/>
      <c r="L328" s="43"/>
    </row>
    <row r="329" spans="2:12" hidden="1" outlineLevel="1">
      <c r="B329" s="7" t="str">
        <f t="shared" si="12"/>
        <v/>
      </c>
      <c r="C329" s="41"/>
      <c r="D329" s="41"/>
      <c r="E329" s="41"/>
      <c r="F329" s="41"/>
      <c r="G329" s="41"/>
      <c r="H329" s="41"/>
      <c r="I329" s="42"/>
      <c r="J329" s="41"/>
      <c r="K329" s="41"/>
      <c r="L329" s="43"/>
    </row>
    <row r="330" spans="2:12" hidden="1" outlineLevel="1">
      <c r="B330" s="7" t="str">
        <f t="shared" si="12"/>
        <v/>
      </c>
      <c r="C330" s="41"/>
      <c r="D330" s="41"/>
      <c r="E330" s="41"/>
      <c r="F330" s="41"/>
      <c r="G330" s="41"/>
      <c r="H330" s="41"/>
      <c r="I330" s="42"/>
      <c r="J330" s="41"/>
      <c r="K330" s="41"/>
      <c r="L330" s="43"/>
    </row>
    <row r="331" spans="2:12" hidden="1" outlineLevel="1">
      <c r="B331" s="7" t="str">
        <f t="shared" si="12"/>
        <v/>
      </c>
      <c r="C331" s="41"/>
      <c r="D331" s="41"/>
      <c r="E331" s="41"/>
      <c r="F331" s="41"/>
      <c r="G331" s="41"/>
      <c r="H331" s="41"/>
      <c r="I331" s="42"/>
      <c r="J331" s="41"/>
      <c r="K331" s="41"/>
      <c r="L331" s="43"/>
    </row>
    <row r="332" spans="2:12" hidden="1" outlineLevel="1">
      <c r="B332" s="7" t="str">
        <f t="shared" si="12"/>
        <v/>
      </c>
      <c r="C332" s="41"/>
      <c r="D332" s="41"/>
      <c r="E332" s="41"/>
      <c r="F332" s="41"/>
      <c r="G332" s="41"/>
      <c r="H332" s="41"/>
      <c r="I332" s="42"/>
      <c r="J332" s="41"/>
      <c r="K332" s="41"/>
      <c r="L332" s="43"/>
    </row>
    <row r="333" spans="2:12" hidden="1" outlineLevel="1">
      <c r="B333" s="7" t="str">
        <f t="shared" si="12"/>
        <v/>
      </c>
      <c r="C333" s="41"/>
      <c r="D333" s="41"/>
      <c r="E333" s="41"/>
      <c r="F333" s="41"/>
      <c r="G333" s="41"/>
      <c r="H333" s="41"/>
      <c r="I333" s="42"/>
      <c r="J333" s="41"/>
      <c r="K333" s="41"/>
      <c r="L333" s="43"/>
    </row>
    <row r="334" spans="2:12" hidden="1" outlineLevel="1">
      <c r="B334" s="7" t="str">
        <f t="shared" si="12"/>
        <v/>
      </c>
      <c r="C334" s="41"/>
      <c r="D334" s="41"/>
      <c r="E334" s="41"/>
      <c r="F334" s="41"/>
      <c r="G334" s="41"/>
      <c r="H334" s="41"/>
      <c r="I334" s="42"/>
      <c r="J334" s="41"/>
      <c r="K334" s="41"/>
      <c r="L334" s="43"/>
    </row>
    <row r="335" spans="2:12" hidden="1" outlineLevel="1">
      <c r="B335" s="7" t="str">
        <f t="shared" si="12"/>
        <v/>
      </c>
      <c r="C335" s="41"/>
      <c r="D335" s="41"/>
      <c r="E335" s="41"/>
      <c r="F335" s="41"/>
      <c r="G335" s="41"/>
      <c r="H335" s="41"/>
      <c r="I335" s="42"/>
      <c r="J335" s="41"/>
      <c r="K335" s="41"/>
      <c r="L335" s="43"/>
    </row>
    <row r="336" spans="2:12" hidden="1" outlineLevel="1">
      <c r="B336" s="7" t="str">
        <f t="shared" si="12"/>
        <v/>
      </c>
      <c r="C336" s="41"/>
      <c r="D336" s="41"/>
      <c r="E336" s="41"/>
      <c r="F336" s="41"/>
      <c r="G336" s="41"/>
      <c r="H336" s="41"/>
      <c r="I336" s="42"/>
      <c r="J336" s="41"/>
      <c r="K336" s="41"/>
      <c r="L336" s="43"/>
    </row>
    <row r="337" spans="2:12" hidden="1" outlineLevel="1">
      <c r="B337" s="7" t="str">
        <f t="shared" si="12"/>
        <v/>
      </c>
      <c r="C337" s="41"/>
      <c r="D337" s="41"/>
      <c r="E337" s="41"/>
      <c r="F337" s="41"/>
      <c r="G337" s="41"/>
      <c r="H337" s="41"/>
      <c r="I337" s="42"/>
      <c r="J337" s="41"/>
      <c r="K337" s="41"/>
      <c r="L337" s="43"/>
    </row>
    <row r="338" spans="2:12" hidden="1" outlineLevel="1">
      <c r="B338" s="7" t="str">
        <f t="shared" si="12"/>
        <v/>
      </c>
      <c r="C338" s="41"/>
      <c r="D338" s="41"/>
      <c r="E338" s="41"/>
      <c r="F338" s="41"/>
      <c r="G338" s="41"/>
      <c r="H338" s="41"/>
      <c r="I338" s="42"/>
      <c r="J338" s="41"/>
      <c r="K338" s="41"/>
      <c r="L338" s="43"/>
    </row>
    <row r="339" spans="2:12" hidden="1" outlineLevel="1">
      <c r="B339" s="7" t="str">
        <f t="shared" si="12"/>
        <v/>
      </c>
      <c r="C339" s="41"/>
      <c r="D339" s="41"/>
      <c r="E339" s="41"/>
      <c r="F339" s="41"/>
      <c r="G339" s="41"/>
      <c r="H339" s="41"/>
      <c r="I339" s="42"/>
      <c r="J339" s="41"/>
      <c r="K339" s="41"/>
      <c r="L339" s="43"/>
    </row>
    <row r="340" spans="2:12" hidden="1" outlineLevel="1">
      <c r="B340" s="7" t="str">
        <f t="shared" si="12"/>
        <v/>
      </c>
      <c r="C340" s="41"/>
      <c r="D340" s="41"/>
      <c r="E340" s="41"/>
      <c r="F340" s="41"/>
      <c r="G340" s="41"/>
      <c r="H340" s="41"/>
      <c r="I340" s="42"/>
      <c r="J340" s="41"/>
      <c r="K340" s="41"/>
      <c r="L340" s="43"/>
    </row>
    <row r="341" spans="2:12" hidden="1" outlineLevel="1">
      <c r="B341" s="7" t="str">
        <f t="shared" si="12"/>
        <v/>
      </c>
      <c r="C341" s="1"/>
      <c r="D341" s="1"/>
      <c r="E341" s="1"/>
      <c r="F341" s="1"/>
      <c r="G341" s="1"/>
      <c r="H341" s="1"/>
      <c r="I341" s="36"/>
      <c r="J341" s="1"/>
      <c r="K341" s="1"/>
      <c r="L341" s="2"/>
    </row>
    <row r="342" spans="2:12" ht="15.75" hidden="1" outlineLevel="1" thickBot="1">
      <c r="B342" s="7" t="str">
        <f t="shared" si="12"/>
        <v/>
      </c>
      <c r="C342" s="38"/>
      <c r="D342" s="38"/>
      <c r="E342" s="38"/>
      <c r="F342" s="38"/>
      <c r="G342" s="38"/>
      <c r="H342" s="38"/>
      <c r="I342" s="38"/>
      <c r="J342" s="38"/>
      <c r="K342" s="38"/>
      <c r="L342" s="39"/>
    </row>
    <row r="343" spans="2:12" ht="24" customHeight="1" collapsed="1" thickBot="1">
      <c r="B343" s="320" t="s">
        <v>59</v>
      </c>
      <c r="C343" s="321"/>
      <c r="D343" s="321"/>
      <c r="E343" s="321"/>
      <c r="F343" s="321"/>
      <c r="G343" s="321"/>
      <c r="H343" s="321"/>
      <c r="I343" s="321"/>
      <c r="J343" s="321"/>
      <c r="K343" s="321"/>
      <c r="L343" s="322"/>
    </row>
    <row r="344" spans="2:12" ht="24" customHeight="1" thickBot="1">
      <c r="B344" s="26" t="s">
        <v>49</v>
      </c>
      <c r="C344" s="27" t="s">
        <v>60</v>
      </c>
      <c r="D344" s="27" t="s">
        <v>62</v>
      </c>
      <c r="E344" s="27" t="s">
        <v>63</v>
      </c>
      <c r="F344" s="27" t="s">
        <v>64</v>
      </c>
      <c r="G344" s="27" t="s">
        <v>65</v>
      </c>
      <c r="H344" s="27" t="s">
        <v>66</v>
      </c>
      <c r="I344" s="27" t="s">
        <v>67</v>
      </c>
      <c r="J344" s="27" t="s">
        <v>6</v>
      </c>
      <c r="K344" s="27" t="s">
        <v>7</v>
      </c>
      <c r="L344" s="28" t="s">
        <v>68</v>
      </c>
    </row>
    <row r="345" spans="2:12">
      <c r="B345" s="46" t="s">
        <v>8</v>
      </c>
      <c r="C345" s="41">
        <f>COUNTIFS(B91:B342,"&gt;"&amp;0,C91:C342,"="&amp;B345)</f>
        <v>0</v>
      </c>
      <c r="D345" s="41">
        <f>COUNTIFS(B91:B342,"&gt;="&amp;1,C91:C342,B345,K91:K342,"&gt;="&amp;0,K91:K342,"&lt;"&amp;50)</f>
        <v>0</v>
      </c>
      <c r="E345" s="41">
        <f>COUNTIFS(B91:B342,"&gt;="&amp;1,C91:C342,B345,K91:K342,"&gt;="&amp;50,K91:K342,"&lt;"&amp;500)</f>
        <v>0</v>
      </c>
      <c r="F345" s="41">
        <f>COUNTIFS(B91:B342,"&gt;="&amp;1,C91:C342,B345,K91:K342,"&gt;="&amp;500)</f>
        <v>0</v>
      </c>
      <c r="G345" s="41">
        <f>COUNTIFS(B91:B342,"&gt;="&amp;1,C91:C342,B345,K91:K342,"&gt;="&amp;0,I91:I342,"&gt;"&amp;DATE(2021,1,1))</f>
        <v>0</v>
      </c>
      <c r="H345" s="47" t="str">
        <f>IF(G345=0,"-",(SUM(E345,F345)/G345))</f>
        <v>-</v>
      </c>
      <c r="I345" s="41">
        <f>IF((COUNTIFS(B91:B342,"&gt;="&amp;1,C91:C342,"="&amp;B345))&gt;228,228,(COUNTIFS(B91:B342,"&gt;="&amp;1,C91:C342,"="&amp;B345)))</f>
        <v>0</v>
      </c>
      <c r="J345" s="47" t="str">
        <f>IF(I345=0,"-",(COUNTIFS(C91:C342,"="&amp;B345,I91:I342,"&lt;="&amp;DATE(2024,12,31),K91:K342,"&gt;="&amp;0)/I345))</f>
        <v>-</v>
      </c>
      <c r="K345" s="47" t="str">
        <f>IF(I345=0,"-",IF(J345=1,"-",(COUNTIFS(B91:B342,"&gt;"&amp;0,C91:C342,"="&amp;B345,I91:I342,"&gt;"&amp;DATE(2024,12,31),K91:K342,"&gt;="&amp;0)/(I345-COUNTIFS(B91:B342,"&gt;"&amp;0,C91:C342,"="&amp;B345,I91:I342,"&lt;="&amp;DATE(2024,12,31),K91:K342,"&gt;="&amp;0)))))</f>
        <v>-</v>
      </c>
      <c r="L345" s="48" t="str">
        <f>IF(I345=0,"-",G345/I345)</f>
        <v>-</v>
      </c>
    </row>
    <row r="346" spans="2:12">
      <c r="B346" s="7" t="s">
        <v>9</v>
      </c>
      <c r="C346" s="1">
        <f>COUNTIFS(B91:B342,"&gt;"&amp;0,C91:C342,"="&amp;B346)</f>
        <v>0</v>
      </c>
      <c r="D346" s="1">
        <f>COUNTIFS(B91:B342,"&gt;="&amp;1,C91:C342,B346,K91:K342,"&gt;="&amp;0,K91:K342,"&lt;"&amp;50)</f>
        <v>0</v>
      </c>
      <c r="E346" s="1">
        <f>COUNTIFS(B91:B342,"&gt;="&amp;1,C91:C342,B346,K91:K342,"&gt;="&amp;50,K91:K342,"&lt;"&amp;500)</f>
        <v>0</v>
      </c>
      <c r="F346" s="1">
        <f>COUNTIFS(B91:B342,"&gt;="&amp;1,C91:C342,B346,K91:K342,"&gt;="&amp;500)</f>
        <v>0</v>
      </c>
      <c r="G346" s="1">
        <f>COUNTIFS(B91:B342,"&gt;="&amp;1,C91:C342,B346,K91:K342,"&gt;="&amp;0,I91:I342,"&gt;"&amp;DATE(2021,1,1))</f>
        <v>0</v>
      </c>
      <c r="H346" s="44" t="str">
        <f t="shared" ref="H346:H348" si="13">IF(G346=0,"-",(SUM(E346,F346)/G346))</f>
        <v>-</v>
      </c>
      <c r="I346" s="1">
        <f>IF((COUNTIFS(B91:B342,"&gt;="&amp;1,C91:C342,"="&amp;B346))&gt;228,228,(COUNTIFS(B91:B342,"&gt;="&amp;1,C91:C342,"="&amp;B346)))</f>
        <v>0</v>
      </c>
      <c r="J346" s="44" t="str">
        <f>IF(I346=0,"-",(COUNTIFS(C91:C342,"="&amp;B346,I91:I342,"&lt;="&amp;DATE(2024,12,31),K91:K342,"&gt;="&amp;0)/I346))</f>
        <v>-</v>
      </c>
      <c r="K346" s="47" t="str">
        <f>IF(I346=0,"-",IF(J346=1,"-",(COUNTIFS(B91:B342,"&gt;"&amp;0,C91:C342,"="&amp;B346,I91:I342,"&gt;"&amp;DATE(2024,12,31),K91:K342,"&gt;="&amp;0)/(I346-COUNTIFS(B91:B342,"&gt;"&amp;0,C91:C342,"="&amp;B346,I91:I342,"&lt;="&amp;DATE(2024,12,31),K91:K342,"&gt;="&amp;0)))))</f>
        <v>-</v>
      </c>
      <c r="L346" s="45" t="str">
        <f t="shared" ref="L346:L348" si="14">IF(I346=0,"-",G346/I346)</f>
        <v>-</v>
      </c>
    </row>
    <row r="347" spans="2:12">
      <c r="B347" s="7" t="s">
        <v>69</v>
      </c>
      <c r="C347" s="1">
        <f>COUNTIFS(B91:B342,"&gt;"&amp;0,C91:C342,"="&amp;B347)</f>
        <v>0</v>
      </c>
      <c r="D347" s="1">
        <f>COUNTIFS(B91:B342,"&gt;="&amp;1,C91:C342,B347,K91:K342,"&gt;="&amp;0,K91:K342,"&lt;"&amp;50)</f>
        <v>0</v>
      </c>
      <c r="E347" s="1">
        <f>COUNTIFS(B91:B342,"&gt;="&amp;1,C91:C342,B347,K91:K342,"&gt;="&amp;50,K91:K342,"&lt;"&amp;500)</f>
        <v>0</v>
      </c>
      <c r="F347" s="1">
        <f>COUNTIFS(B91:B341,"&gt;="&amp;1,C91:C341,B347,K91:K341,"&gt;="&amp;500)</f>
        <v>0</v>
      </c>
      <c r="G347" s="1">
        <f>COUNTIFS(B91:B342,"&gt;="&amp;1,C91:C342,B347,K91:K342,"&gt;="&amp;0,I91:I342,"&gt;"&amp;DATE(2021,1,1))</f>
        <v>0</v>
      </c>
      <c r="H347" s="44" t="str">
        <f t="shared" si="13"/>
        <v>-</v>
      </c>
      <c r="I347" s="1">
        <f>IF((COUNTIFS(B91:B341,"&gt;="&amp;1,C91:C341,"="&amp;B347))&gt;228,228,(COUNTIFS(B91:B341,"&gt;="&amp;1,C91:C341,"="&amp;B347)))</f>
        <v>0</v>
      </c>
      <c r="J347" s="44" t="str">
        <f>IF(I347=0,"-",(COUNTIFS(C91:C342,"="&amp;B347,I91:I342,"&lt;="&amp;DATE(2024,12,31),K91:K342,"&gt;="&amp;0)/I347))</f>
        <v>-</v>
      </c>
      <c r="K347" s="47" t="str">
        <f>IF(I347=0,"-",IF(J347=1,"-",(COUNTIFS(B91:B342,"&gt;"&amp;0,C91:C342,"="&amp;B347,I91:I342,"&gt;"&amp;DATE(2024,12,31),K91:K342,"&gt;="&amp;0)/(I347-COUNTIFS(B91:B342,"&gt;"&amp;0,C91:C342,"="&amp;B347,I91:I342,"&lt;="&amp;DATE(2024,12,31),K91:K342,"&gt;="&amp;0)))))</f>
        <v>-</v>
      </c>
      <c r="L347" s="45" t="str">
        <f t="shared" si="14"/>
        <v>-</v>
      </c>
    </row>
    <row r="348" spans="2:12" ht="24" customHeight="1" thickBot="1">
      <c r="B348" s="49" t="s">
        <v>59</v>
      </c>
      <c r="C348" s="50">
        <f>SUM(C345:C347)</f>
        <v>0</v>
      </c>
      <c r="D348" s="50">
        <f>SUM(D345:D347)</f>
        <v>0</v>
      </c>
      <c r="E348" s="50">
        <f>SUM(E345:E347)</f>
        <v>0</v>
      </c>
      <c r="F348" s="50">
        <f>SUM(F345:F347)</f>
        <v>0</v>
      </c>
      <c r="G348" s="50">
        <f>SUM(G345:G347)</f>
        <v>0</v>
      </c>
      <c r="H348" s="51" t="str">
        <f t="shared" si="13"/>
        <v>-</v>
      </c>
      <c r="I348" s="50">
        <f>SUM(I345:I347)</f>
        <v>0</v>
      </c>
      <c r="J348" s="51" t="str">
        <f>IF(I348=0,"-",(COUNTIFS(I91:I342,"&lt;="&amp;DATE(2024,12,31),K91:K342,"&gt;="&amp;0)/I348))</f>
        <v>-</v>
      </c>
      <c r="K348" s="51" t="str">
        <f>IF(I348=0,"-",IF(J348=1,"-",(COUNTIFS(B91:B342,"&gt;"&amp;0,I91:I342,"&gt;"&amp;DATE(2024,12,31),K91:K342,"&gt;="&amp;0)/(I348-COUNTIFS(B91:B342,"&gt;"&amp;0,I91:I342,"&lt;="&amp;DATE(2024,12,31),K91:K342,"&gt;="&amp;0)))))</f>
        <v>-</v>
      </c>
      <c r="L348" s="52" t="str">
        <f t="shared" si="14"/>
        <v>-</v>
      </c>
    </row>
    <row r="350" spans="2:12" ht="15.75" thickBot="1"/>
    <row r="351" spans="2:12" ht="32.25" customHeight="1" thickBot="1">
      <c r="B351" s="320" t="str">
        <f>_xlfn.CONCAT("Outros Equipamentos ( TSAs,Chaves a Óleo entre Outros)",TEXT(IF(SUM(I455:I457)=0," ",(SUM(G455:G457)/SUM(I455:I457))), " 0,00%"))</f>
        <v xml:space="preserve">Outros Equipamentos ( TSAs,Chaves a Óleo entre Outros) </v>
      </c>
      <c r="C351" s="321"/>
      <c r="D351" s="321"/>
      <c r="E351" s="321"/>
      <c r="F351" s="321"/>
      <c r="G351" s="321"/>
      <c r="H351" s="321"/>
      <c r="I351" s="321"/>
      <c r="J351" s="321"/>
      <c r="K351" s="321"/>
      <c r="L351" s="322"/>
    </row>
    <row r="352" spans="2:12" ht="24" hidden="1" customHeight="1" outlineLevel="1" thickBot="1">
      <c r="B352" s="26" t="s">
        <v>48</v>
      </c>
      <c r="C352" s="27" t="s">
        <v>49</v>
      </c>
      <c r="D352" s="27" t="s">
        <v>50</v>
      </c>
      <c r="E352" s="27" t="s">
        <v>51</v>
      </c>
      <c r="F352" s="27" t="s">
        <v>52</v>
      </c>
      <c r="G352" s="27" t="s">
        <v>53</v>
      </c>
      <c r="H352" s="27" t="s">
        <v>54</v>
      </c>
      <c r="I352" s="27" t="s">
        <v>55</v>
      </c>
      <c r="J352" s="27" t="s">
        <v>56</v>
      </c>
      <c r="K352" s="27" t="s">
        <v>57</v>
      </c>
      <c r="L352" s="28" t="s">
        <v>58</v>
      </c>
    </row>
    <row r="353" spans="2:12" ht="15.75" hidden="1" outlineLevel="1" thickBot="1">
      <c r="B353" s="40" t="str">
        <f>IF(C353="","",ROW($A$1))</f>
        <v/>
      </c>
      <c r="C353" s="41"/>
      <c r="D353" s="41"/>
      <c r="E353" s="41"/>
      <c r="F353" s="41"/>
      <c r="G353" s="41"/>
      <c r="H353" s="41"/>
      <c r="I353" s="42"/>
      <c r="J353" s="41"/>
      <c r="K353" s="41"/>
      <c r="L353" s="43"/>
    </row>
    <row r="354" spans="2:12" ht="15.75" hidden="1" outlineLevel="1" thickBot="1">
      <c r="B354" s="35" t="str">
        <f>IF(C354="","",(B353+1))</f>
        <v/>
      </c>
      <c r="C354" s="41"/>
      <c r="D354" s="41"/>
      <c r="E354" s="41"/>
      <c r="F354" s="41"/>
      <c r="G354" s="41"/>
      <c r="H354" s="41"/>
      <c r="I354" s="42"/>
      <c r="J354" s="41"/>
      <c r="K354" s="41"/>
      <c r="L354" s="43"/>
    </row>
    <row r="355" spans="2:12" ht="15.75" hidden="1" outlineLevel="1" thickBot="1">
      <c r="B355" s="35" t="str">
        <f t="shared" ref="B355:B418" si="15">IF(C355="","",(B354+1))</f>
        <v/>
      </c>
      <c r="C355" s="41"/>
      <c r="D355" s="41"/>
      <c r="E355" s="41"/>
      <c r="F355" s="41"/>
      <c r="G355" s="41"/>
      <c r="H355" s="41"/>
      <c r="I355" s="42"/>
      <c r="J355" s="41"/>
      <c r="K355" s="41"/>
      <c r="L355" s="43"/>
    </row>
    <row r="356" spans="2:12" ht="15.75" hidden="1" outlineLevel="1" thickBot="1">
      <c r="B356" s="35" t="str">
        <f t="shared" si="15"/>
        <v/>
      </c>
      <c r="C356" s="41"/>
      <c r="D356" s="41"/>
      <c r="E356" s="41"/>
      <c r="F356" s="41"/>
      <c r="G356" s="41"/>
      <c r="H356" s="41"/>
      <c r="I356" s="42"/>
      <c r="J356" s="41"/>
      <c r="K356" s="41"/>
      <c r="L356" s="43"/>
    </row>
    <row r="357" spans="2:12" ht="15.75" hidden="1" outlineLevel="1" thickBot="1">
      <c r="B357" s="35" t="str">
        <f t="shared" si="15"/>
        <v/>
      </c>
      <c r="C357" s="41"/>
      <c r="D357" s="41"/>
      <c r="E357" s="41"/>
      <c r="F357" s="41"/>
      <c r="G357" s="41"/>
      <c r="H357" s="41"/>
      <c r="I357" s="42"/>
      <c r="J357" s="41"/>
      <c r="K357" s="41"/>
      <c r="L357" s="43"/>
    </row>
    <row r="358" spans="2:12" ht="15.75" hidden="1" outlineLevel="1" thickBot="1">
      <c r="B358" s="35" t="str">
        <f t="shared" si="15"/>
        <v/>
      </c>
      <c r="C358" s="41"/>
      <c r="D358" s="41"/>
      <c r="E358" s="41"/>
      <c r="F358" s="41"/>
      <c r="G358" s="41"/>
      <c r="H358" s="41"/>
      <c r="I358" s="42"/>
      <c r="J358" s="41"/>
      <c r="K358" s="41"/>
      <c r="L358" s="43"/>
    </row>
    <row r="359" spans="2:12" ht="15.75" hidden="1" outlineLevel="1" thickBot="1">
      <c r="B359" s="35" t="str">
        <f t="shared" si="15"/>
        <v/>
      </c>
      <c r="C359" s="41"/>
      <c r="D359" s="41"/>
      <c r="E359" s="41"/>
      <c r="F359" s="41"/>
      <c r="G359" s="41"/>
      <c r="H359" s="41"/>
      <c r="I359" s="42"/>
      <c r="J359" s="41"/>
      <c r="K359" s="41"/>
      <c r="L359" s="43"/>
    </row>
    <row r="360" spans="2:12" ht="15.75" hidden="1" outlineLevel="1" thickBot="1">
      <c r="B360" s="35" t="str">
        <f t="shared" si="15"/>
        <v/>
      </c>
      <c r="C360" s="41"/>
      <c r="D360" s="41"/>
      <c r="E360" s="41"/>
      <c r="F360" s="41"/>
      <c r="G360" s="41"/>
      <c r="H360" s="41"/>
      <c r="I360" s="42"/>
      <c r="J360" s="41"/>
      <c r="K360" s="41"/>
      <c r="L360" s="43"/>
    </row>
    <row r="361" spans="2:12" ht="15.75" hidden="1" outlineLevel="1" thickBot="1">
      <c r="B361" s="35" t="str">
        <f t="shared" si="15"/>
        <v/>
      </c>
      <c r="C361" s="41"/>
      <c r="D361" s="41"/>
      <c r="E361" s="41"/>
      <c r="F361" s="41"/>
      <c r="G361" s="41"/>
      <c r="H361" s="41"/>
      <c r="I361" s="42"/>
      <c r="J361" s="41"/>
      <c r="K361" s="41"/>
      <c r="L361" s="43"/>
    </row>
    <row r="362" spans="2:12" ht="15.75" hidden="1" outlineLevel="1" thickBot="1">
      <c r="B362" s="35" t="str">
        <f t="shared" si="15"/>
        <v/>
      </c>
      <c r="C362" s="41"/>
      <c r="D362" s="41"/>
      <c r="E362" s="41"/>
      <c r="F362" s="41"/>
      <c r="G362" s="41"/>
      <c r="H362" s="41"/>
      <c r="I362" s="42"/>
      <c r="J362" s="41"/>
      <c r="K362" s="41"/>
      <c r="L362" s="43"/>
    </row>
    <row r="363" spans="2:12" ht="15.75" hidden="1" outlineLevel="1" thickBot="1">
      <c r="B363" s="35" t="str">
        <f t="shared" si="15"/>
        <v/>
      </c>
      <c r="C363" s="41"/>
      <c r="D363" s="41"/>
      <c r="E363" s="41"/>
      <c r="F363" s="41"/>
      <c r="G363" s="41"/>
      <c r="H363" s="41"/>
      <c r="I363" s="42"/>
      <c r="J363" s="41"/>
      <c r="K363" s="41"/>
      <c r="L363" s="43"/>
    </row>
    <row r="364" spans="2:12" ht="15.75" hidden="1" outlineLevel="1" thickBot="1">
      <c r="B364" s="40" t="str">
        <f t="shared" si="15"/>
        <v/>
      </c>
      <c r="C364" s="41"/>
      <c r="D364" s="41"/>
      <c r="E364" s="41"/>
      <c r="F364" s="41"/>
      <c r="G364" s="41"/>
      <c r="H364" s="41"/>
      <c r="I364" s="42"/>
      <c r="J364" s="41"/>
      <c r="K364" s="41"/>
      <c r="L364" s="43"/>
    </row>
    <row r="365" spans="2:12" ht="15.75" hidden="1" outlineLevel="1" thickBot="1">
      <c r="B365" s="40" t="str">
        <f t="shared" si="15"/>
        <v/>
      </c>
      <c r="C365" s="41"/>
      <c r="D365" s="41"/>
      <c r="E365" s="41"/>
      <c r="F365" s="41"/>
      <c r="G365" s="41"/>
      <c r="H365" s="41"/>
      <c r="I365" s="42"/>
      <c r="J365" s="41"/>
      <c r="K365" s="41"/>
      <c r="L365" s="43"/>
    </row>
    <row r="366" spans="2:12" ht="15.75" hidden="1" outlineLevel="1" thickBot="1">
      <c r="B366" s="40" t="str">
        <f t="shared" si="15"/>
        <v/>
      </c>
      <c r="C366" s="41"/>
      <c r="D366" s="41"/>
      <c r="E366" s="41"/>
      <c r="F366" s="41"/>
      <c r="G366" s="41"/>
      <c r="H366" s="41"/>
      <c r="I366" s="42"/>
      <c r="J366" s="41"/>
      <c r="K366" s="41"/>
      <c r="L366" s="43"/>
    </row>
    <row r="367" spans="2:12" ht="15.75" hidden="1" outlineLevel="1" thickBot="1">
      <c r="B367" s="40" t="str">
        <f t="shared" si="15"/>
        <v/>
      </c>
      <c r="C367" s="41"/>
      <c r="D367" s="41"/>
      <c r="E367" s="41"/>
      <c r="F367" s="41"/>
      <c r="G367" s="41"/>
      <c r="H367" s="41"/>
      <c r="I367" s="42"/>
      <c r="J367" s="41"/>
      <c r="K367" s="41"/>
      <c r="L367" s="43"/>
    </row>
    <row r="368" spans="2:12" ht="15.75" hidden="1" outlineLevel="1" thickBot="1">
      <c r="B368" s="40" t="str">
        <f t="shared" si="15"/>
        <v/>
      </c>
      <c r="C368" s="41"/>
      <c r="D368" s="41"/>
      <c r="E368" s="41"/>
      <c r="F368" s="41"/>
      <c r="G368" s="41"/>
      <c r="H368" s="41"/>
      <c r="I368" s="42"/>
      <c r="J368" s="41"/>
      <c r="K368" s="41"/>
      <c r="L368" s="43"/>
    </row>
    <row r="369" spans="2:12" ht="15.75" hidden="1" outlineLevel="1" thickBot="1">
      <c r="B369" s="40" t="str">
        <f t="shared" si="15"/>
        <v/>
      </c>
      <c r="C369" s="41"/>
      <c r="D369" s="41"/>
      <c r="E369" s="41"/>
      <c r="F369" s="41"/>
      <c r="G369" s="41"/>
      <c r="H369" s="41"/>
      <c r="I369" s="42"/>
      <c r="J369" s="41"/>
      <c r="K369" s="41"/>
      <c r="L369" s="43"/>
    </row>
    <row r="370" spans="2:12" ht="15.75" hidden="1" outlineLevel="1" thickBot="1">
      <c r="B370" s="40" t="str">
        <f t="shared" si="15"/>
        <v/>
      </c>
      <c r="C370" s="41"/>
      <c r="D370" s="41"/>
      <c r="E370" s="41"/>
      <c r="F370" s="41"/>
      <c r="G370" s="41"/>
      <c r="H370" s="41"/>
      <c r="I370" s="42"/>
      <c r="J370" s="41"/>
      <c r="K370" s="41"/>
      <c r="L370" s="43"/>
    </row>
    <row r="371" spans="2:12" ht="15.75" hidden="1" outlineLevel="1" thickBot="1">
      <c r="B371" s="40" t="str">
        <f t="shared" si="15"/>
        <v/>
      </c>
      <c r="C371" s="41"/>
      <c r="D371" s="41"/>
      <c r="E371" s="41"/>
      <c r="F371" s="41"/>
      <c r="G371" s="41"/>
      <c r="H371" s="41"/>
      <c r="I371" s="42"/>
      <c r="J371" s="41"/>
      <c r="K371" s="41"/>
      <c r="L371" s="43"/>
    </row>
    <row r="372" spans="2:12" ht="15.75" hidden="1" outlineLevel="1" thickBot="1">
      <c r="B372" s="40" t="str">
        <f t="shared" si="15"/>
        <v/>
      </c>
      <c r="C372" s="41"/>
      <c r="D372" s="41"/>
      <c r="E372" s="41"/>
      <c r="F372" s="41"/>
      <c r="G372" s="41"/>
      <c r="H372" s="41"/>
      <c r="I372" s="42"/>
      <c r="J372" s="41"/>
      <c r="K372" s="41"/>
      <c r="L372" s="43"/>
    </row>
    <row r="373" spans="2:12" ht="15.75" hidden="1" outlineLevel="1" thickBot="1">
      <c r="B373" s="40" t="str">
        <f t="shared" si="15"/>
        <v/>
      </c>
      <c r="C373" s="41"/>
      <c r="D373" s="41"/>
      <c r="E373" s="41"/>
      <c r="F373" s="41"/>
      <c r="G373" s="41"/>
      <c r="H373" s="41"/>
      <c r="I373" s="42"/>
      <c r="J373" s="41"/>
      <c r="K373" s="41"/>
      <c r="L373" s="43"/>
    </row>
    <row r="374" spans="2:12" ht="15.75" hidden="1" outlineLevel="1" thickBot="1">
      <c r="B374" s="40" t="str">
        <f t="shared" si="15"/>
        <v/>
      </c>
      <c r="C374" s="41"/>
      <c r="D374" s="41"/>
      <c r="E374" s="41"/>
      <c r="F374" s="41"/>
      <c r="G374" s="41"/>
      <c r="H374" s="41"/>
      <c r="I374" s="42"/>
      <c r="J374" s="41"/>
      <c r="K374" s="41"/>
      <c r="L374" s="43"/>
    </row>
    <row r="375" spans="2:12" ht="15.75" hidden="1" outlineLevel="1" thickBot="1">
      <c r="B375" s="40" t="str">
        <f t="shared" si="15"/>
        <v/>
      </c>
      <c r="C375" s="41"/>
      <c r="D375" s="41"/>
      <c r="E375" s="41"/>
      <c r="F375" s="41"/>
      <c r="G375" s="41"/>
      <c r="H375" s="41"/>
      <c r="I375" s="42"/>
      <c r="J375" s="41"/>
      <c r="K375" s="41"/>
      <c r="L375" s="43"/>
    </row>
    <row r="376" spans="2:12" ht="15.75" hidden="1" outlineLevel="1" thickBot="1">
      <c r="B376" s="40" t="str">
        <f t="shared" si="15"/>
        <v/>
      </c>
      <c r="C376" s="41"/>
      <c r="D376" s="41"/>
      <c r="E376" s="41"/>
      <c r="F376" s="41"/>
      <c r="G376" s="41"/>
      <c r="H376" s="41"/>
      <c r="I376" s="42"/>
      <c r="J376" s="41"/>
      <c r="K376" s="41"/>
      <c r="L376" s="43"/>
    </row>
    <row r="377" spans="2:12" ht="15.75" hidden="1" outlineLevel="1" thickBot="1">
      <c r="B377" s="40" t="str">
        <f t="shared" si="15"/>
        <v/>
      </c>
      <c r="C377" s="41"/>
      <c r="D377" s="41"/>
      <c r="E377" s="41"/>
      <c r="F377" s="41"/>
      <c r="G377" s="41"/>
      <c r="H377" s="41"/>
      <c r="I377" s="42"/>
      <c r="J377" s="41"/>
      <c r="K377" s="41"/>
      <c r="L377" s="43"/>
    </row>
    <row r="378" spans="2:12" ht="15.75" hidden="1" outlineLevel="1" thickBot="1">
      <c r="B378" s="40" t="str">
        <f t="shared" si="15"/>
        <v/>
      </c>
      <c r="C378" s="41"/>
      <c r="D378" s="41"/>
      <c r="E378" s="41"/>
      <c r="F378" s="41"/>
      <c r="G378" s="41"/>
      <c r="H378" s="41"/>
      <c r="I378" s="42"/>
      <c r="J378" s="41"/>
      <c r="K378" s="41"/>
      <c r="L378" s="43"/>
    </row>
    <row r="379" spans="2:12" ht="15.75" hidden="1" outlineLevel="1" thickBot="1">
      <c r="B379" s="40" t="str">
        <f t="shared" si="15"/>
        <v/>
      </c>
      <c r="C379" s="41"/>
      <c r="D379" s="41"/>
      <c r="E379" s="41"/>
      <c r="F379" s="41"/>
      <c r="G379" s="41"/>
      <c r="H379" s="41"/>
      <c r="I379" s="42"/>
      <c r="J379" s="41"/>
      <c r="K379" s="41"/>
      <c r="L379" s="43"/>
    </row>
    <row r="380" spans="2:12" ht="15.75" hidden="1" outlineLevel="1" thickBot="1">
      <c r="B380" s="40" t="str">
        <f t="shared" si="15"/>
        <v/>
      </c>
      <c r="C380" s="41"/>
      <c r="D380" s="41"/>
      <c r="E380" s="41"/>
      <c r="F380" s="41"/>
      <c r="G380" s="41"/>
      <c r="H380" s="41"/>
      <c r="I380" s="42"/>
      <c r="J380" s="41"/>
      <c r="K380" s="41"/>
      <c r="L380" s="43"/>
    </row>
    <row r="381" spans="2:12" ht="15.75" hidden="1" outlineLevel="1" thickBot="1">
      <c r="B381" s="40" t="str">
        <f t="shared" si="15"/>
        <v/>
      </c>
      <c r="C381" s="41"/>
      <c r="D381" s="41"/>
      <c r="E381" s="41"/>
      <c r="F381" s="41"/>
      <c r="G381" s="41"/>
      <c r="H381" s="41"/>
      <c r="I381" s="42"/>
      <c r="J381" s="41"/>
      <c r="K381" s="41"/>
      <c r="L381" s="43"/>
    </row>
    <row r="382" spans="2:12" ht="15.75" hidden="1" outlineLevel="1" thickBot="1">
      <c r="B382" s="40" t="str">
        <f t="shared" si="15"/>
        <v/>
      </c>
      <c r="C382" s="41"/>
      <c r="D382" s="41"/>
      <c r="E382" s="41"/>
      <c r="F382" s="41"/>
      <c r="G382" s="41"/>
      <c r="H382" s="41"/>
      <c r="I382" s="42"/>
      <c r="J382" s="41"/>
      <c r="K382" s="41"/>
      <c r="L382" s="43"/>
    </row>
    <row r="383" spans="2:12" ht="15.75" hidden="1" outlineLevel="1" thickBot="1">
      <c r="B383" s="40" t="str">
        <f t="shared" si="15"/>
        <v/>
      </c>
      <c r="C383" s="41"/>
      <c r="D383" s="41"/>
      <c r="E383" s="41"/>
      <c r="F383" s="41"/>
      <c r="G383" s="41"/>
      <c r="H383" s="41"/>
      <c r="I383" s="42"/>
      <c r="J383" s="41"/>
      <c r="K383" s="41"/>
      <c r="L383" s="43"/>
    </row>
    <row r="384" spans="2:12" ht="15.75" hidden="1" outlineLevel="1" thickBot="1">
      <c r="B384" s="40" t="str">
        <f t="shared" si="15"/>
        <v/>
      </c>
      <c r="C384" s="41"/>
      <c r="D384" s="41"/>
      <c r="E384" s="41"/>
      <c r="F384" s="41"/>
      <c r="G384" s="41"/>
      <c r="H384" s="41"/>
      <c r="I384" s="42"/>
      <c r="J384" s="41"/>
      <c r="K384" s="41"/>
      <c r="L384" s="43"/>
    </row>
    <row r="385" spans="2:12" ht="15.75" hidden="1" outlineLevel="1" thickBot="1">
      <c r="B385" s="40" t="str">
        <f t="shared" si="15"/>
        <v/>
      </c>
      <c r="C385" s="41"/>
      <c r="D385" s="41"/>
      <c r="E385" s="41"/>
      <c r="F385" s="41"/>
      <c r="G385" s="41"/>
      <c r="H385" s="41"/>
      <c r="I385" s="42"/>
      <c r="J385" s="41"/>
      <c r="K385" s="41"/>
      <c r="L385" s="43"/>
    </row>
    <row r="386" spans="2:12" ht="15.75" hidden="1" outlineLevel="1" thickBot="1">
      <c r="B386" s="40" t="str">
        <f t="shared" si="15"/>
        <v/>
      </c>
      <c r="C386" s="41"/>
      <c r="D386" s="41"/>
      <c r="E386" s="41"/>
      <c r="F386" s="41"/>
      <c r="G386" s="41"/>
      <c r="H386" s="41"/>
      <c r="I386" s="42"/>
      <c r="J386" s="41"/>
      <c r="K386" s="41"/>
      <c r="L386" s="43"/>
    </row>
    <row r="387" spans="2:12" ht="15.75" hidden="1" outlineLevel="1" thickBot="1">
      <c r="B387" s="40" t="str">
        <f t="shared" si="15"/>
        <v/>
      </c>
      <c r="C387" s="41"/>
      <c r="D387" s="41"/>
      <c r="E387" s="41"/>
      <c r="F387" s="41"/>
      <c r="G387" s="41"/>
      <c r="H387" s="41"/>
      <c r="I387" s="42"/>
      <c r="J387" s="41"/>
      <c r="K387" s="41"/>
      <c r="L387" s="43"/>
    </row>
    <row r="388" spans="2:12" ht="15.75" hidden="1" outlineLevel="1" thickBot="1">
      <c r="B388" s="40" t="str">
        <f t="shared" si="15"/>
        <v/>
      </c>
      <c r="C388" s="41"/>
      <c r="D388" s="41"/>
      <c r="E388" s="41"/>
      <c r="F388" s="41"/>
      <c r="G388" s="41"/>
      <c r="H388" s="41"/>
      <c r="I388" s="42"/>
      <c r="J388" s="41"/>
      <c r="K388" s="41"/>
      <c r="L388" s="43"/>
    </row>
    <row r="389" spans="2:12" ht="15.75" hidden="1" outlineLevel="1" thickBot="1">
      <c r="B389" s="40" t="str">
        <f t="shared" si="15"/>
        <v/>
      </c>
      <c r="C389" s="41"/>
      <c r="D389" s="41"/>
      <c r="E389" s="41"/>
      <c r="F389" s="41"/>
      <c r="G389" s="41"/>
      <c r="H389" s="41"/>
      <c r="I389" s="42"/>
      <c r="J389" s="41"/>
      <c r="K389" s="41"/>
      <c r="L389" s="43"/>
    </row>
    <row r="390" spans="2:12" ht="15.75" hidden="1" outlineLevel="1" thickBot="1">
      <c r="B390" s="40" t="str">
        <f t="shared" si="15"/>
        <v/>
      </c>
      <c r="C390" s="41"/>
      <c r="D390" s="41"/>
      <c r="E390" s="41"/>
      <c r="F390" s="41"/>
      <c r="G390" s="41"/>
      <c r="H390" s="41"/>
      <c r="I390" s="42"/>
      <c r="J390" s="41"/>
      <c r="K390" s="41"/>
      <c r="L390" s="43"/>
    </row>
    <row r="391" spans="2:12" ht="15.75" hidden="1" outlineLevel="1" thickBot="1">
      <c r="B391" s="40" t="str">
        <f t="shared" si="15"/>
        <v/>
      </c>
      <c r="C391" s="41"/>
      <c r="D391" s="41"/>
      <c r="E391" s="41"/>
      <c r="F391" s="41"/>
      <c r="G391" s="41"/>
      <c r="H391" s="41"/>
      <c r="I391" s="42"/>
      <c r="J391" s="41"/>
      <c r="K391" s="41"/>
      <c r="L391" s="43"/>
    </row>
    <row r="392" spans="2:12" ht="15.75" hidden="1" outlineLevel="1" thickBot="1">
      <c r="B392" s="40" t="str">
        <f t="shared" si="15"/>
        <v/>
      </c>
      <c r="C392" s="41"/>
      <c r="D392" s="41"/>
      <c r="E392" s="41"/>
      <c r="F392" s="41"/>
      <c r="G392" s="41"/>
      <c r="H392" s="41"/>
      <c r="I392" s="42"/>
      <c r="J392" s="41"/>
      <c r="K392" s="41"/>
      <c r="L392" s="43"/>
    </row>
    <row r="393" spans="2:12" ht="15.75" hidden="1" outlineLevel="1" thickBot="1">
      <c r="B393" s="40" t="str">
        <f t="shared" si="15"/>
        <v/>
      </c>
      <c r="C393" s="41"/>
      <c r="D393" s="41"/>
      <c r="E393" s="41"/>
      <c r="F393" s="41"/>
      <c r="G393" s="41"/>
      <c r="H393" s="41"/>
      <c r="I393" s="42"/>
      <c r="J393" s="41"/>
      <c r="K393" s="41"/>
      <c r="L393" s="43"/>
    </row>
    <row r="394" spans="2:12" ht="15.75" hidden="1" outlineLevel="1" thickBot="1">
      <c r="B394" s="40" t="str">
        <f t="shared" si="15"/>
        <v/>
      </c>
      <c r="C394" s="41"/>
      <c r="D394" s="41"/>
      <c r="E394" s="41"/>
      <c r="F394" s="41"/>
      <c r="G394" s="41"/>
      <c r="H394" s="41"/>
      <c r="I394" s="42"/>
      <c r="J394" s="41"/>
      <c r="K394" s="41"/>
      <c r="L394" s="43"/>
    </row>
    <row r="395" spans="2:12" ht="15.75" hidden="1" outlineLevel="1" thickBot="1">
      <c r="B395" s="40" t="str">
        <f t="shared" si="15"/>
        <v/>
      </c>
      <c r="C395" s="41"/>
      <c r="D395" s="41"/>
      <c r="E395" s="41"/>
      <c r="F395" s="41"/>
      <c r="G395" s="41"/>
      <c r="H395" s="41"/>
      <c r="I395" s="42"/>
      <c r="J395" s="41"/>
      <c r="K395" s="41"/>
      <c r="L395" s="43"/>
    </row>
    <row r="396" spans="2:12" ht="15.75" hidden="1" outlineLevel="1" thickBot="1">
      <c r="B396" s="40" t="str">
        <f t="shared" si="15"/>
        <v/>
      </c>
      <c r="C396" s="41"/>
      <c r="D396" s="41"/>
      <c r="E396" s="41"/>
      <c r="F396" s="41"/>
      <c r="G396" s="41"/>
      <c r="H396" s="41"/>
      <c r="I396" s="42"/>
      <c r="J396" s="41"/>
      <c r="K396" s="41"/>
      <c r="L396" s="43"/>
    </row>
    <row r="397" spans="2:12" ht="15.75" hidden="1" outlineLevel="1" thickBot="1">
      <c r="B397" s="40" t="str">
        <f t="shared" si="15"/>
        <v/>
      </c>
      <c r="C397" s="41"/>
      <c r="D397" s="41"/>
      <c r="E397" s="41"/>
      <c r="F397" s="41"/>
      <c r="G397" s="41"/>
      <c r="H397" s="41"/>
      <c r="I397" s="42"/>
      <c r="J397" s="41"/>
      <c r="K397" s="41"/>
      <c r="L397" s="43"/>
    </row>
    <row r="398" spans="2:12" ht="15.75" hidden="1" outlineLevel="1" thickBot="1">
      <c r="B398" s="40" t="str">
        <f t="shared" si="15"/>
        <v/>
      </c>
      <c r="C398" s="41"/>
      <c r="D398" s="41"/>
      <c r="E398" s="41"/>
      <c r="F398" s="41"/>
      <c r="G398" s="41"/>
      <c r="H398" s="41"/>
      <c r="I398" s="42"/>
      <c r="J398" s="41"/>
      <c r="K398" s="41"/>
      <c r="L398" s="43"/>
    </row>
    <row r="399" spans="2:12" ht="15.75" hidden="1" outlineLevel="1" thickBot="1">
      <c r="B399" s="40" t="str">
        <f t="shared" si="15"/>
        <v/>
      </c>
      <c r="C399" s="41"/>
      <c r="D399" s="41"/>
      <c r="E399" s="41"/>
      <c r="F399" s="41"/>
      <c r="G399" s="41"/>
      <c r="H399" s="41"/>
      <c r="I399" s="42"/>
      <c r="J399" s="41"/>
      <c r="K399" s="41"/>
      <c r="L399" s="43"/>
    </row>
    <row r="400" spans="2:12" ht="15.75" hidden="1" outlineLevel="1" thickBot="1">
      <c r="B400" s="40" t="str">
        <f t="shared" si="15"/>
        <v/>
      </c>
      <c r="C400" s="41"/>
      <c r="D400" s="41"/>
      <c r="E400" s="41"/>
      <c r="F400" s="41"/>
      <c r="G400" s="41"/>
      <c r="H400" s="41"/>
      <c r="I400" s="42"/>
      <c r="J400" s="41"/>
      <c r="K400" s="41"/>
      <c r="L400" s="43"/>
    </row>
    <row r="401" spans="2:12" ht="15.75" hidden="1" outlineLevel="1" thickBot="1">
      <c r="B401" s="40" t="str">
        <f t="shared" si="15"/>
        <v/>
      </c>
      <c r="C401" s="41"/>
      <c r="D401" s="41"/>
      <c r="E401" s="41"/>
      <c r="F401" s="41"/>
      <c r="G401" s="41"/>
      <c r="H401" s="41"/>
      <c r="I401" s="42"/>
      <c r="J401" s="41"/>
      <c r="K401" s="41"/>
      <c r="L401" s="43"/>
    </row>
    <row r="402" spans="2:12" ht="15.75" hidden="1" outlineLevel="1" thickBot="1">
      <c r="B402" s="40" t="str">
        <f t="shared" si="15"/>
        <v/>
      </c>
      <c r="C402" s="41"/>
      <c r="D402" s="41"/>
      <c r="E402" s="41"/>
      <c r="F402" s="41"/>
      <c r="G402" s="41"/>
      <c r="H402" s="41"/>
      <c r="I402" s="42"/>
      <c r="J402" s="41"/>
      <c r="K402" s="41"/>
      <c r="L402" s="43"/>
    </row>
    <row r="403" spans="2:12" ht="15.75" hidden="1" outlineLevel="1" thickBot="1">
      <c r="B403" s="40" t="str">
        <f t="shared" si="15"/>
        <v/>
      </c>
      <c r="C403" s="41"/>
      <c r="D403" s="41"/>
      <c r="E403" s="41"/>
      <c r="F403" s="41"/>
      <c r="G403" s="41"/>
      <c r="H403" s="41"/>
      <c r="I403" s="42"/>
      <c r="J403" s="41"/>
      <c r="K403" s="41"/>
      <c r="L403" s="43"/>
    </row>
    <row r="404" spans="2:12" ht="15.75" hidden="1" outlineLevel="1" thickBot="1">
      <c r="B404" s="40" t="str">
        <f t="shared" si="15"/>
        <v/>
      </c>
      <c r="C404" s="41"/>
      <c r="D404" s="41"/>
      <c r="E404" s="41"/>
      <c r="F404" s="41"/>
      <c r="G404" s="41"/>
      <c r="H404" s="41"/>
      <c r="I404" s="42"/>
      <c r="J404" s="41"/>
      <c r="K404" s="41"/>
      <c r="L404" s="43"/>
    </row>
    <row r="405" spans="2:12" ht="15.75" hidden="1" outlineLevel="1" thickBot="1">
      <c r="B405" s="40" t="str">
        <f t="shared" si="15"/>
        <v/>
      </c>
      <c r="C405" s="41"/>
      <c r="D405" s="41"/>
      <c r="E405" s="41"/>
      <c r="F405" s="41"/>
      <c r="G405" s="41"/>
      <c r="H405" s="41"/>
      <c r="I405" s="42"/>
      <c r="J405" s="41"/>
      <c r="K405" s="41"/>
      <c r="L405" s="43"/>
    </row>
    <row r="406" spans="2:12" ht="15.75" hidden="1" outlineLevel="1" thickBot="1">
      <c r="B406" s="40" t="str">
        <f t="shared" si="15"/>
        <v/>
      </c>
      <c r="C406" s="41"/>
      <c r="D406" s="41"/>
      <c r="E406" s="41"/>
      <c r="F406" s="41"/>
      <c r="G406" s="41"/>
      <c r="H406" s="41"/>
      <c r="I406" s="42"/>
      <c r="J406" s="41"/>
      <c r="K406" s="41"/>
      <c r="L406" s="43"/>
    </row>
    <row r="407" spans="2:12" ht="15.75" hidden="1" outlineLevel="1" thickBot="1">
      <c r="B407" s="40" t="str">
        <f t="shared" si="15"/>
        <v/>
      </c>
      <c r="C407" s="41"/>
      <c r="D407" s="41"/>
      <c r="E407" s="41"/>
      <c r="F407" s="41"/>
      <c r="G407" s="41"/>
      <c r="H407" s="41"/>
      <c r="I407" s="42"/>
      <c r="J407" s="41"/>
      <c r="K407" s="41"/>
      <c r="L407" s="43"/>
    </row>
    <row r="408" spans="2:12" ht="15.75" hidden="1" outlineLevel="1" thickBot="1">
      <c r="B408" s="40" t="str">
        <f t="shared" si="15"/>
        <v/>
      </c>
      <c r="C408" s="41"/>
      <c r="D408" s="41"/>
      <c r="E408" s="41"/>
      <c r="F408" s="41"/>
      <c r="G408" s="41"/>
      <c r="H408" s="41"/>
      <c r="I408" s="42"/>
      <c r="J408" s="41"/>
      <c r="K408" s="41"/>
      <c r="L408" s="43"/>
    </row>
    <row r="409" spans="2:12" ht="15.75" hidden="1" outlineLevel="1" thickBot="1">
      <c r="B409" s="40" t="str">
        <f t="shared" si="15"/>
        <v/>
      </c>
      <c r="C409" s="41"/>
      <c r="D409" s="41"/>
      <c r="E409" s="41"/>
      <c r="F409" s="41"/>
      <c r="G409" s="41"/>
      <c r="H409" s="41"/>
      <c r="I409" s="42"/>
      <c r="J409" s="41"/>
      <c r="K409" s="41"/>
      <c r="L409" s="43"/>
    </row>
    <row r="410" spans="2:12" ht="15.75" hidden="1" outlineLevel="1" thickBot="1">
      <c r="B410" s="40" t="str">
        <f t="shared" si="15"/>
        <v/>
      </c>
      <c r="C410" s="41"/>
      <c r="D410" s="41"/>
      <c r="E410" s="41"/>
      <c r="F410" s="41"/>
      <c r="G410" s="41"/>
      <c r="H410" s="41"/>
      <c r="I410" s="42"/>
      <c r="J410" s="41"/>
      <c r="K410" s="41"/>
      <c r="L410" s="43"/>
    </row>
    <row r="411" spans="2:12" ht="15.75" hidden="1" outlineLevel="1" thickBot="1">
      <c r="B411" s="40" t="str">
        <f t="shared" si="15"/>
        <v/>
      </c>
      <c r="C411" s="41"/>
      <c r="D411" s="41"/>
      <c r="E411" s="41"/>
      <c r="F411" s="41"/>
      <c r="G411" s="41"/>
      <c r="H411" s="41"/>
      <c r="I411" s="42"/>
      <c r="J411" s="41"/>
      <c r="K411" s="41"/>
      <c r="L411" s="43"/>
    </row>
    <row r="412" spans="2:12" ht="15.75" hidden="1" outlineLevel="1" thickBot="1">
      <c r="B412" s="40" t="str">
        <f t="shared" si="15"/>
        <v/>
      </c>
      <c r="C412" s="41"/>
      <c r="D412" s="41"/>
      <c r="E412" s="41"/>
      <c r="F412" s="41"/>
      <c r="G412" s="41"/>
      <c r="H412" s="41"/>
      <c r="I412" s="42"/>
      <c r="J412" s="41"/>
      <c r="K412" s="41"/>
      <c r="L412" s="43"/>
    </row>
    <row r="413" spans="2:12" ht="15.75" hidden="1" outlineLevel="1" thickBot="1">
      <c r="B413" s="40" t="str">
        <f t="shared" si="15"/>
        <v/>
      </c>
      <c r="C413" s="41"/>
      <c r="D413" s="41"/>
      <c r="E413" s="41"/>
      <c r="F413" s="41"/>
      <c r="G413" s="41"/>
      <c r="H413" s="41"/>
      <c r="I413" s="42"/>
      <c r="J413" s="41"/>
      <c r="K413" s="41"/>
      <c r="L413" s="43"/>
    </row>
    <row r="414" spans="2:12" ht="15.75" hidden="1" outlineLevel="1" thickBot="1">
      <c r="B414" s="40" t="str">
        <f t="shared" si="15"/>
        <v/>
      </c>
      <c r="C414" s="41"/>
      <c r="D414" s="41"/>
      <c r="E414" s="41"/>
      <c r="F414" s="41"/>
      <c r="G414" s="41"/>
      <c r="H414" s="41"/>
      <c r="I414" s="42"/>
      <c r="J414" s="41"/>
      <c r="K414" s="41"/>
      <c r="L414" s="43"/>
    </row>
    <row r="415" spans="2:12" ht="15.75" hidden="1" outlineLevel="1" thickBot="1">
      <c r="B415" s="40" t="str">
        <f t="shared" si="15"/>
        <v/>
      </c>
      <c r="C415" s="41"/>
      <c r="D415" s="41"/>
      <c r="E415" s="41"/>
      <c r="F415" s="41"/>
      <c r="G415" s="41"/>
      <c r="H415" s="41"/>
      <c r="I415" s="42"/>
      <c r="J415" s="41"/>
      <c r="K415" s="41"/>
      <c r="L415" s="43"/>
    </row>
    <row r="416" spans="2:12" ht="15.75" hidden="1" outlineLevel="1" thickBot="1">
      <c r="B416" s="40" t="str">
        <f t="shared" si="15"/>
        <v/>
      </c>
      <c r="C416" s="41"/>
      <c r="D416" s="41"/>
      <c r="E416" s="41"/>
      <c r="F416" s="41"/>
      <c r="G416" s="41"/>
      <c r="H416" s="41"/>
      <c r="I416" s="42"/>
      <c r="J416" s="41"/>
      <c r="K416" s="41"/>
      <c r="L416" s="43"/>
    </row>
    <row r="417" spans="2:12" ht="15.75" hidden="1" outlineLevel="1" thickBot="1">
      <c r="B417" s="40" t="str">
        <f t="shared" si="15"/>
        <v/>
      </c>
      <c r="C417" s="41"/>
      <c r="D417" s="41"/>
      <c r="E417" s="41"/>
      <c r="F417" s="41"/>
      <c r="G417" s="41"/>
      <c r="H417" s="41"/>
      <c r="I417" s="42"/>
      <c r="J417" s="41"/>
      <c r="K417" s="41"/>
      <c r="L417" s="43"/>
    </row>
    <row r="418" spans="2:12" ht="15.75" hidden="1" outlineLevel="1" thickBot="1">
      <c r="B418" s="40" t="str">
        <f t="shared" si="15"/>
        <v/>
      </c>
      <c r="C418" s="41"/>
      <c r="D418" s="41"/>
      <c r="E418" s="41"/>
      <c r="F418" s="41"/>
      <c r="G418" s="41"/>
      <c r="H418" s="41"/>
      <c r="I418" s="42"/>
      <c r="J418" s="41"/>
      <c r="K418" s="41"/>
      <c r="L418" s="43"/>
    </row>
    <row r="419" spans="2:12" ht="15.75" hidden="1" outlineLevel="1" thickBot="1">
      <c r="B419" s="40" t="str">
        <f t="shared" ref="B419:B452" si="16">IF(C419="","",(B418+1))</f>
        <v/>
      </c>
      <c r="C419" s="41"/>
      <c r="D419" s="41"/>
      <c r="E419" s="41"/>
      <c r="F419" s="41"/>
      <c r="G419" s="41"/>
      <c r="H419" s="41"/>
      <c r="I419" s="42"/>
      <c r="J419" s="41"/>
      <c r="K419" s="41"/>
      <c r="L419" s="43"/>
    </row>
    <row r="420" spans="2:12" ht="15.75" hidden="1" outlineLevel="1" thickBot="1">
      <c r="B420" s="40" t="str">
        <f t="shared" si="16"/>
        <v/>
      </c>
      <c r="C420" s="41"/>
      <c r="D420" s="41"/>
      <c r="E420" s="41"/>
      <c r="F420" s="41"/>
      <c r="G420" s="41"/>
      <c r="H420" s="41"/>
      <c r="I420" s="42"/>
      <c r="J420" s="41"/>
      <c r="K420" s="41"/>
      <c r="L420" s="43"/>
    </row>
    <row r="421" spans="2:12" ht="15.75" hidden="1" outlineLevel="1" thickBot="1">
      <c r="B421" s="40" t="str">
        <f t="shared" si="16"/>
        <v/>
      </c>
      <c r="C421" s="41"/>
      <c r="D421" s="41"/>
      <c r="E421" s="41"/>
      <c r="F421" s="41"/>
      <c r="G421" s="41"/>
      <c r="H421" s="41"/>
      <c r="I421" s="42"/>
      <c r="J421" s="41"/>
      <c r="K421" s="41"/>
      <c r="L421" s="43"/>
    </row>
    <row r="422" spans="2:12" ht="15.75" hidden="1" outlineLevel="1" thickBot="1">
      <c r="B422" s="40" t="str">
        <f t="shared" si="16"/>
        <v/>
      </c>
      <c r="C422" s="41"/>
      <c r="D422" s="41"/>
      <c r="E422" s="41"/>
      <c r="F422" s="41"/>
      <c r="G422" s="41"/>
      <c r="H422" s="41"/>
      <c r="I422" s="42"/>
      <c r="J422" s="41"/>
      <c r="K422" s="41"/>
      <c r="L422" s="43"/>
    </row>
    <row r="423" spans="2:12" ht="15.75" hidden="1" outlineLevel="1" thickBot="1">
      <c r="B423" s="40" t="str">
        <f t="shared" si="16"/>
        <v/>
      </c>
      <c r="C423" s="41"/>
      <c r="D423" s="41"/>
      <c r="E423" s="41"/>
      <c r="F423" s="41"/>
      <c r="G423" s="41"/>
      <c r="H423" s="41"/>
      <c r="I423" s="42"/>
      <c r="J423" s="41"/>
      <c r="K423" s="41"/>
      <c r="L423" s="43"/>
    </row>
    <row r="424" spans="2:12" ht="15.75" hidden="1" outlineLevel="1" thickBot="1">
      <c r="B424" s="40" t="str">
        <f t="shared" si="16"/>
        <v/>
      </c>
      <c r="C424" s="41"/>
      <c r="D424" s="41"/>
      <c r="E424" s="41"/>
      <c r="F424" s="41"/>
      <c r="G424" s="41"/>
      <c r="H424" s="41"/>
      <c r="I424" s="42"/>
      <c r="J424" s="41"/>
      <c r="K424" s="41"/>
      <c r="L424" s="43"/>
    </row>
    <row r="425" spans="2:12" ht="15.75" hidden="1" outlineLevel="1" thickBot="1">
      <c r="B425" s="40" t="str">
        <f t="shared" si="16"/>
        <v/>
      </c>
      <c r="C425" s="41"/>
      <c r="D425" s="41"/>
      <c r="E425" s="41"/>
      <c r="F425" s="41"/>
      <c r="G425" s="41"/>
      <c r="H425" s="41"/>
      <c r="I425" s="42"/>
      <c r="J425" s="41"/>
      <c r="K425" s="41"/>
      <c r="L425" s="43"/>
    </row>
    <row r="426" spans="2:12" ht="15.75" hidden="1" outlineLevel="1" thickBot="1">
      <c r="B426" s="40" t="str">
        <f t="shared" si="16"/>
        <v/>
      </c>
      <c r="C426" s="41"/>
      <c r="D426" s="41"/>
      <c r="E426" s="41"/>
      <c r="F426" s="41"/>
      <c r="G426" s="41"/>
      <c r="H426" s="41"/>
      <c r="I426" s="42"/>
      <c r="J426" s="41"/>
      <c r="K426" s="41"/>
      <c r="L426" s="43"/>
    </row>
    <row r="427" spans="2:12" ht="15.75" hidden="1" outlineLevel="1" thickBot="1">
      <c r="B427" s="40" t="str">
        <f t="shared" si="16"/>
        <v/>
      </c>
      <c r="C427" s="41"/>
      <c r="D427" s="41"/>
      <c r="E427" s="41"/>
      <c r="F427" s="41"/>
      <c r="G427" s="41"/>
      <c r="H427" s="41"/>
      <c r="I427" s="42"/>
      <c r="J427" s="41"/>
      <c r="K427" s="41"/>
      <c r="L427" s="43"/>
    </row>
    <row r="428" spans="2:12" ht="15.75" hidden="1" outlineLevel="1" thickBot="1">
      <c r="B428" s="40" t="str">
        <f t="shared" si="16"/>
        <v/>
      </c>
      <c r="C428" s="41"/>
      <c r="D428" s="41"/>
      <c r="E428" s="41"/>
      <c r="F428" s="41"/>
      <c r="G428" s="41"/>
      <c r="H428" s="41"/>
      <c r="I428" s="42"/>
      <c r="J428" s="41"/>
      <c r="K428" s="41"/>
      <c r="L428" s="43"/>
    </row>
    <row r="429" spans="2:12" ht="15.75" hidden="1" outlineLevel="1" thickBot="1">
      <c r="B429" s="40" t="str">
        <f t="shared" si="16"/>
        <v/>
      </c>
      <c r="C429" s="41"/>
      <c r="D429" s="41"/>
      <c r="E429" s="41"/>
      <c r="F429" s="41"/>
      <c r="G429" s="41"/>
      <c r="H429" s="41"/>
      <c r="I429" s="42"/>
      <c r="J429" s="41"/>
      <c r="K429" s="41"/>
      <c r="L429" s="43"/>
    </row>
    <row r="430" spans="2:12" ht="15.75" hidden="1" outlineLevel="1" thickBot="1">
      <c r="B430" s="40" t="str">
        <f t="shared" si="16"/>
        <v/>
      </c>
      <c r="C430" s="41"/>
      <c r="D430" s="41"/>
      <c r="E430" s="41"/>
      <c r="F430" s="41"/>
      <c r="G430" s="41"/>
      <c r="H430" s="41"/>
      <c r="I430" s="42"/>
      <c r="J430" s="41"/>
      <c r="K430" s="41"/>
      <c r="L430" s="43"/>
    </row>
    <row r="431" spans="2:12" ht="15.75" hidden="1" outlineLevel="1" thickBot="1">
      <c r="B431" s="40" t="str">
        <f t="shared" si="16"/>
        <v/>
      </c>
      <c r="C431" s="41"/>
      <c r="D431" s="41"/>
      <c r="E431" s="41"/>
      <c r="F431" s="41"/>
      <c r="G431" s="41"/>
      <c r="H431" s="41"/>
      <c r="I431" s="42"/>
      <c r="J431" s="41"/>
      <c r="K431" s="41"/>
      <c r="L431" s="43"/>
    </row>
    <row r="432" spans="2:12" ht="15.75" hidden="1" outlineLevel="1" thickBot="1">
      <c r="B432" s="40" t="str">
        <f t="shared" si="16"/>
        <v/>
      </c>
      <c r="C432" s="41"/>
      <c r="D432" s="41"/>
      <c r="E432" s="41"/>
      <c r="F432" s="41"/>
      <c r="G432" s="41"/>
      <c r="H432" s="41"/>
      <c r="I432" s="42"/>
      <c r="J432" s="41"/>
      <c r="K432" s="41"/>
      <c r="L432" s="43"/>
    </row>
    <row r="433" spans="2:12" ht="15.75" hidden="1" outlineLevel="1" thickBot="1">
      <c r="B433" s="40" t="str">
        <f t="shared" si="16"/>
        <v/>
      </c>
      <c r="C433" s="41"/>
      <c r="D433" s="41"/>
      <c r="E433" s="41"/>
      <c r="F433" s="41"/>
      <c r="G433" s="41"/>
      <c r="H433" s="41"/>
      <c r="I433" s="42"/>
      <c r="J433" s="41"/>
      <c r="K433" s="41"/>
      <c r="L433" s="43"/>
    </row>
    <row r="434" spans="2:12" ht="15.75" hidden="1" outlineLevel="1" thickBot="1">
      <c r="B434" s="40" t="str">
        <f t="shared" si="16"/>
        <v/>
      </c>
      <c r="C434" s="41"/>
      <c r="D434" s="41"/>
      <c r="E434" s="41"/>
      <c r="F434" s="41"/>
      <c r="G434" s="41"/>
      <c r="H434" s="41"/>
      <c r="I434" s="42"/>
      <c r="J434" s="41"/>
      <c r="K434" s="41"/>
      <c r="L434" s="43"/>
    </row>
    <row r="435" spans="2:12" ht="15.75" hidden="1" outlineLevel="1" thickBot="1">
      <c r="B435" s="40" t="str">
        <f t="shared" si="16"/>
        <v/>
      </c>
      <c r="C435" s="41"/>
      <c r="D435" s="41"/>
      <c r="E435" s="41"/>
      <c r="F435" s="41"/>
      <c r="G435" s="41"/>
      <c r="H435" s="41"/>
      <c r="I435" s="42"/>
      <c r="J435" s="41"/>
      <c r="K435" s="41"/>
      <c r="L435" s="43"/>
    </row>
    <row r="436" spans="2:12" ht="15.75" hidden="1" outlineLevel="1" thickBot="1">
      <c r="B436" s="40" t="str">
        <f t="shared" si="16"/>
        <v/>
      </c>
      <c r="C436" s="41"/>
      <c r="D436" s="41"/>
      <c r="E436" s="41"/>
      <c r="F436" s="41"/>
      <c r="G436" s="41"/>
      <c r="H436" s="41"/>
      <c r="I436" s="42"/>
      <c r="J436" s="41"/>
      <c r="K436" s="41"/>
      <c r="L436" s="43"/>
    </row>
    <row r="437" spans="2:12" ht="15.75" hidden="1" outlineLevel="1" thickBot="1">
      <c r="B437" s="40" t="str">
        <f t="shared" si="16"/>
        <v/>
      </c>
      <c r="C437" s="41"/>
      <c r="D437" s="41"/>
      <c r="E437" s="41"/>
      <c r="F437" s="41"/>
      <c r="G437" s="41"/>
      <c r="H437" s="41"/>
      <c r="I437" s="42"/>
      <c r="J437" s="41"/>
      <c r="K437" s="41"/>
      <c r="L437" s="43"/>
    </row>
    <row r="438" spans="2:12" ht="15.75" hidden="1" outlineLevel="1" thickBot="1">
      <c r="B438" s="40" t="str">
        <f t="shared" si="16"/>
        <v/>
      </c>
      <c r="C438" s="41"/>
      <c r="D438" s="41"/>
      <c r="E438" s="41"/>
      <c r="F438" s="41"/>
      <c r="G438" s="41"/>
      <c r="H438" s="41"/>
      <c r="I438" s="42"/>
      <c r="J438" s="41"/>
      <c r="K438" s="41"/>
      <c r="L438" s="43"/>
    </row>
    <row r="439" spans="2:12" ht="15.75" hidden="1" outlineLevel="1" thickBot="1">
      <c r="B439" s="40" t="str">
        <f t="shared" si="16"/>
        <v/>
      </c>
      <c r="C439" s="41"/>
      <c r="D439" s="41"/>
      <c r="E439" s="41"/>
      <c r="F439" s="41"/>
      <c r="G439" s="41"/>
      <c r="H439" s="41"/>
      <c r="I439" s="42"/>
      <c r="J439" s="41"/>
      <c r="K439" s="41"/>
      <c r="L439" s="43"/>
    </row>
    <row r="440" spans="2:12" ht="15.75" hidden="1" outlineLevel="1" thickBot="1">
      <c r="B440" s="40" t="str">
        <f t="shared" si="16"/>
        <v/>
      </c>
      <c r="C440" s="41"/>
      <c r="D440" s="41"/>
      <c r="E440" s="41"/>
      <c r="F440" s="41"/>
      <c r="G440" s="41"/>
      <c r="H440" s="41"/>
      <c r="I440" s="42"/>
      <c r="J440" s="41"/>
      <c r="K440" s="41"/>
      <c r="L440" s="43"/>
    </row>
    <row r="441" spans="2:12" ht="15.75" hidden="1" outlineLevel="1" thickBot="1">
      <c r="B441" s="40" t="str">
        <f t="shared" si="16"/>
        <v/>
      </c>
      <c r="C441" s="41"/>
      <c r="D441" s="41"/>
      <c r="E441" s="41"/>
      <c r="F441" s="41"/>
      <c r="G441" s="41"/>
      <c r="H441" s="41"/>
      <c r="I441" s="42"/>
      <c r="J441" s="41"/>
      <c r="K441" s="41"/>
      <c r="L441" s="43"/>
    </row>
    <row r="442" spans="2:12" ht="15.75" hidden="1" outlineLevel="1" thickBot="1">
      <c r="B442" s="40" t="str">
        <f t="shared" si="16"/>
        <v/>
      </c>
      <c r="C442" s="41"/>
      <c r="D442" s="41"/>
      <c r="E442" s="41"/>
      <c r="F442" s="41"/>
      <c r="G442" s="41"/>
      <c r="H442" s="41"/>
      <c r="I442" s="42"/>
      <c r="J442" s="41"/>
      <c r="K442" s="41"/>
      <c r="L442" s="43"/>
    </row>
    <row r="443" spans="2:12" ht="15.75" hidden="1" outlineLevel="1" thickBot="1">
      <c r="B443" s="40" t="str">
        <f t="shared" si="16"/>
        <v/>
      </c>
      <c r="C443" s="41"/>
      <c r="D443" s="41"/>
      <c r="E443" s="41"/>
      <c r="F443" s="41"/>
      <c r="G443" s="41"/>
      <c r="H443" s="41"/>
      <c r="I443" s="42"/>
      <c r="J443" s="41"/>
      <c r="K443" s="41"/>
      <c r="L443" s="43"/>
    </row>
    <row r="444" spans="2:12" ht="15.75" hidden="1" outlineLevel="1" thickBot="1">
      <c r="B444" s="40" t="str">
        <f t="shared" si="16"/>
        <v/>
      </c>
      <c r="C444" s="41"/>
      <c r="D444" s="41"/>
      <c r="E444" s="41"/>
      <c r="F444" s="41"/>
      <c r="G444" s="41"/>
      <c r="H444" s="41"/>
      <c r="I444" s="42"/>
      <c r="J444" s="41"/>
      <c r="K444" s="41"/>
      <c r="L444" s="43"/>
    </row>
    <row r="445" spans="2:12" ht="15.75" hidden="1" outlineLevel="1" thickBot="1">
      <c r="B445" s="40" t="str">
        <f t="shared" si="16"/>
        <v/>
      </c>
      <c r="C445" s="41"/>
      <c r="D445" s="41"/>
      <c r="E445" s="41"/>
      <c r="F445" s="41"/>
      <c r="G445" s="41"/>
      <c r="H445" s="41"/>
      <c r="I445" s="42"/>
      <c r="J445" s="41"/>
      <c r="K445" s="41"/>
      <c r="L445" s="43"/>
    </row>
    <row r="446" spans="2:12" ht="15.75" hidden="1" outlineLevel="1" thickBot="1">
      <c r="B446" s="40" t="str">
        <f t="shared" si="16"/>
        <v/>
      </c>
      <c r="C446" s="41"/>
      <c r="D446" s="41"/>
      <c r="E446" s="41"/>
      <c r="F446" s="41"/>
      <c r="G446" s="41"/>
      <c r="H446" s="41"/>
      <c r="I446" s="42"/>
      <c r="J446" s="41"/>
      <c r="K446" s="41"/>
      <c r="L446" s="43"/>
    </row>
    <row r="447" spans="2:12" ht="15.75" hidden="1" outlineLevel="1" thickBot="1">
      <c r="B447" s="40" t="str">
        <f t="shared" si="16"/>
        <v/>
      </c>
      <c r="C447" s="41"/>
      <c r="D447" s="41"/>
      <c r="E447" s="41"/>
      <c r="F447" s="41"/>
      <c r="G447" s="41"/>
      <c r="H447" s="41"/>
      <c r="I447" s="42"/>
      <c r="J447" s="41"/>
      <c r="K447" s="41"/>
      <c r="L447" s="43"/>
    </row>
    <row r="448" spans="2:12" ht="15.75" hidden="1" outlineLevel="1" thickBot="1">
      <c r="B448" s="40" t="str">
        <f t="shared" si="16"/>
        <v/>
      </c>
      <c r="C448" s="41"/>
      <c r="D448" s="41"/>
      <c r="E448" s="41"/>
      <c r="F448" s="41"/>
      <c r="G448" s="41"/>
      <c r="H448" s="41"/>
      <c r="I448" s="42"/>
      <c r="J448" s="41"/>
      <c r="K448" s="41"/>
      <c r="L448" s="43"/>
    </row>
    <row r="449" spans="2:12" ht="15.75" hidden="1" outlineLevel="1" thickBot="1">
      <c r="B449" s="40" t="str">
        <f t="shared" si="16"/>
        <v/>
      </c>
      <c r="C449" s="41"/>
      <c r="D449" s="41"/>
      <c r="E449" s="41"/>
      <c r="F449" s="41"/>
      <c r="G449" s="41"/>
      <c r="H449" s="41"/>
      <c r="I449" s="42"/>
      <c r="J449" s="41"/>
      <c r="K449" s="41"/>
      <c r="L449" s="43"/>
    </row>
    <row r="450" spans="2:12" ht="15.75" hidden="1" outlineLevel="1" thickBot="1">
      <c r="B450" s="40" t="str">
        <f t="shared" si="16"/>
        <v/>
      </c>
      <c r="C450" s="41"/>
      <c r="D450" s="41"/>
      <c r="E450" s="41"/>
      <c r="F450" s="41"/>
      <c r="G450" s="41"/>
      <c r="H450" s="41"/>
      <c r="I450" s="42"/>
      <c r="J450" s="41"/>
      <c r="K450" s="41"/>
      <c r="L450" s="43"/>
    </row>
    <row r="451" spans="2:12" ht="15.75" hidden="1" outlineLevel="1" thickBot="1">
      <c r="B451" s="35" t="str">
        <f t="shared" si="16"/>
        <v/>
      </c>
      <c r="C451" s="41"/>
      <c r="D451" s="1"/>
      <c r="E451" s="1"/>
      <c r="F451" s="1"/>
      <c r="G451" s="1"/>
      <c r="H451" s="1"/>
      <c r="I451" s="36"/>
      <c r="J451" s="1"/>
      <c r="K451" s="1"/>
      <c r="L451" s="2"/>
    </row>
    <row r="452" spans="2:12" ht="15.75" hidden="1" outlineLevel="1" thickBot="1">
      <c r="B452" s="37" t="str">
        <f t="shared" si="16"/>
        <v/>
      </c>
      <c r="C452" s="38"/>
      <c r="D452" s="38"/>
      <c r="E452" s="38"/>
      <c r="F452" s="38"/>
      <c r="G452" s="38"/>
      <c r="H452" s="38"/>
      <c r="I452" s="38"/>
      <c r="J452" s="38"/>
      <c r="K452" s="38"/>
      <c r="L452" s="39"/>
    </row>
    <row r="453" spans="2:12" ht="24" customHeight="1" collapsed="1" thickBot="1">
      <c r="B453" s="320" t="s">
        <v>59</v>
      </c>
      <c r="C453" s="321"/>
      <c r="D453" s="321"/>
      <c r="E453" s="321"/>
      <c r="F453" s="321"/>
      <c r="G453" s="321"/>
      <c r="H453" s="321"/>
      <c r="I453" s="321"/>
      <c r="J453" s="321"/>
      <c r="K453" s="321"/>
      <c r="L453" s="322"/>
    </row>
    <row r="454" spans="2:12" ht="24" customHeight="1" thickBot="1">
      <c r="B454" s="26" t="s">
        <v>49</v>
      </c>
      <c r="C454" s="27" t="s">
        <v>60</v>
      </c>
      <c r="D454" s="27" t="s">
        <v>62</v>
      </c>
      <c r="E454" s="27" t="s">
        <v>63</v>
      </c>
      <c r="F454" s="27" t="s">
        <v>64</v>
      </c>
      <c r="G454" s="27" t="s">
        <v>65</v>
      </c>
      <c r="H454" s="27" t="s">
        <v>66</v>
      </c>
      <c r="I454" s="27" t="s">
        <v>67</v>
      </c>
      <c r="J454" s="27" t="s">
        <v>6</v>
      </c>
      <c r="K454" s="27" t="s">
        <v>7</v>
      </c>
      <c r="L454" s="28" t="s">
        <v>68</v>
      </c>
    </row>
    <row r="455" spans="2:12">
      <c r="B455" s="46" t="s">
        <v>8</v>
      </c>
      <c r="C455" s="41">
        <f>COUNTIFS(B353:B452,"&gt;"&amp;0,C353:C452,"="&amp;B455)</f>
        <v>0</v>
      </c>
      <c r="D455" s="41">
        <f>COUNTIFS(B353:B452,"&gt;="&amp;1,C353:C452,B455,K353:K452,"&gt;="&amp;0,K353:K452,"&lt;"&amp;50)</f>
        <v>0</v>
      </c>
      <c r="E455" s="41">
        <f>COUNTIFS(B353:B452,"&gt;="&amp;1,C353:C452,B455,K353:K452,"&gt;="&amp;50,K353:K452,"&lt;"&amp;500)</f>
        <v>0</v>
      </c>
      <c r="F455" s="41">
        <f>COUNTIFS(B353:B452,"&gt;="&amp;1,C353:C452,B455,K353:K452,"&gt;="&amp;500)</f>
        <v>0</v>
      </c>
      <c r="G455" s="41">
        <f>COUNTIFS(B353:B452,"&gt;="&amp;1,C353:C452,B455,K353:K452,"&gt;="&amp;0,I353:I452,"&gt;"&amp;DATE(2021,1,1))</f>
        <v>0</v>
      </c>
      <c r="H455" s="47" t="str">
        <f>IF(G455=0,"-",(SUM(E455,F455)/G455))</f>
        <v>-</v>
      </c>
      <c r="I455" s="41">
        <f>IF((COUNTIFS(B353:B452,"&gt;="&amp;1,C353:C452,"="&amp;B455))&gt;228,228,(COUNTIFS(B353:B452,"&gt;="&amp;1,C353:C452,"="&amp;B455)))</f>
        <v>0</v>
      </c>
      <c r="J455" s="47" t="str">
        <f>IF(I455=0,"-",(COUNTIFS(C353:C452,"="&amp;B455,I353:I452,"&lt;="&amp;DATE(2024,12,31),K353:K452,"&gt;="&amp;0)/I455))</f>
        <v>-</v>
      </c>
      <c r="K455" s="47" t="str">
        <f>IF(I455=0,"-",IF(J455=1,"-",(COUNTIFS(B353:B452,"&gt;"&amp;0,C353:C452,"="&amp;B455,I353:I452,"&gt;"&amp;DATE(2024,12,31),K353:K452,"&gt;="&amp;0)/(I455-COUNTIFS(B353:B452,"&gt;"&amp;0,C353:C452,"="&amp;B455,I353:I452,"&lt;="&amp;DATE(2024,12,31),K353:K452,"&gt;="&amp;0)))))</f>
        <v>-</v>
      </c>
      <c r="L455" s="48" t="str">
        <f>IF(I455=0,"-",G455/I455)</f>
        <v>-</v>
      </c>
    </row>
    <row r="456" spans="2:12">
      <c r="B456" s="7" t="s">
        <v>9</v>
      </c>
      <c r="C456" s="1">
        <f>COUNTIFS(B353:B452,"&gt;"&amp;0,C353:C452,"="&amp;B456)</f>
        <v>0</v>
      </c>
      <c r="D456" s="1">
        <f>COUNTIFS(B353:B452,"&gt;="&amp;1,C353:C452,B456,K353:K452,"&gt;="&amp;0,K353:K452,"&lt;"&amp;50)</f>
        <v>0</v>
      </c>
      <c r="E456" s="1">
        <f>COUNTIFS(B353:B452,"&gt;="&amp;1,C353:C452,B456,K353:K452,"&gt;="&amp;50,K353:K452,"&lt;"&amp;500)</f>
        <v>0</v>
      </c>
      <c r="F456" s="1">
        <f>COUNTIFS(B353:B452,"&gt;="&amp;1,C353:C452,B456,K353:K452,"&gt;="&amp;500)</f>
        <v>0</v>
      </c>
      <c r="G456" s="1">
        <f>COUNTIFS(B353:B452,"&gt;="&amp;1,C353:C452,B456,K353:K452,"&gt;="&amp;0,I353:I452,"&gt;"&amp;DATE(2021,1,1))</f>
        <v>0</v>
      </c>
      <c r="H456" s="44" t="str">
        <f t="shared" ref="H456:H458" si="17">IF(G456=0,"-",(SUM(E456,F456)/G456))</f>
        <v>-</v>
      </c>
      <c r="I456" s="1">
        <f>IF((COUNTIFS(B353:B452,"&gt;="&amp;1,C353:C452,"="&amp;B456))&gt;228,228,(COUNTIFS(B353:B452,"&gt;="&amp;1,C353:C452,"="&amp;B456)))</f>
        <v>0</v>
      </c>
      <c r="J456" s="44" t="str">
        <f>IF(I456=0,"-",(COUNTIFS(C353:C452,"="&amp;B456,I353:I452,"&lt;="&amp;DATE(2024,12,31),K353:K452,"&gt;="&amp;0)/I456))</f>
        <v>-</v>
      </c>
      <c r="K456" s="47" t="str">
        <f>IF(I456=0,"-",IF(J456=1,"-",(COUNTIFS(B353:B452,"&gt;"&amp;0,C353:C452,"="&amp;B456,I353:I452,"&gt;"&amp;DATE(2024,12,31),K353:K452,"&gt;="&amp;0)/(I456-COUNTIFS(B353:B452,"&gt;"&amp;0,C353:C452,"="&amp;B456,I353:I452,"&lt;="&amp;DATE(2024,12,31),K353:K452,"&gt;="&amp;0)))))</f>
        <v>-</v>
      </c>
      <c r="L456" s="45" t="str">
        <f t="shared" ref="L456:L458" si="18">IF(I456=0,"-",G456/I456)</f>
        <v>-</v>
      </c>
    </row>
    <row r="457" spans="2:12">
      <c r="B457" s="7" t="s">
        <v>69</v>
      </c>
      <c r="C457" s="1">
        <f>COUNTIFS(B353:B452,"&gt;"&amp;0,C353:C452,"="&amp;B457)</f>
        <v>0</v>
      </c>
      <c r="D457" s="1">
        <f>COUNTIFS(B353:B452,"&gt;="&amp;1,C353:C452,B457,K353:K452,"&gt;="&amp;0,K353:K452,"&lt;"&amp;50)</f>
        <v>0</v>
      </c>
      <c r="E457" s="1">
        <f>COUNTIFS(B353:B452,"&gt;="&amp;1,C353:C452,B457,K353:K452,"&gt;="&amp;50,K353:K452,"&lt;"&amp;500)</f>
        <v>0</v>
      </c>
      <c r="F457" s="1">
        <f>COUNTIFS(B353:B451,"&gt;="&amp;1,C353:C451,B457,K353:K451,"&gt;="&amp;500)</f>
        <v>0</v>
      </c>
      <c r="G457" s="1">
        <f>COUNTIFS(B353:B452,"&gt;="&amp;1,C353:C452,B457,K353:K452,"&gt;="&amp;0,I353:I452,"&gt;"&amp;DATE(2021,1,1))</f>
        <v>0</v>
      </c>
      <c r="H457" s="44" t="str">
        <f t="shared" si="17"/>
        <v>-</v>
      </c>
      <c r="I457" s="1">
        <f>IF((COUNTIFS(B353:B451,"&gt;="&amp;1,C353:C451,"="&amp;B457))&gt;228,228,(COUNTIFS(B353:B451,"&gt;="&amp;1,C353:C451,"="&amp;B457)))</f>
        <v>0</v>
      </c>
      <c r="J457" s="44" t="str">
        <f>IF(I457=0,"-",(COUNTIFS(C353:C452,"="&amp;B457,I353:I452,"&lt;="&amp;DATE(2024,12,31),K353:K452,"&gt;="&amp;0)/I457))</f>
        <v>-</v>
      </c>
      <c r="K457" s="47" t="str">
        <f>IF(I457=0,"-",IF(J457=1,"-",(COUNTIFS(B353:B452,"&gt;"&amp;0,C353:C452,"="&amp;B457,I353:I452,"&gt;"&amp;DATE(2024,12,31),K353:K452,"&gt;="&amp;0)/(I457-COUNTIFS(B353:B452,"&gt;"&amp;0,C353:C452,"="&amp;B457,I353:I452,"&lt;="&amp;DATE(2024,12,31),K353:K452,"&gt;="&amp;0)))))</f>
        <v>-</v>
      </c>
      <c r="L457" s="45" t="str">
        <f t="shared" si="18"/>
        <v>-</v>
      </c>
    </row>
    <row r="458" spans="2:12" ht="24" customHeight="1" thickBot="1">
      <c r="B458" s="49" t="s">
        <v>59</v>
      </c>
      <c r="C458" s="50">
        <f>SUM(C455:C457)</f>
        <v>0</v>
      </c>
      <c r="D458" s="50">
        <f>SUM(D455:D457)</f>
        <v>0</v>
      </c>
      <c r="E458" s="50">
        <f>SUM(E455:E457)</f>
        <v>0</v>
      </c>
      <c r="F458" s="50">
        <f>SUM(F455:F457)</f>
        <v>0</v>
      </c>
      <c r="G458" s="50">
        <f>SUM(G455:G457)</f>
        <v>0</v>
      </c>
      <c r="H458" s="51" t="str">
        <f t="shared" si="17"/>
        <v>-</v>
      </c>
      <c r="I458" s="50">
        <f>SUM(I455:I457)</f>
        <v>0</v>
      </c>
      <c r="J458" s="51" t="str">
        <f>IF(I458=0,"-",(COUNTIFS(I353:I452,"&lt;="&amp;DATE(2024,12,31),K353:K452,"&gt;="&amp;0)/I458))</f>
        <v>-</v>
      </c>
      <c r="K458" s="51" t="str">
        <f>IF(I458=0,"-",IF(J458=1,"-",(COUNTIFS(B353:B452,"&gt;"&amp;0,I353:I452,"&gt;"&amp;DATE(2024,12,31),K353:K452,"&gt;="&amp;0)/(I458-COUNTIFS(B353:B452,"&gt;"&amp;0,I353:I452,"&lt;="&amp;DATE(2024,12,31),K353:K452,"&gt;="&amp;0)))))</f>
        <v>-</v>
      </c>
      <c r="L458" s="52" t="str">
        <f t="shared" si="18"/>
        <v>-</v>
      </c>
    </row>
    <row r="460" spans="2:12" ht="15.75" thickBot="1"/>
    <row r="461" spans="2:12" ht="33.75" customHeight="1" thickBot="1">
      <c r="B461" s="320" t="str">
        <f>_xlfn.CONCAT("Transformadores de Distribuição - TD's",TEXT(IF(SUM(I1382:I1385)=0," ",(SUM(G1382:G1385)/SUM(I1382:I1385))), " 0,00%"))</f>
        <v>Transformadores de Distribuição - TD's 0,00%</v>
      </c>
      <c r="C461" s="321"/>
      <c r="D461" s="321"/>
      <c r="E461" s="321"/>
      <c r="F461" s="321"/>
      <c r="G461" s="321"/>
      <c r="H461" s="321"/>
      <c r="I461" s="321"/>
      <c r="J461" s="321"/>
      <c r="K461" s="321"/>
      <c r="L461" s="322"/>
    </row>
    <row r="462" spans="2:12" ht="25.5" customHeight="1" thickBot="1">
      <c r="B462" s="26" t="s">
        <v>48</v>
      </c>
      <c r="C462" s="27" t="s">
        <v>49</v>
      </c>
      <c r="D462" s="27" t="s">
        <v>50</v>
      </c>
      <c r="E462" s="27" t="s">
        <v>51</v>
      </c>
      <c r="F462" s="27" t="s">
        <v>52</v>
      </c>
      <c r="G462" s="27" t="s">
        <v>53</v>
      </c>
      <c r="H462" s="27" t="s">
        <v>54</v>
      </c>
      <c r="I462" s="27" t="s">
        <v>55</v>
      </c>
      <c r="J462" s="27" t="s">
        <v>56</v>
      </c>
      <c r="K462" s="27" t="s">
        <v>57</v>
      </c>
      <c r="L462" s="28" t="s">
        <v>58</v>
      </c>
    </row>
    <row r="463" spans="2:12" outlineLevel="2">
      <c r="B463" s="40">
        <f>ROW(A1)</f>
        <v>1</v>
      </c>
      <c r="C463" s="41" t="s">
        <v>8</v>
      </c>
      <c r="D463" s="41"/>
      <c r="E463" s="41"/>
      <c r="F463" s="41"/>
      <c r="G463" s="41"/>
      <c r="H463" s="41"/>
      <c r="I463" s="42"/>
      <c r="J463" s="41"/>
      <c r="K463" s="41"/>
      <c r="L463" s="43"/>
    </row>
    <row r="464" spans="2:12" outlineLevel="2">
      <c r="B464" s="40">
        <f t="shared" ref="B464" si="19">ROW(A2)</f>
        <v>2</v>
      </c>
      <c r="C464" s="41" t="s">
        <v>8</v>
      </c>
      <c r="D464" s="41"/>
      <c r="E464" s="41"/>
      <c r="F464" s="41"/>
      <c r="G464" s="41"/>
      <c r="H464" s="41"/>
      <c r="I464" s="42"/>
      <c r="J464" s="41"/>
      <c r="K464" s="41"/>
      <c r="L464" s="43"/>
    </row>
    <row r="465" spans="2:12" outlineLevel="2">
      <c r="B465" s="40">
        <f t="shared" ref="B465:B528" si="20">ROW(A3)</f>
        <v>3</v>
      </c>
      <c r="C465" s="41" t="s">
        <v>8</v>
      </c>
      <c r="D465" s="41"/>
      <c r="E465" s="41"/>
      <c r="F465" s="41"/>
      <c r="G465" s="41"/>
      <c r="H465" s="41"/>
      <c r="I465" s="42"/>
      <c r="J465" s="41"/>
      <c r="K465" s="41"/>
      <c r="L465" s="43"/>
    </row>
    <row r="466" spans="2:12" outlineLevel="2">
      <c r="B466" s="40">
        <f t="shared" si="20"/>
        <v>4</v>
      </c>
      <c r="C466" s="41" t="s">
        <v>8</v>
      </c>
      <c r="D466" s="41"/>
      <c r="E466" s="41"/>
      <c r="F466" s="41"/>
      <c r="G466" s="41"/>
      <c r="H466" s="41"/>
      <c r="I466" s="42"/>
      <c r="J466" s="41"/>
      <c r="K466" s="41"/>
      <c r="L466" s="43"/>
    </row>
    <row r="467" spans="2:12" outlineLevel="2">
      <c r="B467" s="40">
        <f t="shared" si="20"/>
        <v>5</v>
      </c>
      <c r="C467" s="41" t="s">
        <v>8</v>
      </c>
      <c r="D467" s="41"/>
      <c r="E467" s="41"/>
      <c r="F467" s="41"/>
      <c r="G467" s="41"/>
      <c r="H467" s="41"/>
      <c r="I467" s="42"/>
      <c r="J467" s="41"/>
      <c r="K467" s="41"/>
      <c r="L467" s="43"/>
    </row>
    <row r="468" spans="2:12" outlineLevel="2">
      <c r="B468" s="40">
        <f t="shared" si="20"/>
        <v>6</v>
      </c>
      <c r="C468" s="41" t="s">
        <v>8</v>
      </c>
      <c r="D468" s="41"/>
      <c r="E468" s="41"/>
      <c r="F468" s="41"/>
      <c r="G468" s="41"/>
      <c r="H468" s="41"/>
      <c r="I468" s="42"/>
      <c r="J468" s="41"/>
      <c r="K468" s="41"/>
      <c r="L468" s="43"/>
    </row>
    <row r="469" spans="2:12" outlineLevel="2">
      <c r="B469" s="40">
        <f t="shared" si="20"/>
        <v>7</v>
      </c>
      <c r="C469" s="41" t="s">
        <v>8</v>
      </c>
      <c r="D469" s="41"/>
      <c r="E469" s="41"/>
      <c r="F469" s="41"/>
      <c r="G469" s="41"/>
      <c r="H469" s="41"/>
      <c r="I469" s="42"/>
      <c r="J469" s="41"/>
      <c r="K469" s="41"/>
      <c r="L469" s="43"/>
    </row>
    <row r="470" spans="2:12" outlineLevel="2">
      <c r="B470" s="40">
        <f t="shared" si="20"/>
        <v>8</v>
      </c>
      <c r="C470" s="41" t="s">
        <v>8</v>
      </c>
      <c r="D470" s="41"/>
      <c r="E470" s="41"/>
      <c r="F470" s="41"/>
      <c r="G470" s="41"/>
      <c r="H470" s="41"/>
      <c r="I470" s="42"/>
      <c r="J470" s="41"/>
      <c r="K470" s="41"/>
      <c r="L470" s="43"/>
    </row>
    <row r="471" spans="2:12" outlineLevel="2">
      <c r="B471" s="40">
        <f t="shared" si="20"/>
        <v>9</v>
      </c>
      <c r="C471" s="41" t="s">
        <v>8</v>
      </c>
      <c r="D471" s="41"/>
      <c r="E471" s="41"/>
      <c r="F471" s="41"/>
      <c r="G471" s="41"/>
      <c r="H471" s="41"/>
      <c r="I471" s="42"/>
      <c r="J471" s="41"/>
      <c r="K471" s="41"/>
      <c r="L471" s="43"/>
    </row>
    <row r="472" spans="2:12" outlineLevel="2">
      <c r="B472" s="40">
        <f t="shared" si="20"/>
        <v>10</v>
      </c>
      <c r="C472" s="41" t="s">
        <v>8</v>
      </c>
      <c r="D472" s="41"/>
      <c r="E472" s="41"/>
      <c r="F472" s="41"/>
      <c r="G472" s="41"/>
      <c r="H472" s="41"/>
      <c r="I472" s="42"/>
      <c r="J472" s="41"/>
      <c r="K472" s="41"/>
      <c r="L472" s="43"/>
    </row>
    <row r="473" spans="2:12" outlineLevel="2">
      <c r="B473" s="40">
        <f t="shared" si="20"/>
        <v>11</v>
      </c>
      <c r="C473" s="41" t="s">
        <v>8</v>
      </c>
      <c r="D473" s="41"/>
      <c r="E473" s="41"/>
      <c r="F473" s="41"/>
      <c r="G473" s="41"/>
      <c r="H473" s="41"/>
      <c r="I473" s="42"/>
      <c r="J473" s="41"/>
      <c r="K473" s="41"/>
      <c r="L473" s="43"/>
    </row>
    <row r="474" spans="2:12" outlineLevel="2">
      <c r="B474" s="40">
        <f t="shared" si="20"/>
        <v>12</v>
      </c>
      <c r="C474" s="41" t="s">
        <v>8</v>
      </c>
      <c r="D474" s="41"/>
      <c r="E474" s="41"/>
      <c r="F474" s="41"/>
      <c r="G474" s="41"/>
      <c r="H474" s="41"/>
      <c r="I474" s="42"/>
      <c r="J474" s="41"/>
      <c r="K474" s="41"/>
      <c r="L474" s="43"/>
    </row>
    <row r="475" spans="2:12" outlineLevel="2">
      <c r="B475" s="40">
        <f t="shared" si="20"/>
        <v>13</v>
      </c>
      <c r="C475" s="41" t="s">
        <v>8</v>
      </c>
      <c r="D475" s="41"/>
      <c r="E475" s="41"/>
      <c r="F475" s="41"/>
      <c r="G475" s="41"/>
      <c r="H475" s="41"/>
      <c r="I475" s="42"/>
      <c r="J475" s="41"/>
      <c r="K475" s="41"/>
      <c r="L475" s="43"/>
    </row>
    <row r="476" spans="2:12" outlineLevel="2">
      <c r="B476" s="40">
        <f t="shared" si="20"/>
        <v>14</v>
      </c>
      <c r="C476" s="41" t="s">
        <v>8</v>
      </c>
      <c r="D476" s="41"/>
      <c r="E476" s="41"/>
      <c r="F476" s="41"/>
      <c r="G476" s="41"/>
      <c r="H476" s="41"/>
      <c r="I476" s="42"/>
      <c r="J476" s="41"/>
      <c r="K476" s="41"/>
      <c r="L476" s="43"/>
    </row>
    <row r="477" spans="2:12" outlineLevel="2">
      <c r="B477" s="40">
        <f t="shared" si="20"/>
        <v>15</v>
      </c>
      <c r="C477" s="41" t="s">
        <v>8</v>
      </c>
      <c r="D477" s="41"/>
      <c r="E477" s="41"/>
      <c r="F477" s="41"/>
      <c r="G477" s="41"/>
      <c r="H477" s="41"/>
      <c r="I477" s="42"/>
      <c r="J477" s="41"/>
      <c r="K477" s="41"/>
      <c r="L477" s="43"/>
    </row>
    <row r="478" spans="2:12" outlineLevel="2">
      <c r="B478" s="40">
        <f t="shared" si="20"/>
        <v>16</v>
      </c>
      <c r="C478" s="41" t="s">
        <v>8</v>
      </c>
      <c r="D478" s="41"/>
      <c r="E478" s="41"/>
      <c r="F478" s="41"/>
      <c r="G478" s="41"/>
      <c r="H478" s="41"/>
      <c r="I478" s="42"/>
      <c r="J478" s="41"/>
      <c r="K478" s="41"/>
      <c r="L478" s="43"/>
    </row>
    <row r="479" spans="2:12" outlineLevel="2">
      <c r="B479" s="40">
        <f t="shared" si="20"/>
        <v>17</v>
      </c>
      <c r="C479" s="41" t="s">
        <v>8</v>
      </c>
      <c r="D479" s="41"/>
      <c r="E479" s="41"/>
      <c r="F479" s="41"/>
      <c r="G479" s="41"/>
      <c r="H479" s="41"/>
      <c r="I479" s="42"/>
      <c r="J479" s="41"/>
      <c r="K479" s="41"/>
      <c r="L479" s="43"/>
    </row>
    <row r="480" spans="2:12" outlineLevel="2">
      <c r="B480" s="40">
        <f t="shared" si="20"/>
        <v>18</v>
      </c>
      <c r="C480" s="41" t="s">
        <v>8</v>
      </c>
      <c r="D480" s="41"/>
      <c r="E480" s="41"/>
      <c r="F480" s="41"/>
      <c r="G480" s="41"/>
      <c r="H480" s="41"/>
      <c r="I480" s="42"/>
      <c r="J480" s="41"/>
      <c r="K480" s="41"/>
      <c r="L480" s="43"/>
    </row>
    <row r="481" spans="2:12" outlineLevel="2">
      <c r="B481" s="40">
        <f t="shared" si="20"/>
        <v>19</v>
      </c>
      <c r="C481" s="41" t="s">
        <v>8</v>
      </c>
      <c r="D481" s="41"/>
      <c r="E481" s="41"/>
      <c r="F481" s="41"/>
      <c r="G481" s="41"/>
      <c r="H481" s="41"/>
      <c r="I481" s="42"/>
      <c r="J481" s="41"/>
      <c r="K481" s="41"/>
      <c r="L481" s="43"/>
    </row>
    <row r="482" spans="2:12" outlineLevel="2">
      <c r="B482" s="40">
        <f t="shared" si="20"/>
        <v>20</v>
      </c>
      <c r="C482" s="41" t="s">
        <v>8</v>
      </c>
      <c r="D482" s="41"/>
      <c r="E482" s="41"/>
      <c r="F482" s="41"/>
      <c r="G482" s="41"/>
      <c r="H482" s="41"/>
      <c r="I482" s="42"/>
      <c r="J482" s="41"/>
      <c r="K482" s="41"/>
      <c r="L482" s="43"/>
    </row>
    <row r="483" spans="2:12" outlineLevel="2">
      <c r="B483" s="40">
        <f t="shared" si="20"/>
        <v>21</v>
      </c>
      <c r="C483" s="41" t="s">
        <v>8</v>
      </c>
      <c r="D483" s="41"/>
      <c r="E483" s="41"/>
      <c r="F483" s="41"/>
      <c r="G483" s="41"/>
      <c r="H483" s="41"/>
      <c r="I483" s="42"/>
      <c r="J483" s="41"/>
      <c r="K483" s="41"/>
      <c r="L483" s="43"/>
    </row>
    <row r="484" spans="2:12" outlineLevel="2">
      <c r="B484" s="40">
        <f t="shared" si="20"/>
        <v>22</v>
      </c>
      <c r="C484" s="41" t="s">
        <v>8</v>
      </c>
      <c r="D484" s="41"/>
      <c r="E484" s="41"/>
      <c r="F484" s="41"/>
      <c r="G484" s="41"/>
      <c r="H484" s="41"/>
      <c r="I484" s="42"/>
      <c r="J484" s="41"/>
      <c r="K484" s="41"/>
      <c r="L484" s="43"/>
    </row>
    <row r="485" spans="2:12" outlineLevel="2">
      <c r="B485" s="40">
        <f t="shared" si="20"/>
        <v>23</v>
      </c>
      <c r="C485" s="41" t="s">
        <v>8</v>
      </c>
      <c r="D485" s="41"/>
      <c r="E485" s="41"/>
      <c r="F485" s="41"/>
      <c r="G485" s="41"/>
      <c r="H485" s="41"/>
      <c r="I485" s="42"/>
      <c r="J485" s="41"/>
      <c r="K485" s="41"/>
      <c r="L485" s="43"/>
    </row>
    <row r="486" spans="2:12" outlineLevel="2">
      <c r="B486" s="40">
        <f t="shared" si="20"/>
        <v>24</v>
      </c>
      <c r="C486" s="41" t="s">
        <v>8</v>
      </c>
      <c r="D486" s="41"/>
      <c r="E486" s="41"/>
      <c r="F486" s="41"/>
      <c r="G486" s="41"/>
      <c r="H486" s="41"/>
      <c r="I486" s="42"/>
      <c r="J486" s="41"/>
      <c r="K486" s="41"/>
      <c r="L486" s="43"/>
    </row>
    <row r="487" spans="2:12" outlineLevel="2">
      <c r="B487" s="40">
        <f t="shared" si="20"/>
        <v>25</v>
      </c>
      <c r="C487" s="41" t="s">
        <v>8</v>
      </c>
      <c r="D487" s="41"/>
      <c r="E487" s="41"/>
      <c r="F487" s="41"/>
      <c r="G487" s="41"/>
      <c r="H487" s="41"/>
      <c r="I487" s="42"/>
      <c r="J487" s="41"/>
      <c r="K487" s="41"/>
      <c r="L487" s="43"/>
    </row>
    <row r="488" spans="2:12" outlineLevel="2">
      <c r="B488" s="40">
        <f t="shared" si="20"/>
        <v>26</v>
      </c>
      <c r="C488" s="41" t="s">
        <v>8</v>
      </c>
      <c r="D488" s="41"/>
      <c r="E488" s="41"/>
      <c r="F488" s="41"/>
      <c r="G488" s="41"/>
      <c r="H488" s="41"/>
      <c r="I488" s="42"/>
      <c r="J488" s="41"/>
      <c r="K488" s="41"/>
      <c r="L488" s="43"/>
    </row>
    <row r="489" spans="2:12" outlineLevel="2">
      <c r="B489" s="40">
        <f t="shared" si="20"/>
        <v>27</v>
      </c>
      <c r="C489" s="41" t="s">
        <v>8</v>
      </c>
      <c r="D489" s="41"/>
      <c r="E489" s="41"/>
      <c r="F489" s="41"/>
      <c r="G489" s="41"/>
      <c r="H489" s="41"/>
      <c r="I489" s="42"/>
      <c r="J489" s="41"/>
      <c r="K489" s="41"/>
      <c r="L489" s="43"/>
    </row>
    <row r="490" spans="2:12" outlineLevel="2">
      <c r="B490" s="40">
        <f t="shared" si="20"/>
        <v>28</v>
      </c>
      <c r="C490" s="41" t="s">
        <v>8</v>
      </c>
      <c r="D490" s="41"/>
      <c r="E490" s="41"/>
      <c r="F490" s="41"/>
      <c r="G490" s="41"/>
      <c r="H490" s="41"/>
      <c r="I490" s="42"/>
      <c r="J490" s="41"/>
      <c r="K490" s="41"/>
      <c r="L490" s="43"/>
    </row>
    <row r="491" spans="2:12" outlineLevel="2">
      <c r="B491" s="40">
        <f t="shared" si="20"/>
        <v>29</v>
      </c>
      <c r="C491" s="41" t="s">
        <v>8</v>
      </c>
      <c r="D491" s="41"/>
      <c r="E491" s="41"/>
      <c r="F491" s="41"/>
      <c r="G491" s="41"/>
      <c r="H491" s="41"/>
      <c r="I491" s="42"/>
      <c r="J491" s="41"/>
      <c r="K491" s="41"/>
      <c r="L491" s="43"/>
    </row>
    <row r="492" spans="2:12" outlineLevel="2">
      <c r="B492" s="40">
        <f t="shared" si="20"/>
        <v>30</v>
      </c>
      <c r="C492" s="41" t="s">
        <v>8</v>
      </c>
      <c r="D492" s="41"/>
      <c r="E492" s="41"/>
      <c r="F492" s="41"/>
      <c r="G492" s="41"/>
      <c r="H492" s="41"/>
      <c r="I492" s="42"/>
      <c r="J492" s="41"/>
      <c r="K492" s="41"/>
      <c r="L492" s="43"/>
    </row>
    <row r="493" spans="2:12" outlineLevel="2">
      <c r="B493" s="40">
        <f t="shared" si="20"/>
        <v>31</v>
      </c>
      <c r="C493" s="41" t="s">
        <v>8</v>
      </c>
      <c r="D493" s="41"/>
      <c r="E493" s="41"/>
      <c r="F493" s="41"/>
      <c r="G493" s="41"/>
      <c r="H493" s="41"/>
      <c r="I493" s="42"/>
      <c r="J493" s="41"/>
      <c r="K493" s="41"/>
      <c r="L493" s="43"/>
    </row>
    <row r="494" spans="2:12" outlineLevel="2">
      <c r="B494" s="40">
        <f t="shared" si="20"/>
        <v>32</v>
      </c>
      <c r="C494" s="41" t="s">
        <v>8</v>
      </c>
      <c r="D494" s="41"/>
      <c r="E494" s="41"/>
      <c r="F494" s="41"/>
      <c r="G494" s="41"/>
      <c r="H494" s="41"/>
      <c r="I494" s="42"/>
      <c r="J494" s="41"/>
      <c r="K494" s="41"/>
      <c r="L494" s="43"/>
    </row>
    <row r="495" spans="2:12" outlineLevel="2">
      <c r="B495" s="40">
        <f t="shared" si="20"/>
        <v>33</v>
      </c>
      <c r="C495" s="41" t="s">
        <v>8</v>
      </c>
      <c r="D495" s="41"/>
      <c r="E495" s="41"/>
      <c r="F495" s="41"/>
      <c r="G495" s="41"/>
      <c r="H495" s="41"/>
      <c r="I495" s="42"/>
      <c r="J495" s="41"/>
      <c r="K495" s="41"/>
      <c r="L495" s="43"/>
    </row>
    <row r="496" spans="2:12" outlineLevel="2">
      <c r="B496" s="40">
        <f t="shared" si="20"/>
        <v>34</v>
      </c>
      <c r="C496" s="41" t="s">
        <v>8</v>
      </c>
      <c r="D496" s="41"/>
      <c r="E496" s="41"/>
      <c r="F496" s="41"/>
      <c r="G496" s="41"/>
      <c r="H496" s="41"/>
      <c r="I496" s="42"/>
      <c r="J496" s="41"/>
      <c r="K496" s="41"/>
      <c r="L496" s="43"/>
    </row>
    <row r="497" spans="2:12" outlineLevel="2">
      <c r="B497" s="40">
        <f t="shared" si="20"/>
        <v>35</v>
      </c>
      <c r="C497" s="41" t="s">
        <v>8</v>
      </c>
      <c r="D497" s="41"/>
      <c r="E497" s="41"/>
      <c r="F497" s="41"/>
      <c r="G497" s="41"/>
      <c r="H497" s="41"/>
      <c r="I497" s="42"/>
      <c r="J497" s="41"/>
      <c r="K497" s="41"/>
      <c r="L497" s="43"/>
    </row>
    <row r="498" spans="2:12" outlineLevel="2">
      <c r="B498" s="40">
        <f t="shared" si="20"/>
        <v>36</v>
      </c>
      <c r="C498" s="41" t="s">
        <v>8</v>
      </c>
      <c r="D498" s="41"/>
      <c r="E498" s="41"/>
      <c r="F498" s="41"/>
      <c r="G498" s="41"/>
      <c r="H498" s="41"/>
      <c r="I498" s="42"/>
      <c r="J498" s="41"/>
      <c r="K498" s="41"/>
      <c r="L498" s="43"/>
    </row>
    <row r="499" spans="2:12" outlineLevel="2">
      <c r="B499" s="40">
        <f t="shared" si="20"/>
        <v>37</v>
      </c>
      <c r="C499" s="41" t="s">
        <v>8</v>
      </c>
      <c r="D499" s="41"/>
      <c r="E499" s="41"/>
      <c r="F499" s="41"/>
      <c r="G499" s="41"/>
      <c r="H499" s="41"/>
      <c r="I499" s="42"/>
      <c r="J499" s="41"/>
      <c r="K499" s="41"/>
      <c r="L499" s="43"/>
    </row>
    <row r="500" spans="2:12" outlineLevel="2">
      <c r="B500" s="40">
        <f t="shared" si="20"/>
        <v>38</v>
      </c>
      <c r="C500" s="41" t="s">
        <v>8</v>
      </c>
      <c r="D500" s="41"/>
      <c r="E500" s="41"/>
      <c r="F500" s="41"/>
      <c r="G500" s="41"/>
      <c r="H500" s="41"/>
      <c r="I500" s="42"/>
      <c r="J500" s="41"/>
      <c r="K500" s="41"/>
      <c r="L500" s="43"/>
    </row>
    <row r="501" spans="2:12" outlineLevel="2">
      <c r="B501" s="40">
        <f t="shared" si="20"/>
        <v>39</v>
      </c>
      <c r="C501" s="41" t="s">
        <v>8</v>
      </c>
      <c r="D501" s="41"/>
      <c r="E501" s="41"/>
      <c r="F501" s="41"/>
      <c r="G501" s="41"/>
      <c r="H501" s="41"/>
      <c r="I501" s="42"/>
      <c r="J501" s="41"/>
      <c r="K501" s="41"/>
      <c r="L501" s="43"/>
    </row>
    <row r="502" spans="2:12" outlineLevel="2">
      <c r="B502" s="40">
        <f t="shared" si="20"/>
        <v>40</v>
      </c>
      <c r="C502" s="41" t="s">
        <v>8</v>
      </c>
      <c r="D502" s="41"/>
      <c r="E502" s="41"/>
      <c r="F502" s="41"/>
      <c r="G502" s="41"/>
      <c r="H502" s="41"/>
      <c r="I502" s="42"/>
      <c r="J502" s="41"/>
      <c r="K502" s="41"/>
      <c r="L502" s="43"/>
    </row>
    <row r="503" spans="2:12" outlineLevel="2">
      <c r="B503" s="40">
        <f t="shared" si="20"/>
        <v>41</v>
      </c>
      <c r="C503" s="41" t="s">
        <v>8</v>
      </c>
      <c r="D503" s="41"/>
      <c r="E503" s="41"/>
      <c r="F503" s="41"/>
      <c r="G503" s="41"/>
      <c r="H503" s="41"/>
      <c r="I503" s="42"/>
      <c r="J503" s="41"/>
      <c r="K503" s="41"/>
      <c r="L503" s="43"/>
    </row>
    <row r="504" spans="2:12" outlineLevel="2">
      <c r="B504" s="40">
        <f t="shared" si="20"/>
        <v>42</v>
      </c>
      <c r="C504" s="41" t="s">
        <v>8</v>
      </c>
      <c r="D504" s="41"/>
      <c r="E504" s="41"/>
      <c r="F504" s="41"/>
      <c r="G504" s="41"/>
      <c r="H504" s="41"/>
      <c r="I504" s="42"/>
      <c r="J504" s="41"/>
      <c r="K504" s="41"/>
      <c r="L504" s="43"/>
    </row>
    <row r="505" spans="2:12" outlineLevel="2">
      <c r="B505" s="40">
        <f t="shared" si="20"/>
        <v>43</v>
      </c>
      <c r="C505" s="41" t="s">
        <v>8</v>
      </c>
      <c r="D505" s="41"/>
      <c r="E505" s="41"/>
      <c r="F505" s="41"/>
      <c r="G505" s="41"/>
      <c r="H505" s="41"/>
      <c r="I505" s="42"/>
      <c r="J505" s="41"/>
      <c r="K505" s="41"/>
      <c r="L505" s="43"/>
    </row>
    <row r="506" spans="2:12" outlineLevel="2">
      <c r="B506" s="40">
        <f t="shared" si="20"/>
        <v>44</v>
      </c>
      <c r="C506" s="41" t="s">
        <v>8</v>
      </c>
      <c r="D506" s="41"/>
      <c r="E506" s="41"/>
      <c r="F506" s="41"/>
      <c r="G506" s="41"/>
      <c r="H506" s="41"/>
      <c r="I506" s="42"/>
      <c r="J506" s="41"/>
      <c r="K506" s="41"/>
      <c r="L506" s="43"/>
    </row>
    <row r="507" spans="2:12" outlineLevel="2">
      <c r="B507" s="40">
        <f t="shared" si="20"/>
        <v>45</v>
      </c>
      <c r="C507" s="41" t="s">
        <v>8</v>
      </c>
      <c r="D507" s="41"/>
      <c r="E507" s="41"/>
      <c r="F507" s="41"/>
      <c r="G507" s="41"/>
      <c r="H507" s="41"/>
      <c r="I507" s="42"/>
      <c r="J507" s="41"/>
      <c r="K507" s="41"/>
      <c r="L507" s="43"/>
    </row>
    <row r="508" spans="2:12" outlineLevel="2">
      <c r="B508" s="40">
        <f t="shared" si="20"/>
        <v>46</v>
      </c>
      <c r="C508" s="41" t="s">
        <v>8</v>
      </c>
      <c r="D508" s="41"/>
      <c r="E508" s="41"/>
      <c r="F508" s="41"/>
      <c r="G508" s="41"/>
      <c r="H508" s="41"/>
      <c r="I508" s="42"/>
      <c r="J508" s="41"/>
      <c r="K508" s="41"/>
      <c r="L508" s="43"/>
    </row>
    <row r="509" spans="2:12" outlineLevel="2">
      <c r="B509" s="40">
        <f t="shared" si="20"/>
        <v>47</v>
      </c>
      <c r="C509" s="41" t="s">
        <v>8</v>
      </c>
      <c r="D509" s="41"/>
      <c r="E509" s="41"/>
      <c r="F509" s="41"/>
      <c r="G509" s="41"/>
      <c r="H509" s="41"/>
      <c r="I509" s="42"/>
      <c r="J509" s="41"/>
      <c r="K509" s="41"/>
      <c r="L509" s="43"/>
    </row>
    <row r="510" spans="2:12" outlineLevel="2">
      <c r="B510" s="40">
        <f t="shared" si="20"/>
        <v>48</v>
      </c>
      <c r="C510" s="41" t="s">
        <v>8</v>
      </c>
      <c r="D510" s="41"/>
      <c r="E510" s="41"/>
      <c r="F510" s="41"/>
      <c r="G510" s="41"/>
      <c r="H510" s="41"/>
      <c r="I510" s="42"/>
      <c r="J510" s="41"/>
      <c r="K510" s="41"/>
      <c r="L510" s="43"/>
    </row>
    <row r="511" spans="2:12" outlineLevel="2">
      <c r="B511" s="40">
        <f t="shared" si="20"/>
        <v>49</v>
      </c>
      <c r="C511" s="41" t="s">
        <v>8</v>
      </c>
      <c r="D511" s="41"/>
      <c r="E511" s="41"/>
      <c r="F511" s="41"/>
      <c r="G511" s="41"/>
      <c r="H511" s="41"/>
      <c r="I511" s="42"/>
      <c r="J511" s="41"/>
      <c r="K511" s="41"/>
      <c r="L511" s="43"/>
    </row>
    <row r="512" spans="2:12" outlineLevel="2">
      <c r="B512" s="40">
        <f t="shared" si="20"/>
        <v>50</v>
      </c>
      <c r="C512" s="41" t="s">
        <v>8</v>
      </c>
      <c r="D512" s="41"/>
      <c r="E512" s="41"/>
      <c r="F512" s="41"/>
      <c r="G512" s="41"/>
      <c r="H512" s="41"/>
      <c r="I512" s="42"/>
      <c r="J512" s="41"/>
      <c r="K512" s="41"/>
      <c r="L512" s="43"/>
    </row>
    <row r="513" spans="2:12" outlineLevel="2">
      <c r="B513" s="40">
        <f t="shared" si="20"/>
        <v>51</v>
      </c>
      <c r="C513" s="41" t="s">
        <v>8</v>
      </c>
      <c r="D513" s="41"/>
      <c r="E513" s="41"/>
      <c r="F513" s="41"/>
      <c r="G513" s="41"/>
      <c r="H513" s="41"/>
      <c r="I513" s="42"/>
      <c r="J513" s="41"/>
      <c r="K513" s="41"/>
      <c r="L513" s="43"/>
    </row>
    <row r="514" spans="2:12" outlineLevel="2">
      <c r="B514" s="40">
        <f t="shared" si="20"/>
        <v>52</v>
      </c>
      <c r="C514" s="41" t="s">
        <v>8</v>
      </c>
      <c r="D514" s="41"/>
      <c r="E514" s="41"/>
      <c r="F514" s="41"/>
      <c r="G514" s="41"/>
      <c r="H514" s="41"/>
      <c r="I514" s="42"/>
      <c r="J514" s="41"/>
      <c r="K514" s="41"/>
      <c r="L514" s="43"/>
    </row>
    <row r="515" spans="2:12" outlineLevel="2">
      <c r="B515" s="40">
        <f t="shared" si="20"/>
        <v>53</v>
      </c>
      <c r="C515" s="41" t="s">
        <v>8</v>
      </c>
      <c r="D515" s="41"/>
      <c r="E515" s="41"/>
      <c r="F515" s="41"/>
      <c r="G515" s="41"/>
      <c r="H515" s="41"/>
      <c r="I515" s="42"/>
      <c r="J515" s="41"/>
      <c r="K515" s="41"/>
      <c r="L515" s="43"/>
    </row>
    <row r="516" spans="2:12" outlineLevel="2">
      <c r="B516" s="40">
        <f t="shared" si="20"/>
        <v>54</v>
      </c>
      <c r="C516" s="41" t="s">
        <v>8</v>
      </c>
      <c r="D516" s="41"/>
      <c r="E516" s="41"/>
      <c r="F516" s="41"/>
      <c r="G516" s="41"/>
      <c r="H516" s="41"/>
      <c r="I516" s="42"/>
      <c r="J516" s="41"/>
      <c r="K516" s="41"/>
      <c r="L516" s="43"/>
    </row>
    <row r="517" spans="2:12" outlineLevel="2">
      <c r="B517" s="40">
        <f t="shared" si="20"/>
        <v>55</v>
      </c>
      <c r="C517" s="41" t="s">
        <v>8</v>
      </c>
      <c r="D517" s="41"/>
      <c r="E517" s="41"/>
      <c r="F517" s="41"/>
      <c r="G517" s="41"/>
      <c r="H517" s="41"/>
      <c r="I517" s="42"/>
      <c r="J517" s="41"/>
      <c r="K517" s="41"/>
      <c r="L517" s="43"/>
    </row>
    <row r="518" spans="2:12" outlineLevel="2">
      <c r="B518" s="40">
        <f t="shared" si="20"/>
        <v>56</v>
      </c>
      <c r="C518" s="41" t="s">
        <v>8</v>
      </c>
      <c r="D518" s="41"/>
      <c r="E518" s="41"/>
      <c r="F518" s="41"/>
      <c r="G518" s="41"/>
      <c r="H518" s="41"/>
      <c r="I518" s="42"/>
      <c r="J518" s="41"/>
      <c r="K518" s="41"/>
      <c r="L518" s="43"/>
    </row>
    <row r="519" spans="2:12" outlineLevel="2">
      <c r="B519" s="40">
        <f t="shared" si="20"/>
        <v>57</v>
      </c>
      <c r="C519" s="41" t="s">
        <v>8</v>
      </c>
      <c r="D519" s="41"/>
      <c r="E519" s="41"/>
      <c r="F519" s="41"/>
      <c r="G519" s="41"/>
      <c r="H519" s="41"/>
      <c r="I519" s="42"/>
      <c r="J519" s="41"/>
      <c r="K519" s="41"/>
      <c r="L519" s="43"/>
    </row>
    <row r="520" spans="2:12" outlineLevel="2">
      <c r="B520" s="40">
        <f t="shared" si="20"/>
        <v>58</v>
      </c>
      <c r="C520" s="41" t="s">
        <v>8</v>
      </c>
      <c r="D520" s="41"/>
      <c r="E520" s="41"/>
      <c r="F520" s="41"/>
      <c r="G520" s="41"/>
      <c r="H520" s="41"/>
      <c r="I520" s="42"/>
      <c r="J520" s="41"/>
      <c r="K520" s="41"/>
      <c r="L520" s="43"/>
    </row>
    <row r="521" spans="2:12" outlineLevel="2">
      <c r="B521" s="40">
        <f t="shared" si="20"/>
        <v>59</v>
      </c>
      <c r="C521" s="41" t="s">
        <v>8</v>
      </c>
      <c r="D521" s="41"/>
      <c r="E521" s="41"/>
      <c r="F521" s="41"/>
      <c r="G521" s="41"/>
      <c r="H521" s="41"/>
      <c r="I521" s="42"/>
      <c r="J521" s="41"/>
      <c r="K521" s="41"/>
      <c r="L521" s="43"/>
    </row>
    <row r="522" spans="2:12" outlineLevel="2">
      <c r="B522" s="40">
        <f t="shared" si="20"/>
        <v>60</v>
      </c>
      <c r="C522" s="41" t="s">
        <v>8</v>
      </c>
      <c r="D522" s="41"/>
      <c r="E522" s="41"/>
      <c r="F522" s="41"/>
      <c r="G522" s="41"/>
      <c r="H522" s="41"/>
      <c r="I522" s="42"/>
      <c r="J522" s="41"/>
      <c r="K522" s="41"/>
      <c r="L522" s="43"/>
    </row>
    <row r="523" spans="2:12" outlineLevel="2">
      <c r="B523" s="40">
        <f t="shared" si="20"/>
        <v>61</v>
      </c>
      <c r="C523" s="41" t="s">
        <v>8</v>
      </c>
      <c r="D523" s="41"/>
      <c r="E523" s="41"/>
      <c r="F523" s="41"/>
      <c r="G523" s="41"/>
      <c r="H523" s="41"/>
      <c r="I523" s="42"/>
      <c r="J523" s="41"/>
      <c r="K523" s="41"/>
      <c r="L523" s="43"/>
    </row>
    <row r="524" spans="2:12" outlineLevel="2">
      <c r="B524" s="40">
        <f t="shared" si="20"/>
        <v>62</v>
      </c>
      <c r="C524" s="41" t="s">
        <v>8</v>
      </c>
      <c r="D524" s="41"/>
      <c r="E524" s="41"/>
      <c r="F524" s="41"/>
      <c r="G524" s="41"/>
      <c r="H524" s="41"/>
      <c r="I524" s="42"/>
      <c r="J524" s="41"/>
      <c r="K524" s="41"/>
      <c r="L524" s="43"/>
    </row>
    <row r="525" spans="2:12" outlineLevel="2">
      <c r="B525" s="40">
        <f t="shared" si="20"/>
        <v>63</v>
      </c>
      <c r="C525" s="41" t="s">
        <v>8</v>
      </c>
      <c r="D525" s="41"/>
      <c r="E525" s="41"/>
      <c r="F525" s="41"/>
      <c r="G525" s="41"/>
      <c r="H525" s="41"/>
      <c r="I525" s="42"/>
      <c r="J525" s="41"/>
      <c r="K525" s="41"/>
      <c r="L525" s="43"/>
    </row>
    <row r="526" spans="2:12" outlineLevel="2">
      <c r="B526" s="40">
        <f t="shared" si="20"/>
        <v>64</v>
      </c>
      <c r="C526" s="41" t="s">
        <v>8</v>
      </c>
      <c r="D526" s="41"/>
      <c r="E526" s="41"/>
      <c r="F526" s="41"/>
      <c r="G526" s="41"/>
      <c r="H526" s="41"/>
      <c r="I526" s="42"/>
      <c r="J526" s="41"/>
      <c r="K526" s="41"/>
      <c r="L526" s="43"/>
    </row>
    <row r="527" spans="2:12" outlineLevel="2">
      <c r="B527" s="40">
        <f t="shared" si="20"/>
        <v>65</v>
      </c>
      <c r="C527" s="41" t="s">
        <v>8</v>
      </c>
      <c r="D527" s="41"/>
      <c r="E527" s="41"/>
      <c r="F527" s="41"/>
      <c r="G527" s="41"/>
      <c r="H527" s="41"/>
      <c r="I527" s="42"/>
      <c r="J527" s="41"/>
      <c r="K527" s="41"/>
      <c r="L527" s="43"/>
    </row>
    <row r="528" spans="2:12" outlineLevel="2">
      <c r="B528" s="40">
        <f t="shared" si="20"/>
        <v>66</v>
      </c>
      <c r="C528" s="41" t="s">
        <v>8</v>
      </c>
      <c r="D528" s="41"/>
      <c r="E528" s="41"/>
      <c r="F528" s="41"/>
      <c r="G528" s="41"/>
      <c r="H528" s="41"/>
      <c r="I528" s="42"/>
      <c r="J528" s="41"/>
      <c r="K528" s="41"/>
      <c r="L528" s="43"/>
    </row>
    <row r="529" spans="2:12" outlineLevel="2">
      <c r="B529" s="40">
        <f t="shared" ref="B529:B592" si="21">ROW(A67)</f>
        <v>67</v>
      </c>
      <c r="C529" s="41" t="s">
        <v>8</v>
      </c>
      <c r="D529" s="41"/>
      <c r="E529" s="41"/>
      <c r="F529" s="41"/>
      <c r="G529" s="41"/>
      <c r="H529" s="41"/>
      <c r="I529" s="42"/>
      <c r="J529" s="41"/>
      <c r="K529" s="41"/>
      <c r="L529" s="43"/>
    </row>
    <row r="530" spans="2:12" outlineLevel="2">
      <c r="B530" s="40">
        <f t="shared" si="21"/>
        <v>68</v>
      </c>
      <c r="C530" s="41" t="s">
        <v>8</v>
      </c>
      <c r="D530" s="41"/>
      <c r="E530" s="41"/>
      <c r="F530" s="41"/>
      <c r="G530" s="41"/>
      <c r="H530" s="41"/>
      <c r="I530" s="42"/>
      <c r="J530" s="41"/>
      <c r="K530" s="41"/>
      <c r="L530" s="43"/>
    </row>
    <row r="531" spans="2:12" outlineLevel="2">
      <c r="B531" s="40">
        <f t="shared" si="21"/>
        <v>69</v>
      </c>
      <c r="C531" s="41" t="s">
        <v>8</v>
      </c>
      <c r="D531" s="41"/>
      <c r="E531" s="41"/>
      <c r="F531" s="41"/>
      <c r="G531" s="41"/>
      <c r="H531" s="41"/>
      <c r="I531" s="42"/>
      <c r="J531" s="41"/>
      <c r="K531" s="41"/>
      <c r="L531" s="43"/>
    </row>
    <row r="532" spans="2:12" outlineLevel="2">
      <c r="B532" s="40">
        <f t="shared" si="21"/>
        <v>70</v>
      </c>
      <c r="C532" s="41" t="s">
        <v>8</v>
      </c>
      <c r="D532" s="41"/>
      <c r="E532" s="41"/>
      <c r="F532" s="41"/>
      <c r="G532" s="41"/>
      <c r="H532" s="41"/>
      <c r="I532" s="42"/>
      <c r="J532" s="41"/>
      <c r="K532" s="41"/>
      <c r="L532" s="43"/>
    </row>
    <row r="533" spans="2:12" outlineLevel="2">
      <c r="B533" s="40">
        <f t="shared" si="21"/>
        <v>71</v>
      </c>
      <c r="C533" s="41" t="s">
        <v>8</v>
      </c>
      <c r="D533" s="41"/>
      <c r="E533" s="41"/>
      <c r="F533" s="41"/>
      <c r="G533" s="41"/>
      <c r="H533" s="41"/>
      <c r="I533" s="42"/>
      <c r="J533" s="41"/>
      <c r="K533" s="41"/>
      <c r="L533" s="43"/>
    </row>
    <row r="534" spans="2:12" outlineLevel="2">
      <c r="B534" s="40">
        <f t="shared" si="21"/>
        <v>72</v>
      </c>
      <c r="C534" s="41" t="s">
        <v>8</v>
      </c>
      <c r="D534" s="41"/>
      <c r="E534" s="41"/>
      <c r="F534" s="41"/>
      <c r="G534" s="41"/>
      <c r="H534" s="41"/>
      <c r="I534" s="42"/>
      <c r="J534" s="41"/>
      <c r="K534" s="41"/>
      <c r="L534" s="43"/>
    </row>
    <row r="535" spans="2:12" outlineLevel="2">
      <c r="B535" s="40">
        <f t="shared" si="21"/>
        <v>73</v>
      </c>
      <c r="C535" s="41" t="s">
        <v>8</v>
      </c>
      <c r="D535" s="41"/>
      <c r="E535" s="41"/>
      <c r="F535" s="41"/>
      <c r="G535" s="41"/>
      <c r="H535" s="41"/>
      <c r="I535" s="42"/>
      <c r="J535" s="41"/>
      <c r="K535" s="41"/>
      <c r="L535" s="43"/>
    </row>
    <row r="536" spans="2:12" outlineLevel="2">
      <c r="B536" s="40">
        <f t="shared" si="21"/>
        <v>74</v>
      </c>
      <c r="C536" s="41" t="s">
        <v>8</v>
      </c>
      <c r="D536" s="41"/>
      <c r="E536" s="41"/>
      <c r="F536" s="41"/>
      <c r="G536" s="41"/>
      <c r="H536" s="41"/>
      <c r="I536" s="42"/>
      <c r="J536" s="41"/>
      <c r="K536" s="41"/>
      <c r="L536" s="43"/>
    </row>
    <row r="537" spans="2:12" outlineLevel="2">
      <c r="B537" s="40">
        <f t="shared" si="21"/>
        <v>75</v>
      </c>
      <c r="C537" s="41" t="s">
        <v>8</v>
      </c>
      <c r="D537" s="41"/>
      <c r="E537" s="41"/>
      <c r="F537" s="41"/>
      <c r="G537" s="41"/>
      <c r="H537" s="41"/>
      <c r="I537" s="42"/>
      <c r="J537" s="41"/>
      <c r="K537" s="41"/>
      <c r="L537" s="43"/>
    </row>
    <row r="538" spans="2:12" outlineLevel="2">
      <c r="B538" s="40">
        <f t="shared" si="21"/>
        <v>76</v>
      </c>
      <c r="C538" s="41" t="s">
        <v>8</v>
      </c>
      <c r="D538" s="41"/>
      <c r="E538" s="41"/>
      <c r="F538" s="41"/>
      <c r="G538" s="41"/>
      <c r="H538" s="41"/>
      <c r="I538" s="42"/>
      <c r="J538" s="41"/>
      <c r="K538" s="41"/>
      <c r="L538" s="43"/>
    </row>
    <row r="539" spans="2:12" outlineLevel="2">
      <c r="B539" s="40">
        <f t="shared" si="21"/>
        <v>77</v>
      </c>
      <c r="C539" s="41" t="s">
        <v>8</v>
      </c>
      <c r="D539" s="41"/>
      <c r="E539" s="41"/>
      <c r="F539" s="41"/>
      <c r="G539" s="41"/>
      <c r="H539" s="41"/>
      <c r="I539" s="42"/>
      <c r="J539" s="41"/>
      <c r="K539" s="41"/>
      <c r="L539" s="43"/>
    </row>
    <row r="540" spans="2:12" outlineLevel="2">
      <c r="B540" s="40">
        <f t="shared" si="21"/>
        <v>78</v>
      </c>
      <c r="C540" s="41" t="s">
        <v>8</v>
      </c>
      <c r="D540" s="41"/>
      <c r="E540" s="41"/>
      <c r="F540" s="41"/>
      <c r="G540" s="41"/>
      <c r="H540" s="41"/>
      <c r="I540" s="42"/>
      <c r="J540" s="41"/>
      <c r="K540" s="41"/>
      <c r="L540" s="43"/>
    </row>
    <row r="541" spans="2:12" outlineLevel="2">
      <c r="B541" s="40">
        <f t="shared" si="21"/>
        <v>79</v>
      </c>
      <c r="C541" s="41" t="s">
        <v>8</v>
      </c>
      <c r="D541" s="41"/>
      <c r="E541" s="41"/>
      <c r="F541" s="41"/>
      <c r="G541" s="41"/>
      <c r="H541" s="41"/>
      <c r="I541" s="42"/>
      <c r="J541" s="41"/>
      <c r="K541" s="41"/>
      <c r="L541" s="43"/>
    </row>
    <row r="542" spans="2:12" outlineLevel="2">
      <c r="B542" s="40">
        <f t="shared" si="21"/>
        <v>80</v>
      </c>
      <c r="C542" s="41" t="s">
        <v>8</v>
      </c>
      <c r="D542" s="41"/>
      <c r="E542" s="41"/>
      <c r="F542" s="41"/>
      <c r="G542" s="41"/>
      <c r="H542" s="41"/>
      <c r="I542" s="42"/>
      <c r="J542" s="41"/>
      <c r="K542" s="41"/>
      <c r="L542" s="43"/>
    </row>
    <row r="543" spans="2:12" outlineLevel="2">
      <c r="B543" s="40">
        <f t="shared" si="21"/>
        <v>81</v>
      </c>
      <c r="C543" s="41" t="s">
        <v>8</v>
      </c>
      <c r="D543" s="41"/>
      <c r="E543" s="41"/>
      <c r="F543" s="41"/>
      <c r="G543" s="41"/>
      <c r="H543" s="41"/>
      <c r="I543" s="42"/>
      <c r="J543" s="41"/>
      <c r="K543" s="41"/>
      <c r="L543" s="43"/>
    </row>
    <row r="544" spans="2:12" outlineLevel="2">
      <c r="B544" s="40">
        <f t="shared" si="21"/>
        <v>82</v>
      </c>
      <c r="C544" s="41" t="s">
        <v>8</v>
      </c>
      <c r="D544" s="41"/>
      <c r="E544" s="41"/>
      <c r="F544" s="41"/>
      <c r="G544" s="41"/>
      <c r="H544" s="41"/>
      <c r="I544" s="42"/>
      <c r="J544" s="41"/>
      <c r="K544" s="41"/>
      <c r="L544" s="43"/>
    </row>
    <row r="545" spans="2:12" outlineLevel="2">
      <c r="B545" s="40">
        <f t="shared" si="21"/>
        <v>83</v>
      </c>
      <c r="C545" s="41" t="s">
        <v>8</v>
      </c>
      <c r="D545" s="41"/>
      <c r="E545" s="41"/>
      <c r="F545" s="41"/>
      <c r="G545" s="41"/>
      <c r="H545" s="41"/>
      <c r="I545" s="42"/>
      <c r="J545" s="41"/>
      <c r="K545" s="41"/>
      <c r="L545" s="43"/>
    </row>
    <row r="546" spans="2:12" outlineLevel="2">
      <c r="B546" s="40">
        <f t="shared" si="21"/>
        <v>84</v>
      </c>
      <c r="C546" s="41" t="s">
        <v>8</v>
      </c>
      <c r="D546" s="41"/>
      <c r="E546" s="41"/>
      <c r="F546" s="41"/>
      <c r="G546" s="41"/>
      <c r="H546" s="41"/>
      <c r="I546" s="42"/>
      <c r="J546" s="41"/>
      <c r="K546" s="41"/>
      <c r="L546" s="43"/>
    </row>
    <row r="547" spans="2:12" outlineLevel="2">
      <c r="B547" s="40">
        <f t="shared" si="21"/>
        <v>85</v>
      </c>
      <c r="C547" s="41" t="s">
        <v>8</v>
      </c>
      <c r="D547" s="41"/>
      <c r="E547" s="41"/>
      <c r="F547" s="41"/>
      <c r="G547" s="41"/>
      <c r="H547" s="41"/>
      <c r="I547" s="42"/>
      <c r="J547" s="41"/>
      <c r="K547" s="41"/>
      <c r="L547" s="43"/>
    </row>
    <row r="548" spans="2:12" outlineLevel="2">
      <c r="B548" s="40">
        <f t="shared" si="21"/>
        <v>86</v>
      </c>
      <c r="C548" s="41" t="s">
        <v>8</v>
      </c>
      <c r="D548" s="41"/>
      <c r="E548" s="41"/>
      <c r="F548" s="41"/>
      <c r="G548" s="41"/>
      <c r="H548" s="41"/>
      <c r="I548" s="42"/>
      <c r="J548" s="41"/>
      <c r="K548" s="41"/>
      <c r="L548" s="43"/>
    </row>
    <row r="549" spans="2:12" outlineLevel="2">
      <c r="B549" s="40">
        <f t="shared" si="21"/>
        <v>87</v>
      </c>
      <c r="C549" s="41" t="s">
        <v>8</v>
      </c>
      <c r="D549" s="41"/>
      <c r="E549" s="41"/>
      <c r="F549" s="41"/>
      <c r="G549" s="41"/>
      <c r="H549" s="41"/>
      <c r="I549" s="42"/>
      <c r="J549" s="41"/>
      <c r="K549" s="41"/>
      <c r="L549" s="43"/>
    </row>
    <row r="550" spans="2:12" outlineLevel="2">
      <c r="B550" s="40">
        <f t="shared" si="21"/>
        <v>88</v>
      </c>
      <c r="C550" s="41" t="s">
        <v>8</v>
      </c>
      <c r="D550" s="41"/>
      <c r="E550" s="41"/>
      <c r="F550" s="41"/>
      <c r="G550" s="41"/>
      <c r="H550" s="41"/>
      <c r="I550" s="42"/>
      <c r="J550" s="41"/>
      <c r="K550" s="41"/>
      <c r="L550" s="43"/>
    </row>
    <row r="551" spans="2:12" outlineLevel="2">
      <c r="B551" s="40">
        <f t="shared" si="21"/>
        <v>89</v>
      </c>
      <c r="C551" s="41" t="s">
        <v>8</v>
      </c>
      <c r="D551" s="41"/>
      <c r="E551" s="41"/>
      <c r="F551" s="41"/>
      <c r="G551" s="41"/>
      <c r="H551" s="41"/>
      <c r="I551" s="42"/>
      <c r="J551" s="41"/>
      <c r="K551" s="41"/>
      <c r="L551" s="43"/>
    </row>
    <row r="552" spans="2:12" outlineLevel="2">
      <c r="B552" s="40">
        <f t="shared" si="21"/>
        <v>90</v>
      </c>
      <c r="C552" s="41" t="s">
        <v>8</v>
      </c>
      <c r="D552" s="41"/>
      <c r="E552" s="41"/>
      <c r="F552" s="41"/>
      <c r="G552" s="41"/>
      <c r="H552" s="41"/>
      <c r="I552" s="42"/>
      <c r="J552" s="41"/>
      <c r="K552" s="41"/>
      <c r="L552" s="43"/>
    </row>
    <row r="553" spans="2:12" outlineLevel="2">
      <c r="B553" s="40">
        <f t="shared" si="21"/>
        <v>91</v>
      </c>
      <c r="C553" s="41" t="s">
        <v>8</v>
      </c>
      <c r="D553" s="41"/>
      <c r="E553" s="41"/>
      <c r="F553" s="41"/>
      <c r="G553" s="41"/>
      <c r="H553" s="41"/>
      <c r="I553" s="42"/>
      <c r="J553" s="41"/>
      <c r="K553" s="41"/>
      <c r="L553" s="43"/>
    </row>
    <row r="554" spans="2:12" outlineLevel="2">
      <c r="B554" s="40">
        <f t="shared" si="21"/>
        <v>92</v>
      </c>
      <c r="C554" s="41" t="s">
        <v>8</v>
      </c>
      <c r="D554" s="41"/>
      <c r="E554" s="41"/>
      <c r="F554" s="41"/>
      <c r="G554" s="41"/>
      <c r="H554" s="41"/>
      <c r="I554" s="42"/>
      <c r="J554" s="41"/>
      <c r="K554" s="41"/>
      <c r="L554" s="43"/>
    </row>
    <row r="555" spans="2:12" outlineLevel="2">
      <c r="B555" s="40">
        <f t="shared" si="21"/>
        <v>93</v>
      </c>
      <c r="C555" s="41" t="s">
        <v>8</v>
      </c>
      <c r="D555" s="41"/>
      <c r="E555" s="41"/>
      <c r="F555" s="41"/>
      <c r="G555" s="41"/>
      <c r="H555" s="41"/>
      <c r="I555" s="42"/>
      <c r="J555" s="41"/>
      <c r="K555" s="41"/>
      <c r="L555" s="43"/>
    </row>
    <row r="556" spans="2:12" outlineLevel="2">
      <c r="B556" s="40">
        <f t="shared" si="21"/>
        <v>94</v>
      </c>
      <c r="C556" s="41" t="s">
        <v>8</v>
      </c>
      <c r="D556" s="41"/>
      <c r="E556" s="41"/>
      <c r="F556" s="41"/>
      <c r="G556" s="41"/>
      <c r="H556" s="41"/>
      <c r="I556" s="42"/>
      <c r="J556" s="41"/>
      <c r="K556" s="41"/>
      <c r="L556" s="43"/>
    </row>
    <row r="557" spans="2:12" outlineLevel="2">
      <c r="B557" s="40">
        <f t="shared" si="21"/>
        <v>95</v>
      </c>
      <c r="C557" s="41" t="s">
        <v>8</v>
      </c>
      <c r="D557" s="41"/>
      <c r="E557" s="41"/>
      <c r="F557" s="41"/>
      <c r="G557" s="41"/>
      <c r="H557" s="41"/>
      <c r="I557" s="42"/>
      <c r="J557" s="41"/>
      <c r="K557" s="41"/>
      <c r="L557" s="43"/>
    </row>
    <row r="558" spans="2:12" outlineLevel="2">
      <c r="B558" s="40">
        <f t="shared" si="21"/>
        <v>96</v>
      </c>
      <c r="C558" s="41" t="s">
        <v>8</v>
      </c>
      <c r="D558" s="41"/>
      <c r="E558" s="41"/>
      <c r="F558" s="41"/>
      <c r="G558" s="41"/>
      <c r="H558" s="41"/>
      <c r="I558" s="42"/>
      <c r="J558" s="41"/>
      <c r="K558" s="41"/>
      <c r="L558" s="43"/>
    </row>
    <row r="559" spans="2:12" outlineLevel="2">
      <c r="B559" s="40">
        <f t="shared" si="21"/>
        <v>97</v>
      </c>
      <c r="C559" s="41" t="s">
        <v>8</v>
      </c>
      <c r="D559" s="41"/>
      <c r="E559" s="41"/>
      <c r="F559" s="41"/>
      <c r="G559" s="41"/>
      <c r="H559" s="41"/>
      <c r="I559" s="42"/>
      <c r="J559" s="41"/>
      <c r="K559" s="41"/>
      <c r="L559" s="43"/>
    </row>
    <row r="560" spans="2:12" outlineLevel="2">
      <c r="B560" s="40">
        <f t="shared" si="21"/>
        <v>98</v>
      </c>
      <c r="C560" s="41" t="s">
        <v>8</v>
      </c>
      <c r="D560" s="41"/>
      <c r="E560" s="41"/>
      <c r="F560" s="41"/>
      <c r="G560" s="41"/>
      <c r="H560" s="41"/>
      <c r="I560" s="42"/>
      <c r="J560" s="41"/>
      <c r="K560" s="41"/>
      <c r="L560" s="43"/>
    </row>
    <row r="561" spans="2:12" outlineLevel="2">
      <c r="B561" s="40">
        <f t="shared" si="21"/>
        <v>99</v>
      </c>
      <c r="C561" s="41" t="s">
        <v>8</v>
      </c>
      <c r="D561" s="41"/>
      <c r="E561" s="41"/>
      <c r="F561" s="41"/>
      <c r="G561" s="41"/>
      <c r="H561" s="41"/>
      <c r="I561" s="42"/>
      <c r="J561" s="41"/>
      <c r="K561" s="41"/>
      <c r="L561" s="43"/>
    </row>
    <row r="562" spans="2:12" outlineLevel="2">
      <c r="B562" s="40">
        <f t="shared" si="21"/>
        <v>100</v>
      </c>
      <c r="C562" s="41" t="s">
        <v>8</v>
      </c>
      <c r="D562" s="41"/>
      <c r="E562" s="41"/>
      <c r="F562" s="41"/>
      <c r="G562" s="41"/>
      <c r="H562" s="41"/>
      <c r="I562" s="42"/>
      <c r="J562" s="41"/>
      <c r="K562" s="41"/>
      <c r="L562" s="43"/>
    </row>
    <row r="563" spans="2:12" outlineLevel="2">
      <c r="B563" s="40">
        <f t="shared" si="21"/>
        <v>101</v>
      </c>
      <c r="C563" s="41" t="s">
        <v>8</v>
      </c>
      <c r="D563" s="41"/>
      <c r="E563" s="41"/>
      <c r="F563" s="41"/>
      <c r="G563" s="41"/>
      <c r="H563" s="41"/>
      <c r="I563" s="42"/>
      <c r="J563" s="41"/>
      <c r="K563" s="41"/>
      <c r="L563" s="43"/>
    </row>
    <row r="564" spans="2:12" outlineLevel="2">
      <c r="B564" s="40">
        <f t="shared" si="21"/>
        <v>102</v>
      </c>
      <c r="C564" s="41" t="s">
        <v>8</v>
      </c>
      <c r="D564" s="41"/>
      <c r="E564" s="41"/>
      <c r="F564" s="41"/>
      <c r="G564" s="41"/>
      <c r="H564" s="41"/>
      <c r="I564" s="42"/>
      <c r="J564" s="41"/>
      <c r="K564" s="41"/>
      <c r="L564" s="43"/>
    </row>
    <row r="565" spans="2:12" outlineLevel="2">
      <c r="B565" s="40">
        <f t="shared" si="21"/>
        <v>103</v>
      </c>
      <c r="C565" s="41" t="s">
        <v>8</v>
      </c>
      <c r="D565" s="41"/>
      <c r="E565" s="41"/>
      <c r="F565" s="41"/>
      <c r="G565" s="41"/>
      <c r="H565" s="41"/>
      <c r="I565" s="42"/>
      <c r="J565" s="41"/>
      <c r="K565" s="41"/>
      <c r="L565" s="43"/>
    </row>
    <row r="566" spans="2:12" outlineLevel="2">
      <c r="B566" s="40">
        <f t="shared" si="21"/>
        <v>104</v>
      </c>
      <c r="C566" s="41" t="s">
        <v>8</v>
      </c>
      <c r="D566" s="41"/>
      <c r="E566" s="41"/>
      <c r="F566" s="41"/>
      <c r="G566" s="41"/>
      <c r="H566" s="41"/>
      <c r="I566" s="42"/>
      <c r="J566" s="41"/>
      <c r="K566" s="41"/>
      <c r="L566" s="43"/>
    </row>
    <row r="567" spans="2:12" outlineLevel="2">
      <c r="B567" s="40">
        <f t="shared" si="21"/>
        <v>105</v>
      </c>
      <c r="C567" s="41" t="s">
        <v>8</v>
      </c>
      <c r="D567" s="41"/>
      <c r="E567" s="41"/>
      <c r="F567" s="41"/>
      <c r="G567" s="41"/>
      <c r="H567" s="41"/>
      <c r="I567" s="42"/>
      <c r="J567" s="41"/>
      <c r="K567" s="41"/>
      <c r="L567" s="43"/>
    </row>
    <row r="568" spans="2:12" outlineLevel="2">
      <c r="B568" s="40">
        <f t="shared" si="21"/>
        <v>106</v>
      </c>
      <c r="C568" s="41" t="s">
        <v>8</v>
      </c>
      <c r="D568" s="41"/>
      <c r="E568" s="41"/>
      <c r="F568" s="41"/>
      <c r="G568" s="41"/>
      <c r="H568" s="41"/>
      <c r="I568" s="42"/>
      <c r="J568" s="41"/>
      <c r="K568" s="41"/>
      <c r="L568" s="43"/>
    </row>
    <row r="569" spans="2:12" outlineLevel="2">
      <c r="B569" s="40">
        <f t="shared" si="21"/>
        <v>107</v>
      </c>
      <c r="C569" s="41" t="s">
        <v>8</v>
      </c>
      <c r="D569" s="41"/>
      <c r="E569" s="41"/>
      <c r="F569" s="41"/>
      <c r="G569" s="41"/>
      <c r="H569" s="41"/>
      <c r="I569" s="42"/>
      <c r="J569" s="41"/>
      <c r="K569" s="41"/>
      <c r="L569" s="43"/>
    </row>
    <row r="570" spans="2:12" outlineLevel="2">
      <c r="B570" s="40">
        <f t="shared" si="21"/>
        <v>108</v>
      </c>
      <c r="C570" s="41" t="s">
        <v>8</v>
      </c>
      <c r="D570" s="41"/>
      <c r="E570" s="41"/>
      <c r="F570" s="41"/>
      <c r="G570" s="41"/>
      <c r="H570" s="41"/>
      <c r="I570" s="42"/>
      <c r="J570" s="41"/>
      <c r="K570" s="41"/>
      <c r="L570" s="43"/>
    </row>
    <row r="571" spans="2:12" outlineLevel="2">
      <c r="B571" s="40">
        <f t="shared" si="21"/>
        <v>109</v>
      </c>
      <c r="C571" s="41" t="s">
        <v>8</v>
      </c>
      <c r="D571" s="41"/>
      <c r="E571" s="41"/>
      <c r="F571" s="41"/>
      <c r="G571" s="41"/>
      <c r="H571" s="41"/>
      <c r="I571" s="42"/>
      <c r="J571" s="41"/>
      <c r="K571" s="41"/>
      <c r="L571" s="43"/>
    </row>
    <row r="572" spans="2:12" outlineLevel="2">
      <c r="B572" s="40">
        <f t="shared" si="21"/>
        <v>110</v>
      </c>
      <c r="C572" s="41" t="s">
        <v>8</v>
      </c>
      <c r="D572" s="41"/>
      <c r="E572" s="41"/>
      <c r="F572" s="41"/>
      <c r="G572" s="41"/>
      <c r="H572" s="41"/>
      <c r="I572" s="42"/>
      <c r="J572" s="41"/>
      <c r="K572" s="41"/>
      <c r="L572" s="43"/>
    </row>
    <row r="573" spans="2:12" outlineLevel="2">
      <c r="B573" s="40">
        <f t="shared" si="21"/>
        <v>111</v>
      </c>
      <c r="C573" s="41" t="s">
        <v>8</v>
      </c>
      <c r="D573" s="41"/>
      <c r="E573" s="41"/>
      <c r="F573" s="41"/>
      <c r="G573" s="41"/>
      <c r="H573" s="41"/>
      <c r="I573" s="42"/>
      <c r="J573" s="41"/>
      <c r="K573" s="41"/>
      <c r="L573" s="43"/>
    </row>
    <row r="574" spans="2:12" outlineLevel="2">
      <c r="B574" s="40">
        <f t="shared" si="21"/>
        <v>112</v>
      </c>
      <c r="C574" s="41" t="s">
        <v>8</v>
      </c>
      <c r="D574" s="41"/>
      <c r="E574" s="41"/>
      <c r="F574" s="41"/>
      <c r="G574" s="41"/>
      <c r="H574" s="41"/>
      <c r="I574" s="42"/>
      <c r="J574" s="41"/>
      <c r="K574" s="41"/>
      <c r="L574" s="43"/>
    </row>
    <row r="575" spans="2:12" outlineLevel="2">
      <c r="B575" s="40">
        <f t="shared" si="21"/>
        <v>113</v>
      </c>
      <c r="C575" s="41" t="s">
        <v>8</v>
      </c>
      <c r="D575" s="41"/>
      <c r="E575" s="41"/>
      <c r="F575" s="41"/>
      <c r="G575" s="41"/>
      <c r="H575" s="41"/>
      <c r="I575" s="42"/>
      <c r="J575" s="41"/>
      <c r="K575" s="41"/>
      <c r="L575" s="43"/>
    </row>
    <row r="576" spans="2:12" outlineLevel="2">
      <c r="B576" s="40">
        <f t="shared" si="21"/>
        <v>114</v>
      </c>
      <c r="C576" s="41" t="s">
        <v>8</v>
      </c>
      <c r="D576" s="41"/>
      <c r="E576" s="41"/>
      <c r="F576" s="41"/>
      <c r="G576" s="41"/>
      <c r="H576" s="41"/>
      <c r="I576" s="42"/>
      <c r="J576" s="41"/>
      <c r="K576" s="41"/>
      <c r="L576" s="43"/>
    </row>
    <row r="577" spans="2:12" outlineLevel="2">
      <c r="B577" s="40">
        <f t="shared" si="21"/>
        <v>115</v>
      </c>
      <c r="C577" s="41" t="s">
        <v>8</v>
      </c>
      <c r="D577" s="41"/>
      <c r="E577" s="41"/>
      <c r="F577" s="41"/>
      <c r="G577" s="41"/>
      <c r="H577" s="41"/>
      <c r="I577" s="42"/>
      <c r="J577" s="41"/>
      <c r="K577" s="41"/>
      <c r="L577" s="43"/>
    </row>
    <row r="578" spans="2:12" outlineLevel="2">
      <c r="B578" s="40">
        <f t="shared" si="21"/>
        <v>116</v>
      </c>
      <c r="C578" s="41" t="s">
        <v>8</v>
      </c>
      <c r="D578" s="41"/>
      <c r="E578" s="41"/>
      <c r="F578" s="41"/>
      <c r="G578" s="41"/>
      <c r="H578" s="41"/>
      <c r="I578" s="42"/>
      <c r="J578" s="41"/>
      <c r="K578" s="41"/>
      <c r="L578" s="43"/>
    </row>
    <row r="579" spans="2:12" outlineLevel="2">
      <c r="B579" s="40">
        <f t="shared" si="21"/>
        <v>117</v>
      </c>
      <c r="C579" s="41" t="s">
        <v>8</v>
      </c>
      <c r="D579" s="41"/>
      <c r="E579" s="41"/>
      <c r="F579" s="41"/>
      <c r="G579" s="41"/>
      <c r="H579" s="41"/>
      <c r="I579" s="42"/>
      <c r="J579" s="41"/>
      <c r="K579" s="41"/>
      <c r="L579" s="43"/>
    </row>
    <row r="580" spans="2:12" outlineLevel="2">
      <c r="B580" s="40">
        <f t="shared" si="21"/>
        <v>118</v>
      </c>
      <c r="C580" s="41" t="s">
        <v>8</v>
      </c>
      <c r="D580" s="41"/>
      <c r="E580" s="41"/>
      <c r="F580" s="41"/>
      <c r="G580" s="41"/>
      <c r="H580" s="41"/>
      <c r="I580" s="42"/>
      <c r="J580" s="41"/>
      <c r="K580" s="41"/>
      <c r="L580" s="43"/>
    </row>
    <row r="581" spans="2:12" outlineLevel="2">
      <c r="B581" s="40">
        <f t="shared" si="21"/>
        <v>119</v>
      </c>
      <c r="C581" s="41" t="s">
        <v>8</v>
      </c>
      <c r="D581" s="41"/>
      <c r="E581" s="41"/>
      <c r="F581" s="41"/>
      <c r="G581" s="41"/>
      <c r="H581" s="41"/>
      <c r="I581" s="42"/>
      <c r="J581" s="41"/>
      <c r="K581" s="41"/>
      <c r="L581" s="43"/>
    </row>
    <row r="582" spans="2:12" outlineLevel="2">
      <c r="B582" s="40">
        <f t="shared" si="21"/>
        <v>120</v>
      </c>
      <c r="C582" s="41" t="s">
        <v>8</v>
      </c>
      <c r="D582" s="41"/>
      <c r="E582" s="41"/>
      <c r="F582" s="41"/>
      <c r="G582" s="41"/>
      <c r="H582" s="41"/>
      <c r="I582" s="42"/>
      <c r="J582" s="41"/>
      <c r="K582" s="41"/>
      <c r="L582" s="43"/>
    </row>
    <row r="583" spans="2:12" outlineLevel="2">
      <c r="B583" s="40">
        <f t="shared" si="21"/>
        <v>121</v>
      </c>
      <c r="C583" s="41" t="s">
        <v>8</v>
      </c>
      <c r="D583" s="41"/>
      <c r="E583" s="41"/>
      <c r="F583" s="41"/>
      <c r="G583" s="41"/>
      <c r="H583" s="41"/>
      <c r="I583" s="42"/>
      <c r="J583" s="41"/>
      <c r="K583" s="41"/>
      <c r="L583" s="43"/>
    </row>
    <row r="584" spans="2:12" outlineLevel="2">
      <c r="B584" s="40">
        <f t="shared" si="21"/>
        <v>122</v>
      </c>
      <c r="C584" s="41" t="s">
        <v>8</v>
      </c>
      <c r="D584" s="41"/>
      <c r="E584" s="41"/>
      <c r="F584" s="41"/>
      <c r="G584" s="41"/>
      <c r="H584" s="41"/>
      <c r="I584" s="42"/>
      <c r="J584" s="41"/>
      <c r="K584" s="41"/>
      <c r="L584" s="43"/>
    </row>
    <row r="585" spans="2:12" outlineLevel="2">
      <c r="B585" s="40">
        <f t="shared" si="21"/>
        <v>123</v>
      </c>
      <c r="C585" s="41" t="s">
        <v>8</v>
      </c>
      <c r="D585" s="41"/>
      <c r="E585" s="41"/>
      <c r="F585" s="41"/>
      <c r="G585" s="41"/>
      <c r="H585" s="41"/>
      <c r="I585" s="42"/>
      <c r="J585" s="41"/>
      <c r="K585" s="41"/>
      <c r="L585" s="43"/>
    </row>
    <row r="586" spans="2:12" outlineLevel="2">
      <c r="B586" s="40">
        <f t="shared" si="21"/>
        <v>124</v>
      </c>
      <c r="C586" s="41" t="s">
        <v>8</v>
      </c>
      <c r="D586" s="41"/>
      <c r="E586" s="41"/>
      <c r="F586" s="41"/>
      <c r="G586" s="41"/>
      <c r="H586" s="41"/>
      <c r="I586" s="42"/>
      <c r="J586" s="41"/>
      <c r="K586" s="41"/>
      <c r="L586" s="43"/>
    </row>
    <row r="587" spans="2:12" outlineLevel="2">
      <c r="B587" s="40">
        <f t="shared" si="21"/>
        <v>125</v>
      </c>
      <c r="C587" s="41" t="s">
        <v>8</v>
      </c>
      <c r="D587" s="41"/>
      <c r="E587" s="41"/>
      <c r="F587" s="41"/>
      <c r="G587" s="41"/>
      <c r="H587" s="41"/>
      <c r="I587" s="42"/>
      <c r="J587" s="41"/>
      <c r="K587" s="41"/>
      <c r="L587" s="43"/>
    </row>
    <row r="588" spans="2:12" outlineLevel="2">
      <c r="B588" s="40">
        <f t="shared" si="21"/>
        <v>126</v>
      </c>
      <c r="C588" s="41" t="s">
        <v>8</v>
      </c>
      <c r="D588" s="41"/>
      <c r="E588" s="41"/>
      <c r="F588" s="41"/>
      <c r="G588" s="41"/>
      <c r="H588" s="41"/>
      <c r="I588" s="42"/>
      <c r="J588" s="41"/>
      <c r="K588" s="41"/>
      <c r="L588" s="43"/>
    </row>
    <row r="589" spans="2:12" outlineLevel="2">
      <c r="B589" s="40">
        <f t="shared" si="21"/>
        <v>127</v>
      </c>
      <c r="C589" s="41" t="s">
        <v>8</v>
      </c>
      <c r="D589" s="41"/>
      <c r="E589" s="41"/>
      <c r="F589" s="41"/>
      <c r="G589" s="41"/>
      <c r="H589" s="41"/>
      <c r="I589" s="42"/>
      <c r="J589" s="41"/>
      <c r="K589" s="41"/>
      <c r="L589" s="43"/>
    </row>
    <row r="590" spans="2:12" outlineLevel="2">
      <c r="B590" s="40">
        <f t="shared" si="21"/>
        <v>128</v>
      </c>
      <c r="C590" s="41" t="s">
        <v>8</v>
      </c>
      <c r="D590" s="41"/>
      <c r="E590" s="41"/>
      <c r="F590" s="41"/>
      <c r="G590" s="41"/>
      <c r="H590" s="41"/>
      <c r="I590" s="42"/>
      <c r="J590" s="41"/>
      <c r="K590" s="41"/>
      <c r="L590" s="43"/>
    </row>
    <row r="591" spans="2:12" outlineLevel="2">
      <c r="B591" s="40">
        <f t="shared" si="21"/>
        <v>129</v>
      </c>
      <c r="C591" s="41" t="s">
        <v>8</v>
      </c>
      <c r="D591" s="41"/>
      <c r="E591" s="41"/>
      <c r="F591" s="41"/>
      <c r="G591" s="41"/>
      <c r="H591" s="41"/>
      <c r="I591" s="42"/>
      <c r="J591" s="41"/>
      <c r="K591" s="41"/>
      <c r="L591" s="43"/>
    </row>
    <row r="592" spans="2:12" outlineLevel="2">
      <c r="B592" s="40">
        <f t="shared" si="21"/>
        <v>130</v>
      </c>
      <c r="C592" s="41" t="s">
        <v>8</v>
      </c>
      <c r="D592" s="41"/>
      <c r="E592" s="41"/>
      <c r="F592" s="41"/>
      <c r="G592" s="41"/>
      <c r="H592" s="41"/>
      <c r="I592" s="42"/>
      <c r="J592" s="41"/>
      <c r="K592" s="41"/>
      <c r="L592" s="43"/>
    </row>
    <row r="593" spans="2:12" outlineLevel="2">
      <c r="B593" s="40">
        <f t="shared" ref="B593:B656" si="22">ROW(A131)</f>
        <v>131</v>
      </c>
      <c r="C593" s="41" t="s">
        <v>8</v>
      </c>
      <c r="D593" s="41"/>
      <c r="E593" s="41"/>
      <c r="F593" s="41"/>
      <c r="G593" s="41"/>
      <c r="H593" s="41"/>
      <c r="I593" s="42"/>
      <c r="J593" s="41"/>
      <c r="K593" s="41"/>
      <c r="L593" s="43"/>
    </row>
    <row r="594" spans="2:12" outlineLevel="2">
      <c r="B594" s="40">
        <f t="shared" si="22"/>
        <v>132</v>
      </c>
      <c r="C594" s="41" t="s">
        <v>8</v>
      </c>
      <c r="D594" s="41"/>
      <c r="E594" s="41"/>
      <c r="F594" s="41"/>
      <c r="G594" s="41"/>
      <c r="H594" s="41"/>
      <c r="I594" s="42"/>
      <c r="J594" s="41"/>
      <c r="K594" s="41"/>
      <c r="L594" s="43"/>
    </row>
    <row r="595" spans="2:12" outlineLevel="2">
      <c r="B595" s="40">
        <f t="shared" si="22"/>
        <v>133</v>
      </c>
      <c r="C595" s="41" t="s">
        <v>8</v>
      </c>
      <c r="D595" s="41"/>
      <c r="E595" s="41"/>
      <c r="F595" s="41"/>
      <c r="G595" s="41"/>
      <c r="H595" s="41"/>
      <c r="I595" s="42"/>
      <c r="J595" s="41"/>
      <c r="K595" s="41"/>
      <c r="L595" s="43"/>
    </row>
    <row r="596" spans="2:12" outlineLevel="2">
      <c r="B596" s="40">
        <f t="shared" si="22"/>
        <v>134</v>
      </c>
      <c r="C596" s="41" t="s">
        <v>8</v>
      </c>
      <c r="D596" s="41"/>
      <c r="E596" s="41"/>
      <c r="F596" s="41"/>
      <c r="G596" s="41"/>
      <c r="H596" s="41"/>
      <c r="I596" s="42"/>
      <c r="J596" s="41"/>
      <c r="K596" s="41"/>
      <c r="L596" s="43"/>
    </row>
    <row r="597" spans="2:12" outlineLevel="2">
      <c r="B597" s="40">
        <f t="shared" si="22"/>
        <v>135</v>
      </c>
      <c r="C597" s="41" t="s">
        <v>8</v>
      </c>
      <c r="D597" s="41"/>
      <c r="E597" s="41"/>
      <c r="F597" s="41"/>
      <c r="G597" s="41"/>
      <c r="H597" s="41"/>
      <c r="I597" s="42"/>
      <c r="J597" s="41"/>
      <c r="K597" s="41"/>
      <c r="L597" s="43"/>
    </row>
    <row r="598" spans="2:12" outlineLevel="2">
      <c r="B598" s="40">
        <f t="shared" si="22"/>
        <v>136</v>
      </c>
      <c r="C598" s="41" t="s">
        <v>8</v>
      </c>
      <c r="D598" s="41"/>
      <c r="E598" s="41"/>
      <c r="F598" s="41"/>
      <c r="G598" s="41"/>
      <c r="H598" s="41"/>
      <c r="I598" s="42"/>
      <c r="J598" s="41"/>
      <c r="K598" s="41"/>
      <c r="L598" s="43"/>
    </row>
    <row r="599" spans="2:12" outlineLevel="2">
      <c r="B599" s="40">
        <f t="shared" si="22"/>
        <v>137</v>
      </c>
      <c r="C599" s="41" t="s">
        <v>8</v>
      </c>
      <c r="D599" s="41"/>
      <c r="E599" s="41"/>
      <c r="F599" s="41"/>
      <c r="G599" s="41"/>
      <c r="H599" s="41"/>
      <c r="I599" s="42"/>
      <c r="J599" s="41"/>
      <c r="K599" s="41"/>
      <c r="L599" s="43"/>
    </row>
    <row r="600" spans="2:12" outlineLevel="2">
      <c r="B600" s="40">
        <f t="shared" si="22"/>
        <v>138</v>
      </c>
      <c r="C600" s="41" t="s">
        <v>8</v>
      </c>
      <c r="D600" s="41"/>
      <c r="E600" s="41"/>
      <c r="F600" s="41"/>
      <c r="G600" s="41"/>
      <c r="H600" s="41"/>
      <c r="I600" s="42"/>
      <c r="J600" s="41"/>
      <c r="K600" s="41"/>
      <c r="L600" s="43"/>
    </row>
    <row r="601" spans="2:12" outlineLevel="2">
      <c r="B601" s="40">
        <f t="shared" si="22"/>
        <v>139</v>
      </c>
      <c r="C601" s="41" t="s">
        <v>8</v>
      </c>
      <c r="D601" s="41"/>
      <c r="E601" s="41"/>
      <c r="F601" s="41"/>
      <c r="G601" s="41"/>
      <c r="H601" s="41"/>
      <c r="I601" s="42"/>
      <c r="J601" s="41"/>
      <c r="K601" s="41"/>
      <c r="L601" s="43"/>
    </row>
    <row r="602" spans="2:12" outlineLevel="2">
      <c r="B602" s="40">
        <f t="shared" si="22"/>
        <v>140</v>
      </c>
      <c r="C602" s="41" t="s">
        <v>8</v>
      </c>
      <c r="D602" s="41"/>
      <c r="E602" s="41"/>
      <c r="F602" s="41"/>
      <c r="G602" s="41"/>
      <c r="H602" s="41"/>
      <c r="I602" s="42"/>
      <c r="J602" s="41"/>
      <c r="K602" s="41"/>
      <c r="L602" s="43"/>
    </row>
    <row r="603" spans="2:12" outlineLevel="2">
      <c r="B603" s="40">
        <f t="shared" si="22"/>
        <v>141</v>
      </c>
      <c r="C603" s="41" t="s">
        <v>8</v>
      </c>
      <c r="D603" s="41"/>
      <c r="E603" s="41"/>
      <c r="F603" s="41"/>
      <c r="G603" s="41"/>
      <c r="H603" s="41"/>
      <c r="I603" s="42"/>
      <c r="J603" s="41"/>
      <c r="K603" s="41"/>
      <c r="L603" s="43"/>
    </row>
    <row r="604" spans="2:12" outlineLevel="2">
      <c r="B604" s="40">
        <f t="shared" si="22"/>
        <v>142</v>
      </c>
      <c r="C604" s="41" t="s">
        <v>8</v>
      </c>
      <c r="D604" s="41"/>
      <c r="E604" s="41"/>
      <c r="F604" s="41"/>
      <c r="G604" s="41"/>
      <c r="H604" s="41"/>
      <c r="I604" s="42"/>
      <c r="J604" s="41"/>
      <c r="K604" s="41"/>
      <c r="L604" s="43"/>
    </row>
    <row r="605" spans="2:12" outlineLevel="2">
      <c r="B605" s="40">
        <f t="shared" si="22"/>
        <v>143</v>
      </c>
      <c r="C605" s="41" t="s">
        <v>8</v>
      </c>
      <c r="D605" s="41"/>
      <c r="E605" s="41"/>
      <c r="F605" s="41"/>
      <c r="G605" s="41"/>
      <c r="H605" s="41"/>
      <c r="I605" s="42"/>
      <c r="J605" s="41"/>
      <c r="K605" s="41"/>
      <c r="L605" s="43"/>
    </row>
    <row r="606" spans="2:12" outlineLevel="2">
      <c r="B606" s="40">
        <f t="shared" si="22"/>
        <v>144</v>
      </c>
      <c r="C606" s="41" t="s">
        <v>8</v>
      </c>
      <c r="D606" s="41"/>
      <c r="E606" s="41"/>
      <c r="F606" s="41"/>
      <c r="G606" s="41"/>
      <c r="H606" s="41"/>
      <c r="I606" s="42"/>
      <c r="J606" s="41"/>
      <c r="K606" s="41"/>
      <c r="L606" s="43"/>
    </row>
    <row r="607" spans="2:12" outlineLevel="2">
      <c r="B607" s="40">
        <f t="shared" si="22"/>
        <v>145</v>
      </c>
      <c r="C607" s="41" t="s">
        <v>8</v>
      </c>
      <c r="D607" s="41"/>
      <c r="E607" s="41"/>
      <c r="F607" s="41"/>
      <c r="G607" s="41"/>
      <c r="H607" s="41"/>
      <c r="I607" s="42"/>
      <c r="J607" s="41"/>
      <c r="K607" s="41"/>
      <c r="L607" s="43"/>
    </row>
    <row r="608" spans="2:12" outlineLevel="2">
      <c r="B608" s="40">
        <f t="shared" si="22"/>
        <v>146</v>
      </c>
      <c r="C608" s="41" t="s">
        <v>8</v>
      </c>
      <c r="D608" s="41"/>
      <c r="E608" s="41"/>
      <c r="F608" s="41"/>
      <c r="G608" s="41"/>
      <c r="H608" s="41"/>
      <c r="I608" s="42"/>
      <c r="J608" s="41"/>
      <c r="K608" s="41"/>
      <c r="L608" s="43"/>
    </row>
    <row r="609" spans="2:12" outlineLevel="2">
      <c r="B609" s="40">
        <f t="shared" si="22"/>
        <v>147</v>
      </c>
      <c r="C609" s="41" t="s">
        <v>8</v>
      </c>
      <c r="D609" s="41"/>
      <c r="E609" s="41"/>
      <c r="F609" s="41"/>
      <c r="G609" s="41"/>
      <c r="H609" s="41"/>
      <c r="I609" s="42"/>
      <c r="J609" s="41"/>
      <c r="K609" s="41"/>
      <c r="L609" s="43"/>
    </row>
    <row r="610" spans="2:12" outlineLevel="2">
      <c r="B610" s="40">
        <f t="shared" si="22"/>
        <v>148</v>
      </c>
      <c r="C610" s="41" t="s">
        <v>8</v>
      </c>
      <c r="D610" s="41"/>
      <c r="E610" s="41"/>
      <c r="F610" s="41"/>
      <c r="G610" s="41"/>
      <c r="H610" s="41"/>
      <c r="I610" s="42"/>
      <c r="J610" s="41"/>
      <c r="K610" s="41"/>
      <c r="L610" s="43"/>
    </row>
    <row r="611" spans="2:12" outlineLevel="2">
      <c r="B611" s="40">
        <f t="shared" si="22"/>
        <v>149</v>
      </c>
      <c r="C611" s="41" t="s">
        <v>8</v>
      </c>
      <c r="D611" s="41"/>
      <c r="E611" s="41"/>
      <c r="F611" s="41"/>
      <c r="G611" s="41"/>
      <c r="H611" s="41"/>
      <c r="I611" s="42"/>
      <c r="J611" s="41"/>
      <c r="K611" s="41"/>
      <c r="L611" s="43"/>
    </row>
    <row r="612" spans="2:12" outlineLevel="2">
      <c r="B612" s="40">
        <f t="shared" si="22"/>
        <v>150</v>
      </c>
      <c r="C612" s="41" t="s">
        <v>8</v>
      </c>
      <c r="D612" s="41"/>
      <c r="E612" s="41"/>
      <c r="F612" s="41"/>
      <c r="G612" s="41"/>
      <c r="H612" s="41"/>
      <c r="I612" s="42"/>
      <c r="J612" s="41"/>
      <c r="K612" s="41"/>
      <c r="L612" s="43"/>
    </row>
    <row r="613" spans="2:12" outlineLevel="2">
      <c r="B613" s="40">
        <f t="shared" si="22"/>
        <v>151</v>
      </c>
      <c r="C613" s="41" t="s">
        <v>8</v>
      </c>
      <c r="D613" s="41"/>
      <c r="E613" s="41"/>
      <c r="F613" s="41"/>
      <c r="G613" s="41"/>
      <c r="H613" s="41"/>
      <c r="I613" s="42"/>
      <c r="J613" s="41"/>
      <c r="K613" s="41"/>
      <c r="L613" s="43"/>
    </row>
    <row r="614" spans="2:12" outlineLevel="2">
      <c r="B614" s="40">
        <f t="shared" si="22"/>
        <v>152</v>
      </c>
      <c r="C614" s="41" t="s">
        <v>8</v>
      </c>
      <c r="D614" s="41"/>
      <c r="E614" s="41"/>
      <c r="F614" s="41"/>
      <c r="G614" s="41"/>
      <c r="H614" s="41"/>
      <c r="I614" s="42"/>
      <c r="J614" s="41"/>
      <c r="K614" s="41"/>
      <c r="L614" s="43"/>
    </row>
    <row r="615" spans="2:12" outlineLevel="2">
      <c r="B615" s="40">
        <f t="shared" si="22"/>
        <v>153</v>
      </c>
      <c r="C615" s="41" t="s">
        <v>8</v>
      </c>
      <c r="D615" s="41"/>
      <c r="E615" s="41"/>
      <c r="F615" s="41"/>
      <c r="G615" s="41"/>
      <c r="H615" s="41"/>
      <c r="I615" s="42"/>
      <c r="J615" s="41"/>
      <c r="K615" s="41"/>
      <c r="L615" s="43"/>
    </row>
    <row r="616" spans="2:12" outlineLevel="2">
      <c r="B616" s="40">
        <f t="shared" si="22"/>
        <v>154</v>
      </c>
      <c r="C616" s="41" t="s">
        <v>8</v>
      </c>
      <c r="D616" s="41"/>
      <c r="E616" s="41"/>
      <c r="F616" s="41"/>
      <c r="G616" s="41"/>
      <c r="H616" s="41"/>
      <c r="I616" s="42"/>
      <c r="J616" s="41"/>
      <c r="K616" s="41"/>
      <c r="L616" s="43"/>
    </row>
    <row r="617" spans="2:12" outlineLevel="2">
      <c r="B617" s="40">
        <f t="shared" si="22"/>
        <v>155</v>
      </c>
      <c r="C617" s="41" t="s">
        <v>8</v>
      </c>
      <c r="D617" s="41"/>
      <c r="E617" s="41"/>
      <c r="F617" s="41"/>
      <c r="G617" s="41"/>
      <c r="H617" s="41"/>
      <c r="I617" s="42"/>
      <c r="J617" s="41"/>
      <c r="K617" s="41"/>
      <c r="L617" s="43"/>
    </row>
    <row r="618" spans="2:12" outlineLevel="2">
      <c r="B618" s="40">
        <f t="shared" si="22"/>
        <v>156</v>
      </c>
      <c r="C618" s="41" t="s">
        <v>8</v>
      </c>
      <c r="D618" s="41"/>
      <c r="E618" s="41"/>
      <c r="F618" s="41"/>
      <c r="G618" s="41"/>
      <c r="H618" s="41"/>
      <c r="I618" s="42"/>
      <c r="J618" s="41"/>
      <c r="K618" s="41"/>
      <c r="L618" s="43"/>
    </row>
    <row r="619" spans="2:12" outlineLevel="2">
      <c r="B619" s="40">
        <f t="shared" si="22"/>
        <v>157</v>
      </c>
      <c r="C619" s="41" t="s">
        <v>8</v>
      </c>
      <c r="D619" s="41"/>
      <c r="E619" s="41"/>
      <c r="F619" s="41"/>
      <c r="G619" s="41"/>
      <c r="H619" s="41"/>
      <c r="I619" s="42"/>
      <c r="J619" s="41"/>
      <c r="K619" s="41"/>
      <c r="L619" s="43"/>
    </row>
    <row r="620" spans="2:12" outlineLevel="2">
      <c r="B620" s="40">
        <f t="shared" si="22"/>
        <v>158</v>
      </c>
      <c r="C620" s="41" t="s">
        <v>8</v>
      </c>
      <c r="D620" s="41"/>
      <c r="E620" s="41"/>
      <c r="F620" s="41"/>
      <c r="G620" s="41"/>
      <c r="H620" s="41"/>
      <c r="I620" s="42"/>
      <c r="J620" s="41"/>
      <c r="K620" s="41"/>
      <c r="L620" s="43"/>
    </row>
    <row r="621" spans="2:12" outlineLevel="2">
      <c r="B621" s="40">
        <f t="shared" si="22"/>
        <v>159</v>
      </c>
      <c r="C621" s="41" t="s">
        <v>8</v>
      </c>
      <c r="D621" s="41"/>
      <c r="E621" s="41"/>
      <c r="F621" s="41"/>
      <c r="G621" s="41"/>
      <c r="H621" s="41"/>
      <c r="I621" s="42"/>
      <c r="J621" s="41"/>
      <c r="K621" s="41"/>
      <c r="L621" s="43"/>
    </row>
    <row r="622" spans="2:12" outlineLevel="2">
      <c r="B622" s="40">
        <f t="shared" si="22"/>
        <v>160</v>
      </c>
      <c r="C622" s="41" t="s">
        <v>8</v>
      </c>
      <c r="D622" s="41"/>
      <c r="E622" s="41"/>
      <c r="F622" s="41"/>
      <c r="G622" s="41"/>
      <c r="H622" s="41"/>
      <c r="I622" s="42"/>
      <c r="J622" s="41"/>
      <c r="K622" s="41"/>
      <c r="L622" s="43"/>
    </row>
    <row r="623" spans="2:12" outlineLevel="2">
      <c r="B623" s="40">
        <f t="shared" si="22"/>
        <v>161</v>
      </c>
      <c r="C623" s="41" t="s">
        <v>8</v>
      </c>
      <c r="D623" s="41"/>
      <c r="E623" s="41"/>
      <c r="F623" s="41"/>
      <c r="G623" s="41"/>
      <c r="H623" s="41"/>
      <c r="I623" s="42"/>
      <c r="J623" s="41"/>
      <c r="K623" s="41"/>
      <c r="L623" s="43"/>
    </row>
    <row r="624" spans="2:12" outlineLevel="2">
      <c r="B624" s="40">
        <f t="shared" si="22"/>
        <v>162</v>
      </c>
      <c r="C624" s="41" t="s">
        <v>8</v>
      </c>
      <c r="D624" s="41"/>
      <c r="E624" s="41"/>
      <c r="F624" s="41"/>
      <c r="G624" s="41"/>
      <c r="H624" s="41"/>
      <c r="I624" s="42"/>
      <c r="J624" s="41"/>
      <c r="K624" s="41"/>
      <c r="L624" s="43"/>
    </row>
    <row r="625" spans="2:12" outlineLevel="2">
      <c r="B625" s="40">
        <f t="shared" si="22"/>
        <v>163</v>
      </c>
      <c r="C625" s="41" t="s">
        <v>8</v>
      </c>
      <c r="D625" s="41"/>
      <c r="E625" s="41"/>
      <c r="F625" s="41"/>
      <c r="G625" s="41"/>
      <c r="H625" s="41"/>
      <c r="I625" s="42"/>
      <c r="J625" s="41"/>
      <c r="K625" s="41"/>
      <c r="L625" s="43"/>
    </row>
    <row r="626" spans="2:12" outlineLevel="2">
      <c r="B626" s="40">
        <f t="shared" si="22"/>
        <v>164</v>
      </c>
      <c r="C626" s="41" t="s">
        <v>8</v>
      </c>
      <c r="D626" s="41"/>
      <c r="E626" s="41"/>
      <c r="F626" s="41"/>
      <c r="G626" s="41"/>
      <c r="H626" s="41"/>
      <c r="I626" s="42"/>
      <c r="J626" s="41"/>
      <c r="K626" s="41"/>
      <c r="L626" s="43"/>
    </row>
    <row r="627" spans="2:12" outlineLevel="2">
      <c r="B627" s="40">
        <f t="shared" si="22"/>
        <v>165</v>
      </c>
      <c r="C627" s="41" t="s">
        <v>8</v>
      </c>
      <c r="D627" s="41"/>
      <c r="E627" s="41"/>
      <c r="F627" s="41"/>
      <c r="G627" s="41"/>
      <c r="H627" s="41"/>
      <c r="I627" s="42"/>
      <c r="J627" s="41"/>
      <c r="K627" s="41"/>
      <c r="L627" s="43"/>
    </row>
    <row r="628" spans="2:12" outlineLevel="2">
      <c r="B628" s="40">
        <f t="shared" si="22"/>
        <v>166</v>
      </c>
      <c r="C628" s="41" t="s">
        <v>8</v>
      </c>
      <c r="D628" s="41"/>
      <c r="E628" s="41"/>
      <c r="F628" s="41"/>
      <c r="G628" s="41"/>
      <c r="H628" s="41"/>
      <c r="I628" s="42"/>
      <c r="J628" s="41"/>
      <c r="K628" s="41"/>
      <c r="L628" s="43"/>
    </row>
    <row r="629" spans="2:12" outlineLevel="2">
      <c r="B629" s="40">
        <f t="shared" si="22"/>
        <v>167</v>
      </c>
      <c r="C629" s="41" t="s">
        <v>8</v>
      </c>
      <c r="D629" s="41"/>
      <c r="E629" s="41"/>
      <c r="F629" s="41"/>
      <c r="G629" s="41"/>
      <c r="H629" s="41"/>
      <c r="I629" s="42"/>
      <c r="J629" s="41"/>
      <c r="K629" s="41"/>
      <c r="L629" s="43"/>
    </row>
    <row r="630" spans="2:12" outlineLevel="2">
      <c r="B630" s="40">
        <f t="shared" si="22"/>
        <v>168</v>
      </c>
      <c r="C630" s="41" t="s">
        <v>8</v>
      </c>
      <c r="D630" s="41"/>
      <c r="E630" s="41"/>
      <c r="F630" s="41"/>
      <c r="G630" s="41"/>
      <c r="H630" s="41"/>
      <c r="I630" s="42"/>
      <c r="J630" s="41"/>
      <c r="K630" s="41"/>
      <c r="L630" s="43"/>
    </row>
    <row r="631" spans="2:12" outlineLevel="2">
      <c r="B631" s="40">
        <f t="shared" si="22"/>
        <v>169</v>
      </c>
      <c r="C631" s="41" t="s">
        <v>8</v>
      </c>
      <c r="D631" s="41"/>
      <c r="E631" s="41"/>
      <c r="F631" s="41"/>
      <c r="G631" s="41"/>
      <c r="H631" s="41"/>
      <c r="I631" s="42"/>
      <c r="J631" s="41"/>
      <c r="K631" s="41"/>
      <c r="L631" s="43"/>
    </row>
    <row r="632" spans="2:12" outlineLevel="2">
      <c r="B632" s="40">
        <f t="shared" si="22"/>
        <v>170</v>
      </c>
      <c r="C632" s="41" t="s">
        <v>8</v>
      </c>
      <c r="D632" s="41"/>
      <c r="E632" s="41"/>
      <c r="F632" s="41"/>
      <c r="G632" s="41"/>
      <c r="H632" s="41"/>
      <c r="I632" s="42"/>
      <c r="J632" s="41"/>
      <c r="K632" s="41"/>
      <c r="L632" s="43"/>
    </row>
    <row r="633" spans="2:12" outlineLevel="2">
      <c r="B633" s="40">
        <f t="shared" si="22"/>
        <v>171</v>
      </c>
      <c r="C633" s="41" t="s">
        <v>8</v>
      </c>
      <c r="D633" s="41"/>
      <c r="E633" s="41"/>
      <c r="F633" s="41"/>
      <c r="G633" s="41"/>
      <c r="H633" s="41"/>
      <c r="I633" s="42"/>
      <c r="J633" s="41"/>
      <c r="K633" s="41"/>
      <c r="L633" s="43"/>
    </row>
    <row r="634" spans="2:12" outlineLevel="2">
      <c r="B634" s="40">
        <f t="shared" si="22"/>
        <v>172</v>
      </c>
      <c r="C634" s="41" t="s">
        <v>8</v>
      </c>
      <c r="D634" s="41"/>
      <c r="E634" s="41"/>
      <c r="F634" s="41"/>
      <c r="G634" s="41"/>
      <c r="H634" s="41"/>
      <c r="I634" s="42"/>
      <c r="J634" s="41"/>
      <c r="K634" s="41"/>
      <c r="L634" s="43"/>
    </row>
    <row r="635" spans="2:12" outlineLevel="2">
      <c r="B635" s="40">
        <f t="shared" si="22"/>
        <v>173</v>
      </c>
      <c r="C635" s="41" t="s">
        <v>8</v>
      </c>
      <c r="D635" s="41"/>
      <c r="E635" s="41"/>
      <c r="F635" s="41"/>
      <c r="G635" s="41"/>
      <c r="H635" s="41"/>
      <c r="I635" s="42"/>
      <c r="J635" s="41"/>
      <c r="K635" s="41"/>
      <c r="L635" s="43"/>
    </row>
    <row r="636" spans="2:12" outlineLevel="2">
      <c r="B636" s="40">
        <f t="shared" si="22"/>
        <v>174</v>
      </c>
      <c r="C636" s="41" t="s">
        <v>8</v>
      </c>
      <c r="D636" s="41"/>
      <c r="E636" s="41"/>
      <c r="F636" s="41"/>
      <c r="G636" s="41"/>
      <c r="H636" s="41"/>
      <c r="I636" s="42"/>
      <c r="J636" s="41"/>
      <c r="K636" s="41"/>
      <c r="L636" s="43"/>
    </row>
    <row r="637" spans="2:12" outlineLevel="2">
      <c r="B637" s="40">
        <f t="shared" si="22"/>
        <v>175</v>
      </c>
      <c r="C637" s="41" t="s">
        <v>8</v>
      </c>
      <c r="D637" s="41"/>
      <c r="E637" s="41"/>
      <c r="F637" s="41"/>
      <c r="G637" s="41"/>
      <c r="H637" s="41"/>
      <c r="I637" s="42"/>
      <c r="J637" s="41"/>
      <c r="K637" s="41"/>
      <c r="L637" s="43"/>
    </row>
    <row r="638" spans="2:12" outlineLevel="2">
      <c r="B638" s="40">
        <f t="shared" si="22"/>
        <v>176</v>
      </c>
      <c r="C638" s="41" t="s">
        <v>8</v>
      </c>
      <c r="D638" s="41"/>
      <c r="E638" s="41"/>
      <c r="F638" s="41"/>
      <c r="G638" s="41"/>
      <c r="H638" s="41"/>
      <c r="I638" s="42"/>
      <c r="J638" s="41"/>
      <c r="K638" s="41"/>
      <c r="L638" s="43"/>
    </row>
    <row r="639" spans="2:12" outlineLevel="2">
      <c r="B639" s="40">
        <f t="shared" si="22"/>
        <v>177</v>
      </c>
      <c r="C639" s="41" t="s">
        <v>8</v>
      </c>
      <c r="D639" s="41"/>
      <c r="E639" s="41"/>
      <c r="F639" s="41"/>
      <c r="G639" s="41"/>
      <c r="H639" s="41"/>
      <c r="I639" s="42"/>
      <c r="J639" s="41"/>
      <c r="K639" s="41"/>
      <c r="L639" s="43"/>
    </row>
    <row r="640" spans="2:12" outlineLevel="2">
      <c r="B640" s="40">
        <f t="shared" si="22"/>
        <v>178</v>
      </c>
      <c r="C640" s="41" t="s">
        <v>8</v>
      </c>
      <c r="D640" s="41"/>
      <c r="E640" s="41"/>
      <c r="F640" s="41"/>
      <c r="G640" s="41"/>
      <c r="H640" s="41"/>
      <c r="I640" s="42"/>
      <c r="J640" s="41"/>
      <c r="K640" s="41"/>
      <c r="L640" s="43"/>
    </row>
    <row r="641" spans="2:12" outlineLevel="2">
      <c r="B641" s="40">
        <f t="shared" si="22"/>
        <v>179</v>
      </c>
      <c r="C641" s="41" t="s">
        <v>8</v>
      </c>
      <c r="D641" s="41"/>
      <c r="E641" s="41"/>
      <c r="F641" s="41"/>
      <c r="G641" s="41"/>
      <c r="H641" s="41"/>
      <c r="I641" s="42"/>
      <c r="J641" s="41"/>
      <c r="K641" s="41"/>
      <c r="L641" s="43"/>
    </row>
    <row r="642" spans="2:12" outlineLevel="2">
      <c r="B642" s="40">
        <f t="shared" si="22"/>
        <v>180</v>
      </c>
      <c r="C642" s="41" t="s">
        <v>8</v>
      </c>
      <c r="D642" s="41"/>
      <c r="E642" s="41"/>
      <c r="F642" s="41"/>
      <c r="G642" s="41"/>
      <c r="H642" s="41"/>
      <c r="I642" s="42"/>
      <c r="J642" s="41"/>
      <c r="K642" s="41"/>
      <c r="L642" s="43"/>
    </row>
    <row r="643" spans="2:12" outlineLevel="2">
      <c r="B643" s="40">
        <f t="shared" si="22"/>
        <v>181</v>
      </c>
      <c r="C643" s="41" t="s">
        <v>8</v>
      </c>
      <c r="D643" s="41"/>
      <c r="E643" s="41"/>
      <c r="F643" s="41"/>
      <c r="G643" s="41"/>
      <c r="H643" s="41"/>
      <c r="I643" s="42"/>
      <c r="J643" s="41"/>
      <c r="K643" s="41"/>
      <c r="L643" s="43"/>
    </row>
    <row r="644" spans="2:12" outlineLevel="2">
      <c r="B644" s="40">
        <f t="shared" si="22"/>
        <v>182</v>
      </c>
      <c r="C644" s="41" t="s">
        <v>8</v>
      </c>
      <c r="D644" s="41"/>
      <c r="E644" s="41"/>
      <c r="F644" s="41"/>
      <c r="G644" s="41"/>
      <c r="H644" s="41"/>
      <c r="I644" s="42"/>
      <c r="J644" s="41"/>
      <c r="K644" s="41"/>
      <c r="L644" s="43"/>
    </row>
    <row r="645" spans="2:12" outlineLevel="2">
      <c r="B645" s="40">
        <f t="shared" si="22"/>
        <v>183</v>
      </c>
      <c r="C645" s="41" t="s">
        <v>8</v>
      </c>
      <c r="D645" s="41"/>
      <c r="E645" s="41"/>
      <c r="F645" s="41"/>
      <c r="G645" s="41"/>
      <c r="H645" s="41"/>
      <c r="I645" s="42"/>
      <c r="J645" s="41"/>
      <c r="K645" s="41"/>
      <c r="L645" s="43"/>
    </row>
    <row r="646" spans="2:12" outlineLevel="2">
      <c r="B646" s="40">
        <f t="shared" si="22"/>
        <v>184</v>
      </c>
      <c r="C646" s="41" t="s">
        <v>8</v>
      </c>
      <c r="D646" s="41"/>
      <c r="E646" s="41"/>
      <c r="F646" s="41"/>
      <c r="G646" s="41"/>
      <c r="H646" s="41"/>
      <c r="I646" s="42"/>
      <c r="J646" s="41"/>
      <c r="K646" s="41"/>
      <c r="L646" s="43"/>
    </row>
    <row r="647" spans="2:12" outlineLevel="2">
      <c r="B647" s="40">
        <f t="shared" si="22"/>
        <v>185</v>
      </c>
      <c r="C647" s="41" t="s">
        <v>8</v>
      </c>
      <c r="D647" s="41"/>
      <c r="E647" s="41"/>
      <c r="F647" s="41"/>
      <c r="G647" s="41"/>
      <c r="H647" s="41"/>
      <c r="I647" s="42"/>
      <c r="J647" s="41"/>
      <c r="K647" s="41"/>
      <c r="L647" s="43"/>
    </row>
    <row r="648" spans="2:12" outlineLevel="2">
      <c r="B648" s="40">
        <f t="shared" si="22"/>
        <v>186</v>
      </c>
      <c r="C648" s="41" t="s">
        <v>8</v>
      </c>
      <c r="D648" s="41"/>
      <c r="E648" s="41"/>
      <c r="F648" s="41"/>
      <c r="G648" s="41"/>
      <c r="H648" s="41"/>
      <c r="I648" s="42"/>
      <c r="J648" s="41"/>
      <c r="K648" s="41"/>
      <c r="L648" s="43"/>
    </row>
    <row r="649" spans="2:12" outlineLevel="2">
      <c r="B649" s="40">
        <f t="shared" si="22"/>
        <v>187</v>
      </c>
      <c r="C649" s="41" t="s">
        <v>8</v>
      </c>
      <c r="D649" s="41"/>
      <c r="E649" s="41"/>
      <c r="F649" s="41"/>
      <c r="G649" s="41"/>
      <c r="H649" s="41"/>
      <c r="I649" s="42"/>
      <c r="J649" s="41"/>
      <c r="K649" s="41"/>
      <c r="L649" s="43"/>
    </row>
    <row r="650" spans="2:12" outlineLevel="2">
      <c r="B650" s="40">
        <f t="shared" si="22"/>
        <v>188</v>
      </c>
      <c r="C650" s="41" t="s">
        <v>8</v>
      </c>
      <c r="D650" s="41"/>
      <c r="E650" s="41"/>
      <c r="F650" s="41"/>
      <c r="G650" s="41"/>
      <c r="H650" s="41"/>
      <c r="I650" s="42"/>
      <c r="J650" s="41"/>
      <c r="K650" s="41"/>
      <c r="L650" s="43"/>
    </row>
    <row r="651" spans="2:12" outlineLevel="2">
      <c r="B651" s="40">
        <f t="shared" si="22"/>
        <v>189</v>
      </c>
      <c r="C651" s="41" t="s">
        <v>8</v>
      </c>
      <c r="D651" s="41"/>
      <c r="E651" s="41"/>
      <c r="F651" s="41"/>
      <c r="G651" s="41"/>
      <c r="H651" s="41"/>
      <c r="I651" s="42"/>
      <c r="J651" s="41"/>
      <c r="K651" s="41"/>
      <c r="L651" s="43"/>
    </row>
    <row r="652" spans="2:12" outlineLevel="2">
      <c r="B652" s="40">
        <f t="shared" si="22"/>
        <v>190</v>
      </c>
      <c r="C652" s="41" t="s">
        <v>8</v>
      </c>
      <c r="D652" s="41"/>
      <c r="E652" s="41"/>
      <c r="F652" s="41"/>
      <c r="G652" s="41"/>
      <c r="H652" s="41"/>
      <c r="I652" s="42"/>
      <c r="J652" s="41"/>
      <c r="K652" s="41"/>
      <c r="L652" s="43"/>
    </row>
    <row r="653" spans="2:12" outlineLevel="2">
      <c r="B653" s="40">
        <f t="shared" si="22"/>
        <v>191</v>
      </c>
      <c r="C653" s="41" t="s">
        <v>8</v>
      </c>
      <c r="D653" s="41"/>
      <c r="E653" s="41"/>
      <c r="F653" s="41"/>
      <c r="G653" s="41"/>
      <c r="H653" s="41"/>
      <c r="I653" s="42"/>
      <c r="J653" s="41"/>
      <c r="K653" s="41"/>
      <c r="L653" s="43"/>
    </row>
    <row r="654" spans="2:12" outlineLevel="2">
      <c r="B654" s="40">
        <f t="shared" si="22"/>
        <v>192</v>
      </c>
      <c r="C654" s="41" t="s">
        <v>8</v>
      </c>
      <c r="D654" s="41"/>
      <c r="E654" s="41"/>
      <c r="F654" s="41"/>
      <c r="G654" s="41"/>
      <c r="H654" s="41"/>
      <c r="I654" s="42"/>
      <c r="J654" s="41"/>
      <c r="K654" s="41"/>
      <c r="L654" s="43"/>
    </row>
    <row r="655" spans="2:12" outlineLevel="2">
      <c r="B655" s="40">
        <f t="shared" si="22"/>
        <v>193</v>
      </c>
      <c r="C655" s="41" t="s">
        <v>8</v>
      </c>
      <c r="D655" s="41"/>
      <c r="E655" s="41"/>
      <c r="F655" s="41"/>
      <c r="G655" s="41"/>
      <c r="H655" s="41"/>
      <c r="I655" s="42"/>
      <c r="J655" s="41"/>
      <c r="K655" s="41"/>
      <c r="L655" s="43"/>
    </row>
    <row r="656" spans="2:12" outlineLevel="2">
      <c r="B656" s="40">
        <f t="shared" si="22"/>
        <v>194</v>
      </c>
      <c r="C656" s="41" t="s">
        <v>8</v>
      </c>
      <c r="D656" s="41"/>
      <c r="E656" s="41"/>
      <c r="F656" s="41"/>
      <c r="G656" s="41"/>
      <c r="H656" s="41"/>
      <c r="I656" s="42"/>
      <c r="J656" s="41"/>
      <c r="K656" s="41"/>
      <c r="L656" s="43"/>
    </row>
    <row r="657" spans="2:12" outlineLevel="2">
      <c r="B657" s="40">
        <f t="shared" ref="B657:B690" si="23">ROW(A195)</f>
        <v>195</v>
      </c>
      <c r="C657" s="41" t="s">
        <v>8</v>
      </c>
      <c r="D657" s="41"/>
      <c r="E657" s="41"/>
      <c r="F657" s="41"/>
      <c r="G657" s="41"/>
      <c r="H657" s="41"/>
      <c r="I657" s="42"/>
      <c r="J657" s="41"/>
      <c r="K657" s="41"/>
      <c r="L657" s="43"/>
    </row>
    <row r="658" spans="2:12" outlineLevel="2">
      <c r="B658" s="40">
        <f t="shared" si="23"/>
        <v>196</v>
      </c>
      <c r="C658" s="41" t="s">
        <v>8</v>
      </c>
      <c r="D658" s="41"/>
      <c r="E658" s="41"/>
      <c r="F658" s="41"/>
      <c r="G658" s="41"/>
      <c r="H658" s="41"/>
      <c r="I658" s="42"/>
      <c r="J658" s="41"/>
      <c r="K658" s="41"/>
      <c r="L658" s="43"/>
    </row>
    <row r="659" spans="2:12" outlineLevel="2">
      <c r="B659" s="40">
        <f t="shared" si="23"/>
        <v>197</v>
      </c>
      <c r="C659" s="41" t="s">
        <v>8</v>
      </c>
      <c r="D659" s="41"/>
      <c r="E659" s="41"/>
      <c r="F659" s="41"/>
      <c r="G659" s="41"/>
      <c r="H659" s="41"/>
      <c r="I659" s="42"/>
      <c r="J659" s="41"/>
      <c r="K659" s="41"/>
      <c r="L659" s="43"/>
    </row>
    <row r="660" spans="2:12" outlineLevel="2">
      <c r="B660" s="40">
        <f t="shared" si="23"/>
        <v>198</v>
      </c>
      <c r="C660" s="41" t="s">
        <v>8</v>
      </c>
      <c r="D660" s="41"/>
      <c r="E660" s="41"/>
      <c r="F660" s="41"/>
      <c r="G660" s="41"/>
      <c r="H660" s="41"/>
      <c r="I660" s="42"/>
      <c r="J660" s="41"/>
      <c r="K660" s="41"/>
      <c r="L660" s="43"/>
    </row>
    <row r="661" spans="2:12" outlineLevel="2">
      <c r="B661" s="40">
        <f t="shared" si="23"/>
        <v>199</v>
      </c>
      <c r="C661" s="41" t="s">
        <v>8</v>
      </c>
      <c r="D661" s="41"/>
      <c r="E661" s="41"/>
      <c r="F661" s="41"/>
      <c r="G661" s="41"/>
      <c r="H661" s="41"/>
      <c r="I661" s="42"/>
      <c r="J661" s="41"/>
      <c r="K661" s="41"/>
      <c r="L661" s="43"/>
    </row>
    <row r="662" spans="2:12" outlineLevel="2">
      <c r="B662" s="40">
        <f t="shared" si="23"/>
        <v>200</v>
      </c>
      <c r="C662" s="41" t="s">
        <v>8</v>
      </c>
      <c r="D662" s="41"/>
      <c r="E662" s="41"/>
      <c r="F662" s="41"/>
      <c r="G662" s="41"/>
      <c r="H662" s="41"/>
      <c r="I662" s="42"/>
      <c r="J662" s="41"/>
      <c r="K662" s="41"/>
      <c r="L662" s="43"/>
    </row>
    <row r="663" spans="2:12" outlineLevel="2">
      <c r="B663" s="40">
        <f t="shared" si="23"/>
        <v>201</v>
      </c>
      <c r="C663" s="41" t="s">
        <v>8</v>
      </c>
      <c r="D663" s="41"/>
      <c r="E663" s="41"/>
      <c r="F663" s="41"/>
      <c r="G663" s="41"/>
      <c r="H663" s="41"/>
      <c r="I663" s="42"/>
      <c r="J663" s="41"/>
      <c r="K663" s="41"/>
      <c r="L663" s="43"/>
    </row>
    <row r="664" spans="2:12" outlineLevel="2">
      <c r="B664" s="40">
        <f t="shared" si="23"/>
        <v>202</v>
      </c>
      <c r="C664" s="41" t="s">
        <v>8</v>
      </c>
      <c r="D664" s="41"/>
      <c r="E664" s="41"/>
      <c r="F664" s="41"/>
      <c r="G664" s="41"/>
      <c r="H664" s="41"/>
      <c r="I664" s="42"/>
      <c r="J664" s="41"/>
      <c r="K664" s="41"/>
      <c r="L664" s="43"/>
    </row>
    <row r="665" spans="2:12" outlineLevel="2">
      <c r="B665" s="40">
        <f t="shared" si="23"/>
        <v>203</v>
      </c>
      <c r="C665" s="41" t="s">
        <v>8</v>
      </c>
      <c r="D665" s="41"/>
      <c r="E665" s="41"/>
      <c r="F665" s="41"/>
      <c r="G665" s="41"/>
      <c r="H665" s="41"/>
      <c r="I665" s="42"/>
      <c r="J665" s="41"/>
      <c r="K665" s="41"/>
      <c r="L665" s="43"/>
    </row>
    <row r="666" spans="2:12" outlineLevel="2">
      <c r="B666" s="40">
        <f t="shared" si="23"/>
        <v>204</v>
      </c>
      <c r="C666" s="41" t="s">
        <v>8</v>
      </c>
      <c r="D666" s="41"/>
      <c r="E666" s="41"/>
      <c r="F666" s="41"/>
      <c r="G666" s="41"/>
      <c r="H666" s="41"/>
      <c r="I666" s="42"/>
      <c r="J666" s="41"/>
      <c r="K666" s="41"/>
      <c r="L666" s="43"/>
    </row>
    <row r="667" spans="2:12" outlineLevel="2">
      <c r="B667" s="40">
        <f t="shared" si="23"/>
        <v>205</v>
      </c>
      <c r="C667" s="41" t="s">
        <v>8</v>
      </c>
      <c r="D667" s="41"/>
      <c r="E667" s="41"/>
      <c r="F667" s="41"/>
      <c r="G667" s="41"/>
      <c r="H667" s="41"/>
      <c r="I667" s="42"/>
      <c r="J667" s="41"/>
      <c r="K667" s="41"/>
      <c r="L667" s="43"/>
    </row>
    <row r="668" spans="2:12" outlineLevel="2">
      <c r="B668" s="40">
        <f t="shared" si="23"/>
        <v>206</v>
      </c>
      <c r="C668" s="41" t="s">
        <v>8</v>
      </c>
      <c r="D668" s="41"/>
      <c r="E668" s="41"/>
      <c r="F668" s="41"/>
      <c r="G668" s="41"/>
      <c r="H668" s="41"/>
      <c r="I668" s="42"/>
      <c r="J668" s="41"/>
      <c r="K668" s="41"/>
      <c r="L668" s="43"/>
    </row>
    <row r="669" spans="2:12" outlineLevel="2">
      <c r="B669" s="40">
        <f t="shared" si="23"/>
        <v>207</v>
      </c>
      <c r="C669" s="41" t="s">
        <v>8</v>
      </c>
      <c r="D669" s="41"/>
      <c r="E669" s="41"/>
      <c r="F669" s="41"/>
      <c r="G669" s="41"/>
      <c r="H669" s="41"/>
      <c r="I669" s="42"/>
      <c r="J669" s="41"/>
      <c r="K669" s="41"/>
      <c r="L669" s="43"/>
    </row>
    <row r="670" spans="2:12" outlineLevel="2">
      <c r="B670" s="40">
        <f t="shared" si="23"/>
        <v>208</v>
      </c>
      <c r="C670" s="41" t="s">
        <v>8</v>
      </c>
      <c r="D670" s="41"/>
      <c r="E670" s="41"/>
      <c r="F670" s="41"/>
      <c r="G670" s="41"/>
      <c r="H670" s="41"/>
      <c r="I670" s="42"/>
      <c r="J670" s="41"/>
      <c r="K670" s="41"/>
      <c r="L670" s="43"/>
    </row>
    <row r="671" spans="2:12" outlineLevel="2">
      <c r="B671" s="40">
        <f t="shared" si="23"/>
        <v>209</v>
      </c>
      <c r="C671" s="41" t="s">
        <v>8</v>
      </c>
      <c r="D671" s="41"/>
      <c r="E671" s="41"/>
      <c r="F671" s="41"/>
      <c r="G671" s="41"/>
      <c r="H671" s="41"/>
      <c r="I671" s="42"/>
      <c r="J671" s="41"/>
      <c r="K671" s="41"/>
      <c r="L671" s="43"/>
    </row>
    <row r="672" spans="2:12" outlineLevel="2">
      <c r="B672" s="40">
        <f t="shared" si="23"/>
        <v>210</v>
      </c>
      <c r="C672" s="41" t="s">
        <v>8</v>
      </c>
      <c r="D672" s="41"/>
      <c r="E672" s="41"/>
      <c r="F672" s="41"/>
      <c r="G672" s="41"/>
      <c r="H672" s="41"/>
      <c r="I672" s="42"/>
      <c r="J672" s="41"/>
      <c r="K672" s="41"/>
      <c r="L672" s="43"/>
    </row>
    <row r="673" spans="2:12" outlineLevel="2">
      <c r="B673" s="40">
        <f t="shared" si="23"/>
        <v>211</v>
      </c>
      <c r="C673" s="41" t="s">
        <v>8</v>
      </c>
      <c r="D673" s="41"/>
      <c r="E673" s="41"/>
      <c r="F673" s="41"/>
      <c r="G673" s="41"/>
      <c r="H673" s="41"/>
      <c r="I673" s="42"/>
      <c r="J673" s="41"/>
      <c r="K673" s="41"/>
      <c r="L673" s="43"/>
    </row>
    <row r="674" spans="2:12" outlineLevel="2">
      <c r="B674" s="40">
        <f t="shared" si="23"/>
        <v>212</v>
      </c>
      <c r="C674" s="41" t="s">
        <v>8</v>
      </c>
      <c r="D674" s="41"/>
      <c r="E674" s="41"/>
      <c r="F674" s="41"/>
      <c r="G674" s="41"/>
      <c r="H674" s="41"/>
      <c r="I674" s="42"/>
      <c r="J674" s="41"/>
      <c r="K674" s="41"/>
      <c r="L674" s="43"/>
    </row>
    <row r="675" spans="2:12" outlineLevel="2">
      <c r="B675" s="40">
        <f t="shared" si="23"/>
        <v>213</v>
      </c>
      <c r="C675" s="41" t="s">
        <v>8</v>
      </c>
      <c r="D675" s="41"/>
      <c r="E675" s="41"/>
      <c r="F675" s="41"/>
      <c r="G675" s="41"/>
      <c r="H675" s="41"/>
      <c r="I675" s="42"/>
      <c r="J675" s="41"/>
      <c r="K675" s="41"/>
      <c r="L675" s="43"/>
    </row>
    <row r="676" spans="2:12" outlineLevel="2">
      <c r="B676" s="40">
        <f t="shared" si="23"/>
        <v>214</v>
      </c>
      <c r="C676" s="41" t="s">
        <v>8</v>
      </c>
      <c r="D676" s="41"/>
      <c r="E676" s="41"/>
      <c r="F676" s="41"/>
      <c r="G676" s="41"/>
      <c r="H676" s="41"/>
      <c r="I676" s="42"/>
      <c r="J676" s="41"/>
      <c r="K676" s="41"/>
      <c r="L676" s="43"/>
    </row>
    <row r="677" spans="2:12" outlineLevel="2">
      <c r="B677" s="40">
        <f t="shared" si="23"/>
        <v>215</v>
      </c>
      <c r="C677" s="41" t="s">
        <v>8</v>
      </c>
      <c r="D677" s="41"/>
      <c r="E677" s="41"/>
      <c r="F677" s="41"/>
      <c r="G677" s="41"/>
      <c r="H677" s="41"/>
      <c r="I677" s="42"/>
      <c r="J677" s="41"/>
      <c r="K677" s="41"/>
      <c r="L677" s="43"/>
    </row>
    <row r="678" spans="2:12" outlineLevel="2">
      <c r="B678" s="40">
        <f t="shared" si="23"/>
        <v>216</v>
      </c>
      <c r="C678" s="41" t="s">
        <v>8</v>
      </c>
      <c r="D678" s="41"/>
      <c r="E678" s="41"/>
      <c r="F678" s="41"/>
      <c r="G678" s="41"/>
      <c r="H678" s="41"/>
      <c r="I678" s="42"/>
      <c r="J678" s="41"/>
      <c r="K678" s="41"/>
      <c r="L678" s="43"/>
    </row>
    <row r="679" spans="2:12" outlineLevel="2">
      <c r="B679" s="40">
        <f t="shared" si="23"/>
        <v>217</v>
      </c>
      <c r="C679" s="41" t="s">
        <v>8</v>
      </c>
      <c r="D679" s="41"/>
      <c r="E679" s="41"/>
      <c r="F679" s="41"/>
      <c r="G679" s="41"/>
      <c r="H679" s="41"/>
      <c r="I679" s="42"/>
      <c r="J679" s="41"/>
      <c r="K679" s="41"/>
      <c r="L679" s="43"/>
    </row>
    <row r="680" spans="2:12" outlineLevel="2">
      <c r="B680" s="40">
        <f t="shared" si="23"/>
        <v>218</v>
      </c>
      <c r="C680" s="41" t="s">
        <v>8</v>
      </c>
      <c r="D680" s="41"/>
      <c r="E680" s="41"/>
      <c r="F680" s="41"/>
      <c r="G680" s="41"/>
      <c r="H680" s="41"/>
      <c r="I680" s="42"/>
      <c r="J680" s="41"/>
      <c r="K680" s="41"/>
      <c r="L680" s="43"/>
    </row>
    <row r="681" spans="2:12" outlineLevel="2">
      <c r="B681" s="40">
        <f t="shared" si="23"/>
        <v>219</v>
      </c>
      <c r="C681" s="41" t="s">
        <v>8</v>
      </c>
      <c r="D681" s="41"/>
      <c r="E681" s="41"/>
      <c r="F681" s="41"/>
      <c r="G681" s="41"/>
      <c r="H681" s="41"/>
      <c r="I681" s="42"/>
      <c r="J681" s="41"/>
      <c r="K681" s="41"/>
      <c r="L681" s="43"/>
    </row>
    <row r="682" spans="2:12" outlineLevel="2">
      <c r="B682" s="40">
        <f t="shared" si="23"/>
        <v>220</v>
      </c>
      <c r="C682" s="41" t="s">
        <v>8</v>
      </c>
      <c r="D682" s="41"/>
      <c r="E682" s="41"/>
      <c r="F682" s="41"/>
      <c r="G682" s="41"/>
      <c r="H682" s="41"/>
      <c r="I682" s="42"/>
      <c r="J682" s="41"/>
      <c r="K682" s="41"/>
      <c r="L682" s="43"/>
    </row>
    <row r="683" spans="2:12" outlineLevel="2">
      <c r="B683" s="40">
        <f t="shared" si="23"/>
        <v>221</v>
      </c>
      <c r="C683" s="41" t="s">
        <v>8</v>
      </c>
      <c r="D683" s="41"/>
      <c r="E683" s="41"/>
      <c r="F683" s="41"/>
      <c r="G683" s="41"/>
      <c r="H683" s="41"/>
      <c r="I683" s="42"/>
      <c r="J683" s="41"/>
      <c r="K683" s="41"/>
      <c r="L683" s="43"/>
    </row>
    <row r="684" spans="2:12" outlineLevel="2">
      <c r="B684" s="40">
        <f t="shared" si="23"/>
        <v>222</v>
      </c>
      <c r="C684" s="41" t="s">
        <v>8</v>
      </c>
      <c r="D684" s="41"/>
      <c r="E684" s="41"/>
      <c r="F684" s="41"/>
      <c r="G684" s="41"/>
      <c r="H684" s="41"/>
      <c r="I684" s="42"/>
      <c r="J684" s="41"/>
      <c r="K684" s="41"/>
      <c r="L684" s="43"/>
    </row>
    <row r="685" spans="2:12" outlineLevel="2">
      <c r="B685" s="40">
        <f t="shared" si="23"/>
        <v>223</v>
      </c>
      <c r="C685" s="41" t="s">
        <v>8</v>
      </c>
      <c r="D685" s="41"/>
      <c r="E685" s="41"/>
      <c r="F685" s="41"/>
      <c r="G685" s="41"/>
      <c r="H685" s="41"/>
      <c r="I685" s="42"/>
      <c r="J685" s="41"/>
      <c r="K685" s="41"/>
      <c r="L685" s="43"/>
    </row>
    <row r="686" spans="2:12" outlineLevel="2">
      <c r="B686" s="40">
        <f t="shared" si="23"/>
        <v>224</v>
      </c>
      <c r="C686" s="41" t="s">
        <v>8</v>
      </c>
      <c r="D686" s="41"/>
      <c r="E686" s="41"/>
      <c r="F686" s="41"/>
      <c r="G686" s="41"/>
      <c r="H686" s="41"/>
      <c r="I686" s="42"/>
      <c r="J686" s="41"/>
      <c r="K686" s="41"/>
      <c r="L686" s="43"/>
    </row>
    <row r="687" spans="2:12" outlineLevel="2">
      <c r="B687" s="40">
        <f t="shared" si="23"/>
        <v>225</v>
      </c>
      <c r="C687" s="41" t="s">
        <v>8</v>
      </c>
      <c r="D687" s="41"/>
      <c r="E687" s="41"/>
      <c r="F687" s="41"/>
      <c r="G687" s="41"/>
      <c r="H687" s="41"/>
      <c r="I687" s="42"/>
      <c r="J687" s="41"/>
      <c r="K687" s="41"/>
      <c r="L687" s="43"/>
    </row>
    <row r="688" spans="2:12" outlineLevel="2">
      <c r="B688" s="40">
        <f t="shared" si="23"/>
        <v>226</v>
      </c>
      <c r="C688" s="41" t="s">
        <v>8</v>
      </c>
      <c r="D688" s="41"/>
      <c r="E688" s="41"/>
      <c r="F688" s="41"/>
      <c r="G688" s="41"/>
      <c r="H688" s="41"/>
      <c r="I688" s="42"/>
      <c r="J688" s="41"/>
      <c r="K688" s="41"/>
      <c r="L688" s="43"/>
    </row>
    <row r="689" spans="2:12" outlineLevel="2">
      <c r="B689" s="40">
        <f t="shared" si="23"/>
        <v>227</v>
      </c>
      <c r="C689" s="41" t="s">
        <v>8</v>
      </c>
      <c r="D689" s="41"/>
      <c r="E689" s="41"/>
      <c r="F689" s="41"/>
      <c r="G689" s="41"/>
      <c r="H689" s="41"/>
      <c r="I689" s="42"/>
      <c r="J689" s="41"/>
      <c r="K689" s="41"/>
      <c r="L689" s="43"/>
    </row>
    <row r="690" spans="2:12" outlineLevel="2">
      <c r="B690" s="40">
        <f t="shared" si="23"/>
        <v>228</v>
      </c>
      <c r="C690" s="41" t="s">
        <v>8</v>
      </c>
      <c r="D690" s="41"/>
      <c r="E690" s="41"/>
      <c r="F690" s="41"/>
      <c r="G690" s="41"/>
      <c r="H690" s="41"/>
      <c r="I690" s="42"/>
      <c r="J690" s="41"/>
      <c r="K690" s="41"/>
      <c r="L690" s="43"/>
    </row>
    <row r="691" spans="2:12" outlineLevel="1">
      <c r="B691" s="59" t="s">
        <v>203</v>
      </c>
      <c r="C691" s="41">
        <f>SUBTOTAL(3,C463:C690)</f>
        <v>228</v>
      </c>
      <c r="D691" s="41"/>
      <c r="E691" s="41"/>
      <c r="F691" s="41"/>
      <c r="G691" s="41"/>
      <c r="H691" s="41"/>
      <c r="I691" s="42"/>
      <c r="J691" s="41"/>
      <c r="K691" s="41"/>
      <c r="L691" s="43"/>
    </row>
    <row r="692" spans="2:12" outlineLevel="2">
      <c r="B692" s="40">
        <f t="shared" ref="B692:B755" si="24">ROW(A229)</f>
        <v>229</v>
      </c>
      <c r="C692" s="41" t="s">
        <v>9</v>
      </c>
      <c r="D692" s="41"/>
      <c r="E692" s="41"/>
      <c r="F692" s="41"/>
      <c r="G692" s="41"/>
      <c r="H692" s="41"/>
      <c r="I692" s="42"/>
      <c r="J692" s="41"/>
      <c r="K692" s="41"/>
      <c r="L692" s="43"/>
    </row>
    <row r="693" spans="2:12" outlineLevel="2">
      <c r="B693" s="40">
        <f t="shared" si="24"/>
        <v>230</v>
      </c>
      <c r="C693" s="41" t="s">
        <v>9</v>
      </c>
      <c r="D693" s="41"/>
      <c r="E693" s="41"/>
      <c r="F693" s="41"/>
      <c r="G693" s="41"/>
      <c r="H693" s="41"/>
      <c r="I693" s="42"/>
      <c r="J693" s="41"/>
      <c r="K693" s="41"/>
      <c r="L693" s="43"/>
    </row>
    <row r="694" spans="2:12" outlineLevel="2">
      <c r="B694" s="40">
        <f t="shared" si="24"/>
        <v>231</v>
      </c>
      <c r="C694" s="41" t="s">
        <v>9</v>
      </c>
      <c r="D694" s="41"/>
      <c r="E694" s="41"/>
      <c r="F694" s="41"/>
      <c r="G694" s="41"/>
      <c r="H694" s="41"/>
      <c r="I694" s="42"/>
      <c r="J694" s="41"/>
      <c r="K694" s="41"/>
      <c r="L694" s="43"/>
    </row>
    <row r="695" spans="2:12" outlineLevel="2">
      <c r="B695" s="40">
        <f t="shared" si="24"/>
        <v>232</v>
      </c>
      <c r="C695" s="41" t="s">
        <v>9</v>
      </c>
      <c r="D695" s="41"/>
      <c r="E695" s="41"/>
      <c r="F695" s="41"/>
      <c r="G695" s="41"/>
      <c r="H695" s="41"/>
      <c r="I695" s="42"/>
      <c r="J695" s="41"/>
      <c r="K695" s="41"/>
      <c r="L695" s="43"/>
    </row>
    <row r="696" spans="2:12" outlineLevel="2">
      <c r="B696" s="40">
        <f t="shared" si="24"/>
        <v>233</v>
      </c>
      <c r="C696" s="41" t="s">
        <v>9</v>
      </c>
      <c r="D696" s="41"/>
      <c r="E696" s="41"/>
      <c r="F696" s="41"/>
      <c r="G696" s="41"/>
      <c r="H696" s="41"/>
      <c r="I696" s="42"/>
      <c r="J696" s="41"/>
      <c r="K696" s="41"/>
      <c r="L696" s="43"/>
    </row>
    <row r="697" spans="2:12" outlineLevel="2">
      <c r="B697" s="40">
        <f t="shared" si="24"/>
        <v>234</v>
      </c>
      <c r="C697" s="41" t="s">
        <v>9</v>
      </c>
      <c r="D697" s="41"/>
      <c r="E697" s="41"/>
      <c r="F697" s="41"/>
      <c r="G697" s="41"/>
      <c r="H697" s="41"/>
      <c r="I697" s="42"/>
      <c r="J697" s="41"/>
      <c r="K697" s="41"/>
      <c r="L697" s="43"/>
    </row>
    <row r="698" spans="2:12" outlineLevel="2">
      <c r="B698" s="40">
        <f t="shared" si="24"/>
        <v>235</v>
      </c>
      <c r="C698" s="41" t="s">
        <v>9</v>
      </c>
      <c r="D698" s="41"/>
      <c r="E698" s="41"/>
      <c r="F698" s="41"/>
      <c r="G698" s="41"/>
      <c r="H698" s="41"/>
      <c r="I698" s="42"/>
      <c r="J698" s="41"/>
      <c r="K698" s="41"/>
      <c r="L698" s="43"/>
    </row>
    <row r="699" spans="2:12" outlineLevel="2">
      <c r="B699" s="40">
        <f t="shared" si="24"/>
        <v>236</v>
      </c>
      <c r="C699" s="41" t="s">
        <v>9</v>
      </c>
      <c r="D699" s="41"/>
      <c r="E699" s="41"/>
      <c r="F699" s="41"/>
      <c r="G699" s="41"/>
      <c r="H699" s="41"/>
      <c r="I699" s="42"/>
      <c r="J699" s="41"/>
      <c r="K699" s="41"/>
      <c r="L699" s="43"/>
    </row>
    <row r="700" spans="2:12" outlineLevel="2">
      <c r="B700" s="40">
        <f t="shared" si="24"/>
        <v>237</v>
      </c>
      <c r="C700" s="41" t="s">
        <v>9</v>
      </c>
      <c r="D700" s="41"/>
      <c r="E700" s="41"/>
      <c r="F700" s="41"/>
      <c r="G700" s="41"/>
      <c r="H700" s="41"/>
      <c r="I700" s="42"/>
      <c r="J700" s="41"/>
      <c r="K700" s="41"/>
      <c r="L700" s="43"/>
    </row>
    <row r="701" spans="2:12" outlineLevel="2">
      <c r="B701" s="40">
        <f t="shared" si="24"/>
        <v>238</v>
      </c>
      <c r="C701" s="41" t="s">
        <v>9</v>
      </c>
      <c r="D701" s="41"/>
      <c r="E701" s="41"/>
      <c r="F701" s="41"/>
      <c r="G701" s="41"/>
      <c r="H701" s="41"/>
      <c r="I701" s="42"/>
      <c r="J701" s="41"/>
      <c r="K701" s="41"/>
      <c r="L701" s="43"/>
    </row>
    <row r="702" spans="2:12" outlineLevel="2">
      <c r="B702" s="40">
        <f t="shared" si="24"/>
        <v>239</v>
      </c>
      <c r="C702" s="41" t="s">
        <v>9</v>
      </c>
      <c r="D702" s="41"/>
      <c r="E702" s="41"/>
      <c r="F702" s="41"/>
      <c r="G702" s="41"/>
      <c r="H702" s="41"/>
      <c r="I702" s="42"/>
      <c r="J702" s="41"/>
      <c r="K702" s="41"/>
      <c r="L702" s="43"/>
    </row>
    <row r="703" spans="2:12" outlineLevel="2">
      <c r="B703" s="40">
        <f t="shared" si="24"/>
        <v>240</v>
      </c>
      <c r="C703" s="41" t="s">
        <v>9</v>
      </c>
      <c r="D703" s="41"/>
      <c r="E703" s="41"/>
      <c r="F703" s="41"/>
      <c r="G703" s="41"/>
      <c r="H703" s="41"/>
      <c r="I703" s="42"/>
      <c r="J703" s="41"/>
      <c r="K703" s="41"/>
      <c r="L703" s="43"/>
    </row>
    <row r="704" spans="2:12" outlineLevel="2">
      <c r="B704" s="40">
        <f t="shared" si="24"/>
        <v>241</v>
      </c>
      <c r="C704" s="41" t="s">
        <v>9</v>
      </c>
      <c r="D704" s="41"/>
      <c r="E704" s="41"/>
      <c r="F704" s="41"/>
      <c r="G704" s="41"/>
      <c r="H704" s="41"/>
      <c r="I704" s="42"/>
      <c r="J704" s="41"/>
      <c r="K704" s="41"/>
      <c r="L704" s="43"/>
    </row>
    <row r="705" spans="2:12" outlineLevel="2">
      <c r="B705" s="40">
        <f t="shared" si="24"/>
        <v>242</v>
      </c>
      <c r="C705" s="41" t="s">
        <v>9</v>
      </c>
      <c r="D705" s="41"/>
      <c r="E705" s="41"/>
      <c r="F705" s="41"/>
      <c r="G705" s="41"/>
      <c r="H705" s="41"/>
      <c r="I705" s="42"/>
      <c r="J705" s="41"/>
      <c r="K705" s="41"/>
      <c r="L705" s="43"/>
    </row>
    <row r="706" spans="2:12" outlineLevel="2">
      <c r="B706" s="40">
        <f t="shared" si="24"/>
        <v>243</v>
      </c>
      <c r="C706" s="41" t="s">
        <v>9</v>
      </c>
      <c r="D706" s="41"/>
      <c r="E706" s="41"/>
      <c r="F706" s="41"/>
      <c r="G706" s="41"/>
      <c r="H706" s="41"/>
      <c r="I706" s="42"/>
      <c r="J706" s="41"/>
      <c r="K706" s="41"/>
      <c r="L706" s="43"/>
    </row>
    <row r="707" spans="2:12" outlineLevel="2">
      <c r="B707" s="40">
        <f t="shared" si="24"/>
        <v>244</v>
      </c>
      <c r="C707" s="41" t="s">
        <v>9</v>
      </c>
      <c r="D707" s="41"/>
      <c r="E707" s="41"/>
      <c r="F707" s="41"/>
      <c r="G707" s="41"/>
      <c r="H707" s="41"/>
      <c r="I707" s="42"/>
      <c r="J707" s="41"/>
      <c r="K707" s="41"/>
      <c r="L707" s="43"/>
    </row>
    <row r="708" spans="2:12" outlineLevel="2">
      <c r="B708" s="40">
        <f t="shared" si="24"/>
        <v>245</v>
      </c>
      <c r="C708" s="41" t="s">
        <v>9</v>
      </c>
      <c r="D708" s="41"/>
      <c r="E708" s="41"/>
      <c r="F708" s="41"/>
      <c r="G708" s="41"/>
      <c r="H708" s="41"/>
      <c r="I708" s="42"/>
      <c r="J708" s="41"/>
      <c r="K708" s="41"/>
      <c r="L708" s="43"/>
    </row>
    <row r="709" spans="2:12" outlineLevel="2">
      <c r="B709" s="40">
        <f t="shared" si="24"/>
        <v>246</v>
      </c>
      <c r="C709" s="41" t="s">
        <v>9</v>
      </c>
      <c r="D709" s="41"/>
      <c r="E709" s="41"/>
      <c r="F709" s="41"/>
      <c r="G709" s="41"/>
      <c r="H709" s="41"/>
      <c r="I709" s="42"/>
      <c r="J709" s="41"/>
      <c r="K709" s="41"/>
      <c r="L709" s="43"/>
    </row>
    <row r="710" spans="2:12" outlineLevel="2">
      <c r="B710" s="40">
        <f t="shared" si="24"/>
        <v>247</v>
      </c>
      <c r="C710" s="41" t="s">
        <v>9</v>
      </c>
      <c r="D710" s="41"/>
      <c r="E710" s="41"/>
      <c r="F710" s="41"/>
      <c r="G710" s="41"/>
      <c r="H710" s="41"/>
      <c r="I710" s="42"/>
      <c r="J710" s="41"/>
      <c r="K710" s="41"/>
      <c r="L710" s="43"/>
    </row>
    <row r="711" spans="2:12" outlineLevel="2">
      <c r="B711" s="40">
        <f t="shared" si="24"/>
        <v>248</v>
      </c>
      <c r="C711" s="41" t="s">
        <v>9</v>
      </c>
      <c r="D711" s="41"/>
      <c r="E711" s="41"/>
      <c r="F711" s="41"/>
      <c r="G711" s="41"/>
      <c r="H711" s="41"/>
      <c r="I711" s="42"/>
      <c r="J711" s="41"/>
      <c r="K711" s="41"/>
      <c r="L711" s="43"/>
    </row>
    <row r="712" spans="2:12" outlineLevel="2">
      <c r="B712" s="40">
        <f t="shared" si="24"/>
        <v>249</v>
      </c>
      <c r="C712" s="41" t="s">
        <v>9</v>
      </c>
      <c r="D712" s="41"/>
      <c r="E712" s="41"/>
      <c r="F712" s="41"/>
      <c r="G712" s="41"/>
      <c r="H712" s="41"/>
      <c r="I712" s="42"/>
      <c r="J712" s="41"/>
      <c r="K712" s="41"/>
      <c r="L712" s="43"/>
    </row>
    <row r="713" spans="2:12" outlineLevel="2">
      <c r="B713" s="40">
        <f t="shared" si="24"/>
        <v>250</v>
      </c>
      <c r="C713" s="41" t="s">
        <v>9</v>
      </c>
      <c r="D713" s="41"/>
      <c r="E713" s="41"/>
      <c r="F713" s="41"/>
      <c r="G713" s="41"/>
      <c r="H713" s="41"/>
      <c r="I713" s="42"/>
      <c r="J713" s="41"/>
      <c r="K713" s="41"/>
      <c r="L713" s="43"/>
    </row>
    <row r="714" spans="2:12" outlineLevel="2">
      <c r="B714" s="40">
        <f t="shared" si="24"/>
        <v>251</v>
      </c>
      <c r="C714" s="41" t="s">
        <v>9</v>
      </c>
      <c r="D714" s="41"/>
      <c r="E714" s="41"/>
      <c r="F714" s="41"/>
      <c r="G714" s="41"/>
      <c r="H714" s="41"/>
      <c r="I714" s="42"/>
      <c r="J714" s="41"/>
      <c r="K714" s="41"/>
      <c r="L714" s="43"/>
    </row>
    <row r="715" spans="2:12" outlineLevel="2">
      <c r="B715" s="40">
        <f t="shared" si="24"/>
        <v>252</v>
      </c>
      <c r="C715" s="41" t="s">
        <v>9</v>
      </c>
      <c r="D715" s="41"/>
      <c r="E715" s="41"/>
      <c r="F715" s="41"/>
      <c r="G715" s="41"/>
      <c r="H715" s="41"/>
      <c r="I715" s="42"/>
      <c r="J715" s="41"/>
      <c r="K715" s="41"/>
      <c r="L715" s="43"/>
    </row>
    <row r="716" spans="2:12" outlineLevel="2">
      <c r="B716" s="40">
        <f t="shared" si="24"/>
        <v>253</v>
      </c>
      <c r="C716" s="41" t="s">
        <v>9</v>
      </c>
      <c r="D716" s="41"/>
      <c r="E716" s="41"/>
      <c r="F716" s="41"/>
      <c r="G716" s="41"/>
      <c r="H716" s="41"/>
      <c r="I716" s="42"/>
      <c r="J716" s="41"/>
      <c r="K716" s="41"/>
      <c r="L716" s="43"/>
    </row>
    <row r="717" spans="2:12" outlineLevel="2">
      <c r="B717" s="40">
        <f t="shared" si="24"/>
        <v>254</v>
      </c>
      <c r="C717" s="41" t="s">
        <v>9</v>
      </c>
      <c r="D717" s="41"/>
      <c r="E717" s="41"/>
      <c r="F717" s="41"/>
      <c r="G717" s="41"/>
      <c r="H717" s="41"/>
      <c r="I717" s="42"/>
      <c r="J717" s="41"/>
      <c r="K717" s="41"/>
      <c r="L717" s="43"/>
    </row>
    <row r="718" spans="2:12" outlineLevel="2">
      <c r="B718" s="40">
        <f t="shared" si="24"/>
        <v>255</v>
      </c>
      <c r="C718" s="41" t="s">
        <v>9</v>
      </c>
      <c r="D718" s="41"/>
      <c r="E718" s="41"/>
      <c r="F718" s="41"/>
      <c r="G718" s="41"/>
      <c r="H718" s="41"/>
      <c r="I718" s="42"/>
      <c r="J718" s="41"/>
      <c r="K718" s="41"/>
      <c r="L718" s="43"/>
    </row>
    <row r="719" spans="2:12" outlineLevel="2">
      <c r="B719" s="40">
        <f t="shared" si="24"/>
        <v>256</v>
      </c>
      <c r="C719" s="41" t="s">
        <v>9</v>
      </c>
      <c r="D719" s="41"/>
      <c r="E719" s="41"/>
      <c r="F719" s="41"/>
      <c r="G719" s="41"/>
      <c r="H719" s="41"/>
      <c r="I719" s="42"/>
      <c r="J719" s="41"/>
      <c r="K719" s="41"/>
      <c r="L719" s="43"/>
    </row>
    <row r="720" spans="2:12" outlineLevel="2">
      <c r="B720" s="40">
        <f t="shared" si="24"/>
        <v>257</v>
      </c>
      <c r="C720" s="41" t="s">
        <v>9</v>
      </c>
      <c r="D720" s="41"/>
      <c r="E720" s="41"/>
      <c r="F720" s="41"/>
      <c r="G720" s="41"/>
      <c r="H720" s="41"/>
      <c r="I720" s="42"/>
      <c r="J720" s="41"/>
      <c r="K720" s="41"/>
      <c r="L720" s="43"/>
    </row>
    <row r="721" spans="2:12" outlineLevel="2">
      <c r="B721" s="40">
        <f t="shared" si="24"/>
        <v>258</v>
      </c>
      <c r="C721" s="41" t="s">
        <v>9</v>
      </c>
      <c r="D721" s="41"/>
      <c r="E721" s="41"/>
      <c r="F721" s="41"/>
      <c r="G721" s="41"/>
      <c r="H721" s="41"/>
      <c r="I721" s="42"/>
      <c r="J721" s="41"/>
      <c r="K721" s="41"/>
      <c r="L721" s="43"/>
    </row>
    <row r="722" spans="2:12" outlineLevel="2">
      <c r="B722" s="40">
        <f t="shared" si="24"/>
        <v>259</v>
      </c>
      <c r="C722" s="41" t="s">
        <v>9</v>
      </c>
      <c r="D722" s="41"/>
      <c r="E722" s="41"/>
      <c r="F722" s="41"/>
      <c r="G722" s="41"/>
      <c r="H722" s="41"/>
      <c r="I722" s="42"/>
      <c r="J722" s="41"/>
      <c r="K722" s="41"/>
      <c r="L722" s="43"/>
    </row>
    <row r="723" spans="2:12" outlineLevel="2">
      <c r="B723" s="40">
        <f t="shared" si="24"/>
        <v>260</v>
      </c>
      <c r="C723" s="41" t="s">
        <v>9</v>
      </c>
      <c r="D723" s="41"/>
      <c r="E723" s="41"/>
      <c r="F723" s="41"/>
      <c r="G723" s="41"/>
      <c r="H723" s="41"/>
      <c r="I723" s="42"/>
      <c r="J723" s="41"/>
      <c r="K723" s="41"/>
      <c r="L723" s="43"/>
    </row>
    <row r="724" spans="2:12" outlineLevel="2">
      <c r="B724" s="40">
        <f t="shared" si="24"/>
        <v>261</v>
      </c>
      <c r="C724" s="41" t="s">
        <v>9</v>
      </c>
      <c r="D724" s="41"/>
      <c r="E724" s="41"/>
      <c r="F724" s="41"/>
      <c r="G724" s="41"/>
      <c r="H724" s="41"/>
      <c r="I724" s="42"/>
      <c r="J724" s="41"/>
      <c r="K724" s="41"/>
      <c r="L724" s="43"/>
    </row>
    <row r="725" spans="2:12" outlineLevel="2">
      <c r="B725" s="40">
        <f t="shared" si="24"/>
        <v>262</v>
      </c>
      <c r="C725" s="41" t="s">
        <v>9</v>
      </c>
      <c r="D725" s="41"/>
      <c r="E725" s="41"/>
      <c r="F725" s="41"/>
      <c r="G725" s="41"/>
      <c r="H725" s="41"/>
      <c r="I725" s="42"/>
      <c r="J725" s="41"/>
      <c r="K725" s="41"/>
      <c r="L725" s="43"/>
    </row>
    <row r="726" spans="2:12" outlineLevel="2">
      <c r="B726" s="40">
        <f t="shared" si="24"/>
        <v>263</v>
      </c>
      <c r="C726" s="41" t="s">
        <v>9</v>
      </c>
      <c r="D726" s="41"/>
      <c r="E726" s="41"/>
      <c r="F726" s="41"/>
      <c r="G726" s="41"/>
      <c r="H726" s="41"/>
      <c r="I726" s="42"/>
      <c r="J726" s="41"/>
      <c r="K726" s="41"/>
      <c r="L726" s="43"/>
    </row>
    <row r="727" spans="2:12" outlineLevel="2">
      <c r="B727" s="40">
        <f t="shared" si="24"/>
        <v>264</v>
      </c>
      <c r="C727" s="41" t="s">
        <v>9</v>
      </c>
      <c r="D727" s="41"/>
      <c r="E727" s="41"/>
      <c r="F727" s="41"/>
      <c r="G727" s="41"/>
      <c r="H727" s="41"/>
      <c r="I727" s="42"/>
      <c r="J727" s="41"/>
      <c r="K727" s="41"/>
      <c r="L727" s="43"/>
    </row>
    <row r="728" spans="2:12" outlineLevel="2">
      <c r="B728" s="40">
        <f t="shared" si="24"/>
        <v>265</v>
      </c>
      <c r="C728" s="41" t="s">
        <v>9</v>
      </c>
      <c r="D728" s="41"/>
      <c r="E728" s="41"/>
      <c r="F728" s="41"/>
      <c r="G728" s="41"/>
      <c r="H728" s="41"/>
      <c r="I728" s="42"/>
      <c r="J728" s="41"/>
      <c r="K728" s="41"/>
      <c r="L728" s="43"/>
    </row>
    <row r="729" spans="2:12" outlineLevel="2">
      <c r="B729" s="40">
        <f t="shared" si="24"/>
        <v>266</v>
      </c>
      <c r="C729" s="41" t="s">
        <v>9</v>
      </c>
      <c r="D729" s="41"/>
      <c r="E729" s="41"/>
      <c r="F729" s="41"/>
      <c r="G729" s="41"/>
      <c r="H729" s="41"/>
      <c r="I729" s="42"/>
      <c r="J729" s="41"/>
      <c r="K729" s="41"/>
      <c r="L729" s="43"/>
    </row>
    <row r="730" spans="2:12" outlineLevel="2">
      <c r="B730" s="40">
        <f t="shared" si="24"/>
        <v>267</v>
      </c>
      <c r="C730" s="41" t="s">
        <v>9</v>
      </c>
      <c r="D730" s="41"/>
      <c r="E730" s="41"/>
      <c r="F730" s="41"/>
      <c r="G730" s="41"/>
      <c r="H730" s="41"/>
      <c r="I730" s="42"/>
      <c r="J730" s="41"/>
      <c r="K730" s="41"/>
      <c r="L730" s="43"/>
    </row>
    <row r="731" spans="2:12" outlineLevel="2">
      <c r="B731" s="40">
        <f t="shared" si="24"/>
        <v>268</v>
      </c>
      <c r="C731" s="41" t="s">
        <v>9</v>
      </c>
      <c r="D731" s="41"/>
      <c r="E731" s="41"/>
      <c r="F731" s="41"/>
      <c r="G731" s="41"/>
      <c r="H731" s="41"/>
      <c r="I731" s="42"/>
      <c r="J731" s="41"/>
      <c r="K731" s="41"/>
      <c r="L731" s="43"/>
    </row>
    <row r="732" spans="2:12" outlineLevel="2">
      <c r="B732" s="40">
        <f t="shared" si="24"/>
        <v>269</v>
      </c>
      <c r="C732" s="41" t="s">
        <v>9</v>
      </c>
      <c r="D732" s="41"/>
      <c r="E732" s="41"/>
      <c r="F732" s="41"/>
      <c r="G732" s="41"/>
      <c r="H732" s="41"/>
      <c r="I732" s="42"/>
      <c r="J732" s="41"/>
      <c r="K732" s="41"/>
      <c r="L732" s="43"/>
    </row>
    <row r="733" spans="2:12" outlineLevel="2">
      <c r="B733" s="40">
        <f t="shared" si="24"/>
        <v>270</v>
      </c>
      <c r="C733" s="41" t="s">
        <v>9</v>
      </c>
      <c r="D733" s="41"/>
      <c r="E733" s="41"/>
      <c r="F733" s="41"/>
      <c r="G733" s="41"/>
      <c r="H733" s="41"/>
      <c r="I733" s="42"/>
      <c r="J733" s="41"/>
      <c r="K733" s="41"/>
      <c r="L733" s="43"/>
    </row>
    <row r="734" spans="2:12" outlineLevel="2">
      <c r="B734" s="40">
        <f t="shared" si="24"/>
        <v>271</v>
      </c>
      <c r="C734" s="41" t="s">
        <v>9</v>
      </c>
      <c r="D734" s="41"/>
      <c r="E734" s="41"/>
      <c r="F734" s="41"/>
      <c r="G734" s="41"/>
      <c r="H734" s="41"/>
      <c r="I734" s="42"/>
      <c r="J734" s="41"/>
      <c r="K734" s="41"/>
      <c r="L734" s="43"/>
    </row>
    <row r="735" spans="2:12" outlineLevel="2">
      <c r="B735" s="40">
        <f t="shared" si="24"/>
        <v>272</v>
      </c>
      <c r="C735" s="41" t="s">
        <v>9</v>
      </c>
      <c r="D735" s="41"/>
      <c r="E735" s="41"/>
      <c r="F735" s="41"/>
      <c r="G735" s="41"/>
      <c r="H735" s="41"/>
      <c r="I735" s="42"/>
      <c r="J735" s="41"/>
      <c r="K735" s="41"/>
      <c r="L735" s="43"/>
    </row>
    <row r="736" spans="2:12" outlineLevel="2">
      <c r="B736" s="40">
        <f t="shared" si="24"/>
        <v>273</v>
      </c>
      <c r="C736" s="41" t="s">
        <v>9</v>
      </c>
      <c r="D736" s="41"/>
      <c r="E736" s="41"/>
      <c r="F736" s="41"/>
      <c r="G736" s="41"/>
      <c r="H736" s="41"/>
      <c r="I736" s="42"/>
      <c r="J736" s="41"/>
      <c r="K736" s="41"/>
      <c r="L736" s="43"/>
    </row>
    <row r="737" spans="2:12" outlineLevel="2">
      <c r="B737" s="40">
        <f t="shared" si="24"/>
        <v>274</v>
      </c>
      <c r="C737" s="41" t="s">
        <v>9</v>
      </c>
      <c r="D737" s="41"/>
      <c r="E737" s="41"/>
      <c r="F737" s="41"/>
      <c r="G737" s="41"/>
      <c r="H737" s="41"/>
      <c r="I737" s="42"/>
      <c r="J737" s="41"/>
      <c r="K737" s="41"/>
      <c r="L737" s="43"/>
    </row>
    <row r="738" spans="2:12" outlineLevel="2">
      <c r="B738" s="40">
        <f t="shared" si="24"/>
        <v>275</v>
      </c>
      <c r="C738" s="41" t="s">
        <v>9</v>
      </c>
      <c r="D738" s="41"/>
      <c r="E738" s="41"/>
      <c r="F738" s="41"/>
      <c r="G738" s="41"/>
      <c r="H738" s="41"/>
      <c r="I738" s="42"/>
      <c r="J738" s="41"/>
      <c r="K738" s="41"/>
      <c r="L738" s="43"/>
    </row>
    <row r="739" spans="2:12" outlineLevel="2">
      <c r="B739" s="40">
        <f t="shared" si="24"/>
        <v>276</v>
      </c>
      <c r="C739" s="41" t="s">
        <v>9</v>
      </c>
      <c r="D739" s="41"/>
      <c r="E739" s="41"/>
      <c r="F739" s="41"/>
      <c r="G739" s="41"/>
      <c r="H739" s="41"/>
      <c r="I739" s="42"/>
      <c r="J739" s="41"/>
      <c r="K739" s="41"/>
      <c r="L739" s="43"/>
    </row>
    <row r="740" spans="2:12" outlineLevel="2">
      <c r="B740" s="40">
        <f t="shared" si="24"/>
        <v>277</v>
      </c>
      <c r="C740" s="41" t="s">
        <v>9</v>
      </c>
      <c r="D740" s="41"/>
      <c r="E740" s="41"/>
      <c r="F740" s="41"/>
      <c r="G740" s="41"/>
      <c r="H740" s="41"/>
      <c r="I740" s="42"/>
      <c r="J740" s="41"/>
      <c r="K740" s="41"/>
      <c r="L740" s="43"/>
    </row>
    <row r="741" spans="2:12" outlineLevel="2">
      <c r="B741" s="40">
        <f t="shared" si="24"/>
        <v>278</v>
      </c>
      <c r="C741" s="41" t="s">
        <v>9</v>
      </c>
      <c r="D741" s="41"/>
      <c r="E741" s="41"/>
      <c r="F741" s="41"/>
      <c r="G741" s="41"/>
      <c r="H741" s="41"/>
      <c r="I741" s="42"/>
      <c r="J741" s="41"/>
      <c r="K741" s="41"/>
      <c r="L741" s="43"/>
    </row>
    <row r="742" spans="2:12" outlineLevel="2">
      <c r="B742" s="40">
        <f t="shared" si="24"/>
        <v>279</v>
      </c>
      <c r="C742" s="41" t="s">
        <v>9</v>
      </c>
      <c r="D742" s="41"/>
      <c r="E742" s="41"/>
      <c r="F742" s="41"/>
      <c r="G742" s="41"/>
      <c r="H742" s="41"/>
      <c r="I742" s="42"/>
      <c r="J742" s="41"/>
      <c r="K742" s="41"/>
      <c r="L742" s="43"/>
    </row>
    <row r="743" spans="2:12" outlineLevel="2">
      <c r="B743" s="40">
        <f t="shared" si="24"/>
        <v>280</v>
      </c>
      <c r="C743" s="41" t="s">
        <v>9</v>
      </c>
      <c r="D743" s="41"/>
      <c r="E743" s="41"/>
      <c r="F743" s="41"/>
      <c r="G743" s="41"/>
      <c r="H743" s="41"/>
      <c r="I743" s="42"/>
      <c r="J743" s="41"/>
      <c r="K743" s="41"/>
      <c r="L743" s="43"/>
    </row>
    <row r="744" spans="2:12" outlineLevel="2">
      <c r="B744" s="40">
        <f t="shared" si="24"/>
        <v>281</v>
      </c>
      <c r="C744" s="41" t="s">
        <v>9</v>
      </c>
      <c r="D744" s="41"/>
      <c r="E744" s="41"/>
      <c r="F744" s="41"/>
      <c r="G744" s="41"/>
      <c r="H744" s="41"/>
      <c r="I744" s="42"/>
      <c r="J744" s="41"/>
      <c r="K744" s="41"/>
      <c r="L744" s="43"/>
    </row>
    <row r="745" spans="2:12" outlineLevel="2">
      <c r="B745" s="40">
        <f t="shared" si="24"/>
        <v>282</v>
      </c>
      <c r="C745" s="41" t="s">
        <v>9</v>
      </c>
      <c r="D745" s="41"/>
      <c r="E745" s="41"/>
      <c r="F745" s="41"/>
      <c r="G745" s="41"/>
      <c r="H745" s="41"/>
      <c r="I745" s="42"/>
      <c r="J745" s="41"/>
      <c r="K745" s="41"/>
      <c r="L745" s="43"/>
    </row>
    <row r="746" spans="2:12" outlineLevel="2">
      <c r="B746" s="40">
        <f t="shared" si="24"/>
        <v>283</v>
      </c>
      <c r="C746" s="41" t="s">
        <v>9</v>
      </c>
      <c r="D746" s="41"/>
      <c r="E746" s="41"/>
      <c r="F746" s="41"/>
      <c r="G746" s="41"/>
      <c r="H746" s="41"/>
      <c r="I746" s="42"/>
      <c r="J746" s="41"/>
      <c r="K746" s="41"/>
      <c r="L746" s="43"/>
    </row>
    <row r="747" spans="2:12" outlineLevel="2">
      <c r="B747" s="40">
        <f t="shared" si="24"/>
        <v>284</v>
      </c>
      <c r="C747" s="41" t="s">
        <v>9</v>
      </c>
      <c r="D747" s="41"/>
      <c r="E747" s="41"/>
      <c r="F747" s="41"/>
      <c r="G747" s="41"/>
      <c r="H747" s="41"/>
      <c r="I747" s="42"/>
      <c r="J747" s="41"/>
      <c r="K747" s="41"/>
      <c r="L747" s="43"/>
    </row>
    <row r="748" spans="2:12" outlineLevel="2">
      <c r="B748" s="40">
        <f t="shared" si="24"/>
        <v>285</v>
      </c>
      <c r="C748" s="41" t="s">
        <v>9</v>
      </c>
      <c r="D748" s="41"/>
      <c r="E748" s="41"/>
      <c r="F748" s="41"/>
      <c r="G748" s="41"/>
      <c r="H748" s="41"/>
      <c r="I748" s="42"/>
      <c r="J748" s="41"/>
      <c r="K748" s="41"/>
      <c r="L748" s="43"/>
    </row>
    <row r="749" spans="2:12" outlineLevel="2">
      <c r="B749" s="40">
        <f t="shared" si="24"/>
        <v>286</v>
      </c>
      <c r="C749" s="41" t="s">
        <v>9</v>
      </c>
      <c r="D749" s="41"/>
      <c r="E749" s="41"/>
      <c r="F749" s="41"/>
      <c r="G749" s="41"/>
      <c r="H749" s="41"/>
      <c r="I749" s="42"/>
      <c r="J749" s="41"/>
      <c r="K749" s="41"/>
      <c r="L749" s="43"/>
    </row>
    <row r="750" spans="2:12" outlineLevel="2">
      <c r="B750" s="40">
        <f t="shared" si="24"/>
        <v>287</v>
      </c>
      <c r="C750" s="41" t="s">
        <v>9</v>
      </c>
      <c r="D750" s="41"/>
      <c r="E750" s="41"/>
      <c r="F750" s="41"/>
      <c r="G750" s="41"/>
      <c r="H750" s="41"/>
      <c r="I750" s="42"/>
      <c r="J750" s="41"/>
      <c r="K750" s="41"/>
      <c r="L750" s="43"/>
    </row>
    <row r="751" spans="2:12" outlineLevel="2">
      <c r="B751" s="40">
        <f t="shared" si="24"/>
        <v>288</v>
      </c>
      <c r="C751" s="41" t="s">
        <v>9</v>
      </c>
      <c r="D751" s="41"/>
      <c r="E751" s="41"/>
      <c r="F751" s="41"/>
      <c r="G751" s="41"/>
      <c r="H751" s="41"/>
      <c r="I751" s="42"/>
      <c r="J751" s="41"/>
      <c r="K751" s="41"/>
      <c r="L751" s="43"/>
    </row>
    <row r="752" spans="2:12" outlineLevel="2">
      <c r="B752" s="40">
        <f t="shared" si="24"/>
        <v>289</v>
      </c>
      <c r="C752" s="41" t="s">
        <v>9</v>
      </c>
      <c r="D752" s="41"/>
      <c r="E752" s="41"/>
      <c r="F752" s="41"/>
      <c r="G752" s="41"/>
      <c r="H752" s="41"/>
      <c r="I752" s="42"/>
      <c r="J752" s="41"/>
      <c r="K752" s="41"/>
      <c r="L752" s="43"/>
    </row>
    <row r="753" spans="2:12" outlineLevel="2">
      <c r="B753" s="40">
        <f t="shared" si="24"/>
        <v>290</v>
      </c>
      <c r="C753" s="41" t="s">
        <v>9</v>
      </c>
      <c r="D753" s="41"/>
      <c r="E753" s="41"/>
      <c r="F753" s="41"/>
      <c r="G753" s="41"/>
      <c r="H753" s="41"/>
      <c r="I753" s="42"/>
      <c r="J753" s="41"/>
      <c r="K753" s="41"/>
      <c r="L753" s="43"/>
    </row>
    <row r="754" spans="2:12" outlineLevel="2">
      <c r="B754" s="40">
        <f t="shared" si="24"/>
        <v>291</v>
      </c>
      <c r="C754" s="41" t="s">
        <v>9</v>
      </c>
      <c r="D754" s="41"/>
      <c r="E754" s="41"/>
      <c r="F754" s="41"/>
      <c r="G754" s="41"/>
      <c r="H754" s="41"/>
      <c r="I754" s="42"/>
      <c r="J754" s="41"/>
      <c r="K754" s="41"/>
      <c r="L754" s="43"/>
    </row>
    <row r="755" spans="2:12" outlineLevel="2">
      <c r="B755" s="40">
        <f t="shared" si="24"/>
        <v>292</v>
      </c>
      <c r="C755" s="41" t="s">
        <v>9</v>
      </c>
      <c r="D755" s="41"/>
      <c r="E755" s="41"/>
      <c r="F755" s="41"/>
      <c r="G755" s="41"/>
      <c r="H755" s="41"/>
      <c r="I755" s="42"/>
      <c r="J755" s="41"/>
      <c r="K755" s="41"/>
      <c r="L755" s="43"/>
    </row>
    <row r="756" spans="2:12" outlineLevel="2">
      <c r="B756" s="40">
        <f t="shared" ref="B756:B819" si="25">ROW(A293)</f>
        <v>293</v>
      </c>
      <c r="C756" s="41" t="s">
        <v>9</v>
      </c>
      <c r="D756" s="41"/>
      <c r="E756" s="41"/>
      <c r="F756" s="41"/>
      <c r="G756" s="41"/>
      <c r="H756" s="41"/>
      <c r="I756" s="42"/>
      <c r="J756" s="41"/>
      <c r="K756" s="41"/>
      <c r="L756" s="43"/>
    </row>
    <row r="757" spans="2:12" outlineLevel="2">
      <c r="B757" s="40">
        <f t="shared" si="25"/>
        <v>294</v>
      </c>
      <c r="C757" s="41" t="s">
        <v>9</v>
      </c>
      <c r="D757" s="41"/>
      <c r="E757" s="41"/>
      <c r="F757" s="41"/>
      <c r="G757" s="41"/>
      <c r="H757" s="41"/>
      <c r="I757" s="42"/>
      <c r="J757" s="41"/>
      <c r="K757" s="41"/>
      <c r="L757" s="43"/>
    </row>
    <row r="758" spans="2:12" outlineLevel="2">
      <c r="B758" s="40">
        <f t="shared" si="25"/>
        <v>295</v>
      </c>
      <c r="C758" s="41" t="s">
        <v>9</v>
      </c>
      <c r="D758" s="41"/>
      <c r="E758" s="41"/>
      <c r="F758" s="41"/>
      <c r="G758" s="41"/>
      <c r="H758" s="41"/>
      <c r="I758" s="42"/>
      <c r="J758" s="41"/>
      <c r="K758" s="41"/>
      <c r="L758" s="43"/>
    </row>
    <row r="759" spans="2:12" outlineLevel="2">
      <c r="B759" s="40">
        <f t="shared" si="25"/>
        <v>296</v>
      </c>
      <c r="C759" s="41" t="s">
        <v>9</v>
      </c>
      <c r="D759" s="41"/>
      <c r="E759" s="41"/>
      <c r="F759" s="41"/>
      <c r="G759" s="41"/>
      <c r="H759" s="41"/>
      <c r="I759" s="42"/>
      <c r="J759" s="41"/>
      <c r="K759" s="41"/>
      <c r="L759" s="43"/>
    </row>
    <row r="760" spans="2:12" outlineLevel="2">
      <c r="B760" s="40">
        <f t="shared" si="25"/>
        <v>297</v>
      </c>
      <c r="C760" s="41" t="s">
        <v>9</v>
      </c>
      <c r="D760" s="41"/>
      <c r="E760" s="41"/>
      <c r="F760" s="41"/>
      <c r="G760" s="41"/>
      <c r="H760" s="41"/>
      <c r="I760" s="42"/>
      <c r="J760" s="41"/>
      <c r="K760" s="41"/>
      <c r="L760" s="43"/>
    </row>
    <row r="761" spans="2:12" outlineLevel="2">
      <c r="B761" s="40">
        <f t="shared" si="25"/>
        <v>298</v>
      </c>
      <c r="C761" s="41" t="s">
        <v>9</v>
      </c>
      <c r="D761" s="41"/>
      <c r="E761" s="41"/>
      <c r="F761" s="41"/>
      <c r="G761" s="41"/>
      <c r="H761" s="41"/>
      <c r="I761" s="42"/>
      <c r="J761" s="41"/>
      <c r="K761" s="41"/>
      <c r="L761" s="43"/>
    </row>
    <row r="762" spans="2:12" outlineLevel="2">
      <c r="B762" s="40">
        <f t="shared" si="25"/>
        <v>299</v>
      </c>
      <c r="C762" s="41" t="s">
        <v>9</v>
      </c>
      <c r="D762" s="41"/>
      <c r="E762" s="41"/>
      <c r="F762" s="41"/>
      <c r="G762" s="41"/>
      <c r="H762" s="41"/>
      <c r="I762" s="42"/>
      <c r="J762" s="41"/>
      <c r="K762" s="41"/>
      <c r="L762" s="43"/>
    </row>
    <row r="763" spans="2:12" outlineLevel="2">
      <c r="B763" s="40">
        <f t="shared" si="25"/>
        <v>300</v>
      </c>
      <c r="C763" s="41" t="s">
        <v>9</v>
      </c>
      <c r="D763" s="41"/>
      <c r="E763" s="41"/>
      <c r="F763" s="41"/>
      <c r="G763" s="41"/>
      <c r="H763" s="41"/>
      <c r="I763" s="42"/>
      <c r="J763" s="41"/>
      <c r="K763" s="41"/>
      <c r="L763" s="43"/>
    </row>
    <row r="764" spans="2:12" outlineLevel="2">
      <c r="B764" s="40">
        <f t="shared" si="25"/>
        <v>301</v>
      </c>
      <c r="C764" s="41" t="s">
        <v>9</v>
      </c>
      <c r="D764" s="41"/>
      <c r="E764" s="41"/>
      <c r="F764" s="41"/>
      <c r="G764" s="41"/>
      <c r="H764" s="41"/>
      <c r="I764" s="42"/>
      <c r="J764" s="41"/>
      <c r="K764" s="41"/>
      <c r="L764" s="43"/>
    </row>
    <row r="765" spans="2:12" outlineLevel="2">
      <c r="B765" s="40">
        <f t="shared" si="25"/>
        <v>302</v>
      </c>
      <c r="C765" s="41" t="s">
        <v>9</v>
      </c>
      <c r="D765" s="41"/>
      <c r="E765" s="41"/>
      <c r="F765" s="41"/>
      <c r="G765" s="41"/>
      <c r="H765" s="41"/>
      <c r="I765" s="42"/>
      <c r="J765" s="41"/>
      <c r="K765" s="41"/>
      <c r="L765" s="43"/>
    </row>
    <row r="766" spans="2:12" outlineLevel="2">
      <c r="B766" s="40">
        <f t="shared" si="25"/>
        <v>303</v>
      </c>
      <c r="C766" s="41" t="s">
        <v>9</v>
      </c>
      <c r="D766" s="41"/>
      <c r="E766" s="41"/>
      <c r="F766" s="41"/>
      <c r="G766" s="41"/>
      <c r="H766" s="41"/>
      <c r="I766" s="42"/>
      <c r="J766" s="41"/>
      <c r="K766" s="41"/>
      <c r="L766" s="43"/>
    </row>
    <row r="767" spans="2:12" outlineLevel="2">
      <c r="B767" s="40">
        <f t="shared" si="25"/>
        <v>304</v>
      </c>
      <c r="C767" s="41" t="s">
        <v>9</v>
      </c>
      <c r="D767" s="41"/>
      <c r="E767" s="41"/>
      <c r="F767" s="41"/>
      <c r="G767" s="41"/>
      <c r="H767" s="41"/>
      <c r="I767" s="42"/>
      <c r="J767" s="41"/>
      <c r="K767" s="41"/>
      <c r="L767" s="43"/>
    </row>
    <row r="768" spans="2:12" outlineLevel="2">
      <c r="B768" s="40">
        <f t="shared" si="25"/>
        <v>305</v>
      </c>
      <c r="C768" s="41" t="s">
        <v>9</v>
      </c>
      <c r="D768" s="41"/>
      <c r="E768" s="41"/>
      <c r="F768" s="41"/>
      <c r="G768" s="41"/>
      <c r="H768" s="41"/>
      <c r="I768" s="42"/>
      <c r="J768" s="41"/>
      <c r="K768" s="41"/>
      <c r="L768" s="43"/>
    </row>
    <row r="769" spans="2:12" outlineLevel="2">
      <c r="B769" s="40">
        <f t="shared" si="25"/>
        <v>306</v>
      </c>
      <c r="C769" s="41" t="s">
        <v>9</v>
      </c>
      <c r="D769" s="41"/>
      <c r="E769" s="41"/>
      <c r="F769" s="41"/>
      <c r="G769" s="41"/>
      <c r="H769" s="41"/>
      <c r="I769" s="42"/>
      <c r="J769" s="41"/>
      <c r="K769" s="41"/>
      <c r="L769" s="43"/>
    </row>
    <row r="770" spans="2:12" outlineLevel="2">
      <c r="B770" s="40">
        <f t="shared" si="25"/>
        <v>307</v>
      </c>
      <c r="C770" s="41" t="s">
        <v>9</v>
      </c>
      <c r="D770" s="41"/>
      <c r="E770" s="41"/>
      <c r="F770" s="41"/>
      <c r="G770" s="41"/>
      <c r="H770" s="41"/>
      <c r="I770" s="42"/>
      <c r="J770" s="41"/>
      <c r="K770" s="41"/>
      <c r="L770" s="43"/>
    </row>
    <row r="771" spans="2:12" outlineLevel="2">
      <c r="B771" s="40">
        <f t="shared" si="25"/>
        <v>308</v>
      </c>
      <c r="C771" s="41" t="s">
        <v>9</v>
      </c>
      <c r="D771" s="41"/>
      <c r="E771" s="41"/>
      <c r="F771" s="41"/>
      <c r="G771" s="41"/>
      <c r="H771" s="41"/>
      <c r="I771" s="42"/>
      <c r="J771" s="41"/>
      <c r="K771" s="41"/>
      <c r="L771" s="43"/>
    </row>
    <row r="772" spans="2:12" outlineLevel="2">
      <c r="B772" s="40">
        <f t="shared" si="25"/>
        <v>309</v>
      </c>
      <c r="C772" s="41" t="s">
        <v>9</v>
      </c>
      <c r="D772" s="41"/>
      <c r="E772" s="41"/>
      <c r="F772" s="41"/>
      <c r="G772" s="41"/>
      <c r="H772" s="41"/>
      <c r="I772" s="42"/>
      <c r="J772" s="41"/>
      <c r="K772" s="41"/>
      <c r="L772" s="43"/>
    </row>
    <row r="773" spans="2:12" outlineLevel="2">
      <c r="B773" s="40">
        <f t="shared" si="25"/>
        <v>310</v>
      </c>
      <c r="C773" s="41" t="s">
        <v>9</v>
      </c>
      <c r="D773" s="41"/>
      <c r="E773" s="41"/>
      <c r="F773" s="41"/>
      <c r="G773" s="41"/>
      <c r="H773" s="41"/>
      <c r="I773" s="42"/>
      <c r="J773" s="41"/>
      <c r="K773" s="41"/>
      <c r="L773" s="43"/>
    </row>
    <row r="774" spans="2:12" outlineLevel="2">
      <c r="B774" s="40">
        <f t="shared" si="25"/>
        <v>311</v>
      </c>
      <c r="C774" s="41" t="s">
        <v>9</v>
      </c>
      <c r="D774" s="41"/>
      <c r="E774" s="41"/>
      <c r="F774" s="41"/>
      <c r="G774" s="41"/>
      <c r="H774" s="41"/>
      <c r="I774" s="42"/>
      <c r="J774" s="41"/>
      <c r="K774" s="41"/>
      <c r="L774" s="43"/>
    </row>
    <row r="775" spans="2:12" outlineLevel="2">
      <c r="B775" s="40">
        <f t="shared" si="25"/>
        <v>312</v>
      </c>
      <c r="C775" s="41" t="s">
        <v>9</v>
      </c>
      <c r="D775" s="41"/>
      <c r="E775" s="41"/>
      <c r="F775" s="41"/>
      <c r="G775" s="41"/>
      <c r="H775" s="41"/>
      <c r="I775" s="42"/>
      <c r="J775" s="41"/>
      <c r="K775" s="41"/>
      <c r="L775" s="43"/>
    </row>
    <row r="776" spans="2:12" outlineLevel="2">
      <c r="B776" s="40">
        <f t="shared" si="25"/>
        <v>313</v>
      </c>
      <c r="C776" s="41" t="s">
        <v>9</v>
      </c>
      <c r="D776" s="41"/>
      <c r="E776" s="41"/>
      <c r="F776" s="41"/>
      <c r="G776" s="41"/>
      <c r="H776" s="41"/>
      <c r="I776" s="42"/>
      <c r="J776" s="41"/>
      <c r="K776" s="41"/>
      <c r="L776" s="43"/>
    </row>
    <row r="777" spans="2:12" outlineLevel="2">
      <c r="B777" s="40">
        <f t="shared" si="25"/>
        <v>314</v>
      </c>
      <c r="C777" s="41" t="s">
        <v>9</v>
      </c>
      <c r="D777" s="41"/>
      <c r="E777" s="41"/>
      <c r="F777" s="41"/>
      <c r="G777" s="41"/>
      <c r="H777" s="41"/>
      <c r="I777" s="42"/>
      <c r="J777" s="41"/>
      <c r="K777" s="41"/>
      <c r="L777" s="43"/>
    </row>
    <row r="778" spans="2:12" outlineLevel="2">
      <c r="B778" s="40">
        <f t="shared" si="25"/>
        <v>315</v>
      </c>
      <c r="C778" s="41" t="s">
        <v>9</v>
      </c>
      <c r="D778" s="41"/>
      <c r="E778" s="41"/>
      <c r="F778" s="41"/>
      <c r="G778" s="41"/>
      <c r="H778" s="41"/>
      <c r="I778" s="42"/>
      <c r="J778" s="41"/>
      <c r="K778" s="41"/>
      <c r="L778" s="43"/>
    </row>
    <row r="779" spans="2:12" outlineLevel="2">
      <c r="B779" s="40">
        <f t="shared" si="25"/>
        <v>316</v>
      </c>
      <c r="C779" s="41" t="s">
        <v>9</v>
      </c>
      <c r="D779" s="41"/>
      <c r="E779" s="41"/>
      <c r="F779" s="41"/>
      <c r="G779" s="41"/>
      <c r="H779" s="41"/>
      <c r="I779" s="42"/>
      <c r="J779" s="41"/>
      <c r="K779" s="41"/>
      <c r="L779" s="43"/>
    </row>
    <row r="780" spans="2:12" outlineLevel="2">
      <c r="B780" s="40">
        <f t="shared" si="25"/>
        <v>317</v>
      </c>
      <c r="C780" s="41" t="s">
        <v>9</v>
      </c>
      <c r="D780" s="41"/>
      <c r="E780" s="41"/>
      <c r="F780" s="41"/>
      <c r="G780" s="41"/>
      <c r="H780" s="41"/>
      <c r="I780" s="42"/>
      <c r="J780" s="41"/>
      <c r="K780" s="41"/>
      <c r="L780" s="43"/>
    </row>
    <row r="781" spans="2:12" outlineLevel="2">
      <c r="B781" s="40">
        <f t="shared" si="25"/>
        <v>318</v>
      </c>
      <c r="C781" s="41" t="s">
        <v>9</v>
      </c>
      <c r="D781" s="41"/>
      <c r="E781" s="41"/>
      <c r="F781" s="41"/>
      <c r="G781" s="41"/>
      <c r="H781" s="41"/>
      <c r="I781" s="42"/>
      <c r="J781" s="41"/>
      <c r="K781" s="41"/>
      <c r="L781" s="43"/>
    </row>
    <row r="782" spans="2:12" outlineLevel="2">
      <c r="B782" s="40">
        <f t="shared" si="25"/>
        <v>319</v>
      </c>
      <c r="C782" s="41" t="s">
        <v>9</v>
      </c>
      <c r="D782" s="41"/>
      <c r="E782" s="41"/>
      <c r="F782" s="41"/>
      <c r="G782" s="41"/>
      <c r="H782" s="41"/>
      <c r="I782" s="42"/>
      <c r="J782" s="41"/>
      <c r="K782" s="41"/>
      <c r="L782" s="43"/>
    </row>
    <row r="783" spans="2:12" outlineLevel="2">
      <c r="B783" s="40">
        <f t="shared" si="25"/>
        <v>320</v>
      </c>
      <c r="C783" s="41" t="s">
        <v>9</v>
      </c>
      <c r="D783" s="41"/>
      <c r="E783" s="41"/>
      <c r="F783" s="41"/>
      <c r="G783" s="41"/>
      <c r="H783" s="41"/>
      <c r="I783" s="42"/>
      <c r="J783" s="41"/>
      <c r="K783" s="41"/>
      <c r="L783" s="43"/>
    </row>
    <row r="784" spans="2:12" outlineLevel="2">
      <c r="B784" s="40">
        <f t="shared" si="25"/>
        <v>321</v>
      </c>
      <c r="C784" s="41" t="s">
        <v>9</v>
      </c>
      <c r="D784" s="41"/>
      <c r="E784" s="41"/>
      <c r="F784" s="41"/>
      <c r="G784" s="41"/>
      <c r="H784" s="41"/>
      <c r="I784" s="42"/>
      <c r="J784" s="41"/>
      <c r="K784" s="41"/>
      <c r="L784" s="43"/>
    </row>
    <row r="785" spans="2:12" outlineLevel="2">
      <c r="B785" s="40">
        <f t="shared" si="25"/>
        <v>322</v>
      </c>
      <c r="C785" s="41" t="s">
        <v>9</v>
      </c>
      <c r="D785" s="41"/>
      <c r="E785" s="41"/>
      <c r="F785" s="41"/>
      <c r="G785" s="41"/>
      <c r="H785" s="41"/>
      <c r="I785" s="42"/>
      <c r="J785" s="41"/>
      <c r="K785" s="41"/>
      <c r="L785" s="43"/>
    </row>
    <row r="786" spans="2:12" outlineLevel="2">
      <c r="B786" s="40">
        <f t="shared" si="25"/>
        <v>323</v>
      </c>
      <c r="C786" s="41" t="s">
        <v>9</v>
      </c>
      <c r="D786" s="41"/>
      <c r="E786" s="41"/>
      <c r="F786" s="41"/>
      <c r="G786" s="41"/>
      <c r="H786" s="41"/>
      <c r="I786" s="42"/>
      <c r="J786" s="41"/>
      <c r="K786" s="41"/>
      <c r="L786" s="43"/>
    </row>
    <row r="787" spans="2:12" outlineLevel="2">
      <c r="B787" s="40">
        <f t="shared" si="25"/>
        <v>324</v>
      </c>
      <c r="C787" s="41" t="s">
        <v>9</v>
      </c>
      <c r="D787" s="41"/>
      <c r="E787" s="41"/>
      <c r="F787" s="41"/>
      <c r="G787" s="41"/>
      <c r="H787" s="41"/>
      <c r="I787" s="42"/>
      <c r="J787" s="41"/>
      <c r="K787" s="41"/>
      <c r="L787" s="43"/>
    </row>
    <row r="788" spans="2:12" outlineLevel="2">
      <c r="B788" s="40">
        <f t="shared" si="25"/>
        <v>325</v>
      </c>
      <c r="C788" s="41" t="s">
        <v>9</v>
      </c>
      <c r="D788" s="41"/>
      <c r="E788" s="41"/>
      <c r="F788" s="41"/>
      <c r="G788" s="41"/>
      <c r="H788" s="41"/>
      <c r="I788" s="42"/>
      <c r="J788" s="41"/>
      <c r="K788" s="41"/>
      <c r="L788" s="43"/>
    </row>
    <row r="789" spans="2:12" outlineLevel="2">
      <c r="B789" s="40">
        <f t="shared" si="25"/>
        <v>326</v>
      </c>
      <c r="C789" s="41" t="s">
        <v>9</v>
      </c>
      <c r="D789" s="41"/>
      <c r="E789" s="41"/>
      <c r="F789" s="41"/>
      <c r="G789" s="41"/>
      <c r="H789" s="41"/>
      <c r="I789" s="42"/>
      <c r="J789" s="41"/>
      <c r="K789" s="41"/>
      <c r="L789" s="43"/>
    </row>
    <row r="790" spans="2:12" outlineLevel="2">
      <c r="B790" s="40">
        <f t="shared" si="25"/>
        <v>327</v>
      </c>
      <c r="C790" s="41" t="s">
        <v>9</v>
      </c>
      <c r="D790" s="41"/>
      <c r="E790" s="41"/>
      <c r="F790" s="41"/>
      <c r="G790" s="41"/>
      <c r="H790" s="41"/>
      <c r="I790" s="42"/>
      <c r="J790" s="41"/>
      <c r="K790" s="41"/>
      <c r="L790" s="43"/>
    </row>
    <row r="791" spans="2:12" outlineLevel="2">
      <c r="B791" s="40">
        <f t="shared" si="25"/>
        <v>328</v>
      </c>
      <c r="C791" s="41" t="s">
        <v>9</v>
      </c>
      <c r="D791" s="41"/>
      <c r="E791" s="41"/>
      <c r="F791" s="41"/>
      <c r="G791" s="41"/>
      <c r="H791" s="41"/>
      <c r="I791" s="42"/>
      <c r="J791" s="41"/>
      <c r="K791" s="41"/>
      <c r="L791" s="43"/>
    </row>
    <row r="792" spans="2:12" outlineLevel="2">
      <c r="B792" s="40">
        <f t="shared" si="25"/>
        <v>329</v>
      </c>
      <c r="C792" s="41" t="s">
        <v>9</v>
      </c>
      <c r="D792" s="41"/>
      <c r="E792" s="41"/>
      <c r="F792" s="41"/>
      <c r="G792" s="41"/>
      <c r="H792" s="41"/>
      <c r="I792" s="42"/>
      <c r="J792" s="41"/>
      <c r="K792" s="41"/>
      <c r="L792" s="43"/>
    </row>
    <row r="793" spans="2:12" outlineLevel="2">
      <c r="B793" s="40">
        <f t="shared" si="25"/>
        <v>330</v>
      </c>
      <c r="C793" s="41" t="s">
        <v>9</v>
      </c>
      <c r="D793" s="41"/>
      <c r="E793" s="41"/>
      <c r="F793" s="41"/>
      <c r="G793" s="41"/>
      <c r="H793" s="41"/>
      <c r="I793" s="42"/>
      <c r="J793" s="41"/>
      <c r="K793" s="41"/>
      <c r="L793" s="43"/>
    </row>
    <row r="794" spans="2:12" outlineLevel="2">
      <c r="B794" s="40">
        <f t="shared" si="25"/>
        <v>331</v>
      </c>
      <c r="C794" s="41" t="s">
        <v>9</v>
      </c>
      <c r="D794" s="41"/>
      <c r="E794" s="41"/>
      <c r="F794" s="41"/>
      <c r="G794" s="41"/>
      <c r="H794" s="41"/>
      <c r="I794" s="42"/>
      <c r="J794" s="41"/>
      <c r="K794" s="41"/>
      <c r="L794" s="43"/>
    </row>
    <row r="795" spans="2:12" outlineLevel="2">
      <c r="B795" s="40">
        <f t="shared" si="25"/>
        <v>332</v>
      </c>
      <c r="C795" s="41" t="s">
        <v>9</v>
      </c>
      <c r="D795" s="41"/>
      <c r="E795" s="41"/>
      <c r="F795" s="41"/>
      <c r="G795" s="41"/>
      <c r="H795" s="41"/>
      <c r="I795" s="42"/>
      <c r="J795" s="41"/>
      <c r="K795" s="41"/>
      <c r="L795" s="43"/>
    </row>
    <row r="796" spans="2:12" outlineLevel="2">
      <c r="B796" s="40">
        <f t="shared" si="25"/>
        <v>333</v>
      </c>
      <c r="C796" s="41" t="s">
        <v>9</v>
      </c>
      <c r="D796" s="41"/>
      <c r="E796" s="41"/>
      <c r="F796" s="41"/>
      <c r="G796" s="41"/>
      <c r="H796" s="41"/>
      <c r="I796" s="42"/>
      <c r="J796" s="41"/>
      <c r="K796" s="41"/>
      <c r="L796" s="43"/>
    </row>
    <row r="797" spans="2:12" outlineLevel="2">
      <c r="B797" s="40">
        <f t="shared" si="25"/>
        <v>334</v>
      </c>
      <c r="C797" s="41" t="s">
        <v>9</v>
      </c>
      <c r="D797" s="41"/>
      <c r="E797" s="41"/>
      <c r="F797" s="41"/>
      <c r="G797" s="41"/>
      <c r="H797" s="41"/>
      <c r="I797" s="42"/>
      <c r="J797" s="41"/>
      <c r="K797" s="41"/>
      <c r="L797" s="43"/>
    </row>
    <row r="798" spans="2:12" outlineLevel="2">
      <c r="B798" s="40">
        <f t="shared" si="25"/>
        <v>335</v>
      </c>
      <c r="C798" s="41" t="s">
        <v>9</v>
      </c>
      <c r="D798" s="41"/>
      <c r="E798" s="41"/>
      <c r="F798" s="41"/>
      <c r="G798" s="41"/>
      <c r="H798" s="41"/>
      <c r="I798" s="42"/>
      <c r="J798" s="41"/>
      <c r="K798" s="41"/>
      <c r="L798" s="43"/>
    </row>
    <row r="799" spans="2:12" outlineLevel="2">
      <c r="B799" s="40">
        <f t="shared" si="25"/>
        <v>336</v>
      </c>
      <c r="C799" s="41" t="s">
        <v>9</v>
      </c>
      <c r="D799" s="41"/>
      <c r="E799" s="41"/>
      <c r="F799" s="41"/>
      <c r="G799" s="41"/>
      <c r="H799" s="41"/>
      <c r="I799" s="42"/>
      <c r="J799" s="41"/>
      <c r="K799" s="41"/>
      <c r="L799" s="43"/>
    </row>
    <row r="800" spans="2:12" outlineLevel="2">
      <c r="B800" s="40">
        <f t="shared" si="25"/>
        <v>337</v>
      </c>
      <c r="C800" s="41" t="s">
        <v>9</v>
      </c>
      <c r="D800" s="41"/>
      <c r="E800" s="41"/>
      <c r="F800" s="41"/>
      <c r="G800" s="41"/>
      <c r="H800" s="41"/>
      <c r="I800" s="42"/>
      <c r="J800" s="41"/>
      <c r="K800" s="41"/>
      <c r="L800" s="43"/>
    </row>
    <row r="801" spans="2:12" outlineLevel="2">
      <c r="B801" s="40">
        <f t="shared" si="25"/>
        <v>338</v>
      </c>
      <c r="C801" s="41" t="s">
        <v>9</v>
      </c>
      <c r="D801" s="41"/>
      <c r="E801" s="41"/>
      <c r="F801" s="41"/>
      <c r="G801" s="41"/>
      <c r="H801" s="41"/>
      <c r="I801" s="42"/>
      <c r="J801" s="41"/>
      <c r="K801" s="41"/>
      <c r="L801" s="43"/>
    </row>
    <row r="802" spans="2:12" outlineLevel="2">
      <c r="B802" s="40">
        <f t="shared" si="25"/>
        <v>339</v>
      </c>
      <c r="C802" s="41" t="s">
        <v>9</v>
      </c>
      <c r="D802" s="41"/>
      <c r="E802" s="41"/>
      <c r="F802" s="41"/>
      <c r="G802" s="41"/>
      <c r="H802" s="41"/>
      <c r="I802" s="42"/>
      <c r="J802" s="41"/>
      <c r="K802" s="41"/>
      <c r="L802" s="43"/>
    </row>
    <row r="803" spans="2:12" outlineLevel="2">
      <c r="B803" s="40">
        <f t="shared" si="25"/>
        <v>340</v>
      </c>
      <c r="C803" s="41" t="s">
        <v>9</v>
      </c>
      <c r="D803" s="41"/>
      <c r="E803" s="41"/>
      <c r="F803" s="41"/>
      <c r="G803" s="41"/>
      <c r="H803" s="41"/>
      <c r="I803" s="42"/>
      <c r="J803" s="41"/>
      <c r="K803" s="41"/>
      <c r="L803" s="43"/>
    </row>
    <row r="804" spans="2:12" outlineLevel="2">
      <c r="B804" s="40">
        <f t="shared" si="25"/>
        <v>341</v>
      </c>
      <c r="C804" s="41" t="s">
        <v>9</v>
      </c>
      <c r="D804" s="41"/>
      <c r="E804" s="41"/>
      <c r="F804" s="41"/>
      <c r="G804" s="41"/>
      <c r="H804" s="41"/>
      <c r="I804" s="42"/>
      <c r="J804" s="41"/>
      <c r="K804" s="41"/>
      <c r="L804" s="43"/>
    </row>
    <row r="805" spans="2:12" outlineLevel="2">
      <c r="B805" s="40">
        <f t="shared" si="25"/>
        <v>342</v>
      </c>
      <c r="C805" s="41" t="s">
        <v>9</v>
      </c>
      <c r="D805" s="41"/>
      <c r="E805" s="41"/>
      <c r="F805" s="41"/>
      <c r="G805" s="41"/>
      <c r="H805" s="41"/>
      <c r="I805" s="42"/>
      <c r="J805" s="41"/>
      <c r="K805" s="41"/>
      <c r="L805" s="43"/>
    </row>
    <row r="806" spans="2:12" outlineLevel="2">
      <c r="B806" s="40">
        <f t="shared" si="25"/>
        <v>343</v>
      </c>
      <c r="C806" s="41" t="s">
        <v>9</v>
      </c>
      <c r="D806" s="41"/>
      <c r="E806" s="41"/>
      <c r="F806" s="41"/>
      <c r="G806" s="41"/>
      <c r="H806" s="41"/>
      <c r="I806" s="42"/>
      <c r="J806" s="41"/>
      <c r="K806" s="41"/>
      <c r="L806" s="43"/>
    </row>
    <row r="807" spans="2:12" outlineLevel="2">
      <c r="B807" s="40">
        <f t="shared" si="25"/>
        <v>344</v>
      </c>
      <c r="C807" s="41" t="s">
        <v>9</v>
      </c>
      <c r="D807" s="41"/>
      <c r="E807" s="41"/>
      <c r="F807" s="41"/>
      <c r="G807" s="41"/>
      <c r="H807" s="41"/>
      <c r="I807" s="42"/>
      <c r="J807" s="41"/>
      <c r="K807" s="41"/>
      <c r="L807" s="43"/>
    </row>
    <row r="808" spans="2:12" outlineLevel="2">
      <c r="B808" s="40">
        <f t="shared" si="25"/>
        <v>345</v>
      </c>
      <c r="C808" s="41" t="s">
        <v>9</v>
      </c>
      <c r="D808" s="41"/>
      <c r="E808" s="41"/>
      <c r="F808" s="41"/>
      <c r="G808" s="41"/>
      <c r="H808" s="41"/>
      <c r="I808" s="42"/>
      <c r="J808" s="41"/>
      <c r="K808" s="41"/>
      <c r="L808" s="43"/>
    </row>
    <row r="809" spans="2:12" outlineLevel="2">
      <c r="B809" s="40">
        <f t="shared" si="25"/>
        <v>346</v>
      </c>
      <c r="C809" s="41" t="s">
        <v>9</v>
      </c>
      <c r="D809" s="41"/>
      <c r="E809" s="41"/>
      <c r="F809" s="41"/>
      <c r="G809" s="41"/>
      <c r="H809" s="41"/>
      <c r="I809" s="42"/>
      <c r="J809" s="41"/>
      <c r="K809" s="41"/>
      <c r="L809" s="43"/>
    </row>
    <row r="810" spans="2:12" outlineLevel="2">
      <c r="B810" s="40">
        <f t="shared" si="25"/>
        <v>347</v>
      </c>
      <c r="C810" s="41" t="s">
        <v>9</v>
      </c>
      <c r="D810" s="41"/>
      <c r="E810" s="41"/>
      <c r="F810" s="41"/>
      <c r="G810" s="41"/>
      <c r="H810" s="41"/>
      <c r="I810" s="42"/>
      <c r="J810" s="41"/>
      <c r="K810" s="41"/>
      <c r="L810" s="43"/>
    </row>
    <row r="811" spans="2:12" outlineLevel="2">
      <c r="B811" s="40">
        <f t="shared" si="25"/>
        <v>348</v>
      </c>
      <c r="C811" s="41" t="s">
        <v>9</v>
      </c>
      <c r="D811" s="41"/>
      <c r="E811" s="41"/>
      <c r="F811" s="41"/>
      <c r="G811" s="41"/>
      <c r="H811" s="41"/>
      <c r="I811" s="42"/>
      <c r="J811" s="41"/>
      <c r="K811" s="41"/>
      <c r="L811" s="43"/>
    </row>
    <row r="812" spans="2:12" outlineLevel="2">
      <c r="B812" s="40">
        <f t="shared" si="25"/>
        <v>349</v>
      </c>
      <c r="C812" s="41" t="s">
        <v>9</v>
      </c>
      <c r="D812" s="41"/>
      <c r="E812" s="41"/>
      <c r="F812" s="41"/>
      <c r="G812" s="41"/>
      <c r="H812" s="41"/>
      <c r="I812" s="42"/>
      <c r="J812" s="41"/>
      <c r="K812" s="41"/>
      <c r="L812" s="43"/>
    </row>
    <row r="813" spans="2:12" outlineLevel="2">
      <c r="B813" s="40">
        <f t="shared" si="25"/>
        <v>350</v>
      </c>
      <c r="C813" s="41" t="s">
        <v>9</v>
      </c>
      <c r="D813" s="41"/>
      <c r="E813" s="41"/>
      <c r="F813" s="41"/>
      <c r="G813" s="41"/>
      <c r="H813" s="41"/>
      <c r="I813" s="42"/>
      <c r="J813" s="41"/>
      <c r="K813" s="41"/>
      <c r="L813" s="43"/>
    </row>
    <row r="814" spans="2:12" outlineLevel="2">
      <c r="B814" s="40">
        <f t="shared" si="25"/>
        <v>351</v>
      </c>
      <c r="C814" s="41" t="s">
        <v>9</v>
      </c>
      <c r="D814" s="41"/>
      <c r="E814" s="41"/>
      <c r="F814" s="41"/>
      <c r="G814" s="41"/>
      <c r="H814" s="41"/>
      <c r="I814" s="42"/>
      <c r="J814" s="41"/>
      <c r="K814" s="41"/>
      <c r="L814" s="43"/>
    </row>
    <row r="815" spans="2:12" outlineLevel="2">
      <c r="B815" s="40">
        <f t="shared" si="25"/>
        <v>352</v>
      </c>
      <c r="C815" s="41" t="s">
        <v>9</v>
      </c>
      <c r="D815" s="41"/>
      <c r="E815" s="41"/>
      <c r="F815" s="41"/>
      <c r="G815" s="41"/>
      <c r="H815" s="41"/>
      <c r="I815" s="42"/>
      <c r="J815" s="41"/>
      <c r="K815" s="41"/>
      <c r="L815" s="43"/>
    </row>
    <row r="816" spans="2:12" outlineLevel="2">
      <c r="B816" s="40">
        <f t="shared" si="25"/>
        <v>353</v>
      </c>
      <c r="C816" s="41" t="s">
        <v>9</v>
      </c>
      <c r="D816" s="41"/>
      <c r="E816" s="41"/>
      <c r="F816" s="41"/>
      <c r="G816" s="41"/>
      <c r="H816" s="41"/>
      <c r="I816" s="42"/>
      <c r="J816" s="41"/>
      <c r="K816" s="41"/>
      <c r="L816" s="43"/>
    </row>
    <row r="817" spans="2:12" outlineLevel="2">
      <c r="B817" s="40">
        <f t="shared" si="25"/>
        <v>354</v>
      </c>
      <c r="C817" s="41" t="s">
        <v>9</v>
      </c>
      <c r="D817" s="41"/>
      <c r="E817" s="41"/>
      <c r="F817" s="41"/>
      <c r="G817" s="41"/>
      <c r="H817" s="41"/>
      <c r="I817" s="42"/>
      <c r="J817" s="41"/>
      <c r="K817" s="41"/>
      <c r="L817" s="43"/>
    </row>
    <row r="818" spans="2:12" outlineLevel="2">
      <c r="B818" s="40">
        <f t="shared" si="25"/>
        <v>355</v>
      </c>
      <c r="C818" s="41" t="s">
        <v>9</v>
      </c>
      <c r="D818" s="41"/>
      <c r="E818" s="41"/>
      <c r="F818" s="41"/>
      <c r="G818" s="41"/>
      <c r="H818" s="41"/>
      <c r="I818" s="42"/>
      <c r="J818" s="41"/>
      <c r="K818" s="41"/>
      <c r="L818" s="43"/>
    </row>
    <row r="819" spans="2:12" outlineLevel="2">
      <c r="B819" s="40">
        <f t="shared" si="25"/>
        <v>356</v>
      </c>
      <c r="C819" s="41" t="s">
        <v>9</v>
      </c>
      <c r="D819" s="41"/>
      <c r="E819" s="41"/>
      <c r="F819" s="41"/>
      <c r="G819" s="41"/>
      <c r="H819" s="41"/>
      <c r="I819" s="42"/>
      <c r="J819" s="41"/>
      <c r="K819" s="41"/>
      <c r="L819" s="43"/>
    </row>
    <row r="820" spans="2:12" outlineLevel="2">
      <c r="B820" s="40">
        <f t="shared" ref="B820:B883" si="26">ROW(A357)</f>
        <v>357</v>
      </c>
      <c r="C820" s="41" t="s">
        <v>9</v>
      </c>
      <c r="D820" s="41"/>
      <c r="E820" s="41"/>
      <c r="F820" s="41"/>
      <c r="G820" s="41"/>
      <c r="H820" s="41"/>
      <c r="I820" s="42"/>
      <c r="J820" s="41"/>
      <c r="K820" s="41"/>
      <c r="L820" s="43"/>
    </row>
    <row r="821" spans="2:12" outlineLevel="2">
      <c r="B821" s="40">
        <f t="shared" si="26"/>
        <v>358</v>
      </c>
      <c r="C821" s="41" t="s">
        <v>9</v>
      </c>
      <c r="D821" s="41"/>
      <c r="E821" s="41"/>
      <c r="F821" s="41"/>
      <c r="G821" s="41"/>
      <c r="H821" s="41"/>
      <c r="I821" s="42"/>
      <c r="J821" s="41"/>
      <c r="K821" s="41"/>
      <c r="L821" s="43"/>
    </row>
    <row r="822" spans="2:12" outlineLevel="2">
      <c r="B822" s="40">
        <f t="shared" si="26"/>
        <v>359</v>
      </c>
      <c r="C822" s="41" t="s">
        <v>9</v>
      </c>
      <c r="D822" s="41"/>
      <c r="E822" s="41"/>
      <c r="F822" s="41"/>
      <c r="G822" s="41"/>
      <c r="H822" s="41"/>
      <c r="I822" s="42"/>
      <c r="J822" s="41"/>
      <c r="K822" s="41"/>
      <c r="L822" s="43"/>
    </row>
    <row r="823" spans="2:12" outlineLevel="2">
      <c r="B823" s="40">
        <f t="shared" si="26"/>
        <v>360</v>
      </c>
      <c r="C823" s="41" t="s">
        <v>9</v>
      </c>
      <c r="D823" s="41"/>
      <c r="E823" s="41"/>
      <c r="F823" s="41"/>
      <c r="G823" s="41"/>
      <c r="H823" s="41"/>
      <c r="I823" s="42"/>
      <c r="J823" s="41"/>
      <c r="K823" s="41"/>
      <c r="L823" s="43"/>
    </row>
    <row r="824" spans="2:12" outlineLevel="2">
      <c r="B824" s="40">
        <f t="shared" si="26"/>
        <v>361</v>
      </c>
      <c r="C824" s="41" t="s">
        <v>9</v>
      </c>
      <c r="D824" s="41"/>
      <c r="E824" s="41"/>
      <c r="F824" s="41"/>
      <c r="G824" s="41"/>
      <c r="H824" s="41"/>
      <c r="I824" s="42"/>
      <c r="J824" s="41"/>
      <c r="K824" s="41"/>
      <c r="L824" s="43"/>
    </row>
    <row r="825" spans="2:12" outlineLevel="2">
      <c r="B825" s="40">
        <f t="shared" si="26"/>
        <v>362</v>
      </c>
      <c r="C825" s="41" t="s">
        <v>9</v>
      </c>
      <c r="D825" s="41"/>
      <c r="E825" s="41"/>
      <c r="F825" s="41"/>
      <c r="G825" s="41"/>
      <c r="H825" s="41"/>
      <c r="I825" s="42"/>
      <c r="J825" s="41"/>
      <c r="K825" s="41"/>
      <c r="L825" s="43"/>
    </row>
    <row r="826" spans="2:12" outlineLevel="2">
      <c r="B826" s="40">
        <f t="shared" si="26"/>
        <v>363</v>
      </c>
      <c r="C826" s="41" t="s">
        <v>9</v>
      </c>
      <c r="D826" s="41"/>
      <c r="E826" s="41"/>
      <c r="F826" s="41"/>
      <c r="G826" s="41"/>
      <c r="H826" s="41"/>
      <c r="I826" s="42"/>
      <c r="J826" s="41"/>
      <c r="K826" s="41"/>
      <c r="L826" s="43"/>
    </row>
    <row r="827" spans="2:12" outlineLevel="2">
      <c r="B827" s="40">
        <f t="shared" si="26"/>
        <v>364</v>
      </c>
      <c r="C827" s="41" t="s">
        <v>9</v>
      </c>
      <c r="D827" s="41"/>
      <c r="E827" s="41"/>
      <c r="F827" s="41"/>
      <c r="G827" s="41"/>
      <c r="H827" s="41"/>
      <c r="I827" s="42"/>
      <c r="J827" s="41"/>
      <c r="K827" s="41"/>
      <c r="L827" s="43"/>
    </row>
    <row r="828" spans="2:12" outlineLevel="2">
      <c r="B828" s="40">
        <f t="shared" si="26"/>
        <v>365</v>
      </c>
      <c r="C828" s="41" t="s">
        <v>9</v>
      </c>
      <c r="D828" s="41"/>
      <c r="E828" s="41"/>
      <c r="F828" s="41"/>
      <c r="G828" s="41"/>
      <c r="H828" s="41"/>
      <c r="I828" s="42"/>
      <c r="J828" s="41"/>
      <c r="K828" s="41"/>
      <c r="L828" s="43"/>
    </row>
    <row r="829" spans="2:12" outlineLevel="2">
      <c r="B829" s="40">
        <f t="shared" si="26"/>
        <v>366</v>
      </c>
      <c r="C829" s="41" t="s">
        <v>9</v>
      </c>
      <c r="D829" s="41"/>
      <c r="E829" s="41"/>
      <c r="F829" s="41"/>
      <c r="G829" s="41"/>
      <c r="H829" s="41"/>
      <c r="I829" s="42"/>
      <c r="J829" s="41"/>
      <c r="K829" s="41"/>
      <c r="L829" s="43"/>
    </row>
    <row r="830" spans="2:12" outlineLevel="2">
      <c r="B830" s="40">
        <f t="shared" si="26"/>
        <v>367</v>
      </c>
      <c r="C830" s="41" t="s">
        <v>9</v>
      </c>
      <c r="D830" s="41"/>
      <c r="E830" s="41"/>
      <c r="F830" s="41"/>
      <c r="G830" s="41"/>
      <c r="H830" s="41"/>
      <c r="I830" s="42"/>
      <c r="J830" s="41"/>
      <c r="K830" s="41"/>
      <c r="L830" s="43"/>
    </row>
    <row r="831" spans="2:12" outlineLevel="2">
      <c r="B831" s="40">
        <f t="shared" si="26"/>
        <v>368</v>
      </c>
      <c r="C831" s="41" t="s">
        <v>9</v>
      </c>
      <c r="D831" s="41"/>
      <c r="E831" s="41"/>
      <c r="F831" s="41"/>
      <c r="G831" s="41"/>
      <c r="H831" s="41"/>
      <c r="I831" s="42"/>
      <c r="J831" s="41"/>
      <c r="K831" s="41"/>
      <c r="L831" s="43"/>
    </row>
    <row r="832" spans="2:12" outlineLevel="2">
      <c r="B832" s="40">
        <f t="shared" si="26"/>
        <v>369</v>
      </c>
      <c r="C832" s="41" t="s">
        <v>9</v>
      </c>
      <c r="D832" s="41"/>
      <c r="E832" s="41"/>
      <c r="F832" s="41"/>
      <c r="G832" s="41"/>
      <c r="H832" s="41"/>
      <c r="I832" s="42"/>
      <c r="J832" s="41"/>
      <c r="K832" s="41"/>
      <c r="L832" s="43"/>
    </row>
    <row r="833" spans="2:12" outlineLevel="2">
      <c r="B833" s="40">
        <f t="shared" si="26"/>
        <v>370</v>
      </c>
      <c r="C833" s="41" t="s">
        <v>9</v>
      </c>
      <c r="D833" s="41"/>
      <c r="E833" s="41"/>
      <c r="F833" s="41"/>
      <c r="G833" s="41"/>
      <c r="H833" s="41"/>
      <c r="I833" s="42"/>
      <c r="J833" s="41"/>
      <c r="K833" s="41"/>
      <c r="L833" s="43"/>
    </row>
    <row r="834" spans="2:12" outlineLevel="2">
      <c r="B834" s="40">
        <f t="shared" si="26"/>
        <v>371</v>
      </c>
      <c r="C834" s="41" t="s">
        <v>9</v>
      </c>
      <c r="D834" s="41"/>
      <c r="E834" s="41"/>
      <c r="F834" s="41"/>
      <c r="G834" s="41"/>
      <c r="H834" s="41"/>
      <c r="I834" s="42"/>
      <c r="J834" s="41"/>
      <c r="K834" s="41"/>
      <c r="L834" s="43"/>
    </row>
    <row r="835" spans="2:12" outlineLevel="2">
      <c r="B835" s="40">
        <f t="shared" si="26"/>
        <v>372</v>
      </c>
      <c r="C835" s="41" t="s">
        <v>9</v>
      </c>
      <c r="D835" s="41"/>
      <c r="E835" s="41"/>
      <c r="F835" s="41"/>
      <c r="G835" s="41"/>
      <c r="H835" s="41"/>
      <c r="I835" s="42"/>
      <c r="J835" s="41"/>
      <c r="K835" s="41"/>
      <c r="L835" s="43"/>
    </row>
    <row r="836" spans="2:12" outlineLevel="2">
      <c r="B836" s="40">
        <f t="shared" si="26"/>
        <v>373</v>
      </c>
      <c r="C836" s="41" t="s">
        <v>9</v>
      </c>
      <c r="D836" s="41"/>
      <c r="E836" s="41"/>
      <c r="F836" s="41"/>
      <c r="G836" s="41"/>
      <c r="H836" s="41"/>
      <c r="I836" s="42"/>
      <c r="J836" s="41"/>
      <c r="K836" s="41"/>
      <c r="L836" s="43"/>
    </row>
    <row r="837" spans="2:12" outlineLevel="2">
      <c r="B837" s="40">
        <f t="shared" si="26"/>
        <v>374</v>
      </c>
      <c r="C837" s="41" t="s">
        <v>9</v>
      </c>
      <c r="D837" s="41"/>
      <c r="E837" s="41"/>
      <c r="F837" s="41"/>
      <c r="G837" s="41"/>
      <c r="H837" s="41"/>
      <c r="I837" s="42"/>
      <c r="J837" s="41"/>
      <c r="K837" s="41"/>
      <c r="L837" s="43"/>
    </row>
    <row r="838" spans="2:12" outlineLevel="2">
      <c r="B838" s="40">
        <f t="shared" si="26"/>
        <v>375</v>
      </c>
      <c r="C838" s="41" t="s">
        <v>9</v>
      </c>
      <c r="D838" s="41"/>
      <c r="E838" s="41"/>
      <c r="F838" s="41"/>
      <c r="G838" s="41"/>
      <c r="H838" s="41"/>
      <c r="I838" s="42"/>
      <c r="J838" s="41"/>
      <c r="K838" s="41"/>
      <c r="L838" s="43"/>
    </row>
    <row r="839" spans="2:12" outlineLevel="2">
      <c r="B839" s="40">
        <f t="shared" si="26"/>
        <v>376</v>
      </c>
      <c r="C839" s="41" t="s">
        <v>9</v>
      </c>
      <c r="D839" s="41"/>
      <c r="E839" s="41"/>
      <c r="F839" s="41"/>
      <c r="G839" s="41"/>
      <c r="H839" s="41"/>
      <c r="I839" s="42"/>
      <c r="J839" s="41"/>
      <c r="K839" s="41"/>
      <c r="L839" s="43"/>
    </row>
    <row r="840" spans="2:12" outlineLevel="2">
      <c r="B840" s="40">
        <f t="shared" si="26"/>
        <v>377</v>
      </c>
      <c r="C840" s="41" t="s">
        <v>9</v>
      </c>
      <c r="D840" s="41"/>
      <c r="E840" s="41"/>
      <c r="F840" s="41"/>
      <c r="G840" s="41"/>
      <c r="H840" s="41"/>
      <c r="I840" s="42"/>
      <c r="J840" s="41"/>
      <c r="K840" s="41"/>
      <c r="L840" s="43"/>
    </row>
    <row r="841" spans="2:12" outlineLevel="2">
      <c r="B841" s="40">
        <f t="shared" si="26"/>
        <v>378</v>
      </c>
      <c r="C841" s="41" t="s">
        <v>9</v>
      </c>
      <c r="D841" s="41"/>
      <c r="E841" s="41"/>
      <c r="F841" s="41"/>
      <c r="G841" s="41"/>
      <c r="H841" s="41"/>
      <c r="I841" s="42"/>
      <c r="J841" s="41"/>
      <c r="K841" s="41"/>
      <c r="L841" s="43"/>
    </row>
    <row r="842" spans="2:12" outlineLevel="2">
      <c r="B842" s="40">
        <f t="shared" si="26"/>
        <v>379</v>
      </c>
      <c r="C842" s="41" t="s">
        <v>9</v>
      </c>
      <c r="D842" s="41"/>
      <c r="E842" s="41"/>
      <c r="F842" s="41"/>
      <c r="G842" s="41"/>
      <c r="H842" s="41"/>
      <c r="I842" s="42"/>
      <c r="J842" s="41"/>
      <c r="K842" s="41"/>
      <c r="L842" s="43"/>
    </row>
    <row r="843" spans="2:12" outlineLevel="2">
      <c r="B843" s="40">
        <f t="shared" si="26"/>
        <v>380</v>
      </c>
      <c r="C843" s="41" t="s">
        <v>9</v>
      </c>
      <c r="D843" s="41"/>
      <c r="E843" s="41"/>
      <c r="F843" s="41"/>
      <c r="G843" s="41"/>
      <c r="H843" s="41"/>
      <c r="I843" s="42"/>
      <c r="J843" s="41"/>
      <c r="K843" s="41"/>
      <c r="L843" s="43"/>
    </row>
    <row r="844" spans="2:12" outlineLevel="2">
      <c r="B844" s="40">
        <f t="shared" si="26"/>
        <v>381</v>
      </c>
      <c r="C844" s="41" t="s">
        <v>9</v>
      </c>
      <c r="D844" s="41"/>
      <c r="E844" s="41"/>
      <c r="F844" s="41"/>
      <c r="G844" s="41"/>
      <c r="H844" s="41"/>
      <c r="I844" s="42"/>
      <c r="J844" s="41"/>
      <c r="K844" s="41"/>
      <c r="L844" s="43"/>
    </row>
    <row r="845" spans="2:12" outlineLevel="2">
      <c r="B845" s="40">
        <f t="shared" si="26"/>
        <v>382</v>
      </c>
      <c r="C845" s="41" t="s">
        <v>9</v>
      </c>
      <c r="D845" s="41"/>
      <c r="E845" s="41"/>
      <c r="F845" s="41"/>
      <c r="G845" s="41"/>
      <c r="H845" s="41"/>
      <c r="I845" s="42"/>
      <c r="J845" s="41"/>
      <c r="K845" s="41"/>
      <c r="L845" s="43"/>
    </row>
    <row r="846" spans="2:12" outlineLevel="2">
      <c r="B846" s="40">
        <f t="shared" si="26"/>
        <v>383</v>
      </c>
      <c r="C846" s="41" t="s">
        <v>9</v>
      </c>
      <c r="D846" s="41"/>
      <c r="E846" s="41"/>
      <c r="F846" s="41"/>
      <c r="G846" s="41"/>
      <c r="H846" s="41"/>
      <c r="I846" s="42"/>
      <c r="J846" s="41"/>
      <c r="K846" s="41"/>
      <c r="L846" s="43"/>
    </row>
    <row r="847" spans="2:12" outlineLevel="2">
      <c r="B847" s="40">
        <f t="shared" si="26"/>
        <v>384</v>
      </c>
      <c r="C847" s="41" t="s">
        <v>9</v>
      </c>
      <c r="D847" s="41"/>
      <c r="E847" s="41"/>
      <c r="F847" s="41"/>
      <c r="G847" s="41"/>
      <c r="H847" s="41"/>
      <c r="I847" s="42"/>
      <c r="J847" s="41"/>
      <c r="K847" s="41"/>
      <c r="L847" s="43"/>
    </row>
    <row r="848" spans="2:12" outlineLevel="2">
      <c r="B848" s="40">
        <f t="shared" si="26"/>
        <v>385</v>
      </c>
      <c r="C848" s="41" t="s">
        <v>9</v>
      </c>
      <c r="D848" s="41"/>
      <c r="E848" s="41"/>
      <c r="F848" s="41"/>
      <c r="G848" s="41"/>
      <c r="H848" s="41"/>
      <c r="I848" s="42"/>
      <c r="J848" s="41"/>
      <c r="K848" s="41"/>
      <c r="L848" s="43"/>
    </row>
    <row r="849" spans="2:12" outlineLevel="2">
      <c r="B849" s="40">
        <f t="shared" si="26"/>
        <v>386</v>
      </c>
      <c r="C849" s="41" t="s">
        <v>9</v>
      </c>
      <c r="D849" s="41"/>
      <c r="E849" s="41"/>
      <c r="F849" s="41"/>
      <c r="G849" s="41"/>
      <c r="H849" s="41"/>
      <c r="I849" s="42"/>
      <c r="J849" s="41"/>
      <c r="K849" s="41"/>
      <c r="L849" s="43"/>
    </row>
    <row r="850" spans="2:12" outlineLevel="2">
      <c r="B850" s="40">
        <f t="shared" si="26"/>
        <v>387</v>
      </c>
      <c r="C850" s="41" t="s">
        <v>9</v>
      </c>
      <c r="D850" s="41"/>
      <c r="E850" s="41"/>
      <c r="F850" s="41"/>
      <c r="G850" s="41"/>
      <c r="H850" s="41"/>
      <c r="I850" s="42"/>
      <c r="J850" s="41"/>
      <c r="K850" s="41"/>
      <c r="L850" s="43"/>
    </row>
    <row r="851" spans="2:12" outlineLevel="2">
      <c r="B851" s="40">
        <f t="shared" si="26"/>
        <v>388</v>
      </c>
      <c r="C851" s="41" t="s">
        <v>9</v>
      </c>
      <c r="D851" s="41"/>
      <c r="E851" s="41"/>
      <c r="F851" s="41"/>
      <c r="G851" s="41"/>
      <c r="H851" s="41"/>
      <c r="I851" s="42"/>
      <c r="J851" s="41"/>
      <c r="K851" s="41"/>
      <c r="L851" s="43"/>
    </row>
    <row r="852" spans="2:12" outlineLevel="2">
      <c r="B852" s="40">
        <f t="shared" si="26"/>
        <v>389</v>
      </c>
      <c r="C852" s="41" t="s">
        <v>9</v>
      </c>
      <c r="D852" s="41"/>
      <c r="E852" s="41"/>
      <c r="F852" s="41"/>
      <c r="G852" s="41"/>
      <c r="H852" s="41"/>
      <c r="I852" s="42"/>
      <c r="J852" s="41"/>
      <c r="K852" s="41"/>
      <c r="L852" s="43"/>
    </row>
    <row r="853" spans="2:12" outlineLevel="2">
      <c r="B853" s="40">
        <f t="shared" si="26"/>
        <v>390</v>
      </c>
      <c r="C853" s="41" t="s">
        <v>9</v>
      </c>
      <c r="D853" s="41"/>
      <c r="E853" s="41"/>
      <c r="F853" s="41"/>
      <c r="G853" s="41"/>
      <c r="H853" s="41"/>
      <c r="I853" s="42"/>
      <c r="J853" s="41"/>
      <c r="K853" s="41"/>
      <c r="L853" s="43"/>
    </row>
    <row r="854" spans="2:12" outlineLevel="2">
      <c r="B854" s="40">
        <f t="shared" si="26"/>
        <v>391</v>
      </c>
      <c r="C854" s="41" t="s">
        <v>9</v>
      </c>
      <c r="D854" s="41"/>
      <c r="E854" s="41"/>
      <c r="F854" s="41"/>
      <c r="G854" s="41"/>
      <c r="H854" s="41"/>
      <c r="I854" s="42"/>
      <c r="J854" s="41"/>
      <c r="K854" s="41"/>
      <c r="L854" s="43"/>
    </row>
    <row r="855" spans="2:12" outlineLevel="2">
      <c r="B855" s="40">
        <f t="shared" si="26"/>
        <v>392</v>
      </c>
      <c r="C855" s="41" t="s">
        <v>9</v>
      </c>
      <c r="D855" s="41"/>
      <c r="E855" s="41"/>
      <c r="F855" s="41"/>
      <c r="G855" s="41"/>
      <c r="H855" s="41"/>
      <c r="I855" s="42"/>
      <c r="J855" s="41"/>
      <c r="K855" s="41"/>
      <c r="L855" s="43"/>
    </row>
    <row r="856" spans="2:12" outlineLevel="2">
      <c r="B856" s="40">
        <f t="shared" si="26"/>
        <v>393</v>
      </c>
      <c r="C856" s="41" t="s">
        <v>9</v>
      </c>
      <c r="D856" s="41"/>
      <c r="E856" s="41"/>
      <c r="F856" s="41"/>
      <c r="G856" s="41"/>
      <c r="H856" s="41"/>
      <c r="I856" s="42"/>
      <c r="J856" s="41"/>
      <c r="K856" s="41"/>
      <c r="L856" s="43"/>
    </row>
    <row r="857" spans="2:12" outlineLevel="2">
      <c r="B857" s="40">
        <f t="shared" si="26"/>
        <v>394</v>
      </c>
      <c r="C857" s="41" t="s">
        <v>9</v>
      </c>
      <c r="D857" s="41"/>
      <c r="E857" s="41"/>
      <c r="F857" s="41"/>
      <c r="G857" s="41"/>
      <c r="H857" s="41"/>
      <c r="I857" s="42"/>
      <c r="J857" s="41"/>
      <c r="K857" s="41"/>
      <c r="L857" s="43"/>
    </row>
    <row r="858" spans="2:12" outlineLevel="2">
      <c r="B858" s="40">
        <f t="shared" si="26"/>
        <v>395</v>
      </c>
      <c r="C858" s="41" t="s">
        <v>9</v>
      </c>
      <c r="D858" s="41"/>
      <c r="E858" s="41"/>
      <c r="F858" s="41"/>
      <c r="G858" s="41"/>
      <c r="H858" s="41"/>
      <c r="I858" s="42"/>
      <c r="J858" s="41"/>
      <c r="K858" s="41"/>
      <c r="L858" s="43"/>
    </row>
    <row r="859" spans="2:12" outlineLevel="2">
      <c r="B859" s="40">
        <f t="shared" si="26"/>
        <v>396</v>
      </c>
      <c r="C859" s="41" t="s">
        <v>9</v>
      </c>
      <c r="D859" s="41"/>
      <c r="E859" s="41"/>
      <c r="F859" s="41"/>
      <c r="G859" s="41"/>
      <c r="H859" s="41"/>
      <c r="I859" s="42"/>
      <c r="J859" s="41"/>
      <c r="K859" s="41"/>
      <c r="L859" s="43"/>
    </row>
    <row r="860" spans="2:12" outlineLevel="2">
      <c r="B860" s="40">
        <f t="shared" si="26"/>
        <v>397</v>
      </c>
      <c r="C860" s="41" t="s">
        <v>9</v>
      </c>
      <c r="D860" s="41"/>
      <c r="E860" s="41"/>
      <c r="F860" s="41"/>
      <c r="G860" s="41"/>
      <c r="H860" s="41"/>
      <c r="I860" s="42"/>
      <c r="J860" s="41"/>
      <c r="K860" s="41"/>
      <c r="L860" s="43"/>
    </row>
    <row r="861" spans="2:12" outlineLevel="2">
      <c r="B861" s="40">
        <f t="shared" si="26"/>
        <v>398</v>
      </c>
      <c r="C861" s="41" t="s">
        <v>9</v>
      </c>
      <c r="D861" s="41"/>
      <c r="E861" s="41"/>
      <c r="F861" s="41"/>
      <c r="G861" s="41"/>
      <c r="H861" s="41"/>
      <c r="I861" s="42"/>
      <c r="J861" s="41"/>
      <c r="K861" s="41"/>
      <c r="L861" s="43"/>
    </row>
    <row r="862" spans="2:12" outlineLevel="2">
      <c r="B862" s="40">
        <f t="shared" si="26"/>
        <v>399</v>
      </c>
      <c r="C862" s="41" t="s">
        <v>9</v>
      </c>
      <c r="D862" s="41"/>
      <c r="E862" s="41"/>
      <c r="F862" s="41"/>
      <c r="G862" s="41"/>
      <c r="H862" s="41"/>
      <c r="I862" s="42"/>
      <c r="J862" s="41"/>
      <c r="K862" s="41"/>
      <c r="L862" s="43"/>
    </row>
    <row r="863" spans="2:12" outlineLevel="2">
      <c r="B863" s="40">
        <f t="shared" si="26"/>
        <v>400</v>
      </c>
      <c r="C863" s="41" t="s">
        <v>9</v>
      </c>
      <c r="D863" s="41"/>
      <c r="E863" s="41"/>
      <c r="F863" s="41"/>
      <c r="G863" s="41"/>
      <c r="H863" s="41"/>
      <c r="I863" s="42"/>
      <c r="J863" s="41"/>
      <c r="K863" s="41"/>
      <c r="L863" s="43"/>
    </row>
    <row r="864" spans="2:12" outlineLevel="2">
      <c r="B864" s="40">
        <f t="shared" si="26"/>
        <v>401</v>
      </c>
      <c r="C864" s="41" t="s">
        <v>9</v>
      </c>
      <c r="D864" s="41"/>
      <c r="E864" s="41"/>
      <c r="F864" s="41"/>
      <c r="G864" s="41"/>
      <c r="H864" s="41"/>
      <c r="I864" s="42"/>
      <c r="J864" s="41"/>
      <c r="K864" s="41"/>
      <c r="L864" s="43"/>
    </row>
    <row r="865" spans="2:12" outlineLevel="2">
      <c r="B865" s="40">
        <f t="shared" si="26"/>
        <v>402</v>
      </c>
      <c r="C865" s="41" t="s">
        <v>9</v>
      </c>
      <c r="D865" s="41"/>
      <c r="E865" s="41"/>
      <c r="F865" s="41"/>
      <c r="G865" s="41"/>
      <c r="H865" s="41"/>
      <c r="I865" s="42"/>
      <c r="J865" s="41"/>
      <c r="K865" s="41"/>
      <c r="L865" s="43"/>
    </row>
    <row r="866" spans="2:12" outlineLevel="2">
      <c r="B866" s="40">
        <f t="shared" si="26"/>
        <v>403</v>
      </c>
      <c r="C866" s="41" t="s">
        <v>9</v>
      </c>
      <c r="D866" s="41"/>
      <c r="E866" s="41"/>
      <c r="F866" s="41"/>
      <c r="G866" s="41"/>
      <c r="H866" s="41"/>
      <c r="I866" s="42"/>
      <c r="J866" s="41"/>
      <c r="K866" s="41"/>
      <c r="L866" s="43"/>
    </row>
    <row r="867" spans="2:12" outlineLevel="2">
      <c r="B867" s="40">
        <f t="shared" si="26"/>
        <v>404</v>
      </c>
      <c r="C867" s="41" t="s">
        <v>9</v>
      </c>
      <c r="D867" s="41"/>
      <c r="E867" s="41"/>
      <c r="F867" s="41"/>
      <c r="G867" s="41"/>
      <c r="H867" s="41"/>
      <c r="I867" s="42"/>
      <c r="J867" s="41"/>
      <c r="K867" s="41"/>
      <c r="L867" s="43"/>
    </row>
    <row r="868" spans="2:12" outlineLevel="2">
      <c r="B868" s="40">
        <f t="shared" si="26"/>
        <v>405</v>
      </c>
      <c r="C868" s="41" t="s">
        <v>9</v>
      </c>
      <c r="D868" s="41"/>
      <c r="E868" s="41"/>
      <c r="F868" s="41"/>
      <c r="G868" s="41"/>
      <c r="H868" s="41"/>
      <c r="I868" s="42"/>
      <c r="J868" s="41"/>
      <c r="K868" s="41"/>
      <c r="L868" s="43"/>
    </row>
    <row r="869" spans="2:12" outlineLevel="2">
      <c r="B869" s="40">
        <f t="shared" si="26"/>
        <v>406</v>
      </c>
      <c r="C869" s="41" t="s">
        <v>9</v>
      </c>
      <c r="D869" s="41"/>
      <c r="E869" s="41"/>
      <c r="F869" s="41"/>
      <c r="G869" s="41"/>
      <c r="H869" s="41"/>
      <c r="I869" s="42"/>
      <c r="J869" s="41"/>
      <c r="K869" s="41"/>
      <c r="L869" s="43"/>
    </row>
    <row r="870" spans="2:12" outlineLevel="2">
      <c r="B870" s="40">
        <f t="shared" si="26"/>
        <v>407</v>
      </c>
      <c r="C870" s="41" t="s">
        <v>9</v>
      </c>
      <c r="D870" s="41"/>
      <c r="E870" s="41"/>
      <c r="F870" s="41"/>
      <c r="G870" s="41"/>
      <c r="H870" s="41"/>
      <c r="I870" s="42"/>
      <c r="J870" s="41"/>
      <c r="K870" s="41"/>
      <c r="L870" s="43"/>
    </row>
    <row r="871" spans="2:12" outlineLevel="2">
      <c r="B871" s="40">
        <f t="shared" si="26"/>
        <v>408</v>
      </c>
      <c r="C871" s="41" t="s">
        <v>9</v>
      </c>
      <c r="D871" s="41"/>
      <c r="E871" s="41"/>
      <c r="F871" s="41"/>
      <c r="G871" s="41"/>
      <c r="H871" s="41"/>
      <c r="I871" s="42"/>
      <c r="J871" s="41"/>
      <c r="K871" s="41"/>
      <c r="L871" s="43"/>
    </row>
    <row r="872" spans="2:12" outlineLevel="2">
      <c r="B872" s="40">
        <f t="shared" si="26"/>
        <v>409</v>
      </c>
      <c r="C872" s="41" t="s">
        <v>9</v>
      </c>
      <c r="D872" s="41"/>
      <c r="E872" s="41"/>
      <c r="F872" s="41"/>
      <c r="G872" s="41"/>
      <c r="H872" s="41"/>
      <c r="I872" s="42"/>
      <c r="J872" s="41"/>
      <c r="K872" s="41"/>
      <c r="L872" s="43"/>
    </row>
    <row r="873" spans="2:12" outlineLevel="2">
      <c r="B873" s="40">
        <f t="shared" si="26"/>
        <v>410</v>
      </c>
      <c r="C873" s="41" t="s">
        <v>9</v>
      </c>
      <c r="D873" s="41"/>
      <c r="E873" s="41"/>
      <c r="F873" s="41"/>
      <c r="G873" s="41"/>
      <c r="H873" s="41"/>
      <c r="I873" s="42"/>
      <c r="J873" s="41"/>
      <c r="K873" s="41"/>
      <c r="L873" s="43"/>
    </row>
    <row r="874" spans="2:12" outlineLevel="2">
      <c r="B874" s="40">
        <f t="shared" si="26"/>
        <v>411</v>
      </c>
      <c r="C874" s="41" t="s">
        <v>9</v>
      </c>
      <c r="D874" s="41"/>
      <c r="E874" s="41"/>
      <c r="F874" s="41"/>
      <c r="G874" s="41"/>
      <c r="H874" s="41"/>
      <c r="I874" s="42"/>
      <c r="J874" s="41"/>
      <c r="K874" s="41"/>
      <c r="L874" s="43"/>
    </row>
    <row r="875" spans="2:12" outlineLevel="2">
      <c r="B875" s="40">
        <f t="shared" si="26"/>
        <v>412</v>
      </c>
      <c r="C875" s="41" t="s">
        <v>9</v>
      </c>
      <c r="D875" s="41"/>
      <c r="E875" s="41"/>
      <c r="F875" s="41"/>
      <c r="G875" s="41"/>
      <c r="H875" s="41"/>
      <c r="I875" s="42"/>
      <c r="J875" s="41"/>
      <c r="K875" s="41"/>
      <c r="L875" s="43"/>
    </row>
    <row r="876" spans="2:12" outlineLevel="2">
      <c r="B876" s="40">
        <f t="shared" si="26"/>
        <v>413</v>
      </c>
      <c r="C876" s="41" t="s">
        <v>9</v>
      </c>
      <c r="D876" s="41"/>
      <c r="E876" s="41"/>
      <c r="F876" s="41"/>
      <c r="G876" s="41"/>
      <c r="H876" s="41"/>
      <c r="I876" s="42"/>
      <c r="J876" s="41"/>
      <c r="K876" s="41"/>
      <c r="L876" s="43"/>
    </row>
    <row r="877" spans="2:12" outlineLevel="2">
      <c r="B877" s="40">
        <f t="shared" si="26"/>
        <v>414</v>
      </c>
      <c r="C877" s="41" t="s">
        <v>9</v>
      </c>
      <c r="D877" s="41"/>
      <c r="E877" s="41"/>
      <c r="F877" s="41"/>
      <c r="G877" s="41"/>
      <c r="H877" s="41"/>
      <c r="I877" s="42"/>
      <c r="J877" s="41"/>
      <c r="K877" s="41"/>
      <c r="L877" s="43"/>
    </row>
    <row r="878" spans="2:12" outlineLevel="2">
      <c r="B878" s="40">
        <f t="shared" si="26"/>
        <v>415</v>
      </c>
      <c r="C878" s="41" t="s">
        <v>9</v>
      </c>
      <c r="D878" s="41"/>
      <c r="E878" s="41"/>
      <c r="F878" s="41"/>
      <c r="G878" s="41"/>
      <c r="H878" s="41"/>
      <c r="I878" s="42"/>
      <c r="J878" s="41"/>
      <c r="K878" s="41"/>
      <c r="L878" s="43"/>
    </row>
    <row r="879" spans="2:12" outlineLevel="2">
      <c r="B879" s="40">
        <f t="shared" si="26"/>
        <v>416</v>
      </c>
      <c r="C879" s="41" t="s">
        <v>9</v>
      </c>
      <c r="D879" s="41"/>
      <c r="E879" s="41"/>
      <c r="F879" s="41"/>
      <c r="G879" s="41"/>
      <c r="H879" s="41"/>
      <c r="I879" s="42"/>
      <c r="J879" s="41"/>
      <c r="K879" s="41"/>
      <c r="L879" s="43"/>
    </row>
    <row r="880" spans="2:12" outlineLevel="2">
      <c r="B880" s="40">
        <f t="shared" si="26"/>
        <v>417</v>
      </c>
      <c r="C880" s="41" t="s">
        <v>9</v>
      </c>
      <c r="D880" s="41"/>
      <c r="E880" s="41"/>
      <c r="F880" s="41"/>
      <c r="G880" s="41"/>
      <c r="H880" s="41"/>
      <c r="I880" s="42"/>
      <c r="J880" s="41"/>
      <c r="K880" s="41"/>
      <c r="L880" s="43"/>
    </row>
    <row r="881" spans="2:12" outlineLevel="2">
      <c r="B881" s="40">
        <f t="shared" si="26"/>
        <v>418</v>
      </c>
      <c r="C881" s="41" t="s">
        <v>9</v>
      </c>
      <c r="D881" s="41"/>
      <c r="E881" s="41"/>
      <c r="F881" s="41"/>
      <c r="G881" s="41"/>
      <c r="H881" s="41"/>
      <c r="I881" s="42"/>
      <c r="J881" s="41"/>
      <c r="K881" s="41"/>
      <c r="L881" s="43"/>
    </row>
    <row r="882" spans="2:12" outlineLevel="2">
      <c r="B882" s="40">
        <f t="shared" si="26"/>
        <v>419</v>
      </c>
      <c r="C882" s="41" t="s">
        <v>9</v>
      </c>
      <c r="D882" s="41"/>
      <c r="E882" s="41"/>
      <c r="F882" s="41"/>
      <c r="G882" s="41"/>
      <c r="H882" s="41"/>
      <c r="I882" s="42"/>
      <c r="J882" s="41"/>
      <c r="K882" s="41"/>
      <c r="L882" s="43"/>
    </row>
    <row r="883" spans="2:12" outlineLevel="2">
      <c r="B883" s="40">
        <f t="shared" si="26"/>
        <v>420</v>
      </c>
      <c r="C883" s="41" t="s">
        <v>9</v>
      </c>
      <c r="D883" s="41"/>
      <c r="E883" s="41"/>
      <c r="F883" s="41"/>
      <c r="G883" s="41"/>
      <c r="H883" s="41"/>
      <c r="I883" s="42"/>
      <c r="J883" s="41"/>
      <c r="K883" s="41"/>
      <c r="L883" s="43"/>
    </row>
    <row r="884" spans="2:12" outlineLevel="2">
      <c r="B884" s="40">
        <f t="shared" ref="B884:B919" si="27">ROW(A421)</f>
        <v>421</v>
      </c>
      <c r="C884" s="41" t="s">
        <v>9</v>
      </c>
      <c r="D884" s="41"/>
      <c r="E884" s="41"/>
      <c r="F884" s="41"/>
      <c r="G884" s="41"/>
      <c r="H884" s="41"/>
      <c r="I884" s="42"/>
      <c r="J884" s="41"/>
      <c r="K884" s="41"/>
      <c r="L884" s="43"/>
    </row>
    <row r="885" spans="2:12" outlineLevel="2">
      <c r="B885" s="40">
        <f t="shared" si="27"/>
        <v>422</v>
      </c>
      <c r="C885" s="41" t="s">
        <v>9</v>
      </c>
      <c r="D885" s="41"/>
      <c r="E885" s="41"/>
      <c r="F885" s="41"/>
      <c r="G885" s="41"/>
      <c r="H885" s="41"/>
      <c r="I885" s="42"/>
      <c r="J885" s="41"/>
      <c r="K885" s="41"/>
      <c r="L885" s="43"/>
    </row>
    <row r="886" spans="2:12" outlineLevel="2">
      <c r="B886" s="40">
        <f t="shared" si="27"/>
        <v>423</v>
      </c>
      <c r="C886" s="41" t="s">
        <v>9</v>
      </c>
      <c r="D886" s="41"/>
      <c r="E886" s="41"/>
      <c r="F886" s="41"/>
      <c r="G886" s="41"/>
      <c r="H886" s="41"/>
      <c r="I886" s="42"/>
      <c r="J886" s="41"/>
      <c r="K886" s="41"/>
      <c r="L886" s="43"/>
    </row>
    <row r="887" spans="2:12" outlineLevel="2">
      <c r="B887" s="40">
        <f t="shared" si="27"/>
        <v>424</v>
      </c>
      <c r="C887" s="41" t="s">
        <v>9</v>
      </c>
      <c r="D887" s="41"/>
      <c r="E887" s="41"/>
      <c r="F887" s="41"/>
      <c r="G887" s="41"/>
      <c r="H887" s="41"/>
      <c r="I887" s="42"/>
      <c r="J887" s="41"/>
      <c r="K887" s="41"/>
      <c r="L887" s="43"/>
    </row>
    <row r="888" spans="2:12" outlineLevel="2">
      <c r="B888" s="40">
        <f t="shared" si="27"/>
        <v>425</v>
      </c>
      <c r="C888" s="41" t="s">
        <v>9</v>
      </c>
      <c r="D888" s="41"/>
      <c r="E888" s="41"/>
      <c r="F888" s="41"/>
      <c r="G888" s="41"/>
      <c r="H888" s="41"/>
      <c r="I888" s="42"/>
      <c r="J888" s="41"/>
      <c r="K888" s="41"/>
      <c r="L888" s="43"/>
    </row>
    <row r="889" spans="2:12" outlineLevel="2">
      <c r="B889" s="40">
        <f t="shared" si="27"/>
        <v>426</v>
      </c>
      <c r="C889" s="41" t="s">
        <v>9</v>
      </c>
      <c r="D889" s="41"/>
      <c r="E889" s="41"/>
      <c r="F889" s="41"/>
      <c r="G889" s="41"/>
      <c r="H889" s="41"/>
      <c r="I889" s="42"/>
      <c r="J889" s="41"/>
      <c r="K889" s="41"/>
      <c r="L889" s="43"/>
    </row>
    <row r="890" spans="2:12" outlineLevel="2">
      <c r="B890" s="40">
        <f t="shared" si="27"/>
        <v>427</v>
      </c>
      <c r="C890" s="41" t="s">
        <v>9</v>
      </c>
      <c r="D890" s="41"/>
      <c r="E890" s="41"/>
      <c r="F890" s="41"/>
      <c r="G890" s="41"/>
      <c r="H890" s="41"/>
      <c r="I890" s="42"/>
      <c r="J890" s="41"/>
      <c r="K890" s="41"/>
      <c r="L890" s="43"/>
    </row>
    <row r="891" spans="2:12" outlineLevel="2">
      <c r="B891" s="40">
        <f t="shared" si="27"/>
        <v>428</v>
      </c>
      <c r="C891" s="41" t="s">
        <v>9</v>
      </c>
      <c r="D891" s="41"/>
      <c r="E891" s="41"/>
      <c r="F891" s="41"/>
      <c r="G891" s="41"/>
      <c r="H891" s="41"/>
      <c r="I891" s="42"/>
      <c r="J891" s="41"/>
      <c r="K891" s="41"/>
      <c r="L891" s="43"/>
    </row>
    <row r="892" spans="2:12" outlineLevel="2">
      <c r="B892" s="40">
        <f t="shared" si="27"/>
        <v>429</v>
      </c>
      <c r="C892" s="41" t="s">
        <v>9</v>
      </c>
      <c r="D892" s="41"/>
      <c r="E892" s="41"/>
      <c r="F892" s="41"/>
      <c r="G892" s="41"/>
      <c r="H892" s="41"/>
      <c r="I892" s="42"/>
      <c r="J892" s="41"/>
      <c r="K892" s="41"/>
      <c r="L892" s="43"/>
    </row>
    <row r="893" spans="2:12" outlineLevel="2">
      <c r="B893" s="40">
        <f t="shared" si="27"/>
        <v>430</v>
      </c>
      <c r="C893" s="41" t="s">
        <v>9</v>
      </c>
      <c r="D893" s="41"/>
      <c r="E893" s="41"/>
      <c r="F893" s="41"/>
      <c r="G893" s="41"/>
      <c r="H893" s="41"/>
      <c r="I893" s="42"/>
      <c r="J893" s="41"/>
      <c r="K893" s="41"/>
      <c r="L893" s="43"/>
    </row>
    <row r="894" spans="2:12" outlineLevel="2">
      <c r="B894" s="40">
        <f t="shared" si="27"/>
        <v>431</v>
      </c>
      <c r="C894" s="41" t="s">
        <v>9</v>
      </c>
      <c r="D894" s="41"/>
      <c r="E894" s="41"/>
      <c r="F894" s="41"/>
      <c r="G894" s="41"/>
      <c r="H894" s="41"/>
      <c r="I894" s="42"/>
      <c r="J894" s="41"/>
      <c r="K894" s="41"/>
      <c r="L894" s="43"/>
    </row>
    <row r="895" spans="2:12" outlineLevel="2">
      <c r="B895" s="40">
        <f t="shared" si="27"/>
        <v>432</v>
      </c>
      <c r="C895" s="41" t="s">
        <v>9</v>
      </c>
      <c r="D895" s="41"/>
      <c r="E895" s="41"/>
      <c r="F895" s="41"/>
      <c r="G895" s="41"/>
      <c r="H895" s="41"/>
      <c r="I895" s="42"/>
      <c r="J895" s="41"/>
      <c r="K895" s="41"/>
      <c r="L895" s="43"/>
    </row>
    <row r="896" spans="2:12" outlineLevel="2">
      <c r="B896" s="40">
        <f t="shared" si="27"/>
        <v>433</v>
      </c>
      <c r="C896" s="41" t="s">
        <v>9</v>
      </c>
      <c r="D896" s="41"/>
      <c r="E896" s="41"/>
      <c r="F896" s="41"/>
      <c r="G896" s="41"/>
      <c r="H896" s="41"/>
      <c r="I896" s="42"/>
      <c r="J896" s="41"/>
      <c r="K896" s="41"/>
      <c r="L896" s="43"/>
    </row>
    <row r="897" spans="2:12" outlineLevel="2">
      <c r="B897" s="40">
        <f t="shared" si="27"/>
        <v>434</v>
      </c>
      <c r="C897" s="41" t="s">
        <v>9</v>
      </c>
      <c r="D897" s="41"/>
      <c r="E897" s="41"/>
      <c r="F897" s="41"/>
      <c r="G897" s="41"/>
      <c r="H897" s="41"/>
      <c r="I897" s="42"/>
      <c r="J897" s="41"/>
      <c r="K897" s="41"/>
      <c r="L897" s="43"/>
    </row>
    <row r="898" spans="2:12" outlineLevel="2">
      <c r="B898" s="40">
        <f t="shared" si="27"/>
        <v>435</v>
      </c>
      <c r="C898" s="41" t="s">
        <v>9</v>
      </c>
      <c r="D898" s="41"/>
      <c r="E898" s="41"/>
      <c r="F898" s="41"/>
      <c r="G898" s="41"/>
      <c r="H898" s="41"/>
      <c r="I898" s="42"/>
      <c r="J898" s="41"/>
      <c r="K898" s="41"/>
      <c r="L898" s="43"/>
    </row>
    <row r="899" spans="2:12" outlineLevel="2">
      <c r="B899" s="40">
        <f t="shared" si="27"/>
        <v>436</v>
      </c>
      <c r="C899" s="41" t="s">
        <v>9</v>
      </c>
      <c r="D899" s="41"/>
      <c r="E899" s="41"/>
      <c r="F899" s="41"/>
      <c r="G899" s="41"/>
      <c r="H899" s="41"/>
      <c r="I899" s="42"/>
      <c r="J899" s="41"/>
      <c r="K899" s="41"/>
      <c r="L899" s="43"/>
    </row>
    <row r="900" spans="2:12" outlineLevel="2">
      <c r="B900" s="40">
        <f t="shared" si="27"/>
        <v>437</v>
      </c>
      <c r="C900" s="41" t="s">
        <v>9</v>
      </c>
      <c r="D900" s="41"/>
      <c r="E900" s="41"/>
      <c r="F900" s="41"/>
      <c r="G900" s="41"/>
      <c r="H900" s="41"/>
      <c r="I900" s="42"/>
      <c r="J900" s="41"/>
      <c r="K900" s="41"/>
      <c r="L900" s="43"/>
    </row>
    <row r="901" spans="2:12" outlineLevel="2">
      <c r="B901" s="40">
        <f t="shared" si="27"/>
        <v>438</v>
      </c>
      <c r="C901" s="41" t="s">
        <v>9</v>
      </c>
      <c r="D901" s="41"/>
      <c r="E901" s="41"/>
      <c r="F901" s="41"/>
      <c r="G901" s="41"/>
      <c r="H901" s="41"/>
      <c r="I901" s="42"/>
      <c r="J901" s="41"/>
      <c r="K901" s="41"/>
      <c r="L901" s="43"/>
    </row>
    <row r="902" spans="2:12" outlineLevel="2">
      <c r="B902" s="40">
        <f t="shared" si="27"/>
        <v>439</v>
      </c>
      <c r="C902" s="41" t="s">
        <v>9</v>
      </c>
      <c r="D902" s="41"/>
      <c r="E902" s="41"/>
      <c r="F902" s="41"/>
      <c r="G902" s="41"/>
      <c r="H902" s="41"/>
      <c r="I902" s="42"/>
      <c r="J902" s="41"/>
      <c r="K902" s="41"/>
      <c r="L902" s="43"/>
    </row>
    <row r="903" spans="2:12" outlineLevel="2">
      <c r="B903" s="40">
        <f t="shared" si="27"/>
        <v>440</v>
      </c>
      <c r="C903" s="41" t="s">
        <v>9</v>
      </c>
      <c r="D903" s="41"/>
      <c r="E903" s="41"/>
      <c r="F903" s="41"/>
      <c r="G903" s="41"/>
      <c r="H903" s="41"/>
      <c r="I903" s="42"/>
      <c r="J903" s="41"/>
      <c r="K903" s="41"/>
      <c r="L903" s="43"/>
    </row>
    <row r="904" spans="2:12" outlineLevel="2">
      <c r="B904" s="40">
        <f t="shared" si="27"/>
        <v>441</v>
      </c>
      <c r="C904" s="41" t="s">
        <v>9</v>
      </c>
      <c r="D904" s="41"/>
      <c r="E904" s="41"/>
      <c r="F904" s="41"/>
      <c r="G904" s="41"/>
      <c r="H904" s="41"/>
      <c r="I904" s="42"/>
      <c r="J904" s="41"/>
      <c r="K904" s="41"/>
      <c r="L904" s="43"/>
    </row>
    <row r="905" spans="2:12" outlineLevel="2">
      <c r="B905" s="40">
        <f t="shared" si="27"/>
        <v>442</v>
      </c>
      <c r="C905" s="41" t="s">
        <v>9</v>
      </c>
      <c r="D905" s="41"/>
      <c r="E905" s="41"/>
      <c r="F905" s="41"/>
      <c r="G905" s="41"/>
      <c r="H905" s="41"/>
      <c r="I905" s="42"/>
      <c r="J905" s="41"/>
      <c r="K905" s="41"/>
      <c r="L905" s="43"/>
    </row>
    <row r="906" spans="2:12" outlineLevel="2">
      <c r="B906" s="40">
        <f t="shared" si="27"/>
        <v>443</v>
      </c>
      <c r="C906" s="41" t="s">
        <v>9</v>
      </c>
      <c r="D906" s="41"/>
      <c r="E906" s="41"/>
      <c r="F906" s="41"/>
      <c r="G906" s="41"/>
      <c r="H906" s="41"/>
      <c r="I906" s="42"/>
      <c r="J906" s="41"/>
      <c r="K906" s="41"/>
      <c r="L906" s="43"/>
    </row>
    <row r="907" spans="2:12" outlineLevel="2">
      <c r="B907" s="40">
        <f t="shared" si="27"/>
        <v>444</v>
      </c>
      <c r="C907" s="41" t="s">
        <v>9</v>
      </c>
      <c r="D907" s="41"/>
      <c r="E907" s="41"/>
      <c r="F907" s="41"/>
      <c r="G907" s="41"/>
      <c r="H907" s="41"/>
      <c r="I907" s="42"/>
      <c r="J907" s="41"/>
      <c r="K907" s="41"/>
      <c r="L907" s="43"/>
    </row>
    <row r="908" spans="2:12" outlineLevel="2">
      <c r="B908" s="40">
        <f t="shared" si="27"/>
        <v>445</v>
      </c>
      <c r="C908" s="41" t="s">
        <v>9</v>
      </c>
      <c r="D908" s="41"/>
      <c r="E908" s="41"/>
      <c r="F908" s="41"/>
      <c r="G908" s="41"/>
      <c r="H908" s="41"/>
      <c r="I908" s="42"/>
      <c r="J908" s="41"/>
      <c r="K908" s="41"/>
      <c r="L908" s="43"/>
    </row>
    <row r="909" spans="2:12" outlineLevel="2">
      <c r="B909" s="40">
        <f t="shared" si="27"/>
        <v>446</v>
      </c>
      <c r="C909" s="41" t="s">
        <v>9</v>
      </c>
      <c r="D909" s="41"/>
      <c r="E909" s="41"/>
      <c r="F909" s="41"/>
      <c r="G909" s="41"/>
      <c r="H909" s="41"/>
      <c r="I909" s="42"/>
      <c r="J909" s="41"/>
      <c r="K909" s="41"/>
      <c r="L909" s="43"/>
    </row>
    <row r="910" spans="2:12" outlineLevel="2">
      <c r="B910" s="40">
        <f t="shared" si="27"/>
        <v>447</v>
      </c>
      <c r="C910" s="41" t="s">
        <v>9</v>
      </c>
      <c r="D910" s="41"/>
      <c r="E910" s="41"/>
      <c r="F910" s="41"/>
      <c r="G910" s="41"/>
      <c r="H910" s="41"/>
      <c r="I910" s="42"/>
      <c r="J910" s="41"/>
      <c r="K910" s="41"/>
      <c r="L910" s="43"/>
    </row>
    <row r="911" spans="2:12" outlineLevel="2">
      <c r="B911" s="40">
        <f t="shared" si="27"/>
        <v>448</v>
      </c>
      <c r="C911" s="41" t="s">
        <v>9</v>
      </c>
      <c r="D911" s="41"/>
      <c r="E911" s="41"/>
      <c r="F911" s="41"/>
      <c r="G911" s="41"/>
      <c r="H911" s="41"/>
      <c r="I911" s="42"/>
      <c r="J911" s="41"/>
      <c r="K911" s="41"/>
      <c r="L911" s="43"/>
    </row>
    <row r="912" spans="2:12" outlineLevel="2">
      <c r="B912" s="40">
        <f t="shared" si="27"/>
        <v>449</v>
      </c>
      <c r="C912" s="41" t="s">
        <v>9</v>
      </c>
      <c r="D912" s="41"/>
      <c r="E912" s="41"/>
      <c r="F912" s="41"/>
      <c r="G912" s="41"/>
      <c r="H912" s="41"/>
      <c r="I912" s="42"/>
      <c r="J912" s="41"/>
      <c r="K912" s="41"/>
      <c r="L912" s="43"/>
    </row>
    <row r="913" spans="2:12" outlineLevel="2">
      <c r="B913" s="40">
        <f t="shared" si="27"/>
        <v>450</v>
      </c>
      <c r="C913" s="41" t="s">
        <v>9</v>
      </c>
      <c r="D913" s="41"/>
      <c r="E913" s="41"/>
      <c r="F913" s="41"/>
      <c r="G913" s="41"/>
      <c r="H913" s="41"/>
      <c r="I913" s="42"/>
      <c r="J913" s="41"/>
      <c r="K913" s="41"/>
      <c r="L913" s="43"/>
    </row>
    <row r="914" spans="2:12" outlineLevel="2">
      <c r="B914" s="40">
        <f t="shared" si="27"/>
        <v>451</v>
      </c>
      <c r="C914" s="41" t="s">
        <v>9</v>
      </c>
      <c r="D914" s="41"/>
      <c r="E914" s="41"/>
      <c r="F914" s="41"/>
      <c r="G914" s="41"/>
      <c r="H914" s="41"/>
      <c r="I914" s="42"/>
      <c r="J914" s="41"/>
      <c r="K914" s="41"/>
      <c r="L914" s="43"/>
    </row>
    <row r="915" spans="2:12" outlineLevel="2">
      <c r="B915" s="40">
        <f t="shared" si="27"/>
        <v>452</v>
      </c>
      <c r="C915" s="41" t="s">
        <v>9</v>
      </c>
      <c r="D915" s="41"/>
      <c r="E915" s="41"/>
      <c r="F915" s="41"/>
      <c r="G915" s="41"/>
      <c r="H915" s="41"/>
      <c r="I915" s="42"/>
      <c r="J915" s="41"/>
      <c r="K915" s="41"/>
      <c r="L915" s="43"/>
    </row>
    <row r="916" spans="2:12" outlineLevel="2">
      <c r="B916" s="40">
        <f t="shared" si="27"/>
        <v>453</v>
      </c>
      <c r="C916" s="41" t="s">
        <v>9</v>
      </c>
      <c r="D916" s="41"/>
      <c r="E916" s="41"/>
      <c r="F916" s="41"/>
      <c r="G916" s="41"/>
      <c r="H916" s="41"/>
      <c r="I916" s="42"/>
      <c r="J916" s="41"/>
      <c r="K916" s="41"/>
      <c r="L916" s="43"/>
    </row>
    <row r="917" spans="2:12" outlineLevel="2">
      <c r="B917" s="40">
        <f t="shared" si="27"/>
        <v>454</v>
      </c>
      <c r="C917" s="41" t="s">
        <v>9</v>
      </c>
      <c r="D917" s="41"/>
      <c r="E917" s="41"/>
      <c r="F917" s="41"/>
      <c r="G917" s="41"/>
      <c r="H917" s="41"/>
      <c r="I917" s="42"/>
      <c r="J917" s="41"/>
      <c r="K917" s="41"/>
      <c r="L917" s="43"/>
    </row>
    <row r="918" spans="2:12" outlineLevel="2">
      <c r="B918" s="40">
        <f t="shared" si="27"/>
        <v>455</v>
      </c>
      <c r="C918" s="41" t="s">
        <v>9</v>
      </c>
      <c r="D918" s="41"/>
      <c r="E918" s="41"/>
      <c r="F918" s="41"/>
      <c r="G918" s="41"/>
      <c r="H918" s="41"/>
      <c r="I918" s="42"/>
      <c r="J918" s="41"/>
      <c r="K918" s="41"/>
      <c r="L918" s="43"/>
    </row>
    <row r="919" spans="2:12" outlineLevel="2">
      <c r="B919" s="40">
        <f t="shared" si="27"/>
        <v>456</v>
      </c>
      <c r="C919" s="41" t="s">
        <v>9</v>
      </c>
      <c r="D919" s="41"/>
      <c r="E919" s="41"/>
      <c r="F919" s="41"/>
      <c r="G919" s="41"/>
      <c r="H919" s="41"/>
      <c r="I919" s="42"/>
      <c r="J919" s="41"/>
      <c r="K919" s="41"/>
      <c r="L919" s="43"/>
    </row>
    <row r="920" spans="2:12" outlineLevel="1">
      <c r="B920" s="59" t="s">
        <v>255</v>
      </c>
      <c r="C920" s="41">
        <f>SUBTOTAL(3,C692:C919)</f>
        <v>228</v>
      </c>
      <c r="D920" s="41"/>
      <c r="E920" s="41"/>
      <c r="F920" s="41"/>
      <c r="G920" s="41"/>
      <c r="H920" s="41"/>
      <c r="I920" s="42"/>
      <c r="J920" s="41"/>
      <c r="K920" s="41"/>
      <c r="L920" s="43"/>
    </row>
    <row r="921" spans="2:12" outlineLevel="2">
      <c r="B921" s="40">
        <f t="shared" ref="B921:B952" si="28">ROW(A457)</f>
        <v>457</v>
      </c>
      <c r="C921" s="41" t="s">
        <v>175</v>
      </c>
      <c r="D921" s="41"/>
      <c r="E921" s="41"/>
      <c r="F921" s="41"/>
      <c r="G921" s="41"/>
      <c r="H921" s="41"/>
      <c r="I921" s="42"/>
      <c r="J921" s="41"/>
      <c r="K921" s="41"/>
      <c r="L921" s="43"/>
    </row>
    <row r="922" spans="2:12" outlineLevel="2">
      <c r="B922" s="40">
        <f t="shared" si="28"/>
        <v>458</v>
      </c>
      <c r="C922" s="41" t="s">
        <v>175</v>
      </c>
      <c r="D922" s="41"/>
      <c r="E922" s="41"/>
      <c r="F922" s="41"/>
      <c r="G922" s="41"/>
      <c r="H922" s="41"/>
      <c r="I922" s="42"/>
      <c r="J922" s="41"/>
      <c r="K922" s="41"/>
      <c r="L922" s="43"/>
    </row>
    <row r="923" spans="2:12" outlineLevel="2">
      <c r="B923" s="40">
        <f t="shared" si="28"/>
        <v>459</v>
      </c>
      <c r="C923" s="41" t="s">
        <v>175</v>
      </c>
      <c r="D923" s="41"/>
      <c r="E923" s="41"/>
      <c r="F923" s="41"/>
      <c r="G923" s="41"/>
      <c r="H923" s="41"/>
      <c r="I923" s="42"/>
      <c r="J923" s="41"/>
      <c r="K923" s="41"/>
      <c r="L923" s="43"/>
    </row>
    <row r="924" spans="2:12" outlineLevel="2">
      <c r="B924" s="40">
        <f t="shared" si="28"/>
        <v>460</v>
      </c>
      <c r="C924" s="41" t="s">
        <v>175</v>
      </c>
      <c r="D924" s="41"/>
      <c r="E924" s="41"/>
      <c r="F924" s="41"/>
      <c r="G924" s="41"/>
      <c r="H924" s="41"/>
      <c r="I924" s="42"/>
      <c r="J924" s="41"/>
      <c r="K924" s="41"/>
      <c r="L924" s="43"/>
    </row>
    <row r="925" spans="2:12" outlineLevel="2">
      <c r="B925" s="40">
        <f t="shared" si="28"/>
        <v>461</v>
      </c>
      <c r="C925" s="41" t="s">
        <v>175</v>
      </c>
      <c r="D925" s="41"/>
      <c r="E925" s="41"/>
      <c r="F925" s="41"/>
      <c r="G925" s="41"/>
      <c r="H925" s="41"/>
      <c r="I925" s="42"/>
      <c r="J925" s="41"/>
      <c r="K925" s="41"/>
      <c r="L925" s="43"/>
    </row>
    <row r="926" spans="2:12" outlineLevel="2">
      <c r="B926" s="40">
        <f t="shared" si="28"/>
        <v>462</v>
      </c>
      <c r="C926" s="41" t="s">
        <v>175</v>
      </c>
      <c r="D926" s="41"/>
      <c r="E926" s="41"/>
      <c r="F926" s="41"/>
      <c r="G926" s="41"/>
      <c r="H926" s="41"/>
      <c r="I926" s="42"/>
      <c r="J926" s="41"/>
      <c r="K926" s="41"/>
      <c r="L926" s="43"/>
    </row>
    <row r="927" spans="2:12" outlineLevel="2">
      <c r="B927" s="40">
        <f t="shared" si="28"/>
        <v>463</v>
      </c>
      <c r="C927" s="41" t="s">
        <v>175</v>
      </c>
      <c r="D927" s="41"/>
      <c r="E927" s="41"/>
      <c r="F927" s="41"/>
      <c r="G927" s="41"/>
      <c r="H927" s="41"/>
      <c r="I927" s="42"/>
      <c r="J927" s="41"/>
      <c r="K927" s="41"/>
      <c r="L927" s="43"/>
    </row>
    <row r="928" spans="2:12" outlineLevel="2">
      <c r="B928" s="40">
        <f t="shared" si="28"/>
        <v>464</v>
      </c>
      <c r="C928" s="41" t="s">
        <v>175</v>
      </c>
      <c r="D928" s="41"/>
      <c r="E928" s="41"/>
      <c r="F928" s="41"/>
      <c r="G928" s="41"/>
      <c r="H928" s="41"/>
      <c r="I928" s="42"/>
      <c r="J928" s="41"/>
      <c r="K928" s="41"/>
      <c r="L928" s="43"/>
    </row>
    <row r="929" spans="2:12" outlineLevel="2">
      <c r="B929" s="40">
        <f t="shared" si="28"/>
        <v>465</v>
      </c>
      <c r="C929" s="41" t="s">
        <v>175</v>
      </c>
      <c r="D929" s="41"/>
      <c r="E929" s="41"/>
      <c r="F929" s="41"/>
      <c r="G929" s="41"/>
      <c r="H929" s="41"/>
      <c r="I929" s="42"/>
      <c r="J929" s="41"/>
      <c r="K929" s="41"/>
      <c r="L929" s="43"/>
    </row>
    <row r="930" spans="2:12" outlineLevel="2">
      <c r="B930" s="40">
        <f t="shared" si="28"/>
        <v>466</v>
      </c>
      <c r="C930" s="41" t="s">
        <v>175</v>
      </c>
      <c r="D930" s="41"/>
      <c r="E930" s="41"/>
      <c r="F930" s="41"/>
      <c r="G930" s="41"/>
      <c r="H930" s="41"/>
      <c r="I930" s="42"/>
      <c r="J930" s="41"/>
      <c r="K930" s="41"/>
      <c r="L930" s="43"/>
    </row>
    <row r="931" spans="2:12" outlineLevel="2">
      <c r="B931" s="40">
        <f t="shared" si="28"/>
        <v>467</v>
      </c>
      <c r="C931" s="41" t="s">
        <v>175</v>
      </c>
      <c r="D931" s="41"/>
      <c r="E931" s="41"/>
      <c r="F931" s="41"/>
      <c r="G931" s="41"/>
      <c r="H931" s="41"/>
      <c r="I931" s="42"/>
      <c r="J931" s="41"/>
      <c r="K931" s="41"/>
      <c r="L931" s="43"/>
    </row>
    <row r="932" spans="2:12" outlineLevel="2">
      <c r="B932" s="40">
        <f t="shared" si="28"/>
        <v>468</v>
      </c>
      <c r="C932" s="41" t="s">
        <v>175</v>
      </c>
      <c r="D932" s="41"/>
      <c r="E932" s="41"/>
      <c r="F932" s="41"/>
      <c r="G932" s="41"/>
      <c r="H932" s="41"/>
      <c r="I932" s="42"/>
      <c r="J932" s="41"/>
      <c r="K932" s="41"/>
      <c r="L932" s="43"/>
    </row>
    <row r="933" spans="2:12" outlineLevel="2">
      <c r="B933" s="40">
        <f t="shared" si="28"/>
        <v>469</v>
      </c>
      <c r="C933" s="41" t="s">
        <v>175</v>
      </c>
      <c r="D933" s="41"/>
      <c r="E933" s="41"/>
      <c r="F933" s="41"/>
      <c r="G933" s="41"/>
      <c r="H933" s="41"/>
      <c r="I933" s="42"/>
      <c r="J933" s="41"/>
      <c r="K933" s="41"/>
      <c r="L933" s="43"/>
    </row>
    <row r="934" spans="2:12" outlineLevel="2">
      <c r="B934" s="40">
        <f t="shared" si="28"/>
        <v>470</v>
      </c>
      <c r="C934" s="41" t="s">
        <v>175</v>
      </c>
      <c r="D934" s="41"/>
      <c r="E934" s="41"/>
      <c r="F934" s="41"/>
      <c r="G934" s="41"/>
      <c r="H934" s="41"/>
      <c r="I934" s="42"/>
      <c r="J934" s="41"/>
      <c r="K934" s="41"/>
      <c r="L934" s="43"/>
    </row>
    <row r="935" spans="2:12" outlineLevel="2">
      <c r="B935" s="40">
        <f t="shared" si="28"/>
        <v>471</v>
      </c>
      <c r="C935" s="41" t="s">
        <v>175</v>
      </c>
      <c r="D935" s="41"/>
      <c r="E935" s="41"/>
      <c r="F935" s="41"/>
      <c r="G935" s="41"/>
      <c r="H935" s="41"/>
      <c r="I935" s="42"/>
      <c r="J935" s="41"/>
      <c r="K935" s="41"/>
      <c r="L935" s="43"/>
    </row>
    <row r="936" spans="2:12" outlineLevel="2">
      <c r="B936" s="40">
        <f t="shared" si="28"/>
        <v>472</v>
      </c>
      <c r="C936" s="41" t="s">
        <v>175</v>
      </c>
      <c r="D936" s="41"/>
      <c r="E936" s="41"/>
      <c r="F936" s="41"/>
      <c r="G936" s="41"/>
      <c r="H936" s="41"/>
      <c r="I936" s="42"/>
      <c r="J936" s="41"/>
      <c r="K936" s="41"/>
      <c r="L936" s="43"/>
    </row>
    <row r="937" spans="2:12" outlineLevel="2">
      <c r="B937" s="40">
        <f t="shared" si="28"/>
        <v>473</v>
      </c>
      <c r="C937" s="41" t="s">
        <v>175</v>
      </c>
      <c r="D937" s="41"/>
      <c r="E937" s="41"/>
      <c r="F937" s="41"/>
      <c r="G937" s="41"/>
      <c r="H937" s="41"/>
      <c r="I937" s="42"/>
      <c r="J937" s="41"/>
      <c r="K937" s="41"/>
      <c r="L937" s="43"/>
    </row>
    <row r="938" spans="2:12" outlineLevel="2">
      <c r="B938" s="40">
        <f t="shared" si="28"/>
        <v>474</v>
      </c>
      <c r="C938" s="41" t="s">
        <v>175</v>
      </c>
      <c r="D938" s="41"/>
      <c r="E938" s="41"/>
      <c r="F938" s="41"/>
      <c r="G938" s="41"/>
      <c r="H938" s="41"/>
      <c r="I938" s="42"/>
      <c r="J938" s="41"/>
      <c r="K938" s="41"/>
      <c r="L938" s="43"/>
    </row>
    <row r="939" spans="2:12" outlineLevel="2">
      <c r="B939" s="40">
        <f t="shared" si="28"/>
        <v>475</v>
      </c>
      <c r="C939" s="41" t="s">
        <v>175</v>
      </c>
      <c r="D939" s="41"/>
      <c r="E939" s="41"/>
      <c r="F939" s="41"/>
      <c r="G939" s="41"/>
      <c r="H939" s="41"/>
      <c r="I939" s="42"/>
      <c r="J939" s="41"/>
      <c r="K939" s="41"/>
      <c r="L939" s="43"/>
    </row>
    <row r="940" spans="2:12" outlineLevel="2">
      <c r="B940" s="40">
        <f t="shared" si="28"/>
        <v>476</v>
      </c>
      <c r="C940" s="41" t="s">
        <v>175</v>
      </c>
      <c r="D940" s="41"/>
      <c r="E940" s="41"/>
      <c r="F940" s="41"/>
      <c r="G940" s="41"/>
      <c r="H940" s="41"/>
      <c r="I940" s="42"/>
      <c r="J940" s="41"/>
      <c r="K940" s="41"/>
      <c r="L940" s="43"/>
    </row>
    <row r="941" spans="2:12" outlineLevel="2">
      <c r="B941" s="40">
        <f t="shared" si="28"/>
        <v>477</v>
      </c>
      <c r="C941" s="41" t="s">
        <v>175</v>
      </c>
      <c r="D941" s="41"/>
      <c r="E941" s="41"/>
      <c r="F941" s="41"/>
      <c r="G941" s="41"/>
      <c r="H941" s="41"/>
      <c r="I941" s="42"/>
      <c r="J941" s="41"/>
      <c r="K941" s="41"/>
      <c r="L941" s="43"/>
    </row>
    <row r="942" spans="2:12" outlineLevel="2">
      <c r="B942" s="40">
        <f t="shared" si="28"/>
        <v>478</v>
      </c>
      <c r="C942" s="41" t="s">
        <v>175</v>
      </c>
      <c r="D942" s="41"/>
      <c r="E942" s="41"/>
      <c r="F942" s="41"/>
      <c r="G942" s="41"/>
      <c r="H942" s="41"/>
      <c r="I942" s="42"/>
      <c r="J942" s="41"/>
      <c r="K942" s="41"/>
      <c r="L942" s="43"/>
    </row>
    <row r="943" spans="2:12" outlineLevel="2">
      <c r="B943" s="40">
        <f t="shared" si="28"/>
        <v>479</v>
      </c>
      <c r="C943" s="41" t="s">
        <v>175</v>
      </c>
      <c r="D943" s="41"/>
      <c r="E943" s="41"/>
      <c r="F943" s="41"/>
      <c r="G943" s="41"/>
      <c r="H943" s="41"/>
      <c r="I943" s="42"/>
      <c r="J943" s="41"/>
      <c r="K943" s="41"/>
      <c r="L943" s="43"/>
    </row>
    <row r="944" spans="2:12" outlineLevel="2">
      <c r="B944" s="40">
        <f t="shared" si="28"/>
        <v>480</v>
      </c>
      <c r="C944" s="41" t="s">
        <v>175</v>
      </c>
      <c r="D944" s="41"/>
      <c r="E944" s="41"/>
      <c r="F944" s="41"/>
      <c r="G944" s="41"/>
      <c r="H944" s="41"/>
      <c r="I944" s="42"/>
      <c r="J944" s="41"/>
      <c r="K944" s="41"/>
      <c r="L944" s="43"/>
    </row>
    <row r="945" spans="2:12" outlineLevel="2">
      <c r="B945" s="40">
        <f t="shared" si="28"/>
        <v>481</v>
      </c>
      <c r="C945" s="41" t="s">
        <v>175</v>
      </c>
      <c r="D945" s="41"/>
      <c r="E945" s="41"/>
      <c r="F945" s="41"/>
      <c r="G945" s="41"/>
      <c r="H945" s="41"/>
      <c r="I945" s="42"/>
      <c r="J945" s="41"/>
      <c r="K945" s="41"/>
      <c r="L945" s="43"/>
    </row>
    <row r="946" spans="2:12" outlineLevel="2">
      <c r="B946" s="40">
        <f t="shared" si="28"/>
        <v>482</v>
      </c>
      <c r="C946" s="41" t="s">
        <v>175</v>
      </c>
      <c r="D946" s="41"/>
      <c r="E946" s="41"/>
      <c r="F946" s="41"/>
      <c r="G946" s="41"/>
      <c r="H946" s="41"/>
      <c r="I946" s="42"/>
      <c r="J946" s="41"/>
      <c r="K946" s="41"/>
      <c r="L946" s="43"/>
    </row>
    <row r="947" spans="2:12" outlineLevel="2">
      <c r="B947" s="40">
        <f t="shared" si="28"/>
        <v>483</v>
      </c>
      <c r="C947" s="41" t="s">
        <v>175</v>
      </c>
      <c r="D947" s="41"/>
      <c r="E947" s="41"/>
      <c r="F947" s="41"/>
      <c r="G947" s="41"/>
      <c r="H947" s="41"/>
      <c r="I947" s="42"/>
      <c r="J947" s="41"/>
      <c r="K947" s="41"/>
      <c r="L947" s="43"/>
    </row>
    <row r="948" spans="2:12" outlineLevel="2">
      <c r="B948" s="40">
        <f t="shared" si="28"/>
        <v>484</v>
      </c>
      <c r="C948" s="41" t="s">
        <v>175</v>
      </c>
      <c r="D948" s="41"/>
      <c r="E948" s="41"/>
      <c r="F948" s="41"/>
      <c r="G948" s="41"/>
      <c r="H948" s="41"/>
      <c r="I948" s="42"/>
      <c r="J948" s="41"/>
      <c r="K948" s="41"/>
      <c r="L948" s="43"/>
    </row>
    <row r="949" spans="2:12" outlineLevel="2">
      <c r="B949" s="40">
        <f t="shared" si="28"/>
        <v>485</v>
      </c>
      <c r="C949" s="41" t="s">
        <v>175</v>
      </c>
      <c r="D949" s="41"/>
      <c r="E949" s="41"/>
      <c r="F949" s="41"/>
      <c r="G949" s="41"/>
      <c r="H949" s="41"/>
      <c r="I949" s="42"/>
      <c r="J949" s="41"/>
      <c r="K949" s="41"/>
      <c r="L949" s="43"/>
    </row>
    <row r="950" spans="2:12" outlineLevel="2">
      <c r="B950" s="40">
        <f t="shared" si="28"/>
        <v>486</v>
      </c>
      <c r="C950" s="41" t="s">
        <v>175</v>
      </c>
      <c r="D950" s="41"/>
      <c r="E950" s="41"/>
      <c r="F950" s="41"/>
      <c r="G950" s="41"/>
      <c r="H950" s="41"/>
      <c r="I950" s="42"/>
      <c r="J950" s="41"/>
      <c r="K950" s="41"/>
      <c r="L950" s="43"/>
    </row>
    <row r="951" spans="2:12" outlineLevel="2">
      <c r="B951" s="40">
        <f t="shared" si="28"/>
        <v>487</v>
      </c>
      <c r="C951" s="41" t="s">
        <v>175</v>
      </c>
      <c r="D951" s="41"/>
      <c r="E951" s="41"/>
      <c r="F951" s="41"/>
      <c r="G951" s="41"/>
      <c r="H951" s="41"/>
      <c r="I951" s="42"/>
      <c r="J951" s="41"/>
      <c r="K951" s="41"/>
      <c r="L951" s="43"/>
    </row>
    <row r="952" spans="2:12" outlineLevel="2">
      <c r="B952" s="40">
        <f t="shared" si="28"/>
        <v>488</v>
      </c>
      <c r="C952" s="41" t="s">
        <v>175</v>
      </c>
      <c r="D952" s="41"/>
      <c r="E952" s="41"/>
      <c r="F952" s="41"/>
      <c r="G952" s="41"/>
      <c r="H952" s="41"/>
      <c r="I952" s="42"/>
      <c r="J952" s="41"/>
      <c r="K952" s="41"/>
      <c r="L952" s="43"/>
    </row>
    <row r="953" spans="2:12" outlineLevel="2">
      <c r="B953" s="40">
        <f t="shared" ref="B953:B984" si="29">ROW(A489)</f>
        <v>489</v>
      </c>
      <c r="C953" s="41" t="s">
        <v>175</v>
      </c>
      <c r="D953" s="41"/>
      <c r="E953" s="41"/>
      <c r="F953" s="41"/>
      <c r="G953" s="41"/>
      <c r="H953" s="41"/>
      <c r="I953" s="42"/>
      <c r="J953" s="41"/>
      <c r="K953" s="41"/>
      <c r="L953" s="43"/>
    </row>
    <row r="954" spans="2:12" outlineLevel="2">
      <c r="B954" s="40">
        <f t="shared" si="29"/>
        <v>490</v>
      </c>
      <c r="C954" s="41" t="s">
        <v>175</v>
      </c>
      <c r="D954" s="41"/>
      <c r="E954" s="41"/>
      <c r="F954" s="41"/>
      <c r="G954" s="41"/>
      <c r="H954" s="41"/>
      <c r="I954" s="42"/>
      <c r="J954" s="41"/>
      <c r="K954" s="41"/>
      <c r="L954" s="43"/>
    </row>
    <row r="955" spans="2:12" outlineLevel="2">
      <c r="B955" s="40">
        <f t="shared" si="29"/>
        <v>491</v>
      </c>
      <c r="C955" s="41" t="s">
        <v>175</v>
      </c>
      <c r="D955" s="41"/>
      <c r="E955" s="41"/>
      <c r="F955" s="41"/>
      <c r="G955" s="41"/>
      <c r="H955" s="41"/>
      <c r="I955" s="42"/>
      <c r="J955" s="41"/>
      <c r="K955" s="41"/>
      <c r="L955" s="43"/>
    </row>
    <row r="956" spans="2:12" outlineLevel="2">
      <c r="B956" s="40">
        <f t="shared" si="29"/>
        <v>492</v>
      </c>
      <c r="C956" s="41" t="s">
        <v>175</v>
      </c>
      <c r="D956" s="41"/>
      <c r="E956" s="41"/>
      <c r="F956" s="41"/>
      <c r="G956" s="41"/>
      <c r="H956" s="41"/>
      <c r="I956" s="42"/>
      <c r="J956" s="41"/>
      <c r="K956" s="41"/>
      <c r="L956" s="43"/>
    </row>
    <row r="957" spans="2:12" outlineLevel="2">
      <c r="B957" s="40">
        <f t="shared" si="29"/>
        <v>493</v>
      </c>
      <c r="C957" s="41" t="s">
        <v>175</v>
      </c>
      <c r="D957" s="41"/>
      <c r="E957" s="41"/>
      <c r="F957" s="41"/>
      <c r="G957" s="41"/>
      <c r="H957" s="41"/>
      <c r="I957" s="42"/>
      <c r="J957" s="41"/>
      <c r="K957" s="41"/>
      <c r="L957" s="43"/>
    </row>
    <row r="958" spans="2:12" outlineLevel="2">
      <c r="B958" s="40">
        <f t="shared" si="29"/>
        <v>494</v>
      </c>
      <c r="C958" s="41" t="s">
        <v>175</v>
      </c>
      <c r="D958" s="41"/>
      <c r="E958" s="41"/>
      <c r="F958" s="41"/>
      <c r="G958" s="41"/>
      <c r="H958" s="41"/>
      <c r="I958" s="42"/>
      <c r="J958" s="41"/>
      <c r="K958" s="41"/>
      <c r="L958" s="43"/>
    </row>
    <row r="959" spans="2:12" outlineLevel="2">
      <c r="B959" s="40">
        <f t="shared" si="29"/>
        <v>495</v>
      </c>
      <c r="C959" s="41" t="s">
        <v>175</v>
      </c>
      <c r="D959" s="41"/>
      <c r="E959" s="41"/>
      <c r="F959" s="41"/>
      <c r="G959" s="41"/>
      <c r="H959" s="41"/>
      <c r="I959" s="42"/>
      <c r="J959" s="41"/>
      <c r="K959" s="41"/>
      <c r="L959" s="43"/>
    </row>
    <row r="960" spans="2:12" outlineLevel="2">
      <c r="B960" s="40">
        <f t="shared" si="29"/>
        <v>496</v>
      </c>
      <c r="C960" s="41" t="s">
        <v>175</v>
      </c>
      <c r="D960" s="41"/>
      <c r="E960" s="41"/>
      <c r="F960" s="41"/>
      <c r="G960" s="41"/>
      <c r="H960" s="41"/>
      <c r="I960" s="42"/>
      <c r="J960" s="41"/>
      <c r="K960" s="41"/>
      <c r="L960" s="43"/>
    </row>
    <row r="961" spans="2:12" outlineLevel="2">
      <c r="B961" s="40">
        <f t="shared" si="29"/>
        <v>497</v>
      </c>
      <c r="C961" s="41" t="s">
        <v>175</v>
      </c>
      <c r="D961" s="41"/>
      <c r="E961" s="41"/>
      <c r="F961" s="41"/>
      <c r="G961" s="41"/>
      <c r="H961" s="41"/>
      <c r="I961" s="42"/>
      <c r="J961" s="41"/>
      <c r="K961" s="41"/>
      <c r="L961" s="43"/>
    </row>
    <row r="962" spans="2:12" outlineLevel="2">
      <c r="B962" s="40">
        <f t="shared" si="29"/>
        <v>498</v>
      </c>
      <c r="C962" s="41" t="s">
        <v>175</v>
      </c>
      <c r="D962" s="41"/>
      <c r="E962" s="41"/>
      <c r="F962" s="41"/>
      <c r="G962" s="41"/>
      <c r="H962" s="41"/>
      <c r="I962" s="42"/>
      <c r="J962" s="41"/>
      <c r="K962" s="41"/>
      <c r="L962" s="43"/>
    </row>
    <row r="963" spans="2:12" outlineLevel="2">
      <c r="B963" s="40">
        <f t="shared" si="29"/>
        <v>499</v>
      </c>
      <c r="C963" s="41" t="s">
        <v>175</v>
      </c>
      <c r="D963" s="41"/>
      <c r="E963" s="41"/>
      <c r="F963" s="41"/>
      <c r="G963" s="41"/>
      <c r="H963" s="41"/>
      <c r="I963" s="42"/>
      <c r="J963" s="41"/>
      <c r="K963" s="41"/>
      <c r="L963" s="43"/>
    </row>
    <row r="964" spans="2:12" outlineLevel="2">
      <c r="B964" s="40">
        <f t="shared" si="29"/>
        <v>500</v>
      </c>
      <c r="C964" s="41" t="s">
        <v>175</v>
      </c>
      <c r="D964" s="41"/>
      <c r="E964" s="41"/>
      <c r="F964" s="41"/>
      <c r="G964" s="41"/>
      <c r="H964" s="41"/>
      <c r="I964" s="42"/>
      <c r="J964" s="41"/>
      <c r="K964" s="41"/>
      <c r="L964" s="43"/>
    </row>
    <row r="965" spans="2:12" outlineLevel="2">
      <c r="B965" s="40">
        <f t="shared" si="29"/>
        <v>501</v>
      </c>
      <c r="C965" s="41" t="s">
        <v>175</v>
      </c>
      <c r="D965" s="41"/>
      <c r="E965" s="41"/>
      <c r="F965" s="41"/>
      <c r="G965" s="41"/>
      <c r="H965" s="41"/>
      <c r="I965" s="42"/>
      <c r="J965" s="41"/>
      <c r="K965" s="41"/>
      <c r="L965" s="43"/>
    </row>
    <row r="966" spans="2:12" outlineLevel="2">
      <c r="B966" s="40">
        <f t="shared" si="29"/>
        <v>502</v>
      </c>
      <c r="C966" s="41" t="s">
        <v>175</v>
      </c>
      <c r="D966" s="41"/>
      <c r="E966" s="41"/>
      <c r="F966" s="41"/>
      <c r="G966" s="41"/>
      <c r="H966" s="41"/>
      <c r="I966" s="42"/>
      <c r="J966" s="41"/>
      <c r="K966" s="41"/>
      <c r="L966" s="43"/>
    </row>
    <row r="967" spans="2:12" outlineLevel="2">
      <c r="B967" s="40">
        <f t="shared" si="29"/>
        <v>503</v>
      </c>
      <c r="C967" s="41" t="s">
        <v>175</v>
      </c>
      <c r="D967" s="41"/>
      <c r="E967" s="41"/>
      <c r="F967" s="41"/>
      <c r="G967" s="41"/>
      <c r="H967" s="41"/>
      <c r="I967" s="42"/>
      <c r="J967" s="41"/>
      <c r="K967" s="41"/>
      <c r="L967" s="43"/>
    </row>
    <row r="968" spans="2:12" outlineLevel="2">
      <c r="B968" s="40">
        <f t="shared" si="29"/>
        <v>504</v>
      </c>
      <c r="C968" s="41" t="s">
        <v>175</v>
      </c>
      <c r="D968" s="41"/>
      <c r="E968" s="41"/>
      <c r="F968" s="41"/>
      <c r="G968" s="41"/>
      <c r="H968" s="41"/>
      <c r="I968" s="42"/>
      <c r="J968" s="41"/>
      <c r="K968" s="41"/>
      <c r="L968" s="43"/>
    </row>
    <row r="969" spans="2:12" outlineLevel="2">
      <c r="B969" s="40">
        <f t="shared" si="29"/>
        <v>505</v>
      </c>
      <c r="C969" s="41" t="s">
        <v>175</v>
      </c>
      <c r="D969" s="41"/>
      <c r="E969" s="41"/>
      <c r="F969" s="41"/>
      <c r="G969" s="41"/>
      <c r="H969" s="41"/>
      <c r="I969" s="42"/>
      <c r="J969" s="41"/>
      <c r="K969" s="41"/>
      <c r="L969" s="43"/>
    </row>
    <row r="970" spans="2:12" outlineLevel="2">
      <c r="B970" s="40">
        <f t="shared" si="29"/>
        <v>506</v>
      </c>
      <c r="C970" s="41" t="s">
        <v>175</v>
      </c>
      <c r="D970" s="41"/>
      <c r="E970" s="41"/>
      <c r="F970" s="41"/>
      <c r="G970" s="41"/>
      <c r="H970" s="41"/>
      <c r="I970" s="42"/>
      <c r="J970" s="41"/>
      <c r="K970" s="41"/>
      <c r="L970" s="43"/>
    </row>
    <row r="971" spans="2:12" outlineLevel="2">
      <c r="B971" s="40">
        <f t="shared" si="29"/>
        <v>507</v>
      </c>
      <c r="C971" s="41" t="s">
        <v>175</v>
      </c>
      <c r="D971" s="41"/>
      <c r="E971" s="41"/>
      <c r="F971" s="41"/>
      <c r="G971" s="41"/>
      <c r="H971" s="41"/>
      <c r="I971" s="42"/>
      <c r="J971" s="41"/>
      <c r="K971" s="41"/>
      <c r="L971" s="43"/>
    </row>
    <row r="972" spans="2:12" outlineLevel="2">
      <c r="B972" s="40">
        <f t="shared" si="29"/>
        <v>508</v>
      </c>
      <c r="C972" s="41" t="s">
        <v>175</v>
      </c>
      <c r="D972" s="41"/>
      <c r="E972" s="41"/>
      <c r="F972" s="41"/>
      <c r="G972" s="41"/>
      <c r="H972" s="41"/>
      <c r="I972" s="42"/>
      <c r="J972" s="41"/>
      <c r="K972" s="41"/>
      <c r="L972" s="43"/>
    </row>
    <row r="973" spans="2:12" outlineLevel="2">
      <c r="B973" s="40">
        <f t="shared" si="29"/>
        <v>509</v>
      </c>
      <c r="C973" s="41" t="s">
        <v>175</v>
      </c>
      <c r="D973" s="41"/>
      <c r="E973" s="41"/>
      <c r="F973" s="41"/>
      <c r="G973" s="41"/>
      <c r="H973" s="41"/>
      <c r="I973" s="42"/>
      <c r="J973" s="41"/>
      <c r="K973" s="41"/>
      <c r="L973" s="43"/>
    </row>
    <row r="974" spans="2:12" outlineLevel="2">
      <c r="B974" s="40">
        <f t="shared" si="29"/>
        <v>510</v>
      </c>
      <c r="C974" s="41" t="s">
        <v>175</v>
      </c>
      <c r="D974" s="41"/>
      <c r="E974" s="41"/>
      <c r="F974" s="41"/>
      <c r="G974" s="41"/>
      <c r="H974" s="41"/>
      <c r="I974" s="42"/>
      <c r="J974" s="41"/>
      <c r="K974" s="41"/>
      <c r="L974" s="43"/>
    </row>
    <row r="975" spans="2:12" outlineLevel="2">
      <c r="B975" s="40">
        <f t="shared" si="29"/>
        <v>511</v>
      </c>
      <c r="C975" s="41" t="s">
        <v>175</v>
      </c>
      <c r="D975" s="41"/>
      <c r="E975" s="41"/>
      <c r="F975" s="41"/>
      <c r="G975" s="41"/>
      <c r="H975" s="41"/>
      <c r="I975" s="42"/>
      <c r="J975" s="41"/>
      <c r="K975" s="41"/>
      <c r="L975" s="43"/>
    </row>
    <row r="976" spans="2:12" outlineLevel="2">
      <c r="B976" s="40">
        <f t="shared" si="29"/>
        <v>512</v>
      </c>
      <c r="C976" s="41" t="s">
        <v>175</v>
      </c>
      <c r="D976" s="41"/>
      <c r="E976" s="41"/>
      <c r="F976" s="41"/>
      <c r="G976" s="41"/>
      <c r="H976" s="41"/>
      <c r="I976" s="42"/>
      <c r="J976" s="41"/>
      <c r="K976" s="41"/>
      <c r="L976" s="43"/>
    </row>
    <row r="977" spans="2:12" outlineLevel="2">
      <c r="B977" s="40">
        <f t="shared" si="29"/>
        <v>513</v>
      </c>
      <c r="C977" s="41" t="s">
        <v>175</v>
      </c>
      <c r="D977" s="41"/>
      <c r="E977" s="41"/>
      <c r="F977" s="41"/>
      <c r="G977" s="41"/>
      <c r="H977" s="41"/>
      <c r="I977" s="42"/>
      <c r="J977" s="41"/>
      <c r="K977" s="41"/>
      <c r="L977" s="43"/>
    </row>
    <row r="978" spans="2:12" outlineLevel="2">
      <c r="B978" s="40">
        <f t="shared" si="29"/>
        <v>514</v>
      </c>
      <c r="C978" s="41" t="s">
        <v>175</v>
      </c>
      <c r="D978" s="41"/>
      <c r="E978" s="41"/>
      <c r="F978" s="41"/>
      <c r="G978" s="41"/>
      <c r="H978" s="41"/>
      <c r="I978" s="42"/>
      <c r="J978" s="41"/>
      <c r="K978" s="41"/>
      <c r="L978" s="43"/>
    </row>
    <row r="979" spans="2:12" outlineLevel="2">
      <c r="B979" s="40">
        <f t="shared" si="29"/>
        <v>515</v>
      </c>
      <c r="C979" s="41" t="s">
        <v>175</v>
      </c>
      <c r="D979" s="41"/>
      <c r="E979" s="41"/>
      <c r="F979" s="41"/>
      <c r="G979" s="41"/>
      <c r="H979" s="41"/>
      <c r="I979" s="42"/>
      <c r="J979" s="41"/>
      <c r="K979" s="41"/>
      <c r="L979" s="43"/>
    </row>
    <row r="980" spans="2:12" outlineLevel="2">
      <c r="B980" s="40">
        <f t="shared" si="29"/>
        <v>516</v>
      </c>
      <c r="C980" s="41" t="s">
        <v>175</v>
      </c>
      <c r="D980" s="41"/>
      <c r="E980" s="41"/>
      <c r="F980" s="41"/>
      <c r="G980" s="41"/>
      <c r="H980" s="41"/>
      <c r="I980" s="42"/>
      <c r="J980" s="41"/>
      <c r="K980" s="41"/>
      <c r="L980" s="43"/>
    </row>
    <row r="981" spans="2:12" outlineLevel="2">
      <c r="B981" s="40">
        <f t="shared" si="29"/>
        <v>517</v>
      </c>
      <c r="C981" s="41" t="s">
        <v>175</v>
      </c>
      <c r="D981" s="41"/>
      <c r="E981" s="41"/>
      <c r="F981" s="41"/>
      <c r="G981" s="41"/>
      <c r="H981" s="41"/>
      <c r="I981" s="42"/>
      <c r="J981" s="41"/>
      <c r="K981" s="41"/>
      <c r="L981" s="43"/>
    </row>
    <row r="982" spans="2:12" outlineLevel="2">
      <c r="B982" s="40">
        <f t="shared" si="29"/>
        <v>518</v>
      </c>
      <c r="C982" s="41" t="s">
        <v>175</v>
      </c>
      <c r="D982" s="41"/>
      <c r="E982" s="41"/>
      <c r="F982" s="41"/>
      <c r="G982" s="41"/>
      <c r="H982" s="41"/>
      <c r="I982" s="42"/>
      <c r="J982" s="41"/>
      <c r="K982" s="41"/>
      <c r="L982" s="43"/>
    </row>
    <row r="983" spans="2:12" outlineLevel="2">
      <c r="B983" s="40">
        <f t="shared" si="29"/>
        <v>519</v>
      </c>
      <c r="C983" s="41" t="s">
        <v>175</v>
      </c>
      <c r="D983" s="41"/>
      <c r="E983" s="41"/>
      <c r="F983" s="41"/>
      <c r="G983" s="41"/>
      <c r="H983" s="41"/>
      <c r="I983" s="42"/>
      <c r="J983" s="41"/>
      <c r="K983" s="41"/>
      <c r="L983" s="43"/>
    </row>
    <row r="984" spans="2:12" outlineLevel="2">
      <c r="B984" s="40">
        <f t="shared" si="29"/>
        <v>520</v>
      </c>
      <c r="C984" s="41" t="s">
        <v>175</v>
      </c>
      <c r="D984" s="41"/>
      <c r="E984" s="41"/>
      <c r="F984" s="41"/>
      <c r="G984" s="41"/>
      <c r="H984" s="41"/>
      <c r="I984" s="42"/>
      <c r="J984" s="41"/>
      <c r="K984" s="41"/>
      <c r="L984" s="43"/>
    </row>
    <row r="985" spans="2:12" outlineLevel="2">
      <c r="B985" s="40">
        <f t="shared" ref="B985" si="30">ROW(A521)</f>
        <v>521</v>
      </c>
      <c r="C985" s="41" t="s">
        <v>175</v>
      </c>
      <c r="D985" s="41"/>
      <c r="E985" s="41"/>
      <c r="F985" s="41"/>
      <c r="G985" s="41"/>
      <c r="H985" s="41"/>
      <c r="I985" s="42"/>
      <c r="J985" s="41"/>
      <c r="K985" s="41"/>
      <c r="L985" s="43"/>
    </row>
    <row r="986" spans="2:12" outlineLevel="2">
      <c r="B986" s="35">
        <f t="shared" ref="B986:B1017" si="31">(B985+1)</f>
        <v>522</v>
      </c>
      <c r="C986" s="41" t="s">
        <v>175</v>
      </c>
      <c r="D986" s="41"/>
      <c r="E986" s="41"/>
      <c r="F986" s="41"/>
      <c r="G986" s="41"/>
      <c r="H986" s="41"/>
      <c r="I986" s="42"/>
      <c r="J986" s="41"/>
      <c r="K986" s="41"/>
      <c r="L986" s="43"/>
    </row>
    <row r="987" spans="2:12" outlineLevel="2">
      <c r="B987" s="35">
        <f t="shared" si="31"/>
        <v>523</v>
      </c>
      <c r="C987" s="41" t="s">
        <v>175</v>
      </c>
      <c r="D987" s="41"/>
      <c r="E987" s="41"/>
      <c r="F987" s="41"/>
      <c r="G987" s="41"/>
      <c r="H987" s="41"/>
      <c r="I987" s="42"/>
      <c r="J987" s="41"/>
      <c r="K987" s="41"/>
      <c r="L987" s="43"/>
    </row>
    <row r="988" spans="2:12" outlineLevel="2">
      <c r="B988" s="35">
        <f t="shared" si="31"/>
        <v>524</v>
      </c>
      <c r="C988" s="41" t="s">
        <v>175</v>
      </c>
      <c r="D988" s="41"/>
      <c r="E988" s="41"/>
      <c r="F988" s="41"/>
      <c r="G988" s="41"/>
      <c r="H988" s="41"/>
      <c r="I988" s="42"/>
      <c r="J988" s="41"/>
      <c r="K988" s="41"/>
      <c r="L988" s="43"/>
    </row>
    <row r="989" spans="2:12" outlineLevel="2">
      <c r="B989" s="35">
        <f t="shared" si="31"/>
        <v>525</v>
      </c>
      <c r="C989" s="41" t="s">
        <v>175</v>
      </c>
      <c r="D989" s="41"/>
      <c r="E989" s="41"/>
      <c r="F989" s="41"/>
      <c r="G989" s="41"/>
      <c r="H989" s="41"/>
      <c r="I989" s="42"/>
      <c r="J989" s="41"/>
      <c r="K989" s="41"/>
      <c r="L989" s="43"/>
    </row>
    <row r="990" spans="2:12" outlineLevel="2">
      <c r="B990" s="35">
        <f t="shared" si="31"/>
        <v>526</v>
      </c>
      <c r="C990" s="41" t="s">
        <v>175</v>
      </c>
      <c r="D990" s="41"/>
      <c r="E990" s="41"/>
      <c r="F990" s="41"/>
      <c r="G990" s="41"/>
      <c r="H990" s="41"/>
      <c r="I990" s="42"/>
      <c r="J990" s="41"/>
      <c r="K990" s="41"/>
      <c r="L990" s="43"/>
    </row>
    <row r="991" spans="2:12" outlineLevel="2">
      <c r="B991" s="35">
        <f t="shared" si="31"/>
        <v>527</v>
      </c>
      <c r="C991" s="41" t="s">
        <v>175</v>
      </c>
      <c r="D991" s="41"/>
      <c r="E991" s="41"/>
      <c r="F991" s="41"/>
      <c r="G991" s="41"/>
      <c r="H991" s="41"/>
      <c r="I991" s="42"/>
      <c r="J991" s="41"/>
      <c r="K991" s="41"/>
      <c r="L991" s="43"/>
    </row>
    <row r="992" spans="2:12" outlineLevel="2">
      <c r="B992" s="35">
        <f t="shared" si="31"/>
        <v>528</v>
      </c>
      <c r="C992" s="41" t="s">
        <v>175</v>
      </c>
      <c r="D992" s="41"/>
      <c r="E992" s="41"/>
      <c r="F992" s="41"/>
      <c r="G992" s="41"/>
      <c r="H992" s="41"/>
      <c r="I992" s="42"/>
      <c r="J992" s="41"/>
      <c r="K992" s="41"/>
      <c r="L992" s="43"/>
    </row>
    <row r="993" spans="2:12" outlineLevel="2">
      <c r="B993" s="35">
        <f t="shared" si="31"/>
        <v>529</v>
      </c>
      <c r="C993" s="41" t="s">
        <v>175</v>
      </c>
      <c r="D993" s="41"/>
      <c r="E993" s="41"/>
      <c r="F993" s="41"/>
      <c r="G993" s="41"/>
      <c r="H993" s="41"/>
      <c r="I993" s="42"/>
      <c r="J993" s="41"/>
      <c r="K993" s="41"/>
      <c r="L993" s="43"/>
    </row>
    <row r="994" spans="2:12" outlineLevel="2">
      <c r="B994" s="35">
        <f t="shared" si="31"/>
        <v>530</v>
      </c>
      <c r="C994" s="41" t="s">
        <v>175</v>
      </c>
      <c r="D994" s="41"/>
      <c r="E994" s="41"/>
      <c r="F994" s="41"/>
      <c r="G994" s="41"/>
      <c r="H994" s="41"/>
      <c r="I994" s="42"/>
      <c r="J994" s="41"/>
      <c r="K994" s="41"/>
      <c r="L994" s="43"/>
    </row>
    <row r="995" spans="2:12" outlineLevel="2">
      <c r="B995" s="35">
        <f t="shared" si="31"/>
        <v>531</v>
      </c>
      <c r="C995" s="41" t="s">
        <v>175</v>
      </c>
      <c r="D995" s="41"/>
      <c r="E995" s="41"/>
      <c r="F995" s="41"/>
      <c r="G995" s="41"/>
      <c r="H995" s="41"/>
      <c r="I995" s="42"/>
      <c r="J995" s="41"/>
      <c r="K995" s="41"/>
      <c r="L995" s="43"/>
    </row>
    <row r="996" spans="2:12" outlineLevel="2">
      <c r="B996" s="35">
        <f t="shared" si="31"/>
        <v>532</v>
      </c>
      <c r="C996" s="41" t="s">
        <v>175</v>
      </c>
      <c r="D996" s="41"/>
      <c r="E996" s="41"/>
      <c r="F996" s="41"/>
      <c r="G996" s="41"/>
      <c r="H996" s="41"/>
      <c r="I996" s="42"/>
      <c r="J996" s="41"/>
      <c r="K996" s="41"/>
      <c r="L996" s="43"/>
    </row>
    <row r="997" spans="2:12" outlineLevel="2">
      <c r="B997" s="35">
        <f t="shared" si="31"/>
        <v>533</v>
      </c>
      <c r="C997" s="41" t="s">
        <v>175</v>
      </c>
      <c r="D997" s="41"/>
      <c r="E997" s="41"/>
      <c r="F997" s="41"/>
      <c r="G997" s="41"/>
      <c r="H997" s="41"/>
      <c r="I997" s="42"/>
      <c r="J997" s="41"/>
      <c r="K997" s="41"/>
      <c r="L997" s="43"/>
    </row>
    <row r="998" spans="2:12" outlineLevel="2">
      <c r="B998" s="35">
        <f t="shared" si="31"/>
        <v>534</v>
      </c>
      <c r="C998" s="41" t="s">
        <v>175</v>
      </c>
      <c r="D998" s="41"/>
      <c r="E998" s="41"/>
      <c r="F998" s="41"/>
      <c r="G998" s="41"/>
      <c r="H998" s="41"/>
      <c r="I998" s="42"/>
      <c r="J998" s="41"/>
      <c r="K998" s="41"/>
      <c r="L998" s="43"/>
    </row>
    <row r="999" spans="2:12" outlineLevel="2">
      <c r="B999" s="35">
        <f t="shared" si="31"/>
        <v>535</v>
      </c>
      <c r="C999" s="41" t="s">
        <v>175</v>
      </c>
      <c r="D999" s="41"/>
      <c r="E999" s="41"/>
      <c r="F999" s="41"/>
      <c r="G999" s="41"/>
      <c r="H999" s="41"/>
      <c r="I999" s="42"/>
      <c r="J999" s="41"/>
      <c r="K999" s="41"/>
      <c r="L999" s="43"/>
    </row>
    <row r="1000" spans="2:12" outlineLevel="2">
      <c r="B1000" s="35">
        <f t="shared" si="31"/>
        <v>536</v>
      </c>
      <c r="C1000" s="41" t="s">
        <v>175</v>
      </c>
      <c r="D1000" s="41"/>
      <c r="E1000" s="41"/>
      <c r="F1000" s="41"/>
      <c r="G1000" s="41"/>
      <c r="H1000" s="41"/>
      <c r="I1000" s="42"/>
      <c r="J1000" s="41"/>
      <c r="K1000" s="41"/>
      <c r="L1000" s="43"/>
    </row>
    <row r="1001" spans="2:12" outlineLevel="2">
      <c r="B1001" s="35">
        <f t="shared" si="31"/>
        <v>537</v>
      </c>
      <c r="C1001" s="41" t="s">
        <v>175</v>
      </c>
      <c r="D1001" s="41"/>
      <c r="E1001" s="41"/>
      <c r="F1001" s="41"/>
      <c r="G1001" s="41"/>
      <c r="H1001" s="41"/>
      <c r="I1001" s="42"/>
      <c r="J1001" s="41"/>
      <c r="K1001" s="41"/>
      <c r="L1001" s="43"/>
    </row>
    <row r="1002" spans="2:12" outlineLevel="2">
      <c r="B1002" s="35">
        <f t="shared" si="31"/>
        <v>538</v>
      </c>
      <c r="C1002" s="41" t="s">
        <v>175</v>
      </c>
      <c r="D1002" s="41"/>
      <c r="E1002" s="41"/>
      <c r="F1002" s="41"/>
      <c r="G1002" s="41"/>
      <c r="H1002" s="41"/>
      <c r="I1002" s="42"/>
      <c r="J1002" s="41"/>
      <c r="K1002" s="41"/>
      <c r="L1002" s="43"/>
    </row>
    <row r="1003" spans="2:12" outlineLevel="2">
      <c r="B1003" s="35">
        <f t="shared" si="31"/>
        <v>539</v>
      </c>
      <c r="C1003" s="41" t="s">
        <v>175</v>
      </c>
      <c r="D1003" s="41"/>
      <c r="E1003" s="41"/>
      <c r="F1003" s="41"/>
      <c r="G1003" s="41"/>
      <c r="H1003" s="41"/>
      <c r="I1003" s="42"/>
      <c r="J1003" s="41"/>
      <c r="K1003" s="41"/>
      <c r="L1003" s="43"/>
    </row>
    <row r="1004" spans="2:12" outlineLevel="2">
      <c r="B1004" s="35">
        <f t="shared" si="31"/>
        <v>540</v>
      </c>
      <c r="C1004" s="41" t="s">
        <v>175</v>
      </c>
      <c r="D1004" s="41"/>
      <c r="E1004" s="41"/>
      <c r="F1004" s="41"/>
      <c r="G1004" s="41"/>
      <c r="H1004" s="41"/>
      <c r="I1004" s="42"/>
      <c r="J1004" s="41"/>
      <c r="K1004" s="41"/>
      <c r="L1004" s="43"/>
    </row>
    <row r="1005" spans="2:12" outlineLevel="2">
      <c r="B1005" s="35">
        <f t="shared" si="31"/>
        <v>541</v>
      </c>
      <c r="C1005" s="41" t="s">
        <v>175</v>
      </c>
      <c r="D1005" s="41"/>
      <c r="E1005" s="41"/>
      <c r="F1005" s="41"/>
      <c r="G1005" s="41"/>
      <c r="H1005" s="41"/>
      <c r="I1005" s="42"/>
      <c r="J1005" s="41"/>
      <c r="K1005" s="41"/>
      <c r="L1005" s="43"/>
    </row>
    <row r="1006" spans="2:12" outlineLevel="2">
      <c r="B1006" s="35">
        <f t="shared" si="31"/>
        <v>542</v>
      </c>
      <c r="C1006" s="41" t="s">
        <v>175</v>
      </c>
      <c r="D1006" s="41"/>
      <c r="E1006" s="41"/>
      <c r="F1006" s="41"/>
      <c r="G1006" s="41"/>
      <c r="H1006" s="41"/>
      <c r="I1006" s="42"/>
      <c r="J1006" s="41"/>
      <c r="K1006" s="41"/>
      <c r="L1006" s="43"/>
    </row>
    <row r="1007" spans="2:12" outlineLevel="2">
      <c r="B1007" s="35">
        <f t="shared" si="31"/>
        <v>543</v>
      </c>
      <c r="C1007" s="41" t="s">
        <v>175</v>
      </c>
      <c r="D1007" s="41"/>
      <c r="E1007" s="41"/>
      <c r="F1007" s="41"/>
      <c r="G1007" s="41"/>
      <c r="H1007" s="41"/>
      <c r="I1007" s="42"/>
      <c r="J1007" s="41"/>
      <c r="K1007" s="41"/>
      <c r="L1007" s="43"/>
    </row>
    <row r="1008" spans="2:12" outlineLevel="2">
      <c r="B1008" s="35">
        <f t="shared" si="31"/>
        <v>544</v>
      </c>
      <c r="C1008" s="41" t="s">
        <v>175</v>
      </c>
      <c r="D1008" s="41"/>
      <c r="E1008" s="41"/>
      <c r="F1008" s="41"/>
      <c r="G1008" s="41"/>
      <c r="H1008" s="41"/>
      <c r="I1008" s="42"/>
      <c r="J1008" s="41"/>
      <c r="K1008" s="41"/>
      <c r="L1008" s="43"/>
    </row>
    <row r="1009" spans="2:12" outlineLevel="2">
      <c r="B1009" s="35">
        <f t="shared" si="31"/>
        <v>545</v>
      </c>
      <c r="C1009" s="41" t="s">
        <v>175</v>
      </c>
      <c r="D1009" s="41"/>
      <c r="E1009" s="41"/>
      <c r="F1009" s="41"/>
      <c r="G1009" s="41"/>
      <c r="H1009" s="41"/>
      <c r="I1009" s="42"/>
      <c r="J1009" s="41"/>
      <c r="K1009" s="41"/>
      <c r="L1009" s="43"/>
    </row>
    <row r="1010" spans="2:12" outlineLevel="2">
      <c r="B1010" s="35">
        <f t="shared" si="31"/>
        <v>546</v>
      </c>
      <c r="C1010" s="41" t="s">
        <v>175</v>
      </c>
      <c r="D1010" s="41"/>
      <c r="E1010" s="41"/>
      <c r="F1010" s="41"/>
      <c r="G1010" s="41"/>
      <c r="H1010" s="41"/>
      <c r="I1010" s="42"/>
      <c r="J1010" s="41"/>
      <c r="K1010" s="41"/>
      <c r="L1010" s="43"/>
    </row>
    <row r="1011" spans="2:12" outlineLevel="2">
      <c r="B1011" s="35">
        <f t="shared" si="31"/>
        <v>547</v>
      </c>
      <c r="C1011" s="41" t="s">
        <v>175</v>
      </c>
      <c r="D1011" s="41"/>
      <c r="E1011" s="41"/>
      <c r="F1011" s="41"/>
      <c r="G1011" s="41"/>
      <c r="H1011" s="41"/>
      <c r="I1011" s="42"/>
      <c r="J1011" s="41"/>
      <c r="K1011" s="41"/>
      <c r="L1011" s="43"/>
    </row>
    <row r="1012" spans="2:12" outlineLevel="2">
      <c r="B1012" s="35">
        <f t="shared" si="31"/>
        <v>548</v>
      </c>
      <c r="C1012" s="41" t="s">
        <v>175</v>
      </c>
      <c r="D1012" s="41"/>
      <c r="E1012" s="41"/>
      <c r="F1012" s="41"/>
      <c r="G1012" s="41"/>
      <c r="H1012" s="41"/>
      <c r="I1012" s="42"/>
      <c r="J1012" s="41"/>
      <c r="K1012" s="41"/>
      <c r="L1012" s="43"/>
    </row>
    <row r="1013" spans="2:12" outlineLevel="2">
      <c r="B1013" s="35">
        <f t="shared" si="31"/>
        <v>549</v>
      </c>
      <c r="C1013" s="41" t="s">
        <v>175</v>
      </c>
      <c r="D1013" s="41"/>
      <c r="E1013" s="41"/>
      <c r="F1013" s="41"/>
      <c r="G1013" s="41"/>
      <c r="H1013" s="41"/>
      <c r="I1013" s="42"/>
      <c r="J1013" s="41"/>
      <c r="K1013" s="41"/>
      <c r="L1013" s="43"/>
    </row>
    <row r="1014" spans="2:12" outlineLevel="2">
      <c r="B1014" s="35">
        <f t="shared" si="31"/>
        <v>550</v>
      </c>
      <c r="C1014" s="41" t="s">
        <v>175</v>
      </c>
      <c r="D1014" s="41"/>
      <c r="E1014" s="41"/>
      <c r="F1014" s="41"/>
      <c r="G1014" s="41"/>
      <c r="H1014" s="41"/>
      <c r="I1014" s="42"/>
      <c r="J1014" s="41"/>
      <c r="K1014" s="41"/>
      <c r="L1014" s="43"/>
    </row>
    <row r="1015" spans="2:12" outlineLevel="2">
      <c r="B1015" s="35">
        <f t="shared" si="31"/>
        <v>551</v>
      </c>
      <c r="C1015" s="41" t="s">
        <v>175</v>
      </c>
      <c r="D1015" s="41"/>
      <c r="E1015" s="41"/>
      <c r="F1015" s="41"/>
      <c r="G1015" s="41"/>
      <c r="H1015" s="41"/>
      <c r="I1015" s="42"/>
      <c r="J1015" s="41"/>
      <c r="K1015" s="41"/>
      <c r="L1015" s="43"/>
    </row>
    <row r="1016" spans="2:12" outlineLevel="2">
      <c r="B1016" s="35">
        <f t="shared" si="31"/>
        <v>552</v>
      </c>
      <c r="C1016" s="41" t="s">
        <v>175</v>
      </c>
      <c r="D1016" s="41"/>
      <c r="E1016" s="41"/>
      <c r="F1016" s="41"/>
      <c r="G1016" s="41"/>
      <c r="H1016" s="41"/>
      <c r="I1016" s="42"/>
      <c r="J1016" s="41"/>
      <c r="K1016" s="41"/>
      <c r="L1016" s="43"/>
    </row>
    <row r="1017" spans="2:12" outlineLevel="2">
      <c r="B1017" s="35">
        <f t="shared" si="31"/>
        <v>553</v>
      </c>
      <c r="C1017" s="41" t="s">
        <v>175</v>
      </c>
      <c r="D1017" s="41"/>
      <c r="E1017" s="41"/>
      <c r="F1017" s="41"/>
      <c r="G1017" s="41"/>
      <c r="H1017" s="41"/>
      <c r="I1017" s="42"/>
      <c r="J1017" s="41"/>
      <c r="K1017" s="41"/>
      <c r="L1017" s="43"/>
    </row>
    <row r="1018" spans="2:12" outlineLevel="2">
      <c r="B1018" s="35">
        <f t="shared" ref="B1018:B1049" si="32">(B1017+1)</f>
        <v>554</v>
      </c>
      <c r="C1018" s="41" t="s">
        <v>175</v>
      </c>
      <c r="D1018" s="41"/>
      <c r="E1018" s="41"/>
      <c r="F1018" s="41"/>
      <c r="G1018" s="41"/>
      <c r="H1018" s="41"/>
      <c r="I1018" s="42"/>
      <c r="J1018" s="41"/>
      <c r="K1018" s="41"/>
      <c r="L1018" s="43"/>
    </row>
    <row r="1019" spans="2:12" outlineLevel="2">
      <c r="B1019" s="35">
        <f t="shared" si="32"/>
        <v>555</v>
      </c>
      <c r="C1019" s="41" t="s">
        <v>175</v>
      </c>
      <c r="D1019" s="41"/>
      <c r="E1019" s="41"/>
      <c r="F1019" s="41"/>
      <c r="G1019" s="41"/>
      <c r="H1019" s="41"/>
      <c r="I1019" s="42"/>
      <c r="J1019" s="41"/>
      <c r="K1019" s="41"/>
      <c r="L1019" s="43"/>
    </row>
    <row r="1020" spans="2:12" outlineLevel="2">
      <c r="B1020" s="35">
        <f t="shared" si="32"/>
        <v>556</v>
      </c>
      <c r="C1020" s="41" t="s">
        <v>175</v>
      </c>
      <c r="D1020" s="41"/>
      <c r="E1020" s="41"/>
      <c r="F1020" s="41"/>
      <c r="G1020" s="41"/>
      <c r="H1020" s="41"/>
      <c r="I1020" s="42"/>
      <c r="J1020" s="41"/>
      <c r="K1020" s="41"/>
      <c r="L1020" s="43"/>
    </row>
    <row r="1021" spans="2:12" outlineLevel="2">
      <c r="B1021" s="35">
        <f t="shared" si="32"/>
        <v>557</v>
      </c>
      <c r="C1021" s="41" t="s">
        <v>175</v>
      </c>
      <c r="D1021" s="41"/>
      <c r="E1021" s="41"/>
      <c r="F1021" s="41"/>
      <c r="G1021" s="41"/>
      <c r="H1021" s="41"/>
      <c r="I1021" s="42"/>
      <c r="J1021" s="41"/>
      <c r="K1021" s="41"/>
      <c r="L1021" s="43"/>
    </row>
    <row r="1022" spans="2:12" outlineLevel="2">
      <c r="B1022" s="35">
        <f t="shared" si="32"/>
        <v>558</v>
      </c>
      <c r="C1022" s="41" t="s">
        <v>175</v>
      </c>
      <c r="D1022" s="41"/>
      <c r="E1022" s="41"/>
      <c r="F1022" s="41"/>
      <c r="G1022" s="41"/>
      <c r="H1022" s="41"/>
      <c r="I1022" s="42"/>
      <c r="J1022" s="41"/>
      <c r="K1022" s="41"/>
      <c r="L1022" s="43"/>
    </row>
    <row r="1023" spans="2:12" outlineLevel="2">
      <c r="B1023" s="35">
        <f t="shared" si="32"/>
        <v>559</v>
      </c>
      <c r="C1023" s="41" t="s">
        <v>175</v>
      </c>
      <c r="D1023" s="41"/>
      <c r="E1023" s="41"/>
      <c r="F1023" s="41"/>
      <c r="G1023" s="41"/>
      <c r="H1023" s="41"/>
      <c r="I1023" s="42"/>
      <c r="J1023" s="41"/>
      <c r="K1023" s="41"/>
      <c r="L1023" s="43"/>
    </row>
    <row r="1024" spans="2:12" outlineLevel="2">
      <c r="B1024" s="35">
        <f t="shared" si="32"/>
        <v>560</v>
      </c>
      <c r="C1024" s="41" t="s">
        <v>175</v>
      </c>
      <c r="D1024" s="41"/>
      <c r="E1024" s="41"/>
      <c r="F1024" s="41"/>
      <c r="G1024" s="41"/>
      <c r="H1024" s="41"/>
      <c r="I1024" s="42"/>
      <c r="J1024" s="41"/>
      <c r="K1024" s="41"/>
      <c r="L1024" s="43"/>
    </row>
    <row r="1025" spans="2:12" outlineLevel="2">
      <c r="B1025" s="35">
        <f t="shared" si="32"/>
        <v>561</v>
      </c>
      <c r="C1025" s="41" t="s">
        <v>175</v>
      </c>
      <c r="D1025" s="41"/>
      <c r="E1025" s="41"/>
      <c r="F1025" s="41"/>
      <c r="G1025" s="41"/>
      <c r="H1025" s="41"/>
      <c r="I1025" s="42"/>
      <c r="J1025" s="41"/>
      <c r="K1025" s="41"/>
      <c r="L1025" s="43"/>
    </row>
    <row r="1026" spans="2:12" outlineLevel="2">
      <c r="B1026" s="35">
        <f t="shared" si="32"/>
        <v>562</v>
      </c>
      <c r="C1026" s="41" t="s">
        <v>175</v>
      </c>
      <c r="D1026" s="41"/>
      <c r="E1026" s="41"/>
      <c r="F1026" s="41"/>
      <c r="G1026" s="41"/>
      <c r="H1026" s="41"/>
      <c r="I1026" s="42"/>
      <c r="J1026" s="41"/>
      <c r="K1026" s="41"/>
      <c r="L1026" s="43"/>
    </row>
    <row r="1027" spans="2:12" outlineLevel="2">
      <c r="B1027" s="35">
        <f t="shared" si="32"/>
        <v>563</v>
      </c>
      <c r="C1027" s="41" t="s">
        <v>175</v>
      </c>
      <c r="D1027" s="41"/>
      <c r="E1027" s="41"/>
      <c r="F1027" s="41"/>
      <c r="G1027" s="41"/>
      <c r="H1027" s="41"/>
      <c r="I1027" s="42"/>
      <c r="J1027" s="41"/>
      <c r="K1027" s="41"/>
      <c r="L1027" s="43"/>
    </row>
    <row r="1028" spans="2:12" outlineLevel="2">
      <c r="B1028" s="35">
        <f t="shared" si="32"/>
        <v>564</v>
      </c>
      <c r="C1028" s="41" t="s">
        <v>175</v>
      </c>
      <c r="D1028" s="41"/>
      <c r="E1028" s="41"/>
      <c r="F1028" s="41"/>
      <c r="G1028" s="41"/>
      <c r="H1028" s="41"/>
      <c r="I1028" s="42"/>
      <c r="J1028" s="41"/>
      <c r="K1028" s="41"/>
      <c r="L1028" s="43"/>
    </row>
    <row r="1029" spans="2:12" outlineLevel="2">
      <c r="B1029" s="35">
        <f t="shared" si="32"/>
        <v>565</v>
      </c>
      <c r="C1029" s="41" t="s">
        <v>175</v>
      </c>
      <c r="D1029" s="41"/>
      <c r="E1029" s="41"/>
      <c r="F1029" s="41"/>
      <c r="G1029" s="41"/>
      <c r="H1029" s="41"/>
      <c r="I1029" s="42"/>
      <c r="J1029" s="41"/>
      <c r="K1029" s="41"/>
      <c r="L1029" s="43"/>
    </row>
    <row r="1030" spans="2:12" outlineLevel="2">
      <c r="B1030" s="35">
        <f t="shared" si="32"/>
        <v>566</v>
      </c>
      <c r="C1030" s="41" t="s">
        <v>175</v>
      </c>
      <c r="D1030" s="41"/>
      <c r="E1030" s="41"/>
      <c r="F1030" s="41"/>
      <c r="G1030" s="41"/>
      <c r="H1030" s="41"/>
      <c r="I1030" s="42"/>
      <c r="J1030" s="41"/>
      <c r="K1030" s="41"/>
      <c r="L1030" s="43"/>
    </row>
    <row r="1031" spans="2:12" outlineLevel="2">
      <c r="B1031" s="35">
        <f t="shared" si="32"/>
        <v>567</v>
      </c>
      <c r="C1031" s="41" t="s">
        <v>175</v>
      </c>
      <c r="D1031" s="41"/>
      <c r="E1031" s="41"/>
      <c r="F1031" s="41"/>
      <c r="G1031" s="41"/>
      <c r="H1031" s="41"/>
      <c r="I1031" s="42"/>
      <c r="J1031" s="41"/>
      <c r="K1031" s="41"/>
      <c r="L1031" s="43"/>
    </row>
    <row r="1032" spans="2:12" outlineLevel="2">
      <c r="B1032" s="35">
        <f t="shared" si="32"/>
        <v>568</v>
      </c>
      <c r="C1032" s="41" t="s">
        <v>175</v>
      </c>
      <c r="D1032" s="41"/>
      <c r="E1032" s="41"/>
      <c r="F1032" s="41"/>
      <c r="G1032" s="41"/>
      <c r="H1032" s="41"/>
      <c r="I1032" s="42"/>
      <c r="J1032" s="41"/>
      <c r="K1032" s="41"/>
      <c r="L1032" s="43"/>
    </row>
    <row r="1033" spans="2:12" outlineLevel="2">
      <c r="B1033" s="35">
        <f t="shared" si="32"/>
        <v>569</v>
      </c>
      <c r="C1033" s="41" t="s">
        <v>175</v>
      </c>
      <c r="D1033" s="41"/>
      <c r="E1033" s="41"/>
      <c r="F1033" s="41"/>
      <c r="G1033" s="41"/>
      <c r="H1033" s="41"/>
      <c r="I1033" s="42"/>
      <c r="J1033" s="41"/>
      <c r="K1033" s="41"/>
      <c r="L1033" s="43"/>
    </row>
    <row r="1034" spans="2:12" outlineLevel="2">
      <c r="B1034" s="35">
        <f t="shared" si="32"/>
        <v>570</v>
      </c>
      <c r="C1034" s="41" t="s">
        <v>175</v>
      </c>
      <c r="D1034" s="41"/>
      <c r="E1034" s="41"/>
      <c r="F1034" s="41"/>
      <c r="G1034" s="41"/>
      <c r="H1034" s="41"/>
      <c r="I1034" s="42"/>
      <c r="J1034" s="41"/>
      <c r="K1034" s="41"/>
      <c r="L1034" s="43"/>
    </row>
    <row r="1035" spans="2:12" outlineLevel="2">
      <c r="B1035" s="35">
        <f t="shared" si="32"/>
        <v>571</v>
      </c>
      <c r="C1035" s="41" t="s">
        <v>175</v>
      </c>
      <c r="D1035" s="41"/>
      <c r="E1035" s="41"/>
      <c r="F1035" s="41"/>
      <c r="G1035" s="41"/>
      <c r="H1035" s="41"/>
      <c r="I1035" s="42"/>
      <c r="J1035" s="41"/>
      <c r="K1035" s="41"/>
      <c r="L1035" s="43"/>
    </row>
    <row r="1036" spans="2:12" outlineLevel="2">
      <c r="B1036" s="35">
        <f t="shared" si="32"/>
        <v>572</v>
      </c>
      <c r="C1036" s="41" t="s">
        <v>175</v>
      </c>
      <c r="D1036" s="41"/>
      <c r="E1036" s="41"/>
      <c r="F1036" s="41"/>
      <c r="G1036" s="41"/>
      <c r="H1036" s="41"/>
      <c r="I1036" s="42"/>
      <c r="J1036" s="41"/>
      <c r="K1036" s="41"/>
      <c r="L1036" s="43"/>
    </row>
    <row r="1037" spans="2:12" outlineLevel="2">
      <c r="B1037" s="35">
        <f t="shared" si="32"/>
        <v>573</v>
      </c>
      <c r="C1037" s="41" t="s">
        <v>175</v>
      </c>
      <c r="D1037" s="41"/>
      <c r="E1037" s="41"/>
      <c r="F1037" s="41"/>
      <c r="G1037" s="41"/>
      <c r="H1037" s="41"/>
      <c r="I1037" s="42"/>
      <c r="J1037" s="41"/>
      <c r="K1037" s="41"/>
      <c r="L1037" s="43"/>
    </row>
    <row r="1038" spans="2:12" outlineLevel="2">
      <c r="B1038" s="35">
        <f t="shared" si="32"/>
        <v>574</v>
      </c>
      <c r="C1038" s="41" t="s">
        <v>175</v>
      </c>
      <c r="D1038" s="41"/>
      <c r="E1038" s="41"/>
      <c r="F1038" s="41"/>
      <c r="G1038" s="41"/>
      <c r="H1038" s="41"/>
      <c r="I1038" s="42"/>
      <c r="J1038" s="41"/>
      <c r="K1038" s="41"/>
      <c r="L1038" s="43"/>
    </row>
    <row r="1039" spans="2:12" outlineLevel="2">
      <c r="B1039" s="35">
        <f t="shared" si="32"/>
        <v>575</v>
      </c>
      <c r="C1039" s="41" t="s">
        <v>175</v>
      </c>
      <c r="D1039" s="41"/>
      <c r="E1039" s="41"/>
      <c r="F1039" s="41"/>
      <c r="G1039" s="41"/>
      <c r="H1039" s="41"/>
      <c r="I1039" s="42"/>
      <c r="J1039" s="41"/>
      <c r="K1039" s="41"/>
      <c r="L1039" s="43"/>
    </row>
    <row r="1040" spans="2:12" outlineLevel="2">
      <c r="B1040" s="35">
        <f t="shared" si="32"/>
        <v>576</v>
      </c>
      <c r="C1040" s="41" t="s">
        <v>175</v>
      </c>
      <c r="D1040" s="41"/>
      <c r="E1040" s="41"/>
      <c r="F1040" s="41"/>
      <c r="G1040" s="41"/>
      <c r="H1040" s="41"/>
      <c r="I1040" s="42"/>
      <c r="J1040" s="41"/>
      <c r="K1040" s="41"/>
      <c r="L1040" s="43"/>
    </row>
    <row r="1041" spans="2:12" outlineLevel="2">
      <c r="B1041" s="35">
        <f t="shared" si="32"/>
        <v>577</v>
      </c>
      <c r="C1041" s="41" t="s">
        <v>175</v>
      </c>
      <c r="D1041" s="41"/>
      <c r="E1041" s="41"/>
      <c r="F1041" s="41"/>
      <c r="G1041" s="41"/>
      <c r="H1041" s="41"/>
      <c r="I1041" s="42"/>
      <c r="J1041" s="41"/>
      <c r="K1041" s="41"/>
      <c r="L1041" s="43"/>
    </row>
    <row r="1042" spans="2:12" outlineLevel="2">
      <c r="B1042" s="35">
        <f t="shared" si="32"/>
        <v>578</v>
      </c>
      <c r="C1042" s="41" t="s">
        <v>175</v>
      </c>
      <c r="D1042" s="41"/>
      <c r="E1042" s="41"/>
      <c r="F1042" s="41"/>
      <c r="G1042" s="41"/>
      <c r="H1042" s="41"/>
      <c r="I1042" s="42"/>
      <c r="J1042" s="41"/>
      <c r="K1042" s="41"/>
      <c r="L1042" s="43"/>
    </row>
    <row r="1043" spans="2:12" outlineLevel="2">
      <c r="B1043" s="35">
        <f t="shared" si="32"/>
        <v>579</v>
      </c>
      <c r="C1043" s="41" t="s">
        <v>175</v>
      </c>
      <c r="D1043" s="41"/>
      <c r="E1043" s="41"/>
      <c r="F1043" s="41"/>
      <c r="G1043" s="41"/>
      <c r="H1043" s="41"/>
      <c r="I1043" s="42"/>
      <c r="J1043" s="41"/>
      <c r="K1043" s="41"/>
      <c r="L1043" s="43"/>
    </row>
    <row r="1044" spans="2:12" outlineLevel="2">
      <c r="B1044" s="35">
        <f t="shared" si="32"/>
        <v>580</v>
      </c>
      <c r="C1044" s="41" t="s">
        <v>175</v>
      </c>
      <c r="D1044" s="41"/>
      <c r="E1044" s="41"/>
      <c r="F1044" s="41"/>
      <c r="G1044" s="41"/>
      <c r="H1044" s="41"/>
      <c r="I1044" s="42"/>
      <c r="J1044" s="41"/>
      <c r="K1044" s="41"/>
      <c r="L1044" s="43"/>
    </row>
    <row r="1045" spans="2:12" outlineLevel="2">
      <c r="B1045" s="35">
        <f t="shared" si="32"/>
        <v>581</v>
      </c>
      <c r="C1045" s="41" t="s">
        <v>175</v>
      </c>
      <c r="D1045" s="41"/>
      <c r="E1045" s="41"/>
      <c r="F1045" s="41"/>
      <c r="G1045" s="41"/>
      <c r="H1045" s="41"/>
      <c r="I1045" s="42"/>
      <c r="J1045" s="41"/>
      <c r="K1045" s="41"/>
      <c r="L1045" s="43"/>
    </row>
    <row r="1046" spans="2:12" outlineLevel="2">
      <c r="B1046" s="35">
        <f t="shared" si="32"/>
        <v>582</v>
      </c>
      <c r="C1046" s="41" t="s">
        <v>175</v>
      </c>
      <c r="D1046" s="41"/>
      <c r="E1046" s="41"/>
      <c r="F1046" s="41"/>
      <c r="G1046" s="41"/>
      <c r="H1046" s="41"/>
      <c r="I1046" s="42"/>
      <c r="J1046" s="41"/>
      <c r="K1046" s="41"/>
      <c r="L1046" s="43"/>
    </row>
    <row r="1047" spans="2:12" outlineLevel="2">
      <c r="B1047" s="35">
        <f t="shared" si="32"/>
        <v>583</v>
      </c>
      <c r="C1047" s="41" t="s">
        <v>175</v>
      </c>
      <c r="D1047" s="41"/>
      <c r="E1047" s="41"/>
      <c r="F1047" s="41"/>
      <c r="G1047" s="41"/>
      <c r="H1047" s="41"/>
      <c r="I1047" s="42"/>
      <c r="J1047" s="41"/>
      <c r="K1047" s="41"/>
      <c r="L1047" s="43"/>
    </row>
    <row r="1048" spans="2:12" outlineLevel="2">
      <c r="B1048" s="35">
        <f t="shared" si="32"/>
        <v>584</v>
      </c>
      <c r="C1048" s="41" t="s">
        <v>175</v>
      </c>
      <c r="D1048" s="41"/>
      <c r="E1048" s="41"/>
      <c r="F1048" s="41"/>
      <c r="G1048" s="41"/>
      <c r="H1048" s="41"/>
      <c r="I1048" s="42"/>
      <c r="J1048" s="41"/>
      <c r="K1048" s="41"/>
      <c r="L1048" s="43"/>
    </row>
    <row r="1049" spans="2:12" outlineLevel="2">
      <c r="B1049" s="35">
        <f t="shared" si="32"/>
        <v>585</v>
      </c>
      <c r="C1049" s="41" t="s">
        <v>175</v>
      </c>
      <c r="D1049" s="41"/>
      <c r="E1049" s="41"/>
      <c r="F1049" s="41"/>
      <c r="G1049" s="41"/>
      <c r="H1049" s="41"/>
      <c r="I1049" s="42"/>
      <c r="J1049" s="41"/>
      <c r="K1049" s="41"/>
      <c r="L1049" s="43"/>
    </row>
    <row r="1050" spans="2:12" outlineLevel="2">
      <c r="B1050" s="35">
        <f t="shared" ref="B1050:B1081" si="33">(B1049+1)</f>
        <v>586</v>
      </c>
      <c r="C1050" s="41" t="s">
        <v>175</v>
      </c>
      <c r="D1050" s="41"/>
      <c r="E1050" s="41"/>
      <c r="F1050" s="41"/>
      <c r="G1050" s="41"/>
      <c r="H1050" s="41"/>
      <c r="I1050" s="42"/>
      <c r="J1050" s="41"/>
      <c r="K1050" s="41"/>
      <c r="L1050" s="43"/>
    </row>
    <row r="1051" spans="2:12" outlineLevel="2">
      <c r="B1051" s="35">
        <f t="shared" si="33"/>
        <v>587</v>
      </c>
      <c r="C1051" s="41" t="s">
        <v>175</v>
      </c>
      <c r="D1051" s="41"/>
      <c r="E1051" s="41"/>
      <c r="F1051" s="41"/>
      <c r="G1051" s="41"/>
      <c r="H1051" s="41"/>
      <c r="I1051" s="42"/>
      <c r="J1051" s="41"/>
      <c r="K1051" s="41"/>
      <c r="L1051" s="43"/>
    </row>
    <row r="1052" spans="2:12" outlineLevel="2">
      <c r="B1052" s="35">
        <f t="shared" si="33"/>
        <v>588</v>
      </c>
      <c r="C1052" s="41" t="s">
        <v>175</v>
      </c>
      <c r="D1052" s="41"/>
      <c r="E1052" s="41"/>
      <c r="F1052" s="41"/>
      <c r="G1052" s="41"/>
      <c r="H1052" s="41"/>
      <c r="I1052" s="42"/>
      <c r="J1052" s="41"/>
      <c r="K1052" s="41"/>
      <c r="L1052" s="43"/>
    </row>
    <row r="1053" spans="2:12" outlineLevel="2">
      <c r="B1053" s="35">
        <f t="shared" si="33"/>
        <v>589</v>
      </c>
      <c r="C1053" s="41" t="s">
        <v>175</v>
      </c>
      <c r="D1053" s="41"/>
      <c r="E1053" s="41"/>
      <c r="F1053" s="41"/>
      <c r="G1053" s="41"/>
      <c r="H1053" s="41"/>
      <c r="I1053" s="42"/>
      <c r="J1053" s="41"/>
      <c r="K1053" s="41"/>
      <c r="L1053" s="43"/>
    </row>
    <row r="1054" spans="2:12" outlineLevel="2">
      <c r="B1054" s="35">
        <f t="shared" si="33"/>
        <v>590</v>
      </c>
      <c r="C1054" s="41" t="s">
        <v>175</v>
      </c>
      <c r="D1054" s="41"/>
      <c r="E1054" s="41"/>
      <c r="F1054" s="41"/>
      <c r="G1054" s="41"/>
      <c r="H1054" s="41"/>
      <c r="I1054" s="42"/>
      <c r="J1054" s="41"/>
      <c r="K1054" s="41"/>
      <c r="L1054" s="43"/>
    </row>
    <row r="1055" spans="2:12" outlineLevel="2">
      <c r="B1055" s="35">
        <f t="shared" si="33"/>
        <v>591</v>
      </c>
      <c r="C1055" s="41" t="s">
        <v>175</v>
      </c>
      <c r="D1055" s="41"/>
      <c r="E1055" s="41"/>
      <c r="F1055" s="41"/>
      <c r="G1055" s="41"/>
      <c r="H1055" s="41"/>
      <c r="I1055" s="42"/>
      <c r="J1055" s="41"/>
      <c r="K1055" s="41"/>
      <c r="L1055" s="43"/>
    </row>
    <row r="1056" spans="2:12" outlineLevel="2">
      <c r="B1056" s="35">
        <f t="shared" si="33"/>
        <v>592</v>
      </c>
      <c r="C1056" s="41" t="s">
        <v>175</v>
      </c>
      <c r="D1056" s="41"/>
      <c r="E1056" s="41"/>
      <c r="F1056" s="41"/>
      <c r="G1056" s="41"/>
      <c r="H1056" s="41"/>
      <c r="I1056" s="42"/>
      <c r="J1056" s="41"/>
      <c r="K1056" s="41"/>
      <c r="L1056" s="43"/>
    </row>
    <row r="1057" spans="2:12" outlineLevel="2">
      <c r="B1057" s="35">
        <f t="shared" si="33"/>
        <v>593</v>
      </c>
      <c r="C1057" s="41" t="s">
        <v>175</v>
      </c>
      <c r="D1057" s="41"/>
      <c r="E1057" s="41"/>
      <c r="F1057" s="41"/>
      <c r="G1057" s="41"/>
      <c r="H1057" s="41"/>
      <c r="I1057" s="42"/>
      <c r="J1057" s="41"/>
      <c r="K1057" s="41"/>
      <c r="L1057" s="43"/>
    </row>
    <row r="1058" spans="2:12" outlineLevel="2">
      <c r="B1058" s="35">
        <f t="shared" si="33"/>
        <v>594</v>
      </c>
      <c r="C1058" s="41" t="s">
        <v>175</v>
      </c>
      <c r="D1058" s="41"/>
      <c r="E1058" s="41"/>
      <c r="F1058" s="41"/>
      <c r="G1058" s="41"/>
      <c r="H1058" s="41"/>
      <c r="I1058" s="42"/>
      <c r="J1058" s="41"/>
      <c r="K1058" s="41"/>
      <c r="L1058" s="43"/>
    </row>
    <row r="1059" spans="2:12" outlineLevel="2">
      <c r="B1059" s="35">
        <f t="shared" si="33"/>
        <v>595</v>
      </c>
      <c r="C1059" s="41" t="s">
        <v>175</v>
      </c>
      <c r="D1059" s="41"/>
      <c r="E1059" s="41"/>
      <c r="F1059" s="41"/>
      <c r="G1059" s="41"/>
      <c r="H1059" s="41"/>
      <c r="I1059" s="42"/>
      <c r="J1059" s="41"/>
      <c r="K1059" s="41"/>
      <c r="L1059" s="43"/>
    </row>
    <row r="1060" spans="2:12" outlineLevel="2">
      <c r="B1060" s="35">
        <f t="shared" si="33"/>
        <v>596</v>
      </c>
      <c r="C1060" s="41" t="s">
        <v>175</v>
      </c>
      <c r="D1060" s="41"/>
      <c r="E1060" s="41"/>
      <c r="F1060" s="41"/>
      <c r="G1060" s="41"/>
      <c r="H1060" s="41"/>
      <c r="I1060" s="42"/>
      <c r="J1060" s="41"/>
      <c r="K1060" s="41"/>
      <c r="L1060" s="43"/>
    </row>
    <row r="1061" spans="2:12" outlineLevel="2">
      <c r="B1061" s="35">
        <f t="shared" si="33"/>
        <v>597</v>
      </c>
      <c r="C1061" s="41" t="s">
        <v>175</v>
      </c>
      <c r="D1061" s="41"/>
      <c r="E1061" s="41"/>
      <c r="F1061" s="41"/>
      <c r="G1061" s="41"/>
      <c r="H1061" s="41"/>
      <c r="I1061" s="42"/>
      <c r="J1061" s="41"/>
      <c r="K1061" s="41"/>
      <c r="L1061" s="43"/>
    </row>
    <row r="1062" spans="2:12" outlineLevel="2">
      <c r="B1062" s="35">
        <f t="shared" si="33"/>
        <v>598</v>
      </c>
      <c r="C1062" s="41" t="s">
        <v>175</v>
      </c>
      <c r="D1062" s="41"/>
      <c r="E1062" s="41"/>
      <c r="F1062" s="41"/>
      <c r="G1062" s="41"/>
      <c r="H1062" s="41"/>
      <c r="I1062" s="42"/>
      <c r="J1062" s="41"/>
      <c r="K1062" s="41"/>
      <c r="L1062" s="43"/>
    </row>
    <row r="1063" spans="2:12" outlineLevel="2">
      <c r="B1063" s="35">
        <f t="shared" si="33"/>
        <v>599</v>
      </c>
      <c r="C1063" s="41" t="s">
        <v>175</v>
      </c>
      <c r="D1063" s="41"/>
      <c r="E1063" s="41"/>
      <c r="F1063" s="41"/>
      <c r="G1063" s="41"/>
      <c r="H1063" s="41"/>
      <c r="I1063" s="42"/>
      <c r="J1063" s="41"/>
      <c r="K1063" s="41"/>
      <c r="L1063" s="43"/>
    </row>
    <row r="1064" spans="2:12" outlineLevel="2">
      <c r="B1064" s="35">
        <f t="shared" si="33"/>
        <v>600</v>
      </c>
      <c r="C1064" s="41" t="s">
        <v>175</v>
      </c>
      <c r="D1064" s="41"/>
      <c r="E1064" s="41"/>
      <c r="F1064" s="41"/>
      <c r="G1064" s="41"/>
      <c r="H1064" s="41"/>
      <c r="I1064" s="42"/>
      <c r="J1064" s="41"/>
      <c r="K1064" s="41"/>
      <c r="L1064" s="43"/>
    </row>
    <row r="1065" spans="2:12" outlineLevel="2">
      <c r="B1065" s="35">
        <f t="shared" si="33"/>
        <v>601</v>
      </c>
      <c r="C1065" s="41" t="s">
        <v>175</v>
      </c>
      <c r="D1065" s="41"/>
      <c r="E1065" s="41"/>
      <c r="F1065" s="41"/>
      <c r="G1065" s="41"/>
      <c r="H1065" s="41"/>
      <c r="I1065" s="42"/>
      <c r="J1065" s="41"/>
      <c r="K1065" s="41"/>
      <c r="L1065" s="43"/>
    </row>
    <row r="1066" spans="2:12" outlineLevel="2">
      <c r="B1066" s="35">
        <f t="shared" si="33"/>
        <v>602</v>
      </c>
      <c r="C1066" s="41" t="s">
        <v>175</v>
      </c>
      <c r="D1066" s="41"/>
      <c r="E1066" s="41"/>
      <c r="F1066" s="41"/>
      <c r="G1066" s="41"/>
      <c r="H1066" s="41"/>
      <c r="I1066" s="42"/>
      <c r="J1066" s="41"/>
      <c r="K1066" s="41"/>
      <c r="L1066" s="43"/>
    </row>
    <row r="1067" spans="2:12" outlineLevel="2">
      <c r="B1067" s="35">
        <f t="shared" si="33"/>
        <v>603</v>
      </c>
      <c r="C1067" s="41" t="s">
        <v>175</v>
      </c>
      <c r="D1067" s="41"/>
      <c r="E1067" s="41"/>
      <c r="F1067" s="41"/>
      <c r="G1067" s="41"/>
      <c r="H1067" s="41"/>
      <c r="I1067" s="42"/>
      <c r="J1067" s="41"/>
      <c r="K1067" s="41"/>
      <c r="L1067" s="43"/>
    </row>
    <row r="1068" spans="2:12" outlineLevel="2">
      <c r="B1068" s="35">
        <f t="shared" si="33"/>
        <v>604</v>
      </c>
      <c r="C1068" s="41" t="s">
        <v>175</v>
      </c>
      <c r="D1068" s="41"/>
      <c r="E1068" s="41"/>
      <c r="F1068" s="41"/>
      <c r="G1068" s="41"/>
      <c r="H1068" s="41"/>
      <c r="I1068" s="42"/>
      <c r="J1068" s="41"/>
      <c r="K1068" s="41"/>
      <c r="L1068" s="43"/>
    </row>
    <row r="1069" spans="2:12" outlineLevel="2">
      <c r="B1069" s="35">
        <f t="shared" si="33"/>
        <v>605</v>
      </c>
      <c r="C1069" s="41" t="s">
        <v>175</v>
      </c>
      <c r="D1069" s="41"/>
      <c r="E1069" s="41"/>
      <c r="F1069" s="41"/>
      <c r="G1069" s="41"/>
      <c r="H1069" s="41"/>
      <c r="I1069" s="42"/>
      <c r="J1069" s="41"/>
      <c r="K1069" s="41"/>
      <c r="L1069" s="43"/>
    </row>
    <row r="1070" spans="2:12" outlineLevel="2">
      <c r="B1070" s="35">
        <f t="shared" si="33"/>
        <v>606</v>
      </c>
      <c r="C1070" s="41" t="s">
        <v>175</v>
      </c>
      <c r="D1070" s="41"/>
      <c r="E1070" s="41"/>
      <c r="F1070" s="41"/>
      <c r="G1070" s="41"/>
      <c r="H1070" s="41"/>
      <c r="I1070" s="42"/>
      <c r="J1070" s="41"/>
      <c r="K1070" s="41"/>
      <c r="L1070" s="43"/>
    </row>
    <row r="1071" spans="2:12" outlineLevel="2">
      <c r="B1071" s="35">
        <f t="shared" si="33"/>
        <v>607</v>
      </c>
      <c r="C1071" s="41" t="s">
        <v>175</v>
      </c>
      <c r="D1071" s="41"/>
      <c r="E1071" s="41"/>
      <c r="F1071" s="41"/>
      <c r="G1071" s="41"/>
      <c r="H1071" s="41"/>
      <c r="I1071" s="42"/>
      <c r="J1071" s="41"/>
      <c r="K1071" s="41"/>
      <c r="L1071" s="43"/>
    </row>
    <row r="1072" spans="2:12" outlineLevel="2">
      <c r="B1072" s="35">
        <f t="shared" si="33"/>
        <v>608</v>
      </c>
      <c r="C1072" s="41" t="s">
        <v>175</v>
      </c>
      <c r="D1072" s="41"/>
      <c r="E1072" s="41"/>
      <c r="F1072" s="41"/>
      <c r="G1072" s="41"/>
      <c r="H1072" s="41"/>
      <c r="I1072" s="42"/>
      <c r="J1072" s="41"/>
      <c r="K1072" s="41"/>
      <c r="L1072" s="43"/>
    </row>
    <row r="1073" spans="2:12" outlineLevel="2">
      <c r="B1073" s="35">
        <f t="shared" si="33"/>
        <v>609</v>
      </c>
      <c r="C1073" s="41" t="s">
        <v>175</v>
      </c>
      <c r="D1073" s="41"/>
      <c r="E1073" s="41"/>
      <c r="F1073" s="41"/>
      <c r="G1073" s="41"/>
      <c r="H1073" s="41"/>
      <c r="I1073" s="42"/>
      <c r="J1073" s="41"/>
      <c r="K1073" s="41"/>
      <c r="L1073" s="43"/>
    </row>
    <row r="1074" spans="2:12" outlineLevel="2">
      <c r="B1074" s="35">
        <f t="shared" si="33"/>
        <v>610</v>
      </c>
      <c r="C1074" s="41" t="s">
        <v>175</v>
      </c>
      <c r="D1074" s="41"/>
      <c r="E1074" s="41"/>
      <c r="F1074" s="41"/>
      <c r="G1074" s="41"/>
      <c r="H1074" s="41"/>
      <c r="I1074" s="42"/>
      <c r="J1074" s="41"/>
      <c r="K1074" s="41"/>
      <c r="L1074" s="43"/>
    </row>
    <row r="1075" spans="2:12" outlineLevel="2">
      <c r="B1075" s="35">
        <f t="shared" si="33"/>
        <v>611</v>
      </c>
      <c r="C1075" s="41" t="s">
        <v>175</v>
      </c>
      <c r="D1075" s="41"/>
      <c r="E1075" s="41"/>
      <c r="F1075" s="41"/>
      <c r="G1075" s="41"/>
      <c r="H1075" s="41"/>
      <c r="I1075" s="42"/>
      <c r="J1075" s="41"/>
      <c r="K1075" s="41"/>
      <c r="L1075" s="43"/>
    </row>
    <row r="1076" spans="2:12" outlineLevel="2">
      <c r="B1076" s="35">
        <f t="shared" si="33"/>
        <v>612</v>
      </c>
      <c r="C1076" s="41" t="s">
        <v>175</v>
      </c>
      <c r="D1076" s="41"/>
      <c r="E1076" s="41"/>
      <c r="F1076" s="41"/>
      <c r="G1076" s="41"/>
      <c r="H1076" s="41"/>
      <c r="I1076" s="42"/>
      <c r="J1076" s="41"/>
      <c r="K1076" s="41"/>
      <c r="L1076" s="43"/>
    </row>
    <row r="1077" spans="2:12" outlineLevel="2">
      <c r="B1077" s="35">
        <f t="shared" si="33"/>
        <v>613</v>
      </c>
      <c r="C1077" s="41" t="s">
        <v>175</v>
      </c>
      <c r="D1077" s="41"/>
      <c r="E1077" s="41"/>
      <c r="F1077" s="41"/>
      <c r="G1077" s="41"/>
      <c r="H1077" s="41"/>
      <c r="I1077" s="42"/>
      <c r="J1077" s="41"/>
      <c r="K1077" s="41"/>
      <c r="L1077" s="43"/>
    </row>
    <row r="1078" spans="2:12" outlineLevel="2">
      <c r="B1078" s="35">
        <f t="shared" si="33"/>
        <v>614</v>
      </c>
      <c r="C1078" s="41" t="s">
        <v>175</v>
      </c>
      <c r="D1078" s="41"/>
      <c r="E1078" s="41"/>
      <c r="F1078" s="41"/>
      <c r="G1078" s="41"/>
      <c r="H1078" s="41"/>
      <c r="I1078" s="42"/>
      <c r="J1078" s="41"/>
      <c r="K1078" s="41"/>
      <c r="L1078" s="43"/>
    </row>
    <row r="1079" spans="2:12" outlineLevel="2">
      <c r="B1079" s="35">
        <f t="shared" si="33"/>
        <v>615</v>
      </c>
      <c r="C1079" s="41" t="s">
        <v>175</v>
      </c>
      <c r="D1079" s="41"/>
      <c r="E1079" s="41"/>
      <c r="F1079" s="41"/>
      <c r="G1079" s="41"/>
      <c r="H1079" s="41"/>
      <c r="I1079" s="42"/>
      <c r="J1079" s="41"/>
      <c r="K1079" s="41"/>
      <c r="L1079" s="43"/>
    </row>
    <row r="1080" spans="2:12" outlineLevel="2">
      <c r="B1080" s="35">
        <f t="shared" si="33"/>
        <v>616</v>
      </c>
      <c r="C1080" s="41" t="s">
        <v>175</v>
      </c>
      <c r="D1080" s="41"/>
      <c r="E1080" s="41"/>
      <c r="F1080" s="41"/>
      <c r="G1080" s="41"/>
      <c r="H1080" s="41"/>
      <c r="I1080" s="42"/>
      <c r="J1080" s="41"/>
      <c r="K1080" s="41"/>
      <c r="L1080" s="43"/>
    </row>
    <row r="1081" spans="2:12" outlineLevel="2">
      <c r="B1081" s="35">
        <f t="shared" si="33"/>
        <v>617</v>
      </c>
      <c r="C1081" s="41" t="s">
        <v>175</v>
      </c>
      <c r="D1081" s="41"/>
      <c r="E1081" s="41"/>
      <c r="F1081" s="41"/>
      <c r="G1081" s="41"/>
      <c r="H1081" s="41"/>
      <c r="I1081" s="42"/>
      <c r="J1081" s="41"/>
      <c r="K1081" s="41"/>
      <c r="L1081" s="43"/>
    </row>
    <row r="1082" spans="2:12" outlineLevel="2">
      <c r="B1082" s="35">
        <f t="shared" ref="B1082:B1113" si="34">(B1081+1)</f>
        <v>618</v>
      </c>
      <c r="C1082" s="41" t="s">
        <v>175</v>
      </c>
      <c r="D1082" s="41"/>
      <c r="E1082" s="41"/>
      <c r="F1082" s="41"/>
      <c r="G1082" s="41"/>
      <c r="H1082" s="41"/>
      <c r="I1082" s="42"/>
      <c r="J1082" s="41"/>
      <c r="K1082" s="41"/>
      <c r="L1082" s="43"/>
    </row>
    <row r="1083" spans="2:12" outlineLevel="2">
      <c r="B1083" s="35">
        <f t="shared" si="34"/>
        <v>619</v>
      </c>
      <c r="C1083" s="41" t="s">
        <v>175</v>
      </c>
      <c r="D1083" s="41"/>
      <c r="E1083" s="41"/>
      <c r="F1083" s="41"/>
      <c r="G1083" s="41"/>
      <c r="H1083" s="41"/>
      <c r="I1083" s="42"/>
      <c r="J1083" s="41"/>
      <c r="K1083" s="41"/>
      <c r="L1083" s="43"/>
    </row>
    <row r="1084" spans="2:12" outlineLevel="2">
      <c r="B1084" s="35">
        <f t="shared" si="34"/>
        <v>620</v>
      </c>
      <c r="C1084" s="41" t="s">
        <v>175</v>
      </c>
      <c r="D1084" s="41"/>
      <c r="E1084" s="41"/>
      <c r="F1084" s="41"/>
      <c r="G1084" s="41"/>
      <c r="H1084" s="41"/>
      <c r="I1084" s="42"/>
      <c r="J1084" s="41"/>
      <c r="K1084" s="41"/>
      <c r="L1084" s="43"/>
    </row>
    <row r="1085" spans="2:12" outlineLevel="2">
      <c r="B1085" s="35">
        <f t="shared" si="34"/>
        <v>621</v>
      </c>
      <c r="C1085" s="41" t="s">
        <v>175</v>
      </c>
      <c r="D1085" s="41"/>
      <c r="E1085" s="41"/>
      <c r="F1085" s="41"/>
      <c r="G1085" s="41"/>
      <c r="H1085" s="41"/>
      <c r="I1085" s="42"/>
      <c r="J1085" s="41"/>
      <c r="K1085" s="41"/>
      <c r="L1085" s="43"/>
    </row>
    <row r="1086" spans="2:12" outlineLevel="2">
      <c r="B1086" s="35">
        <f t="shared" si="34"/>
        <v>622</v>
      </c>
      <c r="C1086" s="41" t="s">
        <v>175</v>
      </c>
      <c r="D1086" s="41"/>
      <c r="E1086" s="41"/>
      <c r="F1086" s="41"/>
      <c r="G1086" s="41"/>
      <c r="H1086" s="41"/>
      <c r="I1086" s="42"/>
      <c r="J1086" s="41"/>
      <c r="K1086" s="41"/>
      <c r="L1086" s="43"/>
    </row>
    <row r="1087" spans="2:12" outlineLevel="2">
      <c r="B1087" s="35">
        <f t="shared" si="34"/>
        <v>623</v>
      </c>
      <c r="C1087" s="41" t="s">
        <v>175</v>
      </c>
      <c r="D1087" s="41"/>
      <c r="E1087" s="41"/>
      <c r="F1087" s="41"/>
      <c r="G1087" s="41"/>
      <c r="H1087" s="41"/>
      <c r="I1087" s="42"/>
      <c r="J1087" s="41"/>
      <c r="K1087" s="41"/>
      <c r="L1087" s="43"/>
    </row>
    <row r="1088" spans="2:12" outlineLevel="2">
      <c r="B1088" s="35">
        <f t="shared" si="34"/>
        <v>624</v>
      </c>
      <c r="C1088" s="41" t="s">
        <v>175</v>
      </c>
      <c r="D1088" s="41"/>
      <c r="E1088" s="41"/>
      <c r="F1088" s="41"/>
      <c r="G1088" s="41"/>
      <c r="H1088" s="41"/>
      <c r="I1088" s="42"/>
      <c r="J1088" s="41"/>
      <c r="K1088" s="41"/>
      <c r="L1088" s="43"/>
    </row>
    <row r="1089" spans="2:12" outlineLevel="2">
      <c r="B1089" s="35">
        <f t="shared" si="34"/>
        <v>625</v>
      </c>
      <c r="C1089" s="41" t="s">
        <v>175</v>
      </c>
      <c r="D1089" s="41"/>
      <c r="E1089" s="41"/>
      <c r="F1089" s="41"/>
      <c r="G1089" s="41"/>
      <c r="H1089" s="41"/>
      <c r="I1089" s="42"/>
      <c r="J1089" s="41"/>
      <c r="K1089" s="41"/>
      <c r="L1089" s="43"/>
    </row>
    <row r="1090" spans="2:12" outlineLevel="2">
      <c r="B1090" s="35">
        <f t="shared" si="34"/>
        <v>626</v>
      </c>
      <c r="C1090" s="41" t="s">
        <v>175</v>
      </c>
      <c r="D1090" s="41"/>
      <c r="E1090" s="41"/>
      <c r="F1090" s="41"/>
      <c r="G1090" s="41"/>
      <c r="H1090" s="41"/>
      <c r="I1090" s="42"/>
      <c r="J1090" s="41"/>
      <c r="K1090" s="41"/>
      <c r="L1090" s="43"/>
    </row>
    <row r="1091" spans="2:12" outlineLevel="2">
      <c r="B1091" s="35">
        <f t="shared" si="34"/>
        <v>627</v>
      </c>
      <c r="C1091" s="41" t="s">
        <v>175</v>
      </c>
      <c r="D1091" s="41"/>
      <c r="E1091" s="41"/>
      <c r="F1091" s="41"/>
      <c r="G1091" s="41"/>
      <c r="H1091" s="41"/>
      <c r="I1091" s="42"/>
      <c r="J1091" s="41"/>
      <c r="K1091" s="41"/>
      <c r="L1091" s="43"/>
    </row>
    <row r="1092" spans="2:12" outlineLevel="2">
      <c r="B1092" s="35">
        <f t="shared" si="34"/>
        <v>628</v>
      </c>
      <c r="C1092" s="41" t="s">
        <v>175</v>
      </c>
      <c r="D1092" s="41"/>
      <c r="E1092" s="41"/>
      <c r="F1092" s="41"/>
      <c r="G1092" s="41"/>
      <c r="H1092" s="41"/>
      <c r="I1092" s="42"/>
      <c r="J1092" s="41"/>
      <c r="K1092" s="41"/>
      <c r="L1092" s="43"/>
    </row>
    <row r="1093" spans="2:12" outlineLevel="2">
      <c r="B1093" s="35">
        <f t="shared" si="34"/>
        <v>629</v>
      </c>
      <c r="C1093" s="41" t="s">
        <v>175</v>
      </c>
      <c r="D1093" s="41"/>
      <c r="E1093" s="41"/>
      <c r="F1093" s="41"/>
      <c r="G1093" s="41"/>
      <c r="H1093" s="41"/>
      <c r="I1093" s="42"/>
      <c r="J1093" s="41"/>
      <c r="K1093" s="41"/>
      <c r="L1093" s="43"/>
    </row>
    <row r="1094" spans="2:12" outlineLevel="2">
      <c r="B1094" s="35">
        <f t="shared" si="34"/>
        <v>630</v>
      </c>
      <c r="C1094" s="41" t="s">
        <v>175</v>
      </c>
      <c r="D1094" s="41"/>
      <c r="E1094" s="41"/>
      <c r="F1094" s="41"/>
      <c r="G1094" s="41"/>
      <c r="H1094" s="41"/>
      <c r="I1094" s="42"/>
      <c r="J1094" s="41"/>
      <c r="K1094" s="41"/>
      <c r="L1094" s="43"/>
    </row>
    <row r="1095" spans="2:12" outlineLevel="2">
      <c r="B1095" s="35">
        <f t="shared" si="34"/>
        <v>631</v>
      </c>
      <c r="C1095" s="41" t="s">
        <v>175</v>
      </c>
      <c r="D1095" s="41"/>
      <c r="E1095" s="41"/>
      <c r="F1095" s="41"/>
      <c r="G1095" s="41"/>
      <c r="H1095" s="41"/>
      <c r="I1095" s="42"/>
      <c r="J1095" s="41"/>
      <c r="K1095" s="41"/>
      <c r="L1095" s="43"/>
    </row>
    <row r="1096" spans="2:12" outlineLevel="2">
      <c r="B1096" s="35">
        <f t="shared" si="34"/>
        <v>632</v>
      </c>
      <c r="C1096" s="41" t="s">
        <v>175</v>
      </c>
      <c r="D1096" s="41"/>
      <c r="E1096" s="41"/>
      <c r="F1096" s="41"/>
      <c r="G1096" s="41"/>
      <c r="H1096" s="41"/>
      <c r="I1096" s="42"/>
      <c r="J1096" s="41"/>
      <c r="K1096" s="41"/>
      <c r="L1096" s="43"/>
    </row>
    <row r="1097" spans="2:12" outlineLevel="2">
      <c r="B1097" s="35">
        <f t="shared" si="34"/>
        <v>633</v>
      </c>
      <c r="C1097" s="41" t="s">
        <v>175</v>
      </c>
      <c r="D1097" s="41"/>
      <c r="E1097" s="41"/>
      <c r="F1097" s="41"/>
      <c r="G1097" s="41"/>
      <c r="H1097" s="41"/>
      <c r="I1097" s="42"/>
      <c r="J1097" s="41"/>
      <c r="K1097" s="41"/>
      <c r="L1097" s="43"/>
    </row>
    <row r="1098" spans="2:12" outlineLevel="2">
      <c r="B1098" s="35">
        <f t="shared" si="34"/>
        <v>634</v>
      </c>
      <c r="C1098" s="41" t="s">
        <v>175</v>
      </c>
      <c r="D1098" s="41"/>
      <c r="E1098" s="41"/>
      <c r="F1098" s="41"/>
      <c r="G1098" s="41"/>
      <c r="H1098" s="41"/>
      <c r="I1098" s="42"/>
      <c r="J1098" s="41"/>
      <c r="K1098" s="41"/>
      <c r="L1098" s="43"/>
    </row>
    <row r="1099" spans="2:12" outlineLevel="2">
      <c r="B1099" s="35">
        <f t="shared" si="34"/>
        <v>635</v>
      </c>
      <c r="C1099" s="41" t="s">
        <v>175</v>
      </c>
      <c r="D1099" s="41"/>
      <c r="E1099" s="41"/>
      <c r="F1099" s="41"/>
      <c r="G1099" s="41"/>
      <c r="H1099" s="41"/>
      <c r="I1099" s="42"/>
      <c r="J1099" s="41"/>
      <c r="K1099" s="41"/>
      <c r="L1099" s="43"/>
    </row>
    <row r="1100" spans="2:12" outlineLevel="2">
      <c r="B1100" s="35">
        <f t="shared" si="34"/>
        <v>636</v>
      </c>
      <c r="C1100" s="41" t="s">
        <v>175</v>
      </c>
      <c r="D1100" s="41"/>
      <c r="E1100" s="41"/>
      <c r="F1100" s="41"/>
      <c r="G1100" s="41"/>
      <c r="H1100" s="41"/>
      <c r="I1100" s="42"/>
      <c r="J1100" s="41"/>
      <c r="K1100" s="41"/>
      <c r="L1100" s="43"/>
    </row>
    <row r="1101" spans="2:12" outlineLevel="2">
      <c r="B1101" s="35">
        <f t="shared" si="34"/>
        <v>637</v>
      </c>
      <c r="C1101" s="41" t="s">
        <v>175</v>
      </c>
      <c r="D1101" s="41"/>
      <c r="E1101" s="41"/>
      <c r="F1101" s="41"/>
      <c r="G1101" s="41"/>
      <c r="H1101" s="41"/>
      <c r="I1101" s="42"/>
      <c r="J1101" s="41"/>
      <c r="K1101" s="41"/>
      <c r="L1101" s="43"/>
    </row>
    <row r="1102" spans="2:12" outlineLevel="2">
      <c r="B1102" s="35">
        <f t="shared" si="34"/>
        <v>638</v>
      </c>
      <c r="C1102" s="41" t="s">
        <v>175</v>
      </c>
      <c r="D1102" s="41"/>
      <c r="E1102" s="41"/>
      <c r="F1102" s="41"/>
      <c r="G1102" s="41"/>
      <c r="H1102" s="41"/>
      <c r="I1102" s="42"/>
      <c r="J1102" s="41"/>
      <c r="K1102" s="41"/>
      <c r="L1102" s="43"/>
    </row>
    <row r="1103" spans="2:12" outlineLevel="2">
      <c r="B1103" s="35">
        <f t="shared" si="34"/>
        <v>639</v>
      </c>
      <c r="C1103" s="41" t="s">
        <v>175</v>
      </c>
      <c r="D1103" s="41"/>
      <c r="E1103" s="41"/>
      <c r="F1103" s="41"/>
      <c r="G1103" s="41"/>
      <c r="H1103" s="41"/>
      <c r="I1103" s="42"/>
      <c r="J1103" s="41"/>
      <c r="K1103" s="41"/>
      <c r="L1103" s="43"/>
    </row>
    <row r="1104" spans="2:12" outlineLevel="2">
      <c r="B1104" s="35">
        <f t="shared" si="34"/>
        <v>640</v>
      </c>
      <c r="C1104" s="41" t="s">
        <v>175</v>
      </c>
      <c r="D1104" s="41"/>
      <c r="E1104" s="41"/>
      <c r="F1104" s="41"/>
      <c r="G1104" s="41"/>
      <c r="H1104" s="41"/>
      <c r="I1104" s="42"/>
      <c r="J1104" s="41"/>
      <c r="K1104" s="41"/>
      <c r="L1104" s="43"/>
    </row>
    <row r="1105" spans="2:12" outlineLevel="2">
      <c r="B1105" s="35">
        <f t="shared" si="34"/>
        <v>641</v>
      </c>
      <c r="C1105" s="41" t="s">
        <v>175</v>
      </c>
      <c r="D1105" s="41"/>
      <c r="E1105" s="41"/>
      <c r="F1105" s="41"/>
      <c r="G1105" s="41"/>
      <c r="H1105" s="41"/>
      <c r="I1105" s="42"/>
      <c r="J1105" s="41"/>
      <c r="K1105" s="41"/>
      <c r="L1105" s="43"/>
    </row>
    <row r="1106" spans="2:12" outlineLevel="2">
      <c r="B1106" s="35">
        <f t="shared" si="34"/>
        <v>642</v>
      </c>
      <c r="C1106" s="41" t="s">
        <v>175</v>
      </c>
      <c r="D1106" s="41"/>
      <c r="E1106" s="41"/>
      <c r="F1106" s="41"/>
      <c r="G1106" s="41"/>
      <c r="H1106" s="41"/>
      <c r="I1106" s="42"/>
      <c r="J1106" s="41"/>
      <c r="K1106" s="41"/>
      <c r="L1106" s="43"/>
    </row>
    <row r="1107" spans="2:12" outlineLevel="2">
      <c r="B1107" s="35">
        <f t="shared" si="34"/>
        <v>643</v>
      </c>
      <c r="C1107" s="41" t="s">
        <v>175</v>
      </c>
      <c r="D1107" s="41"/>
      <c r="E1107" s="41"/>
      <c r="F1107" s="41"/>
      <c r="G1107" s="41"/>
      <c r="H1107" s="41"/>
      <c r="I1107" s="42"/>
      <c r="J1107" s="41"/>
      <c r="K1107" s="41"/>
      <c r="L1107" s="43"/>
    </row>
    <row r="1108" spans="2:12" outlineLevel="2">
      <c r="B1108" s="35">
        <f t="shared" si="34"/>
        <v>644</v>
      </c>
      <c r="C1108" s="41" t="s">
        <v>175</v>
      </c>
      <c r="D1108" s="41"/>
      <c r="E1108" s="41"/>
      <c r="F1108" s="41"/>
      <c r="G1108" s="41"/>
      <c r="H1108" s="41"/>
      <c r="I1108" s="42"/>
      <c r="J1108" s="41"/>
      <c r="K1108" s="41"/>
      <c r="L1108" s="43"/>
    </row>
    <row r="1109" spans="2:12" outlineLevel="2">
      <c r="B1109" s="35">
        <f t="shared" si="34"/>
        <v>645</v>
      </c>
      <c r="C1109" s="41" t="s">
        <v>175</v>
      </c>
      <c r="D1109" s="41"/>
      <c r="E1109" s="41"/>
      <c r="F1109" s="41"/>
      <c r="G1109" s="41"/>
      <c r="H1109" s="41"/>
      <c r="I1109" s="42"/>
      <c r="J1109" s="41"/>
      <c r="K1109" s="41"/>
      <c r="L1109" s="43"/>
    </row>
    <row r="1110" spans="2:12" outlineLevel="2">
      <c r="B1110" s="35">
        <f t="shared" si="34"/>
        <v>646</v>
      </c>
      <c r="C1110" s="41" t="s">
        <v>175</v>
      </c>
      <c r="D1110" s="41"/>
      <c r="E1110" s="41"/>
      <c r="F1110" s="41"/>
      <c r="G1110" s="41"/>
      <c r="H1110" s="41"/>
      <c r="I1110" s="42"/>
      <c r="J1110" s="41"/>
      <c r="K1110" s="41"/>
      <c r="L1110" s="43"/>
    </row>
    <row r="1111" spans="2:12" outlineLevel="2">
      <c r="B1111" s="35">
        <f t="shared" si="34"/>
        <v>647</v>
      </c>
      <c r="C1111" s="41" t="s">
        <v>175</v>
      </c>
      <c r="D1111" s="41"/>
      <c r="E1111" s="41"/>
      <c r="F1111" s="41"/>
      <c r="G1111" s="41"/>
      <c r="H1111" s="41"/>
      <c r="I1111" s="42"/>
      <c r="J1111" s="41"/>
      <c r="K1111" s="41"/>
      <c r="L1111" s="43"/>
    </row>
    <row r="1112" spans="2:12" outlineLevel="2">
      <c r="B1112" s="35">
        <f t="shared" si="34"/>
        <v>648</v>
      </c>
      <c r="C1112" s="41" t="s">
        <v>175</v>
      </c>
      <c r="D1112" s="41"/>
      <c r="E1112" s="41"/>
      <c r="F1112" s="41"/>
      <c r="G1112" s="41"/>
      <c r="H1112" s="41"/>
      <c r="I1112" s="42"/>
      <c r="J1112" s="41"/>
      <c r="K1112" s="41"/>
      <c r="L1112" s="43"/>
    </row>
    <row r="1113" spans="2:12" outlineLevel="2">
      <c r="B1113" s="35">
        <f t="shared" si="34"/>
        <v>649</v>
      </c>
      <c r="C1113" s="41" t="s">
        <v>175</v>
      </c>
      <c r="D1113" s="41"/>
      <c r="E1113" s="41"/>
      <c r="F1113" s="41"/>
      <c r="G1113" s="41"/>
      <c r="H1113" s="41"/>
      <c r="I1113" s="42"/>
      <c r="J1113" s="41"/>
      <c r="K1113" s="41"/>
      <c r="L1113" s="43"/>
    </row>
    <row r="1114" spans="2:12" outlineLevel="2">
      <c r="B1114" s="35">
        <f t="shared" ref="B1114:B1148" si="35">(B1113+1)</f>
        <v>650</v>
      </c>
      <c r="C1114" s="41" t="s">
        <v>175</v>
      </c>
      <c r="D1114" s="41"/>
      <c r="E1114" s="41"/>
      <c r="F1114" s="41"/>
      <c r="G1114" s="41"/>
      <c r="H1114" s="41"/>
      <c r="I1114" s="42"/>
      <c r="J1114" s="41"/>
      <c r="K1114" s="41"/>
      <c r="L1114" s="43"/>
    </row>
    <row r="1115" spans="2:12" outlineLevel="2">
      <c r="B1115" s="35">
        <f t="shared" si="35"/>
        <v>651</v>
      </c>
      <c r="C1115" s="41" t="s">
        <v>175</v>
      </c>
      <c r="D1115" s="41"/>
      <c r="E1115" s="41"/>
      <c r="F1115" s="41"/>
      <c r="G1115" s="41"/>
      <c r="H1115" s="41"/>
      <c r="I1115" s="42"/>
      <c r="J1115" s="41"/>
      <c r="K1115" s="41"/>
      <c r="L1115" s="43"/>
    </row>
    <row r="1116" spans="2:12" outlineLevel="2">
      <c r="B1116" s="35">
        <f t="shared" si="35"/>
        <v>652</v>
      </c>
      <c r="C1116" s="41" t="s">
        <v>175</v>
      </c>
      <c r="D1116" s="41"/>
      <c r="E1116" s="41"/>
      <c r="F1116" s="41"/>
      <c r="G1116" s="41"/>
      <c r="H1116" s="41"/>
      <c r="I1116" s="42"/>
      <c r="J1116" s="41"/>
      <c r="K1116" s="41"/>
      <c r="L1116" s="43"/>
    </row>
    <row r="1117" spans="2:12" outlineLevel="2">
      <c r="B1117" s="35">
        <f t="shared" si="35"/>
        <v>653</v>
      </c>
      <c r="C1117" s="41" t="s">
        <v>175</v>
      </c>
      <c r="D1117" s="41"/>
      <c r="E1117" s="41"/>
      <c r="F1117" s="41"/>
      <c r="G1117" s="41"/>
      <c r="H1117" s="41"/>
      <c r="I1117" s="42"/>
      <c r="J1117" s="41"/>
      <c r="K1117" s="41"/>
      <c r="L1117" s="43"/>
    </row>
    <row r="1118" spans="2:12" outlineLevel="2">
      <c r="B1118" s="35">
        <f t="shared" si="35"/>
        <v>654</v>
      </c>
      <c r="C1118" s="41" t="s">
        <v>175</v>
      </c>
      <c r="D1118" s="41"/>
      <c r="E1118" s="41"/>
      <c r="F1118" s="41"/>
      <c r="G1118" s="41"/>
      <c r="H1118" s="41"/>
      <c r="I1118" s="42"/>
      <c r="J1118" s="41"/>
      <c r="K1118" s="41"/>
      <c r="L1118" s="43"/>
    </row>
    <row r="1119" spans="2:12" outlineLevel="2">
      <c r="B1119" s="35">
        <f t="shared" si="35"/>
        <v>655</v>
      </c>
      <c r="C1119" s="41" t="s">
        <v>175</v>
      </c>
      <c r="D1119" s="41"/>
      <c r="E1119" s="41"/>
      <c r="F1119" s="41"/>
      <c r="G1119" s="41"/>
      <c r="H1119" s="41"/>
      <c r="I1119" s="42"/>
      <c r="J1119" s="41"/>
      <c r="K1119" s="41"/>
      <c r="L1119" s="43"/>
    </row>
    <row r="1120" spans="2:12" outlineLevel="2">
      <c r="B1120" s="35">
        <f t="shared" si="35"/>
        <v>656</v>
      </c>
      <c r="C1120" s="41" t="s">
        <v>175</v>
      </c>
      <c r="D1120" s="41"/>
      <c r="E1120" s="41"/>
      <c r="F1120" s="41"/>
      <c r="G1120" s="41"/>
      <c r="H1120" s="41"/>
      <c r="I1120" s="42"/>
      <c r="J1120" s="41"/>
      <c r="K1120" s="41"/>
      <c r="L1120" s="43"/>
    </row>
    <row r="1121" spans="2:12" outlineLevel="2">
      <c r="B1121" s="35">
        <f t="shared" si="35"/>
        <v>657</v>
      </c>
      <c r="C1121" s="41" t="s">
        <v>175</v>
      </c>
      <c r="D1121" s="41"/>
      <c r="E1121" s="41"/>
      <c r="F1121" s="41"/>
      <c r="G1121" s="41"/>
      <c r="H1121" s="41"/>
      <c r="I1121" s="42"/>
      <c r="J1121" s="41"/>
      <c r="K1121" s="41"/>
      <c r="L1121" s="43"/>
    </row>
    <row r="1122" spans="2:12" outlineLevel="2">
      <c r="B1122" s="35">
        <f t="shared" si="35"/>
        <v>658</v>
      </c>
      <c r="C1122" s="41" t="s">
        <v>175</v>
      </c>
      <c r="D1122" s="41"/>
      <c r="E1122" s="41"/>
      <c r="F1122" s="41"/>
      <c r="G1122" s="41"/>
      <c r="H1122" s="41"/>
      <c r="I1122" s="42"/>
      <c r="J1122" s="41"/>
      <c r="K1122" s="41"/>
      <c r="L1122" s="43"/>
    </row>
    <row r="1123" spans="2:12" outlineLevel="2">
      <c r="B1123" s="35">
        <f t="shared" si="35"/>
        <v>659</v>
      </c>
      <c r="C1123" s="41" t="s">
        <v>175</v>
      </c>
      <c r="D1123" s="41"/>
      <c r="E1123" s="41"/>
      <c r="F1123" s="41"/>
      <c r="G1123" s="41"/>
      <c r="H1123" s="41"/>
      <c r="I1123" s="42"/>
      <c r="J1123" s="41"/>
      <c r="K1123" s="41"/>
      <c r="L1123" s="43"/>
    </row>
    <row r="1124" spans="2:12" outlineLevel="2">
      <c r="B1124" s="35">
        <f t="shared" si="35"/>
        <v>660</v>
      </c>
      <c r="C1124" s="41" t="s">
        <v>175</v>
      </c>
      <c r="D1124" s="41"/>
      <c r="E1124" s="41"/>
      <c r="F1124" s="41"/>
      <c r="G1124" s="41"/>
      <c r="H1124" s="41"/>
      <c r="I1124" s="42"/>
      <c r="J1124" s="41"/>
      <c r="K1124" s="41"/>
      <c r="L1124" s="43"/>
    </row>
    <row r="1125" spans="2:12" outlineLevel="2">
      <c r="B1125" s="35">
        <f t="shared" si="35"/>
        <v>661</v>
      </c>
      <c r="C1125" s="41" t="s">
        <v>175</v>
      </c>
      <c r="D1125" s="41"/>
      <c r="E1125" s="41"/>
      <c r="F1125" s="41"/>
      <c r="G1125" s="41"/>
      <c r="H1125" s="41"/>
      <c r="I1125" s="42"/>
      <c r="J1125" s="41"/>
      <c r="K1125" s="41"/>
      <c r="L1125" s="43"/>
    </row>
    <row r="1126" spans="2:12" outlineLevel="2">
      <c r="B1126" s="35">
        <f t="shared" si="35"/>
        <v>662</v>
      </c>
      <c r="C1126" s="41" t="s">
        <v>175</v>
      </c>
      <c r="D1126" s="41"/>
      <c r="E1126" s="41"/>
      <c r="F1126" s="41"/>
      <c r="G1126" s="41"/>
      <c r="H1126" s="41"/>
      <c r="I1126" s="42"/>
      <c r="J1126" s="41"/>
      <c r="K1126" s="41"/>
      <c r="L1126" s="43"/>
    </row>
    <row r="1127" spans="2:12" outlineLevel="2">
      <c r="B1127" s="35">
        <f t="shared" si="35"/>
        <v>663</v>
      </c>
      <c r="C1127" s="41" t="s">
        <v>175</v>
      </c>
      <c r="D1127" s="41"/>
      <c r="E1127" s="41"/>
      <c r="F1127" s="41"/>
      <c r="G1127" s="41"/>
      <c r="H1127" s="41"/>
      <c r="I1127" s="42"/>
      <c r="J1127" s="41"/>
      <c r="K1127" s="41"/>
      <c r="L1127" s="43"/>
    </row>
    <row r="1128" spans="2:12" outlineLevel="2">
      <c r="B1128" s="35">
        <f t="shared" si="35"/>
        <v>664</v>
      </c>
      <c r="C1128" s="41" t="s">
        <v>175</v>
      </c>
      <c r="D1128" s="41"/>
      <c r="E1128" s="41"/>
      <c r="F1128" s="41"/>
      <c r="G1128" s="41"/>
      <c r="H1128" s="41"/>
      <c r="I1128" s="42"/>
      <c r="J1128" s="41"/>
      <c r="K1128" s="41"/>
      <c r="L1128" s="43"/>
    </row>
    <row r="1129" spans="2:12" outlineLevel="2">
      <c r="B1129" s="35">
        <f t="shared" si="35"/>
        <v>665</v>
      </c>
      <c r="C1129" s="41" t="s">
        <v>175</v>
      </c>
      <c r="D1129" s="41"/>
      <c r="E1129" s="41"/>
      <c r="F1129" s="41"/>
      <c r="G1129" s="41"/>
      <c r="H1129" s="41"/>
      <c r="I1129" s="42"/>
      <c r="J1129" s="41"/>
      <c r="K1129" s="41"/>
      <c r="L1129" s="43"/>
    </row>
    <row r="1130" spans="2:12" outlineLevel="2">
      <c r="B1130" s="35">
        <f t="shared" si="35"/>
        <v>666</v>
      </c>
      <c r="C1130" s="41" t="s">
        <v>175</v>
      </c>
      <c r="D1130" s="41"/>
      <c r="E1130" s="41"/>
      <c r="F1130" s="41"/>
      <c r="G1130" s="41"/>
      <c r="H1130" s="41"/>
      <c r="I1130" s="42"/>
      <c r="J1130" s="41"/>
      <c r="K1130" s="41"/>
      <c r="L1130" s="43"/>
    </row>
    <row r="1131" spans="2:12" outlineLevel="2">
      <c r="B1131" s="35">
        <f t="shared" si="35"/>
        <v>667</v>
      </c>
      <c r="C1131" s="41" t="s">
        <v>175</v>
      </c>
      <c r="D1131" s="41"/>
      <c r="E1131" s="41"/>
      <c r="F1131" s="41"/>
      <c r="G1131" s="41"/>
      <c r="H1131" s="41"/>
      <c r="I1131" s="42"/>
      <c r="J1131" s="41"/>
      <c r="K1131" s="41"/>
      <c r="L1131" s="43"/>
    </row>
    <row r="1132" spans="2:12" outlineLevel="2">
      <c r="B1132" s="35">
        <f t="shared" si="35"/>
        <v>668</v>
      </c>
      <c r="C1132" s="41" t="s">
        <v>175</v>
      </c>
      <c r="D1132" s="41"/>
      <c r="E1132" s="41"/>
      <c r="F1132" s="41"/>
      <c r="G1132" s="41"/>
      <c r="H1132" s="41"/>
      <c r="I1132" s="42"/>
      <c r="J1132" s="41"/>
      <c r="K1132" s="41"/>
      <c r="L1132" s="43"/>
    </row>
    <row r="1133" spans="2:12" outlineLevel="2">
      <c r="B1133" s="35">
        <f t="shared" si="35"/>
        <v>669</v>
      </c>
      <c r="C1133" s="41" t="s">
        <v>175</v>
      </c>
      <c r="D1133" s="41"/>
      <c r="E1133" s="41"/>
      <c r="F1133" s="41"/>
      <c r="G1133" s="41"/>
      <c r="H1133" s="41"/>
      <c r="I1133" s="42"/>
      <c r="J1133" s="41"/>
      <c r="K1133" s="41"/>
      <c r="L1133" s="43"/>
    </row>
    <row r="1134" spans="2:12" outlineLevel="2">
      <c r="B1134" s="35">
        <f t="shared" si="35"/>
        <v>670</v>
      </c>
      <c r="C1134" s="41" t="s">
        <v>175</v>
      </c>
      <c r="D1134" s="41"/>
      <c r="E1134" s="41"/>
      <c r="F1134" s="41"/>
      <c r="G1134" s="41"/>
      <c r="H1134" s="41"/>
      <c r="I1134" s="42"/>
      <c r="J1134" s="41"/>
      <c r="K1134" s="41"/>
      <c r="L1134" s="43"/>
    </row>
    <row r="1135" spans="2:12" outlineLevel="2">
      <c r="B1135" s="35">
        <f t="shared" si="35"/>
        <v>671</v>
      </c>
      <c r="C1135" s="41" t="s">
        <v>175</v>
      </c>
      <c r="D1135" s="41"/>
      <c r="E1135" s="41"/>
      <c r="F1135" s="41"/>
      <c r="G1135" s="41"/>
      <c r="H1135" s="41"/>
      <c r="I1135" s="42"/>
      <c r="J1135" s="41"/>
      <c r="K1135" s="41"/>
      <c r="L1135" s="43"/>
    </row>
    <row r="1136" spans="2:12" outlineLevel="2">
      <c r="B1136" s="35">
        <f t="shared" si="35"/>
        <v>672</v>
      </c>
      <c r="C1136" s="41" t="s">
        <v>175</v>
      </c>
      <c r="D1136" s="41"/>
      <c r="E1136" s="41"/>
      <c r="F1136" s="41"/>
      <c r="G1136" s="41"/>
      <c r="H1136" s="41"/>
      <c r="I1136" s="42"/>
      <c r="J1136" s="41"/>
      <c r="K1136" s="41"/>
      <c r="L1136" s="43"/>
    </row>
    <row r="1137" spans="2:12" outlineLevel="2">
      <c r="B1137" s="35">
        <f t="shared" si="35"/>
        <v>673</v>
      </c>
      <c r="C1137" s="41" t="s">
        <v>175</v>
      </c>
      <c r="D1137" s="41"/>
      <c r="E1137" s="41"/>
      <c r="F1137" s="41"/>
      <c r="G1137" s="41"/>
      <c r="H1137" s="41"/>
      <c r="I1137" s="42"/>
      <c r="J1137" s="41"/>
      <c r="K1137" s="41"/>
      <c r="L1137" s="43"/>
    </row>
    <row r="1138" spans="2:12" outlineLevel="2">
      <c r="B1138" s="35">
        <f t="shared" si="35"/>
        <v>674</v>
      </c>
      <c r="C1138" s="41" t="s">
        <v>175</v>
      </c>
      <c r="D1138" s="41"/>
      <c r="E1138" s="41"/>
      <c r="F1138" s="41"/>
      <c r="G1138" s="41"/>
      <c r="H1138" s="41"/>
      <c r="I1138" s="42"/>
      <c r="J1138" s="41"/>
      <c r="K1138" s="41"/>
      <c r="L1138" s="43"/>
    </row>
    <row r="1139" spans="2:12" outlineLevel="2">
      <c r="B1139" s="35">
        <f t="shared" si="35"/>
        <v>675</v>
      </c>
      <c r="C1139" s="41" t="s">
        <v>175</v>
      </c>
      <c r="D1139" s="41"/>
      <c r="E1139" s="41"/>
      <c r="F1139" s="41"/>
      <c r="G1139" s="41"/>
      <c r="H1139" s="41"/>
      <c r="I1139" s="42"/>
      <c r="J1139" s="41"/>
      <c r="K1139" s="41"/>
      <c r="L1139" s="43"/>
    </row>
    <row r="1140" spans="2:12" outlineLevel="2">
      <c r="B1140" s="35">
        <f t="shared" si="35"/>
        <v>676</v>
      </c>
      <c r="C1140" s="41" t="s">
        <v>175</v>
      </c>
      <c r="D1140" s="41"/>
      <c r="E1140" s="41"/>
      <c r="F1140" s="41"/>
      <c r="G1140" s="41"/>
      <c r="H1140" s="41"/>
      <c r="I1140" s="42"/>
      <c r="J1140" s="41"/>
      <c r="K1140" s="41"/>
      <c r="L1140" s="43"/>
    </row>
    <row r="1141" spans="2:12" outlineLevel="2">
      <c r="B1141" s="35">
        <f t="shared" si="35"/>
        <v>677</v>
      </c>
      <c r="C1141" s="41" t="s">
        <v>175</v>
      </c>
      <c r="D1141" s="41"/>
      <c r="E1141" s="41"/>
      <c r="F1141" s="41"/>
      <c r="G1141" s="41"/>
      <c r="H1141" s="41"/>
      <c r="I1141" s="42"/>
      <c r="J1141" s="41"/>
      <c r="K1141" s="41"/>
      <c r="L1141" s="43"/>
    </row>
    <row r="1142" spans="2:12" outlineLevel="2">
      <c r="B1142" s="35">
        <f t="shared" si="35"/>
        <v>678</v>
      </c>
      <c r="C1142" s="41" t="s">
        <v>175</v>
      </c>
      <c r="D1142" s="41"/>
      <c r="E1142" s="41"/>
      <c r="F1142" s="41"/>
      <c r="G1142" s="41"/>
      <c r="H1142" s="41"/>
      <c r="I1142" s="42"/>
      <c r="J1142" s="41"/>
      <c r="K1142" s="41"/>
      <c r="L1142" s="43"/>
    </row>
    <row r="1143" spans="2:12" outlineLevel="2">
      <c r="B1143" s="35">
        <f t="shared" si="35"/>
        <v>679</v>
      </c>
      <c r="C1143" s="41" t="s">
        <v>175</v>
      </c>
      <c r="D1143" s="41"/>
      <c r="E1143" s="41"/>
      <c r="F1143" s="41"/>
      <c r="G1143" s="41"/>
      <c r="H1143" s="41"/>
      <c r="I1143" s="42"/>
      <c r="J1143" s="41"/>
      <c r="K1143" s="41"/>
      <c r="L1143" s="43"/>
    </row>
    <row r="1144" spans="2:12" outlineLevel="2">
      <c r="B1144" s="35">
        <f t="shared" si="35"/>
        <v>680</v>
      </c>
      <c r="C1144" s="41" t="s">
        <v>175</v>
      </c>
      <c r="D1144" s="41"/>
      <c r="E1144" s="41"/>
      <c r="F1144" s="41"/>
      <c r="G1144" s="41"/>
      <c r="H1144" s="41"/>
      <c r="I1144" s="42"/>
      <c r="J1144" s="41"/>
      <c r="K1144" s="41"/>
      <c r="L1144" s="43"/>
    </row>
    <row r="1145" spans="2:12" outlineLevel="2">
      <c r="B1145" s="35">
        <f t="shared" si="35"/>
        <v>681</v>
      </c>
      <c r="C1145" s="41" t="s">
        <v>175</v>
      </c>
      <c r="D1145" s="41"/>
      <c r="E1145" s="41"/>
      <c r="F1145" s="41"/>
      <c r="G1145" s="41"/>
      <c r="H1145" s="41"/>
      <c r="I1145" s="42"/>
      <c r="J1145" s="41"/>
      <c r="K1145" s="41"/>
      <c r="L1145" s="43"/>
    </row>
    <row r="1146" spans="2:12" outlineLevel="2">
      <c r="B1146" s="35">
        <f t="shared" si="35"/>
        <v>682</v>
      </c>
      <c r="C1146" s="41" t="s">
        <v>175</v>
      </c>
      <c r="D1146" s="41"/>
      <c r="E1146" s="41"/>
      <c r="F1146" s="41"/>
      <c r="G1146" s="41"/>
      <c r="H1146" s="41"/>
      <c r="I1146" s="42"/>
      <c r="J1146" s="41"/>
      <c r="K1146" s="41"/>
      <c r="L1146" s="43"/>
    </row>
    <row r="1147" spans="2:12" outlineLevel="2">
      <c r="B1147" s="35">
        <f t="shared" si="35"/>
        <v>683</v>
      </c>
      <c r="C1147" s="41" t="s">
        <v>175</v>
      </c>
      <c r="D1147" s="41"/>
      <c r="E1147" s="41"/>
      <c r="F1147" s="41"/>
      <c r="G1147" s="41"/>
      <c r="H1147" s="41"/>
      <c r="I1147" s="42"/>
      <c r="J1147" s="41"/>
      <c r="K1147" s="41"/>
      <c r="L1147" s="43"/>
    </row>
    <row r="1148" spans="2:12" outlineLevel="2">
      <c r="B1148" s="35">
        <f t="shared" si="35"/>
        <v>684</v>
      </c>
      <c r="C1148" s="41" t="s">
        <v>175</v>
      </c>
      <c r="D1148" s="41"/>
      <c r="E1148" s="41"/>
      <c r="F1148" s="41"/>
      <c r="G1148" s="41"/>
      <c r="H1148" s="41"/>
      <c r="I1148" s="42"/>
      <c r="J1148" s="41"/>
      <c r="K1148" s="41"/>
      <c r="L1148" s="43"/>
    </row>
    <row r="1149" spans="2:12" outlineLevel="1">
      <c r="B1149" s="60" t="s">
        <v>296</v>
      </c>
      <c r="C1149" s="41">
        <f>SUBTOTAL(3,C921:C1148)</f>
        <v>228</v>
      </c>
      <c r="D1149" s="41"/>
      <c r="E1149" s="41"/>
      <c r="F1149" s="41"/>
      <c r="G1149" s="41"/>
      <c r="H1149" s="41"/>
      <c r="I1149" s="42"/>
      <c r="J1149" s="41"/>
      <c r="K1149" s="41"/>
      <c r="L1149" s="43"/>
    </row>
    <row r="1150" spans="2:12" outlineLevel="2">
      <c r="B1150" s="35">
        <f>(B1148+1)</f>
        <v>685</v>
      </c>
      <c r="C1150" s="41" t="s">
        <v>69</v>
      </c>
      <c r="D1150" s="41"/>
      <c r="E1150" s="41"/>
      <c r="F1150" s="41"/>
      <c r="G1150" s="41"/>
      <c r="H1150" s="41"/>
      <c r="I1150" s="42"/>
      <c r="J1150" s="41"/>
      <c r="K1150" s="41"/>
      <c r="L1150" s="43"/>
    </row>
    <row r="1151" spans="2:12" outlineLevel="2">
      <c r="B1151" s="35">
        <f t="shared" ref="B1151:B1214" si="36">(B1150+1)</f>
        <v>686</v>
      </c>
      <c r="C1151" s="41" t="s">
        <v>69</v>
      </c>
      <c r="D1151" s="41"/>
      <c r="E1151" s="41"/>
      <c r="F1151" s="41"/>
      <c r="G1151" s="41"/>
      <c r="H1151" s="41"/>
      <c r="I1151" s="42"/>
      <c r="J1151" s="41"/>
      <c r="K1151" s="41"/>
      <c r="L1151" s="43"/>
    </row>
    <row r="1152" spans="2:12" outlineLevel="2">
      <c r="B1152" s="35">
        <f t="shared" si="36"/>
        <v>687</v>
      </c>
      <c r="C1152" s="41" t="s">
        <v>69</v>
      </c>
      <c r="D1152" s="41"/>
      <c r="E1152" s="41"/>
      <c r="F1152" s="41"/>
      <c r="G1152" s="41"/>
      <c r="H1152" s="41"/>
      <c r="I1152" s="42"/>
      <c r="J1152" s="41"/>
      <c r="K1152" s="41"/>
      <c r="L1152" s="43"/>
    </row>
    <row r="1153" spans="2:12" outlineLevel="2">
      <c r="B1153" s="35">
        <f t="shared" si="36"/>
        <v>688</v>
      </c>
      <c r="C1153" s="41" t="s">
        <v>69</v>
      </c>
      <c r="D1153" s="41"/>
      <c r="E1153" s="41"/>
      <c r="F1153" s="41"/>
      <c r="G1153" s="41"/>
      <c r="H1153" s="41"/>
      <c r="I1153" s="42"/>
      <c r="J1153" s="41"/>
      <c r="K1153" s="41"/>
      <c r="L1153" s="43"/>
    </row>
    <row r="1154" spans="2:12" outlineLevel="2">
      <c r="B1154" s="35">
        <f t="shared" si="36"/>
        <v>689</v>
      </c>
      <c r="C1154" s="41" t="s">
        <v>69</v>
      </c>
      <c r="D1154" s="41"/>
      <c r="E1154" s="41"/>
      <c r="F1154" s="41"/>
      <c r="G1154" s="41"/>
      <c r="H1154" s="41"/>
      <c r="I1154" s="42"/>
      <c r="J1154" s="41"/>
      <c r="K1154" s="41"/>
      <c r="L1154" s="43"/>
    </row>
    <row r="1155" spans="2:12" outlineLevel="2">
      <c r="B1155" s="35">
        <f t="shared" si="36"/>
        <v>690</v>
      </c>
      <c r="C1155" s="41" t="s">
        <v>69</v>
      </c>
      <c r="D1155" s="41"/>
      <c r="E1155" s="41"/>
      <c r="F1155" s="41"/>
      <c r="G1155" s="41"/>
      <c r="H1155" s="41"/>
      <c r="I1155" s="42"/>
      <c r="J1155" s="41"/>
      <c r="K1155" s="41"/>
      <c r="L1155" s="43"/>
    </row>
    <row r="1156" spans="2:12" outlineLevel="2">
      <c r="B1156" s="35">
        <f t="shared" si="36"/>
        <v>691</v>
      </c>
      <c r="C1156" s="41" t="s">
        <v>69</v>
      </c>
      <c r="D1156" s="41"/>
      <c r="E1156" s="41"/>
      <c r="F1156" s="41"/>
      <c r="G1156" s="41"/>
      <c r="H1156" s="41"/>
      <c r="I1156" s="42"/>
      <c r="J1156" s="41"/>
      <c r="K1156" s="41"/>
      <c r="L1156" s="43"/>
    </row>
    <row r="1157" spans="2:12" outlineLevel="2">
      <c r="B1157" s="35">
        <f t="shared" si="36"/>
        <v>692</v>
      </c>
      <c r="C1157" s="41" t="s">
        <v>69</v>
      </c>
      <c r="D1157" s="41"/>
      <c r="E1157" s="41"/>
      <c r="F1157" s="41"/>
      <c r="G1157" s="41"/>
      <c r="H1157" s="41"/>
      <c r="I1157" s="42"/>
      <c r="J1157" s="41"/>
      <c r="K1157" s="41"/>
      <c r="L1157" s="43"/>
    </row>
    <row r="1158" spans="2:12" outlineLevel="2">
      <c r="B1158" s="35">
        <f t="shared" si="36"/>
        <v>693</v>
      </c>
      <c r="C1158" s="41" t="s">
        <v>69</v>
      </c>
      <c r="D1158" s="41"/>
      <c r="E1158" s="41"/>
      <c r="F1158" s="41"/>
      <c r="G1158" s="41"/>
      <c r="H1158" s="41"/>
      <c r="I1158" s="42"/>
      <c r="J1158" s="41"/>
      <c r="K1158" s="41"/>
      <c r="L1158" s="43"/>
    </row>
    <row r="1159" spans="2:12" outlineLevel="2">
      <c r="B1159" s="35">
        <f t="shared" si="36"/>
        <v>694</v>
      </c>
      <c r="C1159" s="41" t="s">
        <v>69</v>
      </c>
      <c r="D1159" s="41"/>
      <c r="E1159" s="41"/>
      <c r="F1159" s="41"/>
      <c r="G1159" s="41"/>
      <c r="H1159" s="41"/>
      <c r="I1159" s="42"/>
      <c r="J1159" s="41"/>
      <c r="K1159" s="41"/>
      <c r="L1159" s="43"/>
    </row>
    <row r="1160" spans="2:12" outlineLevel="2">
      <c r="B1160" s="35">
        <f t="shared" si="36"/>
        <v>695</v>
      </c>
      <c r="C1160" s="41" t="s">
        <v>69</v>
      </c>
      <c r="D1160" s="41"/>
      <c r="E1160" s="41"/>
      <c r="F1160" s="41"/>
      <c r="G1160" s="41"/>
      <c r="H1160" s="41"/>
      <c r="I1160" s="42"/>
      <c r="J1160" s="41"/>
      <c r="K1160" s="41"/>
      <c r="L1160" s="43"/>
    </row>
    <row r="1161" spans="2:12" outlineLevel="2">
      <c r="B1161" s="35">
        <f t="shared" si="36"/>
        <v>696</v>
      </c>
      <c r="C1161" s="41" t="s">
        <v>69</v>
      </c>
      <c r="D1161" s="41"/>
      <c r="E1161" s="41"/>
      <c r="F1161" s="41"/>
      <c r="G1161" s="41"/>
      <c r="H1161" s="41"/>
      <c r="I1161" s="42"/>
      <c r="J1161" s="41"/>
      <c r="K1161" s="41"/>
      <c r="L1161" s="43"/>
    </row>
    <row r="1162" spans="2:12" outlineLevel="2">
      <c r="B1162" s="35">
        <f t="shared" si="36"/>
        <v>697</v>
      </c>
      <c r="C1162" s="41" t="s">
        <v>69</v>
      </c>
      <c r="D1162" s="41"/>
      <c r="E1162" s="41"/>
      <c r="F1162" s="41"/>
      <c r="G1162" s="41"/>
      <c r="H1162" s="41"/>
      <c r="I1162" s="42"/>
      <c r="J1162" s="41"/>
      <c r="K1162" s="41"/>
      <c r="L1162" s="43"/>
    </row>
    <row r="1163" spans="2:12" outlineLevel="2">
      <c r="B1163" s="35">
        <f t="shared" si="36"/>
        <v>698</v>
      </c>
      <c r="C1163" s="41" t="s">
        <v>69</v>
      </c>
      <c r="D1163" s="41"/>
      <c r="E1163" s="41"/>
      <c r="F1163" s="41"/>
      <c r="G1163" s="41"/>
      <c r="H1163" s="41"/>
      <c r="I1163" s="42"/>
      <c r="J1163" s="41"/>
      <c r="K1163" s="41"/>
      <c r="L1163" s="43"/>
    </row>
    <row r="1164" spans="2:12" outlineLevel="2">
      <c r="B1164" s="35">
        <f t="shared" si="36"/>
        <v>699</v>
      </c>
      <c r="C1164" s="41" t="s">
        <v>69</v>
      </c>
      <c r="D1164" s="41"/>
      <c r="E1164" s="41"/>
      <c r="F1164" s="41"/>
      <c r="G1164" s="41"/>
      <c r="H1164" s="41"/>
      <c r="I1164" s="42"/>
      <c r="J1164" s="41"/>
      <c r="K1164" s="41"/>
      <c r="L1164" s="43"/>
    </row>
    <row r="1165" spans="2:12" outlineLevel="2">
      <c r="B1165" s="35">
        <f t="shared" si="36"/>
        <v>700</v>
      </c>
      <c r="C1165" s="41" t="s">
        <v>69</v>
      </c>
      <c r="D1165" s="41"/>
      <c r="E1165" s="41"/>
      <c r="F1165" s="41"/>
      <c r="G1165" s="41"/>
      <c r="H1165" s="41"/>
      <c r="I1165" s="42"/>
      <c r="J1165" s="41"/>
      <c r="K1165" s="41"/>
      <c r="L1165" s="43"/>
    </row>
    <row r="1166" spans="2:12" outlineLevel="2">
      <c r="B1166" s="35">
        <f t="shared" si="36"/>
        <v>701</v>
      </c>
      <c r="C1166" s="41" t="s">
        <v>69</v>
      </c>
      <c r="D1166" s="41"/>
      <c r="E1166" s="41"/>
      <c r="F1166" s="41"/>
      <c r="G1166" s="41"/>
      <c r="H1166" s="41"/>
      <c r="I1166" s="42"/>
      <c r="J1166" s="41"/>
      <c r="K1166" s="41"/>
      <c r="L1166" s="43"/>
    </row>
    <row r="1167" spans="2:12" outlineLevel="2">
      <c r="B1167" s="35">
        <f t="shared" si="36"/>
        <v>702</v>
      </c>
      <c r="C1167" s="41" t="s">
        <v>69</v>
      </c>
      <c r="D1167" s="41"/>
      <c r="E1167" s="41"/>
      <c r="F1167" s="41"/>
      <c r="G1167" s="41"/>
      <c r="H1167" s="41"/>
      <c r="I1167" s="42"/>
      <c r="J1167" s="41"/>
      <c r="K1167" s="41"/>
      <c r="L1167" s="43"/>
    </row>
    <row r="1168" spans="2:12" outlineLevel="2">
      <c r="B1168" s="35">
        <f t="shared" si="36"/>
        <v>703</v>
      </c>
      <c r="C1168" s="41" t="s">
        <v>69</v>
      </c>
      <c r="D1168" s="41"/>
      <c r="E1168" s="41"/>
      <c r="F1168" s="41"/>
      <c r="G1168" s="41"/>
      <c r="H1168" s="41"/>
      <c r="I1168" s="42"/>
      <c r="J1168" s="41"/>
      <c r="K1168" s="41"/>
      <c r="L1168" s="43"/>
    </row>
    <row r="1169" spans="2:12" outlineLevel="2">
      <c r="B1169" s="35">
        <f t="shared" si="36"/>
        <v>704</v>
      </c>
      <c r="C1169" s="41" t="s">
        <v>69</v>
      </c>
      <c r="D1169" s="41"/>
      <c r="E1169" s="41"/>
      <c r="F1169" s="41"/>
      <c r="G1169" s="41"/>
      <c r="H1169" s="41"/>
      <c r="I1169" s="42"/>
      <c r="J1169" s="41"/>
      <c r="K1169" s="41"/>
      <c r="L1169" s="43"/>
    </row>
    <row r="1170" spans="2:12" outlineLevel="2">
      <c r="B1170" s="35">
        <f t="shared" si="36"/>
        <v>705</v>
      </c>
      <c r="C1170" s="41" t="s">
        <v>69</v>
      </c>
      <c r="D1170" s="41"/>
      <c r="E1170" s="41"/>
      <c r="F1170" s="41"/>
      <c r="G1170" s="41"/>
      <c r="H1170" s="41"/>
      <c r="I1170" s="42"/>
      <c r="J1170" s="41"/>
      <c r="K1170" s="41"/>
      <c r="L1170" s="43"/>
    </row>
    <row r="1171" spans="2:12" outlineLevel="2">
      <c r="B1171" s="35">
        <f t="shared" si="36"/>
        <v>706</v>
      </c>
      <c r="C1171" s="41" t="s">
        <v>69</v>
      </c>
      <c r="D1171" s="41"/>
      <c r="E1171" s="41"/>
      <c r="F1171" s="41"/>
      <c r="G1171" s="41"/>
      <c r="H1171" s="41"/>
      <c r="I1171" s="42"/>
      <c r="J1171" s="41"/>
      <c r="K1171" s="41"/>
      <c r="L1171" s="43"/>
    </row>
    <row r="1172" spans="2:12" outlineLevel="2">
      <c r="B1172" s="35">
        <f t="shared" si="36"/>
        <v>707</v>
      </c>
      <c r="C1172" s="41" t="s">
        <v>69</v>
      </c>
      <c r="D1172" s="41"/>
      <c r="E1172" s="41"/>
      <c r="F1172" s="41"/>
      <c r="G1172" s="41"/>
      <c r="H1172" s="41"/>
      <c r="I1172" s="42"/>
      <c r="J1172" s="41"/>
      <c r="K1172" s="41"/>
      <c r="L1172" s="43"/>
    </row>
    <row r="1173" spans="2:12" outlineLevel="2">
      <c r="B1173" s="35">
        <f t="shared" si="36"/>
        <v>708</v>
      </c>
      <c r="C1173" s="41" t="s">
        <v>69</v>
      </c>
      <c r="D1173" s="41"/>
      <c r="E1173" s="41"/>
      <c r="F1173" s="41"/>
      <c r="G1173" s="41"/>
      <c r="H1173" s="41"/>
      <c r="I1173" s="42"/>
      <c r="J1173" s="41"/>
      <c r="K1173" s="41"/>
      <c r="L1173" s="43"/>
    </row>
    <row r="1174" spans="2:12" outlineLevel="2">
      <c r="B1174" s="35">
        <f t="shared" si="36"/>
        <v>709</v>
      </c>
      <c r="C1174" s="41" t="s">
        <v>69</v>
      </c>
      <c r="D1174" s="41"/>
      <c r="E1174" s="41"/>
      <c r="F1174" s="41"/>
      <c r="G1174" s="41"/>
      <c r="H1174" s="41"/>
      <c r="I1174" s="42"/>
      <c r="J1174" s="41"/>
      <c r="K1174" s="41"/>
      <c r="L1174" s="43"/>
    </row>
    <row r="1175" spans="2:12" outlineLevel="2">
      <c r="B1175" s="35">
        <f t="shared" si="36"/>
        <v>710</v>
      </c>
      <c r="C1175" s="41" t="s">
        <v>69</v>
      </c>
      <c r="D1175" s="41"/>
      <c r="E1175" s="41"/>
      <c r="F1175" s="41"/>
      <c r="G1175" s="41"/>
      <c r="H1175" s="41"/>
      <c r="I1175" s="42"/>
      <c r="J1175" s="41"/>
      <c r="K1175" s="41"/>
      <c r="L1175" s="43"/>
    </row>
    <row r="1176" spans="2:12" outlineLevel="2">
      <c r="B1176" s="35">
        <f t="shared" si="36"/>
        <v>711</v>
      </c>
      <c r="C1176" s="41" t="s">
        <v>69</v>
      </c>
      <c r="D1176" s="41"/>
      <c r="E1176" s="41"/>
      <c r="F1176" s="41"/>
      <c r="G1176" s="41"/>
      <c r="H1176" s="41"/>
      <c r="I1176" s="42"/>
      <c r="J1176" s="41"/>
      <c r="K1176" s="41"/>
      <c r="L1176" s="43"/>
    </row>
    <row r="1177" spans="2:12" outlineLevel="2">
      <c r="B1177" s="35">
        <f t="shared" si="36"/>
        <v>712</v>
      </c>
      <c r="C1177" s="41" t="s">
        <v>69</v>
      </c>
      <c r="D1177" s="41"/>
      <c r="E1177" s="41"/>
      <c r="F1177" s="41"/>
      <c r="G1177" s="41"/>
      <c r="H1177" s="41"/>
      <c r="I1177" s="42"/>
      <c r="J1177" s="41"/>
      <c r="K1177" s="41"/>
      <c r="L1177" s="43"/>
    </row>
    <row r="1178" spans="2:12" outlineLevel="2">
      <c r="B1178" s="35">
        <f t="shared" si="36"/>
        <v>713</v>
      </c>
      <c r="C1178" s="41" t="s">
        <v>69</v>
      </c>
      <c r="D1178" s="41"/>
      <c r="E1178" s="41"/>
      <c r="F1178" s="41"/>
      <c r="G1178" s="41"/>
      <c r="H1178" s="41"/>
      <c r="I1178" s="42"/>
      <c r="J1178" s="41"/>
      <c r="K1178" s="41"/>
      <c r="L1178" s="43"/>
    </row>
    <row r="1179" spans="2:12" outlineLevel="2">
      <c r="B1179" s="35">
        <f t="shared" si="36"/>
        <v>714</v>
      </c>
      <c r="C1179" s="41" t="s">
        <v>69</v>
      </c>
      <c r="D1179" s="41"/>
      <c r="E1179" s="41"/>
      <c r="F1179" s="41"/>
      <c r="G1179" s="41"/>
      <c r="H1179" s="41"/>
      <c r="I1179" s="42"/>
      <c r="J1179" s="41"/>
      <c r="K1179" s="41"/>
      <c r="L1179" s="43"/>
    </row>
    <row r="1180" spans="2:12" outlineLevel="2">
      <c r="B1180" s="35">
        <f t="shared" si="36"/>
        <v>715</v>
      </c>
      <c r="C1180" s="41" t="s">
        <v>69</v>
      </c>
      <c r="D1180" s="41"/>
      <c r="E1180" s="41"/>
      <c r="F1180" s="41"/>
      <c r="G1180" s="41"/>
      <c r="H1180" s="41"/>
      <c r="I1180" s="42"/>
      <c r="J1180" s="41"/>
      <c r="K1180" s="41"/>
      <c r="L1180" s="43"/>
    </row>
    <row r="1181" spans="2:12" outlineLevel="2">
      <c r="B1181" s="35">
        <f t="shared" si="36"/>
        <v>716</v>
      </c>
      <c r="C1181" s="41" t="s">
        <v>69</v>
      </c>
      <c r="D1181" s="41"/>
      <c r="E1181" s="41"/>
      <c r="F1181" s="41"/>
      <c r="G1181" s="41"/>
      <c r="H1181" s="41"/>
      <c r="I1181" s="42"/>
      <c r="J1181" s="41"/>
      <c r="K1181" s="41"/>
      <c r="L1181" s="43"/>
    </row>
    <row r="1182" spans="2:12" outlineLevel="2">
      <c r="B1182" s="35">
        <f t="shared" si="36"/>
        <v>717</v>
      </c>
      <c r="C1182" s="41" t="s">
        <v>69</v>
      </c>
      <c r="D1182" s="41"/>
      <c r="E1182" s="41"/>
      <c r="F1182" s="41"/>
      <c r="G1182" s="41"/>
      <c r="H1182" s="41"/>
      <c r="I1182" s="42"/>
      <c r="J1182" s="41"/>
      <c r="K1182" s="41"/>
      <c r="L1182" s="43"/>
    </row>
    <row r="1183" spans="2:12" outlineLevel="2">
      <c r="B1183" s="35">
        <f t="shared" si="36"/>
        <v>718</v>
      </c>
      <c r="C1183" s="41" t="s">
        <v>69</v>
      </c>
      <c r="D1183" s="41"/>
      <c r="E1183" s="41"/>
      <c r="F1183" s="41"/>
      <c r="G1183" s="41"/>
      <c r="H1183" s="41"/>
      <c r="I1183" s="42"/>
      <c r="J1183" s="41"/>
      <c r="K1183" s="41"/>
      <c r="L1183" s="43"/>
    </row>
    <row r="1184" spans="2:12" outlineLevel="2">
      <c r="B1184" s="35">
        <f t="shared" si="36"/>
        <v>719</v>
      </c>
      <c r="C1184" s="41" t="s">
        <v>69</v>
      </c>
      <c r="D1184" s="41"/>
      <c r="E1184" s="41"/>
      <c r="F1184" s="41"/>
      <c r="G1184" s="41"/>
      <c r="H1184" s="41"/>
      <c r="I1184" s="42"/>
      <c r="J1184" s="41"/>
      <c r="K1184" s="41"/>
      <c r="L1184" s="43"/>
    </row>
    <row r="1185" spans="2:12" outlineLevel="2">
      <c r="B1185" s="35">
        <f t="shared" si="36"/>
        <v>720</v>
      </c>
      <c r="C1185" s="41" t="s">
        <v>69</v>
      </c>
      <c r="D1185" s="41"/>
      <c r="E1185" s="41"/>
      <c r="F1185" s="41"/>
      <c r="G1185" s="41"/>
      <c r="H1185" s="41"/>
      <c r="I1185" s="42"/>
      <c r="J1185" s="41"/>
      <c r="K1185" s="41"/>
      <c r="L1185" s="43"/>
    </row>
    <row r="1186" spans="2:12" outlineLevel="2">
      <c r="B1186" s="35">
        <f t="shared" si="36"/>
        <v>721</v>
      </c>
      <c r="C1186" s="41" t="s">
        <v>69</v>
      </c>
      <c r="D1186" s="41"/>
      <c r="E1186" s="41"/>
      <c r="F1186" s="41"/>
      <c r="G1186" s="41"/>
      <c r="H1186" s="41"/>
      <c r="I1186" s="42"/>
      <c r="J1186" s="41"/>
      <c r="K1186" s="41"/>
      <c r="L1186" s="43"/>
    </row>
    <row r="1187" spans="2:12" outlineLevel="2">
      <c r="B1187" s="35">
        <f t="shared" si="36"/>
        <v>722</v>
      </c>
      <c r="C1187" s="41" t="s">
        <v>69</v>
      </c>
      <c r="D1187" s="41"/>
      <c r="E1187" s="41"/>
      <c r="F1187" s="41"/>
      <c r="G1187" s="41"/>
      <c r="H1187" s="41"/>
      <c r="I1187" s="42"/>
      <c r="J1187" s="41"/>
      <c r="K1187" s="41"/>
      <c r="L1187" s="43"/>
    </row>
    <row r="1188" spans="2:12" outlineLevel="2">
      <c r="B1188" s="35">
        <f t="shared" si="36"/>
        <v>723</v>
      </c>
      <c r="C1188" s="41" t="s">
        <v>69</v>
      </c>
      <c r="D1188" s="41"/>
      <c r="E1188" s="41"/>
      <c r="F1188" s="41"/>
      <c r="G1188" s="41"/>
      <c r="H1188" s="41"/>
      <c r="I1188" s="42"/>
      <c r="J1188" s="41"/>
      <c r="K1188" s="41"/>
      <c r="L1188" s="43"/>
    </row>
    <row r="1189" spans="2:12" outlineLevel="2">
      <c r="B1189" s="35">
        <f t="shared" si="36"/>
        <v>724</v>
      </c>
      <c r="C1189" s="41" t="s">
        <v>69</v>
      </c>
      <c r="D1189" s="41"/>
      <c r="E1189" s="41"/>
      <c r="F1189" s="41"/>
      <c r="G1189" s="41"/>
      <c r="H1189" s="41"/>
      <c r="I1189" s="42"/>
      <c r="J1189" s="41"/>
      <c r="K1189" s="41"/>
      <c r="L1189" s="43"/>
    </row>
    <row r="1190" spans="2:12" outlineLevel="2">
      <c r="B1190" s="35">
        <f t="shared" si="36"/>
        <v>725</v>
      </c>
      <c r="C1190" s="41" t="s">
        <v>69</v>
      </c>
      <c r="D1190" s="41"/>
      <c r="E1190" s="41"/>
      <c r="F1190" s="41"/>
      <c r="G1190" s="41"/>
      <c r="H1190" s="41"/>
      <c r="I1190" s="42"/>
      <c r="J1190" s="41"/>
      <c r="K1190" s="41"/>
      <c r="L1190" s="43"/>
    </row>
    <row r="1191" spans="2:12" outlineLevel="2">
      <c r="B1191" s="35">
        <f t="shared" si="36"/>
        <v>726</v>
      </c>
      <c r="C1191" s="41" t="s">
        <v>69</v>
      </c>
      <c r="D1191" s="41"/>
      <c r="E1191" s="41"/>
      <c r="F1191" s="41"/>
      <c r="G1191" s="41"/>
      <c r="H1191" s="41"/>
      <c r="I1191" s="42"/>
      <c r="J1191" s="41"/>
      <c r="K1191" s="41"/>
      <c r="L1191" s="43"/>
    </row>
    <row r="1192" spans="2:12" outlineLevel="2">
      <c r="B1192" s="35">
        <f t="shared" si="36"/>
        <v>727</v>
      </c>
      <c r="C1192" s="41" t="s">
        <v>69</v>
      </c>
      <c r="D1192" s="41"/>
      <c r="E1192" s="41"/>
      <c r="F1192" s="41"/>
      <c r="G1192" s="41"/>
      <c r="H1192" s="41"/>
      <c r="I1192" s="42"/>
      <c r="J1192" s="41"/>
      <c r="K1192" s="41"/>
      <c r="L1192" s="43"/>
    </row>
    <row r="1193" spans="2:12" outlineLevel="2">
      <c r="B1193" s="35">
        <f t="shared" si="36"/>
        <v>728</v>
      </c>
      <c r="C1193" s="41" t="s">
        <v>69</v>
      </c>
      <c r="D1193" s="41"/>
      <c r="E1193" s="41"/>
      <c r="F1193" s="41"/>
      <c r="G1193" s="41"/>
      <c r="H1193" s="41"/>
      <c r="I1193" s="42"/>
      <c r="J1193" s="41"/>
      <c r="K1193" s="41"/>
      <c r="L1193" s="43"/>
    </row>
    <row r="1194" spans="2:12" outlineLevel="2">
      <c r="B1194" s="35">
        <f t="shared" si="36"/>
        <v>729</v>
      </c>
      <c r="C1194" s="41" t="s">
        <v>69</v>
      </c>
      <c r="D1194" s="41"/>
      <c r="E1194" s="41"/>
      <c r="F1194" s="41"/>
      <c r="G1194" s="41"/>
      <c r="H1194" s="41"/>
      <c r="I1194" s="42"/>
      <c r="J1194" s="41"/>
      <c r="K1194" s="41"/>
      <c r="L1194" s="43"/>
    </row>
    <row r="1195" spans="2:12" outlineLevel="2">
      <c r="B1195" s="35">
        <f t="shared" si="36"/>
        <v>730</v>
      </c>
      <c r="C1195" s="41" t="s">
        <v>69</v>
      </c>
      <c r="D1195" s="41"/>
      <c r="E1195" s="41"/>
      <c r="F1195" s="41"/>
      <c r="G1195" s="41"/>
      <c r="H1195" s="41"/>
      <c r="I1195" s="42"/>
      <c r="J1195" s="41"/>
      <c r="K1195" s="41"/>
      <c r="L1195" s="43"/>
    </row>
    <row r="1196" spans="2:12" outlineLevel="2">
      <c r="B1196" s="35">
        <f t="shared" si="36"/>
        <v>731</v>
      </c>
      <c r="C1196" s="41" t="s">
        <v>69</v>
      </c>
      <c r="D1196" s="41"/>
      <c r="E1196" s="41"/>
      <c r="F1196" s="41"/>
      <c r="G1196" s="41"/>
      <c r="H1196" s="41"/>
      <c r="I1196" s="42"/>
      <c r="J1196" s="41"/>
      <c r="K1196" s="41"/>
      <c r="L1196" s="43"/>
    </row>
    <row r="1197" spans="2:12" outlineLevel="2">
      <c r="B1197" s="35">
        <f t="shared" si="36"/>
        <v>732</v>
      </c>
      <c r="C1197" s="41" t="s">
        <v>69</v>
      </c>
      <c r="D1197" s="41"/>
      <c r="E1197" s="41"/>
      <c r="F1197" s="41"/>
      <c r="G1197" s="41"/>
      <c r="H1197" s="41"/>
      <c r="I1197" s="42"/>
      <c r="J1197" s="41"/>
      <c r="K1197" s="41"/>
      <c r="L1197" s="43"/>
    </row>
    <row r="1198" spans="2:12" outlineLevel="2">
      <c r="B1198" s="35">
        <f t="shared" si="36"/>
        <v>733</v>
      </c>
      <c r="C1198" s="41" t="s">
        <v>69</v>
      </c>
      <c r="D1198" s="41"/>
      <c r="E1198" s="41"/>
      <c r="F1198" s="41"/>
      <c r="G1198" s="41"/>
      <c r="H1198" s="41"/>
      <c r="I1198" s="42"/>
      <c r="J1198" s="41"/>
      <c r="K1198" s="41"/>
      <c r="L1198" s="43"/>
    </row>
    <row r="1199" spans="2:12" outlineLevel="2">
      <c r="B1199" s="35">
        <f t="shared" si="36"/>
        <v>734</v>
      </c>
      <c r="C1199" s="41" t="s">
        <v>69</v>
      </c>
      <c r="D1199" s="41"/>
      <c r="E1199" s="41"/>
      <c r="F1199" s="41"/>
      <c r="G1199" s="41"/>
      <c r="H1199" s="41"/>
      <c r="I1199" s="42"/>
      <c r="J1199" s="41"/>
      <c r="K1199" s="41"/>
      <c r="L1199" s="43"/>
    </row>
    <row r="1200" spans="2:12" outlineLevel="2">
      <c r="B1200" s="35">
        <f t="shared" si="36"/>
        <v>735</v>
      </c>
      <c r="C1200" s="41" t="s">
        <v>69</v>
      </c>
      <c r="D1200" s="41"/>
      <c r="E1200" s="41"/>
      <c r="F1200" s="41"/>
      <c r="G1200" s="41"/>
      <c r="H1200" s="41"/>
      <c r="I1200" s="42"/>
      <c r="J1200" s="41"/>
      <c r="K1200" s="41"/>
      <c r="L1200" s="43"/>
    </row>
    <row r="1201" spans="2:12" outlineLevel="2">
      <c r="B1201" s="35">
        <f t="shared" si="36"/>
        <v>736</v>
      </c>
      <c r="C1201" s="41" t="s">
        <v>69</v>
      </c>
      <c r="D1201" s="41"/>
      <c r="E1201" s="41"/>
      <c r="F1201" s="41"/>
      <c r="G1201" s="41"/>
      <c r="H1201" s="41"/>
      <c r="I1201" s="42"/>
      <c r="J1201" s="41"/>
      <c r="K1201" s="41"/>
      <c r="L1201" s="43"/>
    </row>
    <row r="1202" spans="2:12" outlineLevel="2">
      <c r="B1202" s="35">
        <f t="shared" si="36"/>
        <v>737</v>
      </c>
      <c r="C1202" s="41" t="s">
        <v>69</v>
      </c>
      <c r="D1202" s="41"/>
      <c r="E1202" s="41"/>
      <c r="F1202" s="41"/>
      <c r="G1202" s="41"/>
      <c r="H1202" s="41"/>
      <c r="I1202" s="42"/>
      <c r="J1202" s="41"/>
      <c r="K1202" s="41"/>
      <c r="L1202" s="43"/>
    </row>
    <row r="1203" spans="2:12" outlineLevel="2">
      <c r="B1203" s="35">
        <f t="shared" si="36"/>
        <v>738</v>
      </c>
      <c r="C1203" s="41" t="s">
        <v>69</v>
      </c>
      <c r="D1203" s="41"/>
      <c r="E1203" s="41"/>
      <c r="F1203" s="41"/>
      <c r="G1203" s="41"/>
      <c r="H1203" s="41"/>
      <c r="I1203" s="42"/>
      <c r="J1203" s="41"/>
      <c r="K1203" s="41"/>
      <c r="L1203" s="43"/>
    </row>
    <row r="1204" spans="2:12" outlineLevel="2">
      <c r="B1204" s="35">
        <f t="shared" si="36"/>
        <v>739</v>
      </c>
      <c r="C1204" s="41" t="s">
        <v>69</v>
      </c>
      <c r="D1204" s="41"/>
      <c r="E1204" s="41"/>
      <c r="F1204" s="41"/>
      <c r="G1204" s="41"/>
      <c r="H1204" s="41"/>
      <c r="I1204" s="42"/>
      <c r="J1204" s="41"/>
      <c r="K1204" s="41"/>
      <c r="L1204" s="43"/>
    </row>
    <row r="1205" spans="2:12" outlineLevel="2">
      <c r="B1205" s="35">
        <f t="shared" si="36"/>
        <v>740</v>
      </c>
      <c r="C1205" s="41" t="s">
        <v>69</v>
      </c>
      <c r="D1205" s="41"/>
      <c r="E1205" s="41"/>
      <c r="F1205" s="41"/>
      <c r="G1205" s="41"/>
      <c r="H1205" s="41"/>
      <c r="I1205" s="42"/>
      <c r="J1205" s="41"/>
      <c r="K1205" s="41"/>
      <c r="L1205" s="43"/>
    </row>
    <row r="1206" spans="2:12" outlineLevel="2">
      <c r="B1206" s="35">
        <f t="shared" si="36"/>
        <v>741</v>
      </c>
      <c r="C1206" s="41" t="s">
        <v>69</v>
      </c>
      <c r="D1206" s="41"/>
      <c r="E1206" s="41"/>
      <c r="F1206" s="41"/>
      <c r="G1206" s="41"/>
      <c r="H1206" s="41"/>
      <c r="I1206" s="42"/>
      <c r="J1206" s="41"/>
      <c r="K1206" s="41"/>
      <c r="L1206" s="43"/>
    </row>
    <row r="1207" spans="2:12" outlineLevel="2">
      <c r="B1207" s="35">
        <f t="shared" si="36"/>
        <v>742</v>
      </c>
      <c r="C1207" s="41" t="s">
        <v>69</v>
      </c>
      <c r="D1207" s="41"/>
      <c r="E1207" s="41"/>
      <c r="F1207" s="41"/>
      <c r="G1207" s="41"/>
      <c r="H1207" s="41"/>
      <c r="I1207" s="42"/>
      <c r="J1207" s="41"/>
      <c r="K1207" s="41"/>
      <c r="L1207" s="43"/>
    </row>
    <row r="1208" spans="2:12" outlineLevel="2">
      <c r="B1208" s="35">
        <f t="shared" si="36"/>
        <v>743</v>
      </c>
      <c r="C1208" s="41" t="s">
        <v>69</v>
      </c>
      <c r="D1208" s="41"/>
      <c r="E1208" s="41"/>
      <c r="F1208" s="41"/>
      <c r="G1208" s="41"/>
      <c r="H1208" s="41"/>
      <c r="I1208" s="42"/>
      <c r="J1208" s="41"/>
      <c r="K1208" s="41"/>
      <c r="L1208" s="43"/>
    </row>
    <row r="1209" spans="2:12" outlineLevel="2">
      <c r="B1209" s="35">
        <f t="shared" si="36"/>
        <v>744</v>
      </c>
      <c r="C1209" s="41" t="s">
        <v>69</v>
      </c>
      <c r="D1209" s="41"/>
      <c r="E1209" s="41"/>
      <c r="F1209" s="41"/>
      <c r="G1209" s="41"/>
      <c r="H1209" s="41"/>
      <c r="I1209" s="42"/>
      <c r="J1209" s="41"/>
      <c r="K1209" s="41"/>
      <c r="L1209" s="43"/>
    </row>
    <row r="1210" spans="2:12" outlineLevel="2">
      <c r="B1210" s="35">
        <f t="shared" si="36"/>
        <v>745</v>
      </c>
      <c r="C1210" s="41" t="s">
        <v>69</v>
      </c>
      <c r="D1210" s="41"/>
      <c r="E1210" s="41"/>
      <c r="F1210" s="41"/>
      <c r="G1210" s="41"/>
      <c r="H1210" s="41"/>
      <c r="I1210" s="42"/>
      <c r="J1210" s="41"/>
      <c r="K1210" s="41"/>
      <c r="L1210" s="43"/>
    </row>
    <row r="1211" spans="2:12" outlineLevel="2">
      <c r="B1211" s="35">
        <f t="shared" si="36"/>
        <v>746</v>
      </c>
      <c r="C1211" s="41" t="s">
        <v>69</v>
      </c>
      <c r="D1211" s="41"/>
      <c r="E1211" s="41"/>
      <c r="F1211" s="41"/>
      <c r="G1211" s="41"/>
      <c r="H1211" s="41"/>
      <c r="I1211" s="42"/>
      <c r="J1211" s="41"/>
      <c r="K1211" s="41"/>
      <c r="L1211" s="43"/>
    </row>
    <row r="1212" spans="2:12" outlineLevel="2">
      <c r="B1212" s="35">
        <f t="shared" si="36"/>
        <v>747</v>
      </c>
      <c r="C1212" s="41" t="s">
        <v>69</v>
      </c>
      <c r="D1212" s="41"/>
      <c r="E1212" s="41"/>
      <c r="F1212" s="41"/>
      <c r="G1212" s="41"/>
      <c r="H1212" s="41"/>
      <c r="I1212" s="42"/>
      <c r="J1212" s="41"/>
      <c r="K1212" s="41"/>
      <c r="L1212" s="43"/>
    </row>
    <row r="1213" spans="2:12" outlineLevel="2">
      <c r="B1213" s="35">
        <f t="shared" si="36"/>
        <v>748</v>
      </c>
      <c r="C1213" s="41" t="s">
        <v>69</v>
      </c>
      <c r="D1213" s="41"/>
      <c r="E1213" s="41"/>
      <c r="F1213" s="41"/>
      <c r="G1213" s="41"/>
      <c r="H1213" s="41"/>
      <c r="I1213" s="42"/>
      <c r="J1213" s="41"/>
      <c r="K1213" s="41"/>
      <c r="L1213" s="43"/>
    </row>
    <row r="1214" spans="2:12" outlineLevel="2">
      <c r="B1214" s="35">
        <f t="shared" si="36"/>
        <v>749</v>
      </c>
      <c r="C1214" s="41" t="s">
        <v>69</v>
      </c>
      <c r="D1214" s="41"/>
      <c r="E1214" s="41"/>
      <c r="F1214" s="41"/>
      <c r="G1214" s="41"/>
      <c r="H1214" s="41"/>
      <c r="I1214" s="42"/>
      <c r="J1214" s="41"/>
      <c r="K1214" s="41"/>
      <c r="L1214" s="43"/>
    </row>
    <row r="1215" spans="2:12" outlineLevel="2">
      <c r="B1215" s="35">
        <f t="shared" ref="B1215:B1278" si="37">(B1214+1)</f>
        <v>750</v>
      </c>
      <c r="C1215" s="41" t="s">
        <v>69</v>
      </c>
      <c r="D1215" s="41"/>
      <c r="E1215" s="41"/>
      <c r="F1215" s="41"/>
      <c r="G1215" s="41"/>
      <c r="H1215" s="41"/>
      <c r="I1215" s="42"/>
      <c r="J1215" s="41"/>
      <c r="K1215" s="41"/>
      <c r="L1215" s="43"/>
    </row>
    <row r="1216" spans="2:12" outlineLevel="2">
      <c r="B1216" s="35">
        <f t="shared" si="37"/>
        <v>751</v>
      </c>
      <c r="C1216" s="41" t="s">
        <v>69</v>
      </c>
      <c r="D1216" s="41"/>
      <c r="E1216" s="41"/>
      <c r="F1216" s="41"/>
      <c r="G1216" s="41"/>
      <c r="H1216" s="41"/>
      <c r="I1216" s="42"/>
      <c r="J1216" s="41"/>
      <c r="K1216" s="41"/>
      <c r="L1216" s="43"/>
    </row>
    <row r="1217" spans="2:12" outlineLevel="2">
      <c r="B1217" s="35">
        <f t="shared" si="37"/>
        <v>752</v>
      </c>
      <c r="C1217" s="41" t="s">
        <v>69</v>
      </c>
      <c r="D1217" s="41"/>
      <c r="E1217" s="41"/>
      <c r="F1217" s="41"/>
      <c r="G1217" s="41"/>
      <c r="H1217" s="41"/>
      <c r="I1217" s="42"/>
      <c r="J1217" s="41"/>
      <c r="K1217" s="41"/>
      <c r="L1217" s="43"/>
    </row>
    <row r="1218" spans="2:12" outlineLevel="2">
      <c r="B1218" s="35">
        <f t="shared" si="37"/>
        <v>753</v>
      </c>
      <c r="C1218" s="41" t="s">
        <v>69</v>
      </c>
      <c r="D1218" s="41"/>
      <c r="E1218" s="41"/>
      <c r="F1218" s="41"/>
      <c r="G1218" s="41"/>
      <c r="H1218" s="41"/>
      <c r="I1218" s="42"/>
      <c r="J1218" s="41"/>
      <c r="K1218" s="41"/>
      <c r="L1218" s="43"/>
    </row>
    <row r="1219" spans="2:12" outlineLevel="2">
      <c r="B1219" s="35">
        <f t="shared" si="37"/>
        <v>754</v>
      </c>
      <c r="C1219" s="41" t="s">
        <v>69</v>
      </c>
      <c r="D1219" s="41"/>
      <c r="E1219" s="41"/>
      <c r="F1219" s="41"/>
      <c r="G1219" s="41"/>
      <c r="H1219" s="41"/>
      <c r="I1219" s="42"/>
      <c r="J1219" s="41"/>
      <c r="K1219" s="41"/>
      <c r="L1219" s="43"/>
    </row>
    <row r="1220" spans="2:12" outlineLevel="2">
      <c r="B1220" s="35">
        <f t="shared" si="37"/>
        <v>755</v>
      </c>
      <c r="C1220" s="41" t="s">
        <v>69</v>
      </c>
      <c r="D1220" s="41"/>
      <c r="E1220" s="41"/>
      <c r="F1220" s="41"/>
      <c r="G1220" s="41"/>
      <c r="H1220" s="41"/>
      <c r="I1220" s="42"/>
      <c r="J1220" s="41"/>
      <c r="K1220" s="41"/>
      <c r="L1220" s="43"/>
    </row>
    <row r="1221" spans="2:12" outlineLevel="2">
      <c r="B1221" s="35">
        <f t="shared" si="37"/>
        <v>756</v>
      </c>
      <c r="C1221" s="41" t="s">
        <v>69</v>
      </c>
      <c r="D1221" s="41"/>
      <c r="E1221" s="41"/>
      <c r="F1221" s="41"/>
      <c r="G1221" s="41"/>
      <c r="H1221" s="41"/>
      <c r="I1221" s="42"/>
      <c r="J1221" s="41"/>
      <c r="K1221" s="41"/>
      <c r="L1221" s="43"/>
    </row>
    <row r="1222" spans="2:12" outlineLevel="2">
      <c r="B1222" s="35">
        <f t="shared" si="37"/>
        <v>757</v>
      </c>
      <c r="C1222" s="41" t="s">
        <v>69</v>
      </c>
      <c r="D1222" s="41"/>
      <c r="E1222" s="41"/>
      <c r="F1222" s="41"/>
      <c r="G1222" s="41"/>
      <c r="H1222" s="41"/>
      <c r="I1222" s="42"/>
      <c r="J1222" s="41"/>
      <c r="K1222" s="41"/>
      <c r="L1222" s="43"/>
    </row>
    <row r="1223" spans="2:12" outlineLevel="2">
      <c r="B1223" s="35">
        <f t="shared" si="37"/>
        <v>758</v>
      </c>
      <c r="C1223" s="41" t="s">
        <v>69</v>
      </c>
      <c r="D1223" s="41"/>
      <c r="E1223" s="41"/>
      <c r="F1223" s="41"/>
      <c r="G1223" s="41"/>
      <c r="H1223" s="41"/>
      <c r="I1223" s="42"/>
      <c r="J1223" s="41"/>
      <c r="K1223" s="41"/>
      <c r="L1223" s="43"/>
    </row>
    <row r="1224" spans="2:12" outlineLevel="2">
      <c r="B1224" s="35">
        <f t="shared" si="37"/>
        <v>759</v>
      </c>
      <c r="C1224" s="41" t="s">
        <v>69</v>
      </c>
      <c r="D1224" s="41"/>
      <c r="E1224" s="41"/>
      <c r="F1224" s="41"/>
      <c r="G1224" s="41"/>
      <c r="H1224" s="41"/>
      <c r="I1224" s="42"/>
      <c r="J1224" s="41"/>
      <c r="K1224" s="41"/>
      <c r="L1224" s="43"/>
    </row>
    <row r="1225" spans="2:12" outlineLevel="2">
      <c r="B1225" s="35">
        <f t="shared" si="37"/>
        <v>760</v>
      </c>
      <c r="C1225" s="41" t="s">
        <v>69</v>
      </c>
      <c r="D1225" s="41"/>
      <c r="E1225" s="41"/>
      <c r="F1225" s="41"/>
      <c r="G1225" s="41"/>
      <c r="H1225" s="41"/>
      <c r="I1225" s="42"/>
      <c r="J1225" s="41"/>
      <c r="K1225" s="41"/>
      <c r="L1225" s="43"/>
    </row>
    <row r="1226" spans="2:12" outlineLevel="2">
      <c r="B1226" s="35">
        <f t="shared" si="37"/>
        <v>761</v>
      </c>
      <c r="C1226" s="41" t="s">
        <v>69</v>
      </c>
      <c r="D1226" s="41"/>
      <c r="E1226" s="41"/>
      <c r="F1226" s="41"/>
      <c r="G1226" s="41"/>
      <c r="H1226" s="41"/>
      <c r="I1226" s="42"/>
      <c r="J1226" s="41"/>
      <c r="K1226" s="41"/>
      <c r="L1226" s="43"/>
    </row>
    <row r="1227" spans="2:12" outlineLevel="2">
      <c r="B1227" s="35">
        <f t="shared" si="37"/>
        <v>762</v>
      </c>
      <c r="C1227" s="41" t="s">
        <v>69</v>
      </c>
      <c r="D1227" s="41"/>
      <c r="E1227" s="41"/>
      <c r="F1227" s="41"/>
      <c r="G1227" s="41"/>
      <c r="H1227" s="41"/>
      <c r="I1227" s="42"/>
      <c r="J1227" s="41"/>
      <c r="K1227" s="41"/>
      <c r="L1227" s="43"/>
    </row>
    <row r="1228" spans="2:12" outlineLevel="2">
      <c r="B1228" s="35">
        <f t="shared" si="37"/>
        <v>763</v>
      </c>
      <c r="C1228" s="41" t="s">
        <v>69</v>
      </c>
      <c r="D1228" s="41"/>
      <c r="E1228" s="41"/>
      <c r="F1228" s="41"/>
      <c r="G1228" s="41"/>
      <c r="H1228" s="41"/>
      <c r="I1228" s="42"/>
      <c r="J1228" s="41"/>
      <c r="K1228" s="41"/>
      <c r="L1228" s="43"/>
    </row>
    <row r="1229" spans="2:12" outlineLevel="2">
      <c r="B1229" s="35">
        <f t="shared" si="37"/>
        <v>764</v>
      </c>
      <c r="C1229" s="41" t="s">
        <v>69</v>
      </c>
      <c r="D1229" s="41"/>
      <c r="E1229" s="41"/>
      <c r="F1229" s="41"/>
      <c r="G1229" s="41"/>
      <c r="H1229" s="41"/>
      <c r="I1229" s="42"/>
      <c r="J1229" s="41"/>
      <c r="K1229" s="41"/>
      <c r="L1229" s="43"/>
    </row>
    <row r="1230" spans="2:12" outlineLevel="2">
      <c r="B1230" s="35">
        <f t="shared" si="37"/>
        <v>765</v>
      </c>
      <c r="C1230" s="41" t="s">
        <v>69</v>
      </c>
      <c r="D1230" s="41"/>
      <c r="E1230" s="41"/>
      <c r="F1230" s="41"/>
      <c r="G1230" s="41"/>
      <c r="H1230" s="41"/>
      <c r="I1230" s="42"/>
      <c r="J1230" s="41"/>
      <c r="K1230" s="41"/>
      <c r="L1230" s="43"/>
    </row>
    <row r="1231" spans="2:12" outlineLevel="2">
      <c r="B1231" s="35">
        <f t="shared" si="37"/>
        <v>766</v>
      </c>
      <c r="C1231" s="41" t="s">
        <v>69</v>
      </c>
      <c r="D1231" s="41"/>
      <c r="E1231" s="41"/>
      <c r="F1231" s="41"/>
      <c r="G1231" s="41"/>
      <c r="H1231" s="41"/>
      <c r="I1231" s="42"/>
      <c r="J1231" s="41"/>
      <c r="K1231" s="41"/>
      <c r="L1231" s="43"/>
    </row>
    <row r="1232" spans="2:12" outlineLevel="2">
      <c r="B1232" s="35">
        <f t="shared" si="37"/>
        <v>767</v>
      </c>
      <c r="C1232" s="41" t="s">
        <v>69</v>
      </c>
      <c r="D1232" s="41"/>
      <c r="E1232" s="41"/>
      <c r="F1232" s="41"/>
      <c r="G1232" s="41"/>
      <c r="H1232" s="41"/>
      <c r="I1232" s="42"/>
      <c r="J1232" s="41"/>
      <c r="K1232" s="41"/>
      <c r="L1232" s="43"/>
    </row>
    <row r="1233" spans="2:12" outlineLevel="2">
      <c r="B1233" s="35">
        <f t="shared" si="37"/>
        <v>768</v>
      </c>
      <c r="C1233" s="41" t="s">
        <v>69</v>
      </c>
      <c r="D1233" s="41"/>
      <c r="E1233" s="41"/>
      <c r="F1233" s="41"/>
      <c r="G1233" s="41"/>
      <c r="H1233" s="41"/>
      <c r="I1233" s="42"/>
      <c r="J1233" s="41"/>
      <c r="K1233" s="41"/>
      <c r="L1233" s="43"/>
    </row>
    <row r="1234" spans="2:12" outlineLevel="2">
      <c r="B1234" s="35">
        <f t="shared" si="37"/>
        <v>769</v>
      </c>
      <c r="C1234" s="41" t="s">
        <v>69</v>
      </c>
      <c r="D1234" s="41"/>
      <c r="E1234" s="41"/>
      <c r="F1234" s="41"/>
      <c r="G1234" s="41"/>
      <c r="H1234" s="41"/>
      <c r="I1234" s="42"/>
      <c r="J1234" s="41"/>
      <c r="K1234" s="41"/>
      <c r="L1234" s="43"/>
    </row>
    <row r="1235" spans="2:12" outlineLevel="2">
      <c r="B1235" s="35">
        <f t="shared" si="37"/>
        <v>770</v>
      </c>
      <c r="C1235" s="41" t="s">
        <v>69</v>
      </c>
      <c r="D1235" s="41"/>
      <c r="E1235" s="41"/>
      <c r="F1235" s="41"/>
      <c r="G1235" s="41"/>
      <c r="H1235" s="41"/>
      <c r="I1235" s="42"/>
      <c r="J1235" s="41"/>
      <c r="K1235" s="41"/>
      <c r="L1235" s="43"/>
    </row>
    <row r="1236" spans="2:12" outlineLevel="2">
      <c r="B1236" s="35">
        <f t="shared" si="37"/>
        <v>771</v>
      </c>
      <c r="C1236" s="41" t="s">
        <v>69</v>
      </c>
      <c r="D1236" s="41"/>
      <c r="E1236" s="41"/>
      <c r="F1236" s="41"/>
      <c r="G1236" s="41"/>
      <c r="H1236" s="41"/>
      <c r="I1236" s="42"/>
      <c r="J1236" s="41"/>
      <c r="K1236" s="41"/>
      <c r="L1236" s="43"/>
    </row>
    <row r="1237" spans="2:12" outlineLevel="2">
      <c r="B1237" s="35">
        <f t="shared" si="37"/>
        <v>772</v>
      </c>
      <c r="C1237" s="41" t="s">
        <v>69</v>
      </c>
      <c r="D1237" s="41"/>
      <c r="E1237" s="41"/>
      <c r="F1237" s="41"/>
      <c r="G1237" s="41"/>
      <c r="H1237" s="41"/>
      <c r="I1237" s="42"/>
      <c r="J1237" s="41"/>
      <c r="K1237" s="41"/>
      <c r="L1237" s="43"/>
    </row>
    <row r="1238" spans="2:12" outlineLevel="2">
      <c r="B1238" s="35">
        <f t="shared" si="37"/>
        <v>773</v>
      </c>
      <c r="C1238" s="41" t="s">
        <v>69</v>
      </c>
      <c r="D1238" s="41"/>
      <c r="E1238" s="41"/>
      <c r="F1238" s="41"/>
      <c r="G1238" s="41"/>
      <c r="H1238" s="41"/>
      <c r="I1238" s="42"/>
      <c r="J1238" s="41"/>
      <c r="K1238" s="41"/>
      <c r="L1238" s="43"/>
    </row>
    <row r="1239" spans="2:12" outlineLevel="2">
      <c r="B1239" s="35">
        <f t="shared" si="37"/>
        <v>774</v>
      </c>
      <c r="C1239" s="41" t="s">
        <v>69</v>
      </c>
      <c r="D1239" s="41"/>
      <c r="E1239" s="41"/>
      <c r="F1239" s="41"/>
      <c r="G1239" s="41"/>
      <c r="H1239" s="41"/>
      <c r="I1239" s="42"/>
      <c r="J1239" s="41"/>
      <c r="K1239" s="41"/>
      <c r="L1239" s="43"/>
    </row>
    <row r="1240" spans="2:12" outlineLevel="2">
      <c r="B1240" s="35">
        <f t="shared" si="37"/>
        <v>775</v>
      </c>
      <c r="C1240" s="41" t="s">
        <v>69</v>
      </c>
      <c r="D1240" s="41"/>
      <c r="E1240" s="41"/>
      <c r="F1240" s="41"/>
      <c r="G1240" s="41"/>
      <c r="H1240" s="41"/>
      <c r="I1240" s="42"/>
      <c r="J1240" s="41"/>
      <c r="K1240" s="41"/>
      <c r="L1240" s="43"/>
    </row>
    <row r="1241" spans="2:12" outlineLevel="2">
      <c r="B1241" s="35">
        <f t="shared" si="37"/>
        <v>776</v>
      </c>
      <c r="C1241" s="41" t="s">
        <v>69</v>
      </c>
      <c r="D1241" s="41"/>
      <c r="E1241" s="41"/>
      <c r="F1241" s="41"/>
      <c r="G1241" s="41"/>
      <c r="H1241" s="41"/>
      <c r="I1241" s="42"/>
      <c r="J1241" s="41"/>
      <c r="K1241" s="41"/>
      <c r="L1241" s="43"/>
    </row>
    <row r="1242" spans="2:12" outlineLevel="2">
      <c r="B1242" s="35">
        <f t="shared" si="37"/>
        <v>777</v>
      </c>
      <c r="C1242" s="41" t="s">
        <v>69</v>
      </c>
      <c r="D1242" s="41"/>
      <c r="E1242" s="41"/>
      <c r="F1242" s="41"/>
      <c r="G1242" s="41"/>
      <c r="H1242" s="41"/>
      <c r="I1242" s="42"/>
      <c r="J1242" s="41"/>
      <c r="K1242" s="41"/>
      <c r="L1242" s="43"/>
    </row>
    <row r="1243" spans="2:12" outlineLevel="2">
      <c r="B1243" s="35">
        <f t="shared" si="37"/>
        <v>778</v>
      </c>
      <c r="C1243" s="41" t="s">
        <v>69</v>
      </c>
      <c r="D1243" s="41"/>
      <c r="E1243" s="41"/>
      <c r="F1243" s="41"/>
      <c r="G1243" s="41"/>
      <c r="H1243" s="41"/>
      <c r="I1243" s="42"/>
      <c r="J1243" s="41"/>
      <c r="K1243" s="41"/>
      <c r="L1243" s="43"/>
    </row>
    <row r="1244" spans="2:12" outlineLevel="2">
      <c r="B1244" s="35">
        <f t="shared" si="37"/>
        <v>779</v>
      </c>
      <c r="C1244" s="41" t="s">
        <v>69</v>
      </c>
      <c r="D1244" s="41"/>
      <c r="E1244" s="41"/>
      <c r="F1244" s="41"/>
      <c r="G1244" s="41"/>
      <c r="H1244" s="41"/>
      <c r="I1244" s="42"/>
      <c r="J1244" s="41"/>
      <c r="K1244" s="41"/>
      <c r="L1244" s="43"/>
    </row>
    <row r="1245" spans="2:12" outlineLevel="2">
      <c r="B1245" s="35">
        <f t="shared" si="37"/>
        <v>780</v>
      </c>
      <c r="C1245" s="41" t="s">
        <v>69</v>
      </c>
      <c r="D1245" s="41"/>
      <c r="E1245" s="41"/>
      <c r="F1245" s="41"/>
      <c r="G1245" s="41"/>
      <c r="H1245" s="41"/>
      <c r="I1245" s="42"/>
      <c r="J1245" s="41"/>
      <c r="K1245" s="41"/>
      <c r="L1245" s="43"/>
    </row>
    <row r="1246" spans="2:12" outlineLevel="2">
      <c r="B1246" s="35">
        <f t="shared" si="37"/>
        <v>781</v>
      </c>
      <c r="C1246" s="41" t="s">
        <v>69</v>
      </c>
      <c r="D1246" s="41"/>
      <c r="E1246" s="41"/>
      <c r="F1246" s="41"/>
      <c r="G1246" s="41"/>
      <c r="H1246" s="41"/>
      <c r="I1246" s="42"/>
      <c r="J1246" s="41"/>
      <c r="K1246" s="41"/>
      <c r="L1246" s="43"/>
    </row>
    <row r="1247" spans="2:12" outlineLevel="2">
      <c r="B1247" s="35">
        <f t="shared" si="37"/>
        <v>782</v>
      </c>
      <c r="C1247" s="41" t="s">
        <v>69</v>
      </c>
      <c r="D1247" s="41"/>
      <c r="E1247" s="41"/>
      <c r="F1247" s="41"/>
      <c r="G1247" s="41"/>
      <c r="H1247" s="41"/>
      <c r="I1247" s="42"/>
      <c r="J1247" s="41"/>
      <c r="K1247" s="41"/>
      <c r="L1247" s="43"/>
    </row>
    <row r="1248" spans="2:12" outlineLevel="2">
      <c r="B1248" s="35">
        <f t="shared" si="37"/>
        <v>783</v>
      </c>
      <c r="C1248" s="41" t="s">
        <v>69</v>
      </c>
      <c r="D1248" s="41"/>
      <c r="E1248" s="41"/>
      <c r="F1248" s="41"/>
      <c r="G1248" s="41"/>
      <c r="H1248" s="41"/>
      <c r="I1248" s="42"/>
      <c r="J1248" s="41"/>
      <c r="K1248" s="41"/>
      <c r="L1248" s="43"/>
    </row>
    <row r="1249" spans="2:12" outlineLevel="2">
      <c r="B1249" s="35">
        <f t="shared" si="37"/>
        <v>784</v>
      </c>
      <c r="C1249" s="41" t="s">
        <v>69</v>
      </c>
      <c r="D1249" s="41"/>
      <c r="E1249" s="41"/>
      <c r="F1249" s="41"/>
      <c r="G1249" s="41"/>
      <c r="H1249" s="41"/>
      <c r="I1249" s="42"/>
      <c r="J1249" s="41"/>
      <c r="K1249" s="41"/>
      <c r="L1249" s="43"/>
    </row>
    <row r="1250" spans="2:12" outlineLevel="2">
      <c r="B1250" s="35">
        <f t="shared" si="37"/>
        <v>785</v>
      </c>
      <c r="C1250" s="41" t="s">
        <v>69</v>
      </c>
      <c r="D1250" s="41"/>
      <c r="E1250" s="41"/>
      <c r="F1250" s="41"/>
      <c r="G1250" s="41"/>
      <c r="H1250" s="41"/>
      <c r="I1250" s="42"/>
      <c r="J1250" s="41"/>
      <c r="K1250" s="41"/>
      <c r="L1250" s="43"/>
    </row>
    <row r="1251" spans="2:12" outlineLevel="2">
      <c r="B1251" s="35">
        <f t="shared" si="37"/>
        <v>786</v>
      </c>
      <c r="C1251" s="41" t="s">
        <v>69</v>
      </c>
      <c r="D1251" s="41"/>
      <c r="E1251" s="41"/>
      <c r="F1251" s="41"/>
      <c r="G1251" s="41"/>
      <c r="H1251" s="41"/>
      <c r="I1251" s="42"/>
      <c r="J1251" s="41"/>
      <c r="K1251" s="41"/>
      <c r="L1251" s="43"/>
    </row>
    <row r="1252" spans="2:12" outlineLevel="2">
      <c r="B1252" s="35">
        <f t="shared" si="37"/>
        <v>787</v>
      </c>
      <c r="C1252" s="41" t="s">
        <v>69</v>
      </c>
      <c r="D1252" s="41"/>
      <c r="E1252" s="41"/>
      <c r="F1252" s="41"/>
      <c r="G1252" s="41"/>
      <c r="H1252" s="41"/>
      <c r="I1252" s="42"/>
      <c r="J1252" s="41"/>
      <c r="K1252" s="41"/>
      <c r="L1252" s="43"/>
    </row>
    <row r="1253" spans="2:12" outlineLevel="2">
      <c r="B1253" s="35">
        <f t="shared" si="37"/>
        <v>788</v>
      </c>
      <c r="C1253" s="41" t="s">
        <v>69</v>
      </c>
      <c r="D1253" s="41"/>
      <c r="E1253" s="41"/>
      <c r="F1253" s="41"/>
      <c r="G1253" s="41"/>
      <c r="H1253" s="41"/>
      <c r="I1253" s="42"/>
      <c r="J1253" s="41"/>
      <c r="K1253" s="41"/>
      <c r="L1253" s="43"/>
    </row>
    <row r="1254" spans="2:12" outlineLevel="2">
      <c r="B1254" s="35">
        <f t="shared" si="37"/>
        <v>789</v>
      </c>
      <c r="C1254" s="41" t="s">
        <v>69</v>
      </c>
      <c r="D1254" s="41"/>
      <c r="E1254" s="41"/>
      <c r="F1254" s="41"/>
      <c r="G1254" s="41"/>
      <c r="H1254" s="41"/>
      <c r="I1254" s="42"/>
      <c r="J1254" s="41"/>
      <c r="K1254" s="41"/>
      <c r="L1254" s="43"/>
    </row>
    <row r="1255" spans="2:12" outlineLevel="2">
      <c r="B1255" s="35">
        <f t="shared" si="37"/>
        <v>790</v>
      </c>
      <c r="C1255" s="41" t="s">
        <v>69</v>
      </c>
      <c r="D1255" s="41"/>
      <c r="E1255" s="41"/>
      <c r="F1255" s="41"/>
      <c r="G1255" s="41"/>
      <c r="H1255" s="41"/>
      <c r="I1255" s="42"/>
      <c r="J1255" s="41"/>
      <c r="K1255" s="41"/>
      <c r="L1255" s="43"/>
    </row>
    <row r="1256" spans="2:12" outlineLevel="2">
      <c r="B1256" s="35">
        <f t="shared" si="37"/>
        <v>791</v>
      </c>
      <c r="C1256" s="41" t="s">
        <v>69</v>
      </c>
      <c r="D1256" s="41"/>
      <c r="E1256" s="41"/>
      <c r="F1256" s="41"/>
      <c r="G1256" s="41"/>
      <c r="H1256" s="41"/>
      <c r="I1256" s="42"/>
      <c r="J1256" s="41"/>
      <c r="K1256" s="41"/>
      <c r="L1256" s="43"/>
    </row>
    <row r="1257" spans="2:12" outlineLevel="2">
      <c r="B1257" s="35">
        <f t="shared" si="37"/>
        <v>792</v>
      </c>
      <c r="C1257" s="41" t="s">
        <v>69</v>
      </c>
      <c r="D1257" s="41"/>
      <c r="E1257" s="41"/>
      <c r="F1257" s="41"/>
      <c r="G1257" s="41"/>
      <c r="H1257" s="41"/>
      <c r="I1257" s="42"/>
      <c r="J1257" s="41"/>
      <c r="K1257" s="41"/>
      <c r="L1257" s="43"/>
    </row>
    <row r="1258" spans="2:12" outlineLevel="2">
      <c r="B1258" s="35">
        <f t="shared" si="37"/>
        <v>793</v>
      </c>
      <c r="C1258" s="41" t="s">
        <v>69</v>
      </c>
      <c r="D1258" s="41"/>
      <c r="E1258" s="41"/>
      <c r="F1258" s="41"/>
      <c r="G1258" s="41"/>
      <c r="H1258" s="41"/>
      <c r="I1258" s="42"/>
      <c r="J1258" s="41"/>
      <c r="K1258" s="41"/>
      <c r="L1258" s="43"/>
    </row>
    <row r="1259" spans="2:12" outlineLevel="2">
      <c r="B1259" s="35">
        <f t="shared" si="37"/>
        <v>794</v>
      </c>
      <c r="C1259" s="41" t="s">
        <v>69</v>
      </c>
      <c r="D1259" s="41"/>
      <c r="E1259" s="41"/>
      <c r="F1259" s="41"/>
      <c r="G1259" s="41"/>
      <c r="H1259" s="41"/>
      <c r="I1259" s="42"/>
      <c r="J1259" s="41"/>
      <c r="K1259" s="41"/>
      <c r="L1259" s="43"/>
    </row>
    <row r="1260" spans="2:12" outlineLevel="2">
      <c r="B1260" s="35">
        <f t="shared" si="37"/>
        <v>795</v>
      </c>
      <c r="C1260" s="41" t="s">
        <v>69</v>
      </c>
      <c r="D1260" s="41"/>
      <c r="E1260" s="41"/>
      <c r="F1260" s="41"/>
      <c r="G1260" s="41"/>
      <c r="H1260" s="41"/>
      <c r="I1260" s="42"/>
      <c r="J1260" s="41"/>
      <c r="K1260" s="41"/>
      <c r="L1260" s="43"/>
    </row>
    <row r="1261" spans="2:12" outlineLevel="2">
      <c r="B1261" s="35">
        <f t="shared" si="37"/>
        <v>796</v>
      </c>
      <c r="C1261" s="41" t="s">
        <v>69</v>
      </c>
      <c r="D1261" s="41"/>
      <c r="E1261" s="41"/>
      <c r="F1261" s="41"/>
      <c r="G1261" s="41"/>
      <c r="H1261" s="41"/>
      <c r="I1261" s="42"/>
      <c r="J1261" s="41"/>
      <c r="K1261" s="41"/>
      <c r="L1261" s="43"/>
    </row>
    <row r="1262" spans="2:12" outlineLevel="2">
      <c r="B1262" s="35">
        <f t="shared" si="37"/>
        <v>797</v>
      </c>
      <c r="C1262" s="41" t="s">
        <v>69</v>
      </c>
      <c r="D1262" s="41"/>
      <c r="E1262" s="41"/>
      <c r="F1262" s="41"/>
      <c r="G1262" s="41"/>
      <c r="H1262" s="41"/>
      <c r="I1262" s="42"/>
      <c r="J1262" s="41"/>
      <c r="K1262" s="41"/>
      <c r="L1262" s="43"/>
    </row>
    <row r="1263" spans="2:12" outlineLevel="2">
      <c r="B1263" s="35">
        <f t="shared" si="37"/>
        <v>798</v>
      </c>
      <c r="C1263" s="41" t="s">
        <v>69</v>
      </c>
      <c r="D1263" s="41"/>
      <c r="E1263" s="41"/>
      <c r="F1263" s="41"/>
      <c r="G1263" s="41"/>
      <c r="H1263" s="41"/>
      <c r="I1263" s="42"/>
      <c r="J1263" s="41"/>
      <c r="K1263" s="41"/>
      <c r="L1263" s="43"/>
    </row>
    <row r="1264" spans="2:12" outlineLevel="2">
      <c r="B1264" s="35">
        <f t="shared" si="37"/>
        <v>799</v>
      </c>
      <c r="C1264" s="41" t="s">
        <v>69</v>
      </c>
      <c r="D1264" s="41"/>
      <c r="E1264" s="41"/>
      <c r="F1264" s="41"/>
      <c r="G1264" s="41"/>
      <c r="H1264" s="41"/>
      <c r="I1264" s="42"/>
      <c r="J1264" s="41"/>
      <c r="K1264" s="41"/>
      <c r="L1264" s="43"/>
    </row>
    <row r="1265" spans="2:12" outlineLevel="2">
      <c r="B1265" s="35">
        <f t="shared" si="37"/>
        <v>800</v>
      </c>
      <c r="C1265" s="41" t="s">
        <v>69</v>
      </c>
      <c r="D1265" s="41"/>
      <c r="E1265" s="41"/>
      <c r="F1265" s="41"/>
      <c r="G1265" s="41"/>
      <c r="H1265" s="41"/>
      <c r="I1265" s="42"/>
      <c r="J1265" s="41"/>
      <c r="K1265" s="41"/>
      <c r="L1265" s="43"/>
    </row>
    <row r="1266" spans="2:12" outlineLevel="2">
      <c r="B1266" s="35">
        <f t="shared" si="37"/>
        <v>801</v>
      </c>
      <c r="C1266" s="41" t="s">
        <v>69</v>
      </c>
      <c r="D1266" s="41"/>
      <c r="E1266" s="41"/>
      <c r="F1266" s="41"/>
      <c r="G1266" s="41"/>
      <c r="H1266" s="41"/>
      <c r="I1266" s="42"/>
      <c r="J1266" s="41"/>
      <c r="K1266" s="41"/>
      <c r="L1266" s="43"/>
    </row>
    <row r="1267" spans="2:12" outlineLevel="2">
      <c r="B1267" s="35">
        <f t="shared" si="37"/>
        <v>802</v>
      </c>
      <c r="C1267" s="41" t="s">
        <v>69</v>
      </c>
      <c r="D1267" s="41"/>
      <c r="E1267" s="41"/>
      <c r="F1267" s="41"/>
      <c r="G1267" s="41"/>
      <c r="H1267" s="41"/>
      <c r="I1267" s="42"/>
      <c r="J1267" s="41"/>
      <c r="K1267" s="41"/>
      <c r="L1267" s="43"/>
    </row>
    <row r="1268" spans="2:12" outlineLevel="2">
      <c r="B1268" s="35">
        <f t="shared" si="37"/>
        <v>803</v>
      </c>
      <c r="C1268" s="41" t="s">
        <v>69</v>
      </c>
      <c r="D1268" s="41"/>
      <c r="E1268" s="41"/>
      <c r="F1268" s="41"/>
      <c r="G1268" s="41"/>
      <c r="H1268" s="41"/>
      <c r="I1268" s="42"/>
      <c r="J1268" s="41"/>
      <c r="K1268" s="41"/>
      <c r="L1268" s="43"/>
    </row>
    <row r="1269" spans="2:12" outlineLevel="2">
      <c r="B1269" s="35">
        <f t="shared" si="37"/>
        <v>804</v>
      </c>
      <c r="C1269" s="41" t="s">
        <v>69</v>
      </c>
      <c r="D1269" s="41"/>
      <c r="E1269" s="41"/>
      <c r="F1269" s="41"/>
      <c r="G1269" s="41"/>
      <c r="H1269" s="41"/>
      <c r="I1269" s="42"/>
      <c r="J1269" s="41"/>
      <c r="K1269" s="41"/>
      <c r="L1269" s="43"/>
    </row>
    <row r="1270" spans="2:12" outlineLevel="2">
      <c r="B1270" s="35">
        <f t="shared" si="37"/>
        <v>805</v>
      </c>
      <c r="C1270" s="41" t="s">
        <v>69</v>
      </c>
      <c r="D1270" s="41"/>
      <c r="E1270" s="41"/>
      <c r="F1270" s="41"/>
      <c r="G1270" s="41"/>
      <c r="H1270" s="41"/>
      <c r="I1270" s="42"/>
      <c r="J1270" s="41"/>
      <c r="K1270" s="41"/>
      <c r="L1270" s="43"/>
    </row>
    <row r="1271" spans="2:12" outlineLevel="2">
      <c r="B1271" s="35">
        <f t="shared" si="37"/>
        <v>806</v>
      </c>
      <c r="C1271" s="41" t="s">
        <v>69</v>
      </c>
      <c r="D1271" s="41"/>
      <c r="E1271" s="41"/>
      <c r="F1271" s="41"/>
      <c r="G1271" s="41"/>
      <c r="H1271" s="41"/>
      <c r="I1271" s="42"/>
      <c r="J1271" s="41"/>
      <c r="K1271" s="41"/>
      <c r="L1271" s="43"/>
    </row>
    <row r="1272" spans="2:12" outlineLevel="2">
      <c r="B1272" s="35">
        <f t="shared" si="37"/>
        <v>807</v>
      </c>
      <c r="C1272" s="41" t="s">
        <v>69</v>
      </c>
      <c r="D1272" s="41"/>
      <c r="E1272" s="41"/>
      <c r="F1272" s="41"/>
      <c r="G1272" s="41"/>
      <c r="H1272" s="41"/>
      <c r="I1272" s="42"/>
      <c r="J1272" s="41"/>
      <c r="K1272" s="41"/>
      <c r="L1272" s="43"/>
    </row>
    <row r="1273" spans="2:12" outlineLevel="2">
      <c r="B1273" s="35">
        <f t="shared" si="37"/>
        <v>808</v>
      </c>
      <c r="C1273" s="41" t="s">
        <v>69</v>
      </c>
      <c r="D1273" s="41"/>
      <c r="E1273" s="41"/>
      <c r="F1273" s="41"/>
      <c r="G1273" s="41"/>
      <c r="H1273" s="41"/>
      <c r="I1273" s="42"/>
      <c r="J1273" s="41"/>
      <c r="K1273" s="41"/>
      <c r="L1273" s="43"/>
    </row>
    <row r="1274" spans="2:12" outlineLevel="2">
      <c r="B1274" s="35">
        <f t="shared" si="37"/>
        <v>809</v>
      </c>
      <c r="C1274" s="41" t="s">
        <v>69</v>
      </c>
      <c r="D1274" s="41"/>
      <c r="E1274" s="41"/>
      <c r="F1274" s="41"/>
      <c r="G1274" s="41"/>
      <c r="H1274" s="41"/>
      <c r="I1274" s="42"/>
      <c r="J1274" s="41"/>
      <c r="K1274" s="41"/>
      <c r="L1274" s="43"/>
    </row>
    <row r="1275" spans="2:12" outlineLevel="2">
      <c r="B1275" s="35">
        <f t="shared" si="37"/>
        <v>810</v>
      </c>
      <c r="C1275" s="41" t="s">
        <v>69</v>
      </c>
      <c r="D1275" s="41"/>
      <c r="E1275" s="41"/>
      <c r="F1275" s="41"/>
      <c r="G1275" s="41"/>
      <c r="H1275" s="41"/>
      <c r="I1275" s="42"/>
      <c r="J1275" s="41"/>
      <c r="K1275" s="41"/>
      <c r="L1275" s="43"/>
    </row>
    <row r="1276" spans="2:12" outlineLevel="2">
      <c r="B1276" s="35">
        <f t="shared" si="37"/>
        <v>811</v>
      </c>
      <c r="C1276" s="41" t="s">
        <v>69</v>
      </c>
      <c r="D1276" s="41"/>
      <c r="E1276" s="41"/>
      <c r="F1276" s="41"/>
      <c r="G1276" s="41"/>
      <c r="H1276" s="41"/>
      <c r="I1276" s="42"/>
      <c r="J1276" s="41"/>
      <c r="K1276" s="41"/>
      <c r="L1276" s="43"/>
    </row>
    <row r="1277" spans="2:12" outlineLevel="2">
      <c r="B1277" s="35">
        <f t="shared" si="37"/>
        <v>812</v>
      </c>
      <c r="C1277" s="41" t="s">
        <v>69</v>
      </c>
      <c r="D1277" s="41"/>
      <c r="E1277" s="41"/>
      <c r="F1277" s="41"/>
      <c r="G1277" s="41"/>
      <c r="H1277" s="41"/>
      <c r="I1277" s="42"/>
      <c r="J1277" s="41"/>
      <c r="K1277" s="41"/>
      <c r="L1277" s="43"/>
    </row>
    <row r="1278" spans="2:12" outlineLevel="2">
      <c r="B1278" s="35">
        <f t="shared" si="37"/>
        <v>813</v>
      </c>
      <c r="C1278" s="41" t="s">
        <v>69</v>
      </c>
      <c r="D1278" s="41"/>
      <c r="E1278" s="41"/>
      <c r="F1278" s="41"/>
      <c r="G1278" s="41"/>
      <c r="H1278" s="41"/>
      <c r="I1278" s="42"/>
      <c r="J1278" s="41"/>
      <c r="K1278" s="41"/>
      <c r="L1278" s="43"/>
    </row>
    <row r="1279" spans="2:12" outlineLevel="2">
      <c r="B1279" s="35">
        <f t="shared" ref="B1279:B1342" si="38">(B1278+1)</f>
        <v>814</v>
      </c>
      <c r="C1279" s="41" t="s">
        <v>69</v>
      </c>
      <c r="D1279" s="41"/>
      <c r="E1279" s="41"/>
      <c r="F1279" s="41"/>
      <c r="G1279" s="41"/>
      <c r="H1279" s="41"/>
      <c r="I1279" s="42"/>
      <c r="J1279" s="41"/>
      <c r="K1279" s="41"/>
      <c r="L1279" s="43"/>
    </row>
    <row r="1280" spans="2:12" outlineLevel="2">
      <c r="B1280" s="35">
        <f t="shared" si="38"/>
        <v>815</v>
      </c>
      <c r="C1280" s="41" t="s">
        <v>69</v>
      </c>
      <c r="D1280" s="41"/>
      <c r="E1280" s="41"/>
      <c r="F1280" s="41"/>
      <c r="G1280" s="41"/>
      <c r="H1280" s="41"/>
      <c r="I1280" s="42"/>
      <c r="J1280" s="41"/>
      <c r="K1280" s="41"/>
      <c r="L1280" s="43"/>
    </row>
    <row r="1281" spans="2:12" outlineLevel="2">
      <c r="B1281" s="35">
        <f t="shared" si="38"/>
        <v>816</v>
      </c>
      <c r="C1281" s="41" t="s">
        <v>69</v>
      </c>
      <c r="D1281" s="41"/>
      <c r="E1281" s="41"/>
      <c r="F1281" s="41"/>
      <c r="G1281" s="41"/>
      <c r="H1281" s="41"/>
      <c r="I1281" s="42"/>
      <c r="J1281" s="41"/>
      <c r="K1281" s="41"/>
      <c r="L1281" s="43"/>
    </row>
    <row r="1282" spans="2:12" outlineLevel="2">
      <c r="B1282" s="35">
        <f t="shared" si="38"/>
        <v>817</v>
      </c>
      <c r="C1282" s="41" t="s">
        <v>69</v>
      </c>
      <c r="D1282" s="41"/>
      <c r="E1282" s="41"/>
      <c r="F1282" s="41"/>
      <c r="G1282" s="41"/>
      <c r="H1282" s="41"/>
      <c r="I1282" s="42"/>
      <c r="J1282" s="41"/>
      <c r="K1282" s="41"/>
      <c r="L1282" s="43"/>
    </row>
    <row r="1283" spans="2:12" outlineLevel="2">
      <c r="B1283" s="35">
        <f t="shared" si="38"/>
        <v>818</v>
      </c>
      <c r="C1283" s="41" t="s">
        <v>69</v>
      </c>
      <c r="D1283" s="41"/>
      <c r="E1283" s="41"/>
      <c r="F1283" s="41"/>
      <c r="G1283" s="41"/>
      <c r="H1283" s="41"/>
      <c r="I1283" s="42"/>
      <c r="J1283" s="41"/>
      <c r="K1283" s="41"/>
      <c r="L1283" s="43"/>
    </row>
    <row r="1284" spans="2:12" outlineLevel="2">
      <c r="B1284" s="35">
        <f t="shared" si="38"/>
        <v>819</v>
      </c>
      <c r="C1284" s="41" t="s">
        <v>69</v>
      </c>
      <c r="D1284" s="41"/>
      <c r="E1284" s="41"/>
      <c r="F1284" s="41"/>
      <c r="G1284" s="41"/>
      <c r="H1284" s="41"/>
      <c r="I1284" s="42"/>
      <c r="J1284" s="41"/>
      <c r="K1284" s="41"/>
      <c r="L1284" s="43"/>
    </row>
    <row r="1285" spans="2:12" outlineLevel="2">
      <c r="B1285" s="35">
        <f t="shared" si="38"/>
        <v>820</v>
      </c>
      <c r="C1285" s="41" t="s">
        <v>69</v>
      </c>
      <c r="D1285" s="41"/>
      <c r="E1285" s="41"/>
      <c r="F1285" s="41"/>
      <c r="G1285" s="41"/>
      <c r="H1285" s="41"/>
      <c r="I1285" s="42"/>
      <c r="J1285" s="41"/>
      <c r="K1285" s="41"/>
      <c r="L1285" s="43"/>
    </row>
    <row r="1286" spans="2:12" outlineLevel="2">
      <c r="B1286" s="35">
        <f t="shared" si="38"/>
        <v>821</v>
      </c>
      <c r="C1286" s="41" t="s">
        <v>69</v>
      </c>
      <c r="D1286" s="41"/>
      <c r="E1286" s="41"/>
      <c r="F1286" s="41"/>
      <c r="G1286" s="41"/>
      <c r="H1286" s="41"/>
      <c r="I1286" s="42"/>
      <c r="J1286" s="41"/>
      <c r="K1286" s="41"/>
      <c r="L1286" s="43"/>
    </row>
    <row r="1287" spans="2:12" outlineLevel="2">
      <c r="B1287" s="35">
        <f t="shared" si="38"/>
        <v>822</v>
      </c>
      <c r="C1287" s="41" t="s">
        <v>69</v>
      </c>
      <c r="D1287" s="41"/>
      <c r="E1287" s="41"/>
      <c r="F1287" s="41"/>
      <c r="G1287" s="41"/>
      <c r="H1287" s="41"/>
      <c r="I1287" s="42"/>
      <c r="J1287" s="41"/>
      <c r="K1287" s="41"/>
      <c r="L1287" s="43"/>
    </row>
    <row r="1288" spans="2:12" outlineLevel="2">
      <c r="B1288" s="35">
        <f t="shared" si="38"/>
        <v>823</v>
      </c>
      <c r="C1288" s="41" t="s">
        <v>69</v>
      </c>
      <c r="D1288" s="41"/>
      <c r="E1288" s="41"/>
      <c r="F1288" s="41"/>
      <c r="G1288" s="41"/>
      <c r="H1288" s="41"/>
      <c r="I1288" s="42"/>
      <c r="J1288" s="41"/>
      <c r="K1288" s="41"/>
      <c r="L1288" s="43"/>
    </row>
    <row r="1289" spans="2:12" outlineLevel="2">
      <c r="B1289" s="35">
        <f t="shared" si="38"/>
        <v>824</v>
      </c>
      <c r="C1289" s="41" t="s">
        <v>69</v>
      </c>
      <c r="D1289" s="41"/>
      <c r="E1289" s="41"/>
      <c r="F1289" s="41"/>
      <c r="G1289" s="41"/>
      <c r="H1289" s="41"/>
      <c r="I1289" s="42"/>
      <c r="J1289" s="41"/>
      <c r="K1289" s="41"/>
      <c r="L1289" s="43"/>
    </row>
    <row r="1290" spans="2:12" outlineLevel="2">
      <c r="B1290" s="35">
        <f t="shared" si="38"/>
        <v>825</v>
      </c>
      <c r="C1290" s="41" t="s">
        <v>69</v>
      </c>
      <c r="D1290" s="41"/>
      <c r="E1290" s="41"/>
      <c r="F1290" s="41"/>
      <c r="G1290" s="41"/>
      <c r="H1290" s="41"/>
      <c r="I1290" s="42"/>
      <c r="J1290" s="41"/>
      <c r="K1290" s="41"/>
      <c r="L1290" s="43"/>
    </row>
    <row r="1291" spans="2:12" outlineLevel="2">
      <c r="B1291" s="35">
        <f t="shared" si="38"/>
        <v>826</v>
      </c>
      <c r="C1291" s="41" t="s">
        <v>69</v>
      </c>
      <c r="D1291" s="41"/>
      <c r="E1291" s="41"/>
      <c r="F1291" s="41"/>
      <c r="G1291" s="41"/>
      <c r="H1291" s="41"/>
      <c r="I1291" s="42"/>
      <c r="J1291" s="41"/>
      <c r="K1291" s="41"/>
      <c r="L1291" s="43"/>
    </row>
    <row r="1292" spans="2:12" outlineLevel="2">
      <c r="B1292" s="35">
        <f t="shared" si="38"/>
        <v>827</v>
      </c>
      <c r="C1292" s="41" t="s">
        <v>69</v>
      </c>
      <c r="D1292" s="41"/>
      <c r="E1292" s="41"/>
      <c r="F1292" s="41"/>
      <c r="G1292" s="41"/>
      <c r="H1292" s="41"/>
      <c r="I1292" s="42"/>
      <c r="J1292" s="41"/>
      <c r="K1292" s="41"/>
      <c r="L1292" s="43"/>
    </row>
    <row r="1293" spans="2:12" outlineLevel="2">
      <c r="B1293" s="35">
        <f t="shared" si="38"/>
        <v>828</v>
      </c>
      <c r="C1293" s="41" t="s">
        <v>69</v>
      </c>
      <c r="D1293" s="41"/>
      <c r="E1293" s="41"/>
      <c r="F1293" s="41"/>
      <c r="G1293" s="41"/>
      <c r="H1293" s="41"/>
      <c r="I1293" s="42"/>
      <c r="J1293" s="41"/>
      <c r="K1293" s="41"/>
      <c r="L1293" s="43"/>
    </row>
    <row r="1294" spans="2:12" outlineLevel="2">
      <c r="B1294" s="35">
        <f t="shared" si="38"/>
        <v>829</v>
      </c>
      <c r="C1294" s="41" t="s">
        <v>69</v>
      </c>
      <c r="D1294" s="41"/>
      <c r="E1294" s="41"/>
      <c r="F1294" s="41"/>
      <c r="G1294" s="41"/>
      <c r="H1294" s="41"/>
      <c r="I1294" s="42"/>
      <c r="J1294" s="41"/>
      <c r="K1294" s="41"/>
      <c r="L1294" s="43"/>
    </row>
    <row r="1295" spans="2:12" outlineLevel="2">
      <c r="B1295" s="35">
        <f t="shared" si="38"/>
        <v>830</v>
      </c>
      <c r="C1295" s="41" t="s">
        <v>69</v>
      </c>
      <c r="D1295" s="41"/>
      <c r="E1295" s="41"/>
      <c r="F1295" s="41"/>
      <c r="G1295" s="41"/>
      <c r="H1295" s="41"/>
      <c r="I1295" s="42"/>
      <c r="J1295" s="41"/>
      <c r="K1295" s="41"/>
      <c r="L1295" s="43"/>
    </row>
    <row r="1296" spans="2:12" outlineLevel="2">
      <c r="B1296" s="35">
        <f t="shared" si="38"/>
        <v>831</v>
      </c>
      <c r="C1296" s="41" t="s">
        <v>69</v>
      </c>
      <c r="D1296" s="41"/>
      <c r="E1296" s="41"/>
      <c r="F1296" s="41"/>
      <c r="G1296" s="41"/>
      <c r="H1296" s="41"/>
      <c r="I1296" s="42"/>
      <c r="J1296" s="41"/>
      <c r="K1296" s="41"/>
      <c r="L1296" s="43"/>
    </row>
    <row r="1297" spans="2:12" outlineLevel="2">
      <c r="B1297" s="35">
        <f t="shared" si="38"/>
        <v>832</v>
      </c>
      <c r="C1297" s="41" t="s">
        <v>69</v>
      </c>
      <c r="D1297" s="41"/>
      <c r="E1297" s="41"/>
      <c r="F1297" s="41"/>
      <c r="G1297" s="41"/>
      <c r="H1297" s="41"/>
      <c r="I1297" s="42"/>
      <c r="J1297" s="41"/>
      <c r="K1297" s="41"/>
      <c r="L1297" s="43"/>
    </row>
    <row r="1298" spans="2:12" outlineLevel="2">
      <c r="B1298" s="35">
        <f t="shared" si="38"/>
        <v>833</v>
      </c>
      <c r="C1298" s="41" t="s">
        <v>69</v>
      </c>
      <c r="D1298" s="41"/>
      <c r="E1298" s="41"/>
      <c r="F1298" s="41"/>
      <c r="G1298" s="41"/>
      <c r="H1298" s="41"/>
      <c r="I1298" s="42"/>
      <c r="J1298" s="41"/>
      <c r="K1298" s="41"/>
      <c r="L1298" s="43"/>
    </row>
    <row r="1299" spans="2:12" outlineLevel="2">
      <c r="B1299" s="35">
        <f t="shared" si="38"/>
        <v>834</v>
      </c>
      <c r="C1299" s="41" t="s">
        <v>69</v>
      </c>
      <c r="D1299" s="41"/>
      <c r="E1299" s="41"/>
      <c r="F1299" s="41"/>
      <c r="G1299" s="41"/>
      <c r="H1299" s="41"/>
      <c r="I1299" s="42"/>
      <c r="J1299" s="41"/>
      <c r="K1299" s="41"/>
      <c r="L1299" s="43"/>
    </row>
    <row r="1300" spans="2:12" outlineLevel="2">
      <c r="B1300" s="35">
        <f t="shared" si="38"/>
        <v>835</v>
      </c>
      <c r="C1300" s="41" t="s">
        <v>69</v>
      </c>
      <c r="D1300" s="41"/>
      <c r="E1300" s="41"/>
      <c r="F1300" s="41"/>
      <c r="G1300" s="41"/>
      <c r="H1300" s="41"/>
      <c r="I1300" s="42"/>
      <c r="J1300" s="41"/>
      <c r="K1300" s="41"/>
      <c r="L1300" s="43"/>
    </row>
    <row r="1301" spans="2:12" outlineLevel="2">
      <c r="B1301" s="35">
        <f t="shared" si="38"/>
        <v>836</v>
      </c>
      <c r="C1301" s="41" t="s">
        <v>69</v>
      </c>
      <c r="D1301" s="41"/>
      <c r="E1301" s="41"/>
      <c r="F1301" s="41"/>
      <c r="G1301" s="41"/>
      <c r="H1301" s="41"/>
      <c r="I1301" s="42"/>
      <c r="J1301" s="41"/>
      <c r="K1301" s="41"/>
      <c r="L1301" s="43"/>
    </row>
    <row r="1302" spans="2:12" outlineLevel="2">
      <c r="B1302" s="35">
        <f t="shared" si="38"/>
        <v>837</v>
      </c>
      <c r="C1302" s="41" t="s">
        <v>69</v>
      </c>
      <c r="D1302" s="41"/>
      <c r="E1302" s="41"/>
      <c r="F1302" s="41"/>
      <c r="G1302" s="41"/>
      <c r="H1302" s="41"/>
      <c r="I1302" s="42"/>
      <c r="J1302" s="41"/>
      <c r="K1302" s="41"/>
      <c r="L1302" s="43"/>
    </row>
    <row r="1303" spans="2:12" outlineLevel="2">
      <c r="B1303" s="35">
        <f t="shared" si="38"/>
        <v>838</v>
      </c>
      <c r="C1303" s="41" t="s">
        <v>69</v>
      </c>
      <c r="D1303" s="41"/>
      <c r="E1303" s="41"/>
      <c r="F1303" s="41"/>
      <c r="G1303" s="41"/>
      <c r="H1303" s="41"/>
      <c r="I1303" s="42"/>
      <c r="J1303" s="41"/>
      <c r="K1303" s="41"/>
      <c r="L1303" s="43"/>
    </row>
    <row r="1304" spans="2:12" outlineLevel="2">
      <c r="B1304" s="35">
        <f t="shared" si="38"/>
        <v>839</v>
      </c>
      <c r="C1304" s="41" t="s">
        <v>69</v>
      </c>
      <c r="D1304" s="41"/>
      <c r="E1304" s="41"/>
      <c r="F1304" s="41"/>
      <c r="G1304" s="41"/>
      <c r="H1304" s="41"/>
      <c r="I1304" s="42"/>
      <c r="J1304" s="41"/>
      <c r="K1304" s="41"/>
      <c r="L1304" s="43"/>
    </row>
    <row r="1305" spans="2:12" outlineLevel="2">
      <c r="B1305" s="35">
        <f t="shared" si="38"/>
        <v>840</v>
      </c>
      <c r="C1305" s="41" t="s">
        <v>69</v>
      </c>
      <c r="D1305" s="41"/>
      <c r="E1305" s="41"/>
      <c r="F1305" s="41"/>
      <c r="G1305" s="41"/>
      <c r="H1305" s="41"/>
      <c r="I1305" s="42"/>
      <c r="J1305" s="41"/>
      <c r="K1305" s="41"/>
      <c r="L1305" s="43"/>
    </row>
    <row r="1306" spans="2:12" outlineLevel="2">
      <c r="B1306" s="35">
        <f t="shared" si="38"/>
        <v>841</v>
      </c>
      <c r="C1306" s="41" t="s">
        <v>69</v>
      </c>
      <c r="D1306" s="41"/>
      <c r="E1306" s="41"/>
      <c r="F1306" s="41"/>
      <c r="G1306" s="41"/>
      <c r="H1306" s="41"/>
      <c r="I1306" s="42"/>
      <c r="J1306" s="41"/>
      <c r="K1306" s="41"/>
      <c r="L1306" s="43"/>
    </row>
    <row r="1307" spans="2:12" outlineLevel="2">
      <c r="B1307" s="35">
        <f t="shared" si="38"/>
        <v>842</v>
      </c>
      <c r="C1307" s="41" t="s">
        <v>69</v>
      </c>
      <c r="D1307" s="41"/>
      <c r="E1307" s="41"/>
      <c r="F1307" s="41"/>
      <c r="G1307" s="41"/>
      <c r="H1307" s="41"/>
      <c r="I1307" s="42"/>
      <c r="J1307" s="41"/>
      <c r="K1307" s="41"/>
      <c r="L1307" s="43"/>
    </row>
    <row r="1308" spans="2:12" outlineLevel="2">
      <c r="B1308" s="35">
        <f t="shared" si="38"/>
        <v>843</v>
      </c>
      <c r="C1308" s="41" t="s">
        <v>69</v>
      </c>
      <c r="D1308" s="41"/>
      <c r="E1308" s="41"/>
      <c r="F1308" s="41"/>
      <c r="G1308" s="41"/>
      <c r="H1308" s="41"/>
      <c r="I1308" s="42"/>
      <c r="J1308" s="41"/>
      <c r="K1308" s="41"/>
      <c r="L1308" s="43"/>
    </row>
    <row r="1309" spans="2:12" outlineLevel="2">
      <c r="B1309" s="35">
        <f t="shared" si="38"/>
        <v>844</v>
      </c>
      <c r="C1309" s="41" t="s">
        <v>69</v>
      </c>
      <c r="D1309" s="41"/>
      <c r="E1309" s="41"/>
      <c r="F1309" s="41"/>
      <c r="G1309" s="41"/>
      <c r="H1309" s="41"/>
      <c r="I1309" s="42"/>
      <c r="J1309" s="41"/>
      <c r="K1309" s="41"/>
      <c r="L1309" s="43"/>
    </row>
    <row r="1310" spans="2:12" outlineLevel="2">
      <c r="B1310" s="35">
        <f t="shared" si="38"/>
        <v>845</v>
      </c>
      <c r="C1310" s="41" t="s">
        <v>69</v>
      </c>
      <c r="D1310" s="41"/>
      <c r="E1310" s="41"/>
      <c r="F1310" s="41"/>
      <c r="G1310" s="41"/>
      <c r="H1310" s="41"/>
      <c r="I1310" s="42"/>
      <c r="J1310" s="41"/>
      <c r="K1310" s="41"/>
      <c r="L1310" s="43"/>
    </row>
    <row r="1311" spans="2:12" outlineLevel="2">
      <c r="B1311" s="35">
        <f t="shared" si="38"/>
        <v>846</v>
      </c>
      <c r="C1311" s="41" t="s">
        <v>69</v>
      </c>
      <c r="D1311" s="41"/>
      <c r="E1311" s="41"/>
      <c r="F1311" s="41"/>
      <c r="G1311" s="41"/>
      <c r="H1311" s="41"/>
      <c r="I1311" s="42"/>
      <c r="J1311" s="41"/>
      <c r="K1311" s="41"/>
      <c r="L1311" s="43"/>
    </row>
    <row r="1312" spans="2:12" outlineLevel="2">
      <c r="B1312" s="35">
        <f t="shared" si="38"/>
        <v>847</v>
      </c>
      <c r="C1312" s="41" t="s">
        <v>69</v>
      </c>
      <c r="D1312" s="41"/>
      <c r="E1312" s="41"/>
      <c r="F1312" s="41"/>
      <c r="G1312" s="41"/>
      <c r="H1312" s="41"/>
      <c r="I1312" s="42"/>
      <c r="J1312" s="41"/>
      <c r="K1312" s="41"/>
      <c r="L1312" s="43"/>
    </row>
    <row r="1313" spans="2:12" outlineLevel="2">
      <c r="B1313" s="35">
        <f t="shared" si="38"/>
        <v>848</v>
      </c>
      <c r="C1313" s="41" t="s">
        <v>69</v>
      </c>
      <c r="D1313" s="41"/>
      <c r="E1313" s="41"/>
      <c r="F1313" s="41"/>
      <c r="G1313" s="41"/>
      <c r="H1313" s="41"/>
      <c r="I1313" s="42"/>
      <c r="J1313" s="41"/>
      <c r="K1313" s="41"/>
      <c r="L1313" s="43"/>
    </row>
    <row r="1314" spans="2:12" outlineLevel="2">
      <c r="B1314" s="35">
        <f t="shared" si="38"/>
        <v>849</v>
      </c>
      <c r="C1314" s="41" t="s">
        <v>69</v>
      </c>
      <c r="D1314" s="41"/>
      <c r="E1314" s="41"/>
      <c r="F1314" s="41"/>
      <c r="G1314" s="41"/>
      <c r="H1314" s="41"/>
      <c r="I1314" s="42"/>
      <c r="J1314" s="41"/>
      <c r="K1314" s="41"/>
      <c r="L1314" s="43"/>
    </row>
    <row r="1315" spans="2:12" outlineLevel="2">
      <c r="B1315" s="35">
        <f t="shared" si="38"/>
        <v>850</v>
      </c>
      <c r="C1315" s="41" t="s">
        <v>69</v>
      </c>
      <c r="D1315" s="41"/>
      <c r="E1315" s="41"/>
      <c r="F1315" s="41"/>
      <c r="G1315" s="41"/>
      <c r="H1315" s="41"/>
      <c r="I1315" s="42"/>
      <c r="J1315" s="41"/>
      <c r="K1315" s="41"/>
      <c r="L1315" s="43"/>
    </row>
    <row r="1316" spans="2:12" outlineLevel="2">
      <c r="B1316" s="35">
        <f t="shared" si="38"/>
        <v>851</v>
      </c>
      <c r="C1316" s="41" t="s">
        <v>69</v>
      </c>
      <c r="D1316" s="41"/>
      <c r="E1316" s="41"/>
      <c r="F1316" s="41"/>
      <c r="G1316" s="41"/>
      <c r="H1316" s="41"/>
      <c r="I1316" s="42"/>
      <c r="J1316" s="41"/>
      <c r="K1316" s="41"/>
      <c r="L1316" s="43"/>
    </row>
    <row r="1317" spans="2:12" outlineLevel="2">
      <c r="B1317" s="35">
        <f t="shared" si="38"/>
        <v>852</v>
      </c>
      <c r="C1317" s="41" t="s">
        <v>69</v>
      </c>
      <c r="D1317" s="41"/>
      <c r="E1317" s="41"/>
      <c r="F1317" s="41"/>
      <c r="G1317" s="41"/>
      <c r="H1317" s="41"/>
      <c r="I1317" s="42"/>
      <c r="J1317" s="41"/>
      <c r="K1317" s="41"/>
      <c r="L1317" s="43"/>
    </row>
    <row r="1318" spans="2:12" outlineLevel="2">
      <c r="B1318" s="35">
        <f t="shared" si="38"/>
        <v>853</v>
      </c>
      <c r="C1318" s="41" t="s">
        <v>69</v>
      </c>
      <c r="D1318" s="41"/>
      <c r="E1318" s="41"/>
      <c r="F1318" s="41"/>
      <c r="G1318" s="41"/>
      <c r="H1318" s="41"/>
      <c r="I1318" s="42"/>
      <c r="J1318" s="41"/>
      <c r="K1318" s="41"/>
      <c r="L1318" s="43"/>
    </row>
    <row r="1319" spans="2:12" outlineLevel="2">
      <c r="B1319" s="35">
        <f t="shared" si="38"/>
        <v>854</v>
      </c>
      <c r="C1319" s="41" t="s">
        <v>69</v>
      </c>
      <c r="D1319" s="41"/>
      <c r="E1319" s="41"/>
      <c r="F1319" s="41"/>
      <c r="G1319" s="41"/>
      <c r="H1319" s="41"/>
      <c r="I1319" s="42"/>
      <c r="J1319" s="41"/>
      <c r="K1319" s="41"/>
      <c r="L1319" s="43"/>
    </row>
    <row r="1320" spans="2:12" outlineLevel="2">
      <c r="B1320" s="35">
        <f t="shared" si="38"/>
        <v>855</v>
      </c>
      <c r="C1320" s="41" t="s">
        <v>69</v>
      </c>
      <c r="D1320" s="41"/>
      <c r="E1320" s="41"/>
      <c r="F1320" s="41"/>
      <c r="G1320" s="41"/>
      <c r="H1320" s="41"/>
      <c r="I1320" s="42"/>
      <c r="J1320" s="41"/>
      <c r="K1320" s="41"/>
      <c r="L1320" s="43"/>
    </row>
    <row r="1321" spans="2:12" outlineLevel="2">
      <c r="B1321" s="35">
        <f t="shared" si="38"/>
        <v>856</v>
      </c>
      <c r="C1321" s="41" t="s">
        <v>69</v>
      </c>
      <c r="D1321" s="41"/>
      <c r="E1321" s="41"/>
      <c r="F1321" s="41"/>
      <c r="G1321" s="41"/>
      <c r="H1321" s="41"/>
      <c r="I1321" s="42"/>
      <c r="J1321" s="41"/>
      <c r="K1321" s="41"/>
      <c r="L1321" s="43"/>
    </row>
    <row r="1322" spans="2:12" outlineLevel="2">
      <c r="B1322" s="35">
        <f t="shared" si="38"/>
        <v>857</v>
      </c>
      <c r="C1322" s="41" t="s">
        <v>69</v>
      </c>
      <c r="D1322" s="41"/>
      <c r="E1322" s="41"/>
      <c r="F1322" s="41"/>
      <c r="G1322" s="41"/>
      <c r="H1322" s="41"/>
      <c r="I1322" s="42"/>
      <c r="J1322" s="41"/>
      <c r="K1322" s="41"/>
      <c r="L1322" s="43"/>
    </row>
    <row r="1323" spans="2:12" outlineLevel="2">
      <c r="B1323" s="35">
        <f t="shared" si="38"/>
        <v>858</v>
      </c>
      <c r="C1323" s="41" t="s">
        <v>69</v>
      </c>
      <c r="D1323" s="41"/>
      <c r="E1323" s="41"/>
      <c r="F1323" s="41"/>
      <c r="G1323" s="41"/>
      <c r="H1323" s="41"/>
      <c r="I1323" s="42"/>
      <c r="J1323" s="41"/>
      <c r="K1323" s="41"/>
      <c r="L1323" s="43"/>
    </row>
    <row r="1324" spans="2:12" outlineLevel="2">
      <c r="B1324" s="35">
        <f t="shared" si="38"/>
        <v>859</v>
      </c>
      <c r="C1324" s="41" t="s">
        <v>69</v>
      </c>
      <c r="D1324" s="41"/>
      <c r="E1324" s="41"/>
      <c r="F1324" s="41"/>
      <c r="G1324" s="41"/>
      <c r="H1324" s="41"/>
      <c r="I1324" s="42"/>
      <c r="J1324" s="41"/>
      <c r="K1324" s="41"/>
      <c r="L1324" s="43"/>
    </row>
    <row r="1325" spans="2:12" outlineLevel="2">
      <c r="B1325" s="35">
        <f t="shared" si="38"/>
        <v>860</v>
      </c>
      <c r="C1325" s="41" t="s">
        <v>69</v>
      </c>
      <c r="D1325" s="41"/>
      <c r="E1325" s="41"/>
      <c r="F1325" s="41"/>
      <c r="G1325" s="41"/>
      <c r="H1325" s="41"/>
      <c r="I1325" s="42"/>
      <c r="J1325" s="41"/>
      <c r="K1325" s="41"/>
      <c r="L1325" s="43"/>
    </row>
    <row r="1326" spans="2:12" outlineLevel="2">
      <c r="B1326" s="35">
        <f t="shared" si="38"/>
        <v>861</v>
      </c>
      <c r="C1326" s="41" t="s">
        <v>69</v>
      </c>
      <c r="D1326" s="41"/>
      <c r="E1326" s="41"/>
      <c r="F1326" s="41"/>
      <c r="G1326" s="41"/>
      <c r="H1326" s="41"/>
      <c r="I1326" s="42"/>
      <c r="J1326" s="41"/>
      <c r="K1326" s="41"/>
      <c r="L1326" s="43"/>
    </row>
    <row r="1327" spans="2:12" outlineLevel="2">
      <c r="B1327" s="35">
        <f t="shared" si="38"/>
        <v>862</v>
      </c>
      <c r="C1327" s="41" t="s">
        <v>69</v>
      </c>
      <c r="D1327" s="41"/>
      <c r="E1327" s="41"/>
      <c r="F1327" s="41"/>
      <c r="G1327" s="41"/>
      <c r="H1327" s="41"/>
      <c r="I1327" s="42"/>
      <c r="J1327" s="41"/>
      <c r="K1327" s="41"/>
      <c r="L1327" s="43"/>
    </row>
    <row r="1328" spans="2:12" outlineLevel="2">
      <c r="B1328" s="35">
        <f t="shared" si="38"/>
        <v>863</v>
      </c>
      <c r="C1328" s="41" t="s">
        <v>69</v>
      </c>
      <c r="D1328" s="41"/>
      <c r="E1328" s="41"/>
      <c r="F1328" s="41"/>
      <c r="G1328" s="41"/>
      <c r="H1328" s="41"/>
      <c r="I1328" s="42"/>
      <c r="J1328" s="41"/>
      <c r="K1328" s="41"/>
      <c r="L1328" s="43"/>
    </row>
    <row r="1329" spans="2:12" outlineLevel="2">
      <c r="B1329" s="35">
        <f t="shared" si="38"/>
        <v>864</v>
      </c>
      <c r="C1329" s="41" t="s">
        <v>69</v>
      </c>
      <c r="D1329" s="41"/>
      <c r="E1329" s="41"/>
      <c r="F1329" s="41"/>
      <c r="G1329" s="41"/>
      <c r="H1329" s="41"/>
      <c r="I1329" s="42"/>
      <c r="J1329" s="41"/>
      <c r="K1329" s="41"/>
      <c r="L1329" s="43"/>
    </row>
    <row r="1330" spans="2:12" outlineLevel="2">
      <c r="B1330" s="35">
        <f t="shared" si="38"/>
        <v>865</v>
      </c>
      <c r="C1330" s="41" t="s">
        <v>69</v>
      </c>
      <c r="D1330" s="41"/>
      <c r="E1330" s="41"/>
      <c r="F1330" s="41"/>
      <c r="G1330" s="41"/>
      <c r="H1330" s="41"/>
      <c r="I1330" s="42"/>
      <c r="J1330" s="41"/>
      <c r="K1330" s="41"/>
      <c r="L1330" s="43"/>
    </row>
    <row r="1331" spans="2:12" outlineLevel="2">
      <c r="B1331" s="35">
        <f t="shared" si="38"/>
        <v>866</v>
      </c>
      <c r="C1331" s="41" t="s">
        <v>69</v>
      </c>
      <c r="D1331" s="41"/>
      <c r="E1331" s="41"/>
      <c r="F1331" s="41"/>
      <c r="G1331" s="41"/>
      <c r="H1331" s="41"/>
      <c r="I1331" s="42"/>
      <c r="J1331" s="41"/>
      <c r="K1331" s="41"/>
      <c r="L1331" s="43"/>
    </row>
    <row r="1332" spans="2:12" outlineLevel="2">
      <c r="B1332" s="35">
        <f t="shared" si="38"/>
        <v>867</v>
      </c>
      <c r="C1332" s="41" t="s">
        <v>69</v>
      </c>
      <c r="D1332" s="41"/>
      <c r="E1332" s="41"/>
      <c r="F1332" s="41"/>
      <c r="G1332" s="41"/>
      <c r="H1332" s="41"/>
      <c r="I1332" s="42"/>
      <c r="J1332" s="41"/>
      <c r="K1332" s="41"/>
      <c r="L1332" s="43"/>
    </row>
    <row r="1333" spans="2:12" outlineLevel="2">
      <c r="B1333" s="35">
        <f t="shared" si="38"/>
        <v>868</v>
      </c>
      <c r="C1333" s="41" t="s">
        <v>69</v>
      </c>
      <c r="D1333" s="41"/>
      <c r="E1333" s="41"/>
      <c r="F1333" s="41"/>
      <c r="G1333" s="41"/>
      <c r="H1333" s="41"/>
      <c r="I1333" s="42"/>
      <c r="J1333" s="41"/>
      <c r="K1333" s="41"/>
      <c r="L1333" s="43"/>
    </row>
    <row r="1334" spans="2:12" outlineLevel="2">
      <c r="B1334" s="35">
        <f t="shared" si="38"/>
        <v>869</v>
      </c>
      <c r="C1334" s="41" t="s">
        <v>69</v>
      </c>
      <c r="D1334" s="41"/>
      <c r="E1334" s="41"/>
      <c r="F1334" s="41"/>
      <c r="G1334" s="41"/>
      <c r="H1334" s="41"/>
      <c r="I1334" s="42"/>
      <c r="J1334" s="41"/>
      <c r="K1334" s="41"/>
      <c r="L1334" s="43"/>
    </row>
    <row r="1335" spans="2:12" outlineLevel="2">
      <c r="B1335" s="35">
        <f t="shared" si="38"/>
        <v>870</v>
      </c>
      <c r="C1335" s="41" t="s">
        <v>69</v>
      </c>
      <c r="D1335" s="41"/>
      <c r="E1335" s="41"/>
      <c r="F1335" s="41"/>
      <c r="G1335" s="41"/>
      <c r="H1335" s="41"/>
      <c r="I1335" s="42"/>
      <c r="J1335" s="41"/>
      <c r="K1335" s="41"/>
      <c r="L1335" s="43"/>
    </row>
    <row r="1336" spans="2:12" outlineLevel="2">
      <c r="B1336" s="35">
        <f t="shared" si="38"/>
        <v>871</v>
      </c>
      <c r="C1336" s="41" t="s">
        <v>69</v>
      </c>
      <c r="D1336" s="41"/>
      <c r="E1336" s="41"/>
      <c r="F1336" s="41"/>
      <c r="G1336" s="41"/>
      <c r="H1336" s="41"/>
      <c r="I1336" s="42"/>
      <c r="J1336" s="41"/>
      <c r="K1336" s="41"/>
      <c r="L1336" s="43"/>
    </row>
    <row r="1337" spans="2:12" outlineLevel="2">
      <c r="B1337" s="35">
        <f t="shared" si="38"/>
        <v>872</v>
      </c>
      <c r="C1337" s="41" t="s">
        <v>69</v>
      </c>
      <c r="D1337" s="41"/>
      <c r="E1337" s="41"/>
      <c r="F1337" s="41"/>
      <c r="G1337" s="41"/>
      <c r="H1337" s="41"/>
      <c r="I1337" s="42"/>
      <c r="J1337" s="41"/>
      <c r="K1337" s="41"/>
      <c r="L1337" s="43"/>
    </row>
    <row r="1338" spans="2:12" outlineLevel="2">
      <c r="B1338" s="35">
        <f t="shared" si="38"/>
        <v>873</v>
      </c>
      <c r="C1338" s="41" t="s">
        <v>69</v>
      </c>
      <c r="D1338" s="41"/>
      <c r="E1338" s="41"/>
      <c r="F1338" s="41"/>
      <c r="G1338" s="41"/>
      <c r="H1338" s="41"/>
      <c r="I1338" s="42"/>
      <c r="J1338" s="41"/>
      <c r="K1338" s="41"/>
      <c r="L1338" s="43"/>
    </row>
    <row r="1339" spans="2:12" outlineLevel="2">
      <c r="B1339" s="35">
        <f t="shared" si="38"/>
        <v>874</v>
      </c>
      <c r="C1339" s="41" t="s">
        <v>69</v>
      </c>
      <c r="D1339" s="41"/>
      <c r="E1339" s="41"/>
      <c r="F1339" s="41"/>
      <c r="G1339" s="41"/>
      <c r="H1339" s="41"/>
      <c r="I1339" s="42"/>
      <c r="J1339" s="41"/>
      <c r="K1339" s="41"/>
      <c r="L1339" s="43"/>
    </row>
    <row r="1340" spans="2:12" outlineLevel="2">
      <c r="B1340" s="35">
        <f t="shared" si="38"/>
        <v>875</v>
      </c>
      <c r="C1340" s="41" t="s">
        <v>69</v>
      </c>
      <c r="D1340" s="41"/>
      <c r="E1340" s="41"/>
      <c r="F1340" s="41"/>
      <c r="G1340" s="41"/>
      <c r="H1340" s="41"/>
      <c r="I1340" s="42"/>
      <c r="J1340" s="41"/>
      <c r="K1340" s="41"/>
      <c r="L1340" s="43"/>
    </row>
    <row r="1341" spans="2:12" outlineLevel="2">
      <c r="B1341" s="35">
        <f t="shared" si="38"/>
        <v>876</v>
      </c>
      <c r="C1341" s="41" t="s">
        <v>69</v>
      </c>
      <c r="D1341" s="41"/>
      <c r="E1341" s="41"/>
      <c r="F1341" s="41"/>
      <c r="G1341" s="41"/>
      <c r="H1341" s="41"/>
      <c r="I1341" s="42"/>
      <c r="J1341" s="41"/>
      <c r="K1341" s="41"/>
      <c r="L1341" s="43"/>
    </row>
    <row r="1342" spans="2:12" outlineLevel="2">
      <c r="B1342" s="35">
        <f t="shared" si="38"/>
        <v>877</v>
      </c>
      <c r="C1342" s="41" t="s">
        <v>69</v>
      </c>
      <c r="D1342" s="41"/>
      <c r="E1342" s="41"/>
      <c r="F1342" s="41"/>
      <c r="G1342" s="41"/>
      <c r="H1342" s="41"/>
      <c r="I1342" s="42"/>
      <c r="J1342" s="41"/>
      <c r="K1342" s="41"/>
      <c r="L1342" s="43"/>
    </row>
    <row r="1343" spans="2:12" outlineLevel="2">
      <c r="B1343" s="35">
        <f t="shared" ref="B1343:B1362" si="39">(B1342+1)</f>
        <v>878</v>
      </c>
      <c r="C1343" s="41" t="s">
        <v>69</v>
      </c>
      <c r="D1343" s="41"/>
      <c r="E1343" s="41"/>
      <c r="F1343" s="41"/>
      <c r="G1343" s="41"/>
      <c r="H1343" s="41"/>
      <c r="I1343" s="42"/>
      <c r="J1343" s="41"/>
      <c r="K1343" s="41"/>
      <c r="L1343" s="43"/>
    </row>
    <row r="1344" spans="2:12" outlineLevel="2">
      <c r="B1344" s="35">
        <f t="shared" si="39"/>
        <v>879</v>
      </c>
      <c r="C1344" s="41" t="s">
        <v>69</v>
      </c>
      <c r="D1344" s="41"/>
      <c r="E1344" s="41"/>
      <c r="F1344" s="41"/>
      <c r="G1344" s="41"/>
      <c r="H1344" s="41"/>
      <c r="I1344" s="42"/>
      <c r="J1344" s="41"/>
      <c r="K1344" s="41"/>
      <c r="L1344" s="43"/>
    </row>
    <row r="1345" spans="2:12" outlineLevel="2">
      <c r="B1345" s="35">
        <f t="shared" si="39"/>
        <v>880</v>
      </c>
      <c r="C1345" s="41" t="s">
        <v>69</v>
      </c>
      <c r="D1345" s="41"/>
      <c r="E1345" s="41"/>
      <c r="F1345" s="41"/>
      <c r="G1345" s="41"/>
      <c r="H1345" s="41"/>
      <c r="I1345" s="42"/>
      <c r="J1345" s="41"/>
      <c r="K1345" s="41"/>
      <c r="L1345" s="43"/>
    </row>
    <row r="1346" spans="2:12" outlineLevel="2">
      <c r="B1346" s="35">
        <f t="shared" si="39"/>
        <v>881</v>
      </c>
      <c r="C1346" s="41" t="s">
        <v>69</v>
      </c>
      <c r="D1346" s="41"/>
      <c r="E1346" s="41"/>
      <c r="F1346" s="41"/>
      <c r="G1346" s="41"/>
      <c r="H1346" s="41"/>
      <c r="I1346" s="42"/>
      <c r="J1346" s="41"/>
      <c r="K1346" s="41"/>
      <c r="L1346" s="43"/>
    </row>
    <row r="1347" spans="2:12" outlineLevel="2">
      <c r="B1347" s="35">
        <f t="shared" si="39"/>
        <v>882</v>
      </c>
      <c r="C1347" s="41" t="s">
        <v>69</v>
      </c>
      <c r="D1347" s="41"/>
      <c r="E1347" s="41"/>
      <c r="F1347" s="41"/>
      <c r="G1347" s="41"/>
      <c r="H1347" s="41"/>
      <c r="I1347" s="42"/>
      <c r="J1347" s="41"/>
      <c r="K1347" s="41"/>
      <c r="L1347" s="43"/>
    </row>
    <row r="1348" spans="2:12" outlineLevel="2">
      <c r="B1348" s="35">
        <f t="shared" si="39"/>
        <v>883</v>
      </c>
      <c r="C1348" s="41" t="s">
        <v>69</v>
      </c>
      <c r="D1348" s="41"/>
      <c r="E1348" s="41"/>
      <c r="F1348" s="41"/>
      <c r="G1348" s="41"/>
      <c r="H1348" s="41"/>
      <c r="I1348" s="42"/>
      <c r="J1348" s="41"/>
      <c r="K1348" s="41"/>
      <c r="L1348" s="43"/>
    </row>
    <row r="1349" spans="2:12" outlineLevel="2">
      <c r="B1349" s="35">
        <f t="shared" si="39"/>
        <v>884</v>
      </c>
      <c r="C1349" s="41" t="s">
        <v>69</v>
      </c>
      <c r="D1349" s="41"/>
      <c r="E1349" s="41"/>
      <c r="F1349" s="41"/>
      <c r="G1349" s="41"/>
      <c r="H1349" s="41"/>
      <c r="I1349" s="42"/>
      <c r="J1349" s="41"/>
      <c r="K1349" s="41"/>
      <c r="L1349" s="43"/>
    </row>
    <row r="1350" spans="2:12" outlineLevel="2">
      <c r="B1350" s="35">
        <f t="shared" si="39"/>
        <v>885</v>
      </c>
      <c r="C1350" s="41" t="s">
        <v>69</v>
      </c>
      <c r="D1350" s="41"/>
      <c r="E1350" s="41"/>
      <c r="F1350" s="41"/>
      <c r="G1350" s="41"/>
      <c r="H1350" s="41"/>
      <c r="I1350" s="42"/>
      <c r="J1350" s="41"/>
      <c r="K1350" s="41"/>
      <c r="L1350" s="43"/>
    </row>
    <row r="1351" spans="2:12" outlineLevel="2">
      <c r="B1351" s="35">
        <f t="shared" si="39"/>
        <v>886</v>
      </c>
      <c r="C1351" s="41" t="s">
        <v>69</v>
      </c>
      <c r="D1351" s="41"/>
      <c r="E1351" s="41"/>
      <c r="F1351" s="41"/>
      <c r="G1351" s="41"/>
      <c r="H1351" s="41"/>
      <c r="I1351" s="42"/>
      <c r="J1351" s="41"/>
      <c r="K1351" s="41"/>
      <c r="L1351" s="43"/>
    </row>
    <row r="1352" spans="2:12" outlineLevel="2">
      <c r="B1352" s="35">
        <f t="shared" si="39"/>
        <v>887</v>
      </c>
      <c r="C1352" s="41" t="s">
        <v>69</v>
      </c>
      <c r="D1352" s="41"/>
      <c r="E1352" s="41"/>
      <c r="F1352" s="41"/>
      <c r="G1352" s="41"/>
      <c r="H1352" s="41"/>
      <c r="I1352" s="42"/>
      <c r="J1352" s="41"/>
      <c r="K1352" s="41"/>
      <c r="L1352" s="43"/>
    </row>
    <row r="1353" spans="2:12" outlineLevel="2">
      <c r="B1353" s="35">
        <f t="shared" si="39"/>
        <v>888</v>
      </c>
      <c r="C1353" s="41" t="s">
        <v>69</v>
      </c>
      <c r="D1353" s="41"/>
      <c r="E1353" s="41"/>
      <c r="F1353" s="41"/>
      <c r="G1353" s="41"/>
      <c r="H1353" s="41"/>
      <c r="I1353" s="42"/>
      <c r="J1353" s="41"/>
      <c r="K1353" s="41"/>
      <c r="L1353" s="43"/>
    </row>
    <row r="1354" spans="2:12" outlineLevel="2">
      <c r="B1354" s="35">
        <f t="shared" si="39"/>
        <v>889</v>
      </c>
      <c r="C1354" s="41" t="s">
        <v>69</v>
      </c>
      <c r="D1354" s="41"/>
      <c r="E1354" s="41"/>
      <c r="F1354" s="41"/>
      <c r="G1354" s="41"/>
      <c r="H1354" s="41"/>
      <c r="I1354" s="42"/>
      <c r="J1354" s="41"/>
      <c r="K1354" s="41"/>
      <c r="L1354" s="43"/>
    </row>
    <row r="1355" spans="2:12" outlineLevel="2">
      <c r="B1355" s="35">
        <f t="shared" si="39"/>
        <v>890</v>
      </c>
      <c r="C1355" s="41" t="s">
        <v>69</v>
      </c>
      <c r="D1355" s="41"/>
      <c r="E1355" s="41"/>
      <c r="F1355" s="41"/>
      <c r="G1355" s="41"/>
      <c r="H1355" s="41"/>
      <c r="I1355" s="42"/>
      <c r="J1355" s="41"/>
      <c r="K1355" s="41"/>
      <c r="L1355" s="43"/>
    </row>
    <row r="1356" spans="2:12" outlineLevel="2">
      <c r="B1356" s="35">
        <f t="shared" si="39"/>
        <v>891</v>
      </c>
      <c r="C1356" s="41" t="s">
        <v>69</v>
      </c>
      <c r="D1356" s="41"/>
      <c r="E1356" s="41"/>
      <c r="F1356" s="41"/>
      <c r="G1356" s="41"/>
      <c r="H1356" s="41"/>
      <c r="I1356" s="42"/>
      <c r="J1356" s="41"/>
      <c r="K1356" s="41"/>
      <c r="L1356" s="43"/>
    </row>
    <row r="1357" spans="2:12" outlineLevel="2">
      <c r="B1357" s="35">
        <f t="shared" si="39"/>
        <v>892</v>
      </c>
      <c r="C1357" s="41" t="s">
        <v>69</v>
      </c>
      <c r="D1357" s="41"/>
      <c r="E1357" s="41"/>
      <c r="F1357" s="41"/>
      <c r="G1357" s="41"/>
      <c r="H1357" s="41"/>
      <c r="I1357" s="42"/>
      <c r="J1357" s="41"/>
      <c r="K1357" s="41"/>
      <c r="L1357" s="43"/>
    </row>
    <row r="1358" spans="2:12" outlineLevel="2">
      <c r="B1358" s="35">
        <f t="shared" si="39"/>
        <v>893</v>
      </c>
      <c r="C1358" s="41" t="s">
        <v>69</v>
      </c>
      <c r="D1358" s="41"/>
      <c r="E1358" s="41"/>
      <c r="F1358" s="41"/>
      <c r="G1358" s="41"/>
      <c r="H1358" s="41"/>
      <c r="I1358" s="42"/>
      <c r="J1358" s="41"/>
      <c r="K1358" s="41"/>
      <c r="L1358" s="43"/>
    </row>
    <row r="1359" spans="2:12" outlineLevel="2">
      <c r="B1359" s="35">
        <f t="shared" si="39"/>
        <v>894</v>
      </c>
      <c r="C1359" s="41" t="s">
        <v>69</v>
      </c>
      <c r="D1359" s="41"/>
      <c r="E1359" s="41"/>
      <c r="F1359" s="41"/>
      <c r="G1359" s="41"/>
      <c r="H1359" s="41"/>
      <c r="I1359" s="42"/>
      <c r="J1359" s="41"/>
      <c r="K1359" s="41"/>
      <c r="L1359" s="43"/>
    </row>
    <row r="1360" spans="2:12" outlineLevel="2">
      <c r="B1360" s="35">
        <f t="shared" si="39"/>
        <v>895</v>
      </c>
      <c r="C1360" s="41" t="s">
        <v>69</v>
      </c>
      <c r="D1360" s="41"/>
      <c r="E1360" s="41"/>
      <c r="F1360" s="41"/>
      <c r="G1360" s="41"/>
      <c r="H1360" s="41"/>
      <c r="I1360" s="42"/>
      <c r="J1360" s="41"/>
      <c r="K1360" s="41"/>
      <c r="L1360" s="43"/>
    </row>
    <row r="1361" spans="2:12" outlineLevel="2">
      <c r="B1361" s="35">
        <f t="shared" si="39"/>
        <v>896</v>
      </c>
      <c r="C1361" s="41" t="s">
        <v>69</v>
      </c>
      <c r="D1361" s="41"/>
      <c r="E1361" s="41"/>
      <c r="F1361" s="41"/>
      <c r="G1361" s="41"/>
      <c r="H1361" s="41"/>
      <c r="I1361" s="42"/>
      <c r="J1361" s="41"/>
      <c r="K1361" s="41"/>
      <c r="L1361" s="43"/>
    </row>
    <row r="1362" spans="2:12" outlineLevel="2">
      <c r="B1362" s="35">
        <f t="shared" si="39"/>
        <v>897</v>
      </c>
      <c r="C1362" s="41" t="s">
        <v>69</v>
      </c>
      <c r="D1362" s="41"/>
      <c r="E1362" s="41"/>
      <c r="F1362" s="41"/>
      <c r="G1362" s="41"/>
      <c r="H1362" s="41"/>
      <c r="I1362" s="42"/>
      <c r="J1362" s="41"/>
      <c r="K1362" s="41"/>
      <c r="L1362" s="43"/>
    </row>
    <row r="1363" spans="2:12" outlineLevel="2">
      <c r="B1363" s="35">
        <f t="shared" ref="B1363" si="40">(B1362+1)</f>
        <v>898</v>
      </c>
      <c r="C1363" s="41" t="s">
        <v>69</v>
      </c>
      <c r="D1363" s="41"/>
      <c r="E1363" s="41"/>
      <c r="F1363" s="41"/>
      <c r="G1363" s="41"/>
      <c r="H1363" s="41"/>
      <c r="I1363" s="42"/>
      <c r="J1363" s="41"/>
      <c r="K1363" s="41"/>
      <c r="L1363" s="43"/>
    </row>
    <row r="1364" spans="2:12" outlineLevel="2">
      <c r="B1364" s="35">
        <f t="shared" ref="B1364:B1376" si="41">(B1363+1)</f>
        <v>899</v>
      </c>
      <c r="C1364" s="41" t="s">
        <v>69</v>
      </c>
      <c r="D1364" s="41"/>
      <c r="E1364" s="41"/>
      <c r="F1364" s="41"/>
      <c r="G1364" s="41"/>
      <c r="H1364" s="41"/>
      <c r="I1364" s="42"/>
      <c r="J1364" s="41"/>
      <c r="K1364" s="41"/>
      <c r="L1364" s="43"/>
    </row>
    <row r="1365" spans="2:12" outlineLevel="2">
      <c r="B1365" s="35">
        <f t="shared" si="41"/>
        <v>900</v>
      </c>
      <c r="C1365" s="41" t="s">
        <v>69</v>
      </c>
      <c r="D1365" s="41"/>
      <c r="E1365" s="41"/>
      <c r="F1365" s="41"/>
      <c r="G1365" s="41"/>
      <c r="H1365" s="41"/>
      <c r="I1365" s="42"/>
      <c r="J1365" s="41"/>
      <c r="K1365" s="41"/>
      <c r="L1365" s="43"/>
    </row>
    <row r="1366" spans="2:12" outlineLevel="2">
      <c r="B1366" s="35">
        <f t="shared" si="41"/>
        <v>901</v>
      </c>
      <c r="C1366" s="41" t="s">
        <v>69</v>
      </c>
      <c r="D1366" s="41"/>
      <c r="E1366" s="41"/>
      <c r="F1366" s="41"/>
      <c r="G1366" s="41"/>
      <c r="H1366" s="41"/>
      <c r="I1366" s="42"/>
      <c r="J1366" s="41"/>
      <c r="K1366" s="41"/>
      <c r="L1366" s="43"/>
    </row>
    <row r="1367" spans="2:12" outlineLevel="2">
      <c r="B1367" s="35">
        <f t="shared" si="41"/>
        <v>902</v>
      </c>
      <c r="C1367" s="41" t="s">
        <v>69</v>
      </c>
      <c r="D1367" s="41"/>
      <c r="E1367" s="41"/>
      <c r="F1367" s="41"/>
      <c r="G1367" s="41"/>
      <c r="H1367" s="41"/>
      <c r="I1367" s="42"/>
      <c r="J1367" s="41"/>
      <c r="K1367" s="41"/>
      <c r="L1367" s="43"/>
    </row>
    <row r="1368" spans="2:12" outlineLevel="2">
      <c r="B1368" s="35">
        <f t="shared" si="41"/>
        <v>903</v>
      </c>
      <c r="C1368" s="41" t="s">
        <v>69</v>
      </c>
      <c r="D1368" s="41"/>
      <c r="E1368" s="41"/>
      <c r="F1368" s="41"/>
      <c r="G1368" s="41"/>
      <c r="H1368" s="41"/>
      <c r="I1368" s="42"/>
      <c r="J1368" s="41"/>
      <c r="K1368" s="41"/>
      <c r="L1368" s="43"/>
    </row>
    <row r="1369" spans="2:12" outlineLevel="2">
      <c r="B1369" s="35">
        <f t="shared" si="41"/>
        <v>904</v>
      </c>
      <c r="C1369" s="41" t="s">
        <v>69</v>
      </c>
      <c r="D1369" s="41"/>
      <c r="E1369" s="41"/>
      <c r="F1369" s="41"/>
      <c r="G1369" s="41"/>
      <c r="H1369" s="41"/>
      <c r="I1369" s="42"/>
      <c r="J1369" s="41"/>
      <c r="K1369" s="41"/>
      <c r="L1369" s="43"/>
    </row>
    <row r="1370" spans="2:12" outlineLevel="2">
      <c r="B1370" s="35">
        <f t="shared" si="41"/>
        <v>905</v>
      </c>
      <c r="C1370" s="41" t="s">
        <v>69</v>
      </c>
      <c r="D1370" s="41"/>
      <c r="E1370" s="41"/>
      <c r="F1370" s="41"/>
      <c r="G1370" s="41"/>
      <c r="H1370" s="41"/>
      <c r="I1370" s="42"/>
      <c r="J1370" s="41"/>
      <c r="K1370" s="41"/>
      <c r="L1370" s="43"/>
    </row>
    <row r="1371" spans="2:12" outlineLevel="2">
      <c r="B1371" s="35">
        <f t="shared" si="41"/>
        <v>906</v>
      </c>
      <c r="C1371" s="41" t="s">
        <v>69</v>
      </c>
      <c r="D1371" s="41"/>
      <c r="E1371" s="41"/>
      <c r="F1371" s="41"/>
      <c r="G1371" s="41"/>
      <c r="H1371" s="41"/>
      <c r="I1371" s="42"/>
      <c r="J1371" s="41"/>
      <c r="K1371" s="41"/>
      <c r="L1371" s="43"/>
    </row>
    <row r="1372" spans="2:12" outlineLevel="2">
      <c r="B1372" s="35">
        <f t="shared" si="41"/>
        <v>907</v>
      </c>
      <c r="C1372" s="41" t="s">
        <v>69</v>
      </c>
      <c r="D1372" s="41"/>
      <c r="E1372" s="41"/>
      <c r="F1372" s="41"/>
      <c r="G1372" s="41"/>
      <c r="H1372" s="41"/>
      <c r="I1372" s="42"/>
      <c r="J1372" s="41"/>
      <c r="K1372" s="41"/>
      <c r="L1372" s="43"/>
    </row>
    <row r="1373" spans="2:12" outlineLevel="2">
      <c r="B1373" s="35">
        <f t="shared" si="41"/>
        <v>908</v>
      </c>
      <c r="C1373" s="41" t="s">
        <v>69</v>
      </c>
      <c r="D1373" s="41"/>
      <c r="E1373" s="41"/>
      <c r="F1373" s="41"/>
      <c r="G1373" s="41"/>
      <c r="H1373" s="41"/>
      <c r="I1373" s="42"/>
      <c r="J1373" s="41"/>
      <c r="K1373" s="41"/>
      <c r="L1373" s="43"/>
    </row>
    <row r="1374" spans="2:12" outlineLevel="2">
      <c r="B1374" s="35">
        <f t="shared" si="41"/>
        <v>909</v>
      </c>
      <c r="C1374" s="41" t="s">
        <v>69</v>
      </c>
      <c r="D1374" s="41"/>
      <c r="E1374" s="41"/>
      <c r="F1374" s="41"/>
      <c r="G1374" s="41"/>
      <c r="H1374" s="41"/>
      <c r="I1374" s="42"/>
      <c r="J1374" s="41"/>
      <c r="K1374" s="41"/>
      <c r="L1374" s="43"/>
    </row>
    <row r="1375" spans="2:12" outlineLevel="2">
      <c r="B1375" s="35">
        <f t="shared" si="41"/>
        <v>910</v>
      </c>
      <c r="C1375" s="41" t="s">
        <v>69</v>
      </c>
      <c r="D1375" s="41"/>
      <c r="E1375" s="41"/>
      <c r="F1375" s="41"/>
      <c r="G1375" s="41"/>
      <c r="H1375" s="41"/>
      <c r="I1375" s="42"/>
      <c r="J1375" s="41"/>
      <c r="K1375" s="41"/>
      <c r="L1375" s="43"/>
    </row>
    <row r="1376" spans="2:12" outlineLevel="2">
      <c r="B1376" s="35">
        <f t="shared" si="41"/>
        <v>911</v>
      </c>
      <c r="C1376" s="41" t="s">
        <v>69</v>
      </c>
      <c r="D1376" s="41"/>
      <c r="E1376" s="41"/>
      <c r="F1376" s="41"/>
      <c r="G1376" s="41"/>
      <c r="H1376" s="41"/>
      <c r="I1376" s="42"/>
      <c r="J1376" s="41"/>
      <c r="K1376" s="41"/>
      <c r="L1376" s="43"/>
    </row>
    <row r="1377" spans="2:12" outlineLevel="2">
      <c r="B1377" s="35">
        <f t="shared" ref="B1377" si="42">(B1376+1)</f>
        <v>912</v>
      </c>
      <c r="C1377" s="41" t="s">
        <v>69</v>
      </c>
      <c r="D1377" s="41"/>
      <c r="E1377" s="41"/>
      <c r="F1377" s="41"/>
      <c r="G1377" s="41"/>
      <c r="H1377" s="41"/>
      <c r="I1377" s="42"/>
      <c r="J1377" s="41"/>
      <c r="K1377" s="41"/>
      <c r="L1377" s="43"/>
    </row>
    <row r="1378" spans="2:12" outlineLevel="1">
      <c r="B1378" s="64" t="s">
        <v>314</v>
      </c>
      <c r="C1378" s="61">
        <f>SUBTOTAL(3,C1150:C1377)</f>
        <v>228</v>
      </c>
      <c r="D1378" s="61"/>
      <c r="E1378" s="61"/>
      <c r="F1378" s="61"/>
      <c r="G1378" s="61"/>
      <c r="H1378" s="61"/>
      <c r="I1378" s="62"/>
      <c r="J1378" s="61"/>
      <c r="K1378" s="61"/>
      <c r="L1378" s="63"/>
    </row>
    <row r="1379" spans="2:12" ht="15.75" thickBot="1">
      <c r="B1379" s="64" t="s">
        <v>315</v>
      </c>
      <c r="C1379" s="61">
        <f>SUBTOTAL(3,C463:C1377)</f>
        <v>912</v>
      </c>
      <c r="D1379" s="61"/>
      <c r="E1379" s="61"/>
      <c r="F1379" s="61"/>
      <c r="G1379" s="61"/>
      <c r="H1379" s="61"/>
      <c r="I1379" s="62"/>
      <c r="J1379" s="61"/>
      <c r="K1379" s="61"/>
      <c r="L1379" s="63"/>
    </row>
    <row r="1380" spans="2:12" ht="15.75" thickBot="1">
      <c r="B1380" s="320" t="s">
        <v>59</v>
      </c>
      <c r="C1380" s="321"/>
      <c r="D1380" s="321"/>
      <c r="E1380" s="321"/>
      <c r="F1380" s="321"/>
      <c r="G1380" s="321"/>
      <c r="H1380" s="321"/>
      <c r="I1380" s="321"/>
      <c r="J1380" s="321"/>
      <c r="K1380" s="321"/>
      <c r="L1380" s="322"/>
    </row>
    <row r="1381" spans="2:12" ht="15.75" thickBot="1">
      <c r="B1381" s="26" t="s">
        <v>49</v>
      </c>
      <c r="C1381" s="27" t="s">
        <v>60</v>
      </c>
      <c r="D1381" s="27" t="s">
        <v>62</v>
      </c>
      <c r="E1381" s="27" t="s">
        <v>63</v>
      </c>
      <c r="F1381" s="27" t="s">
        <v>64</v>
      </c>
      <c r="G1381" s="27" t="s">
        <v>65</v>
      </c>
      <c r="H1381" s="27" t="s">
        <v>66</v>
      </c>
      <c r="I1381" s="27" t="s">
        <v>67</v>
      </c>
      <c r="J1381" s="27" t="s">
        <v>6</v>
      </c>
      <c r="K1381" s="27" t="s">
        <v>7</v>
      </c>
      <c r="L1381" s="28" t="s">
        <v>68</v>
      </c>
    </row>
    <row r="1382" spans="2:12">
      <c r="B1382" s="46" t="s">
        <v>8</v>
      </c>
      <c r="C1382" s="41">
        <f>COUNTIFS(B463:B1377,"&gt;"&amp;0,C463:C1377,"="&amp;B1382)</f>
        <v>228</v>
      </c>
      <c r="D1382" s="41">
        <f>COUNTIFS(B463:B1377,"&gt;="&amp;1,C463:C1377,B1382,K463:K1377,"&gt;="&amp;0,K463:K1377,"&lt;"&amp;50)</f>
        <v>0</v>
      </c>
      <c r="E1382" s="41">
        <f>COUNTIFS(B463:B1377,"&gt;="&amp;1,C463:C1377,B1382,K463:K1377,"&gt;="&amp;50,K463:K1377,"&lt;"&amp;500)</f>
        <v>0</v>
      </c>
      <c r="F1382" s="41">
        <f>COUNTIFS(B463:B1377,"&gt;="&amp;1,C463:C1377,B1382,K463:K1377,"&gt;="&amp;500)</f>
        <v>0</v>
      </c>
      <c r="G1382" s="41">
        <f>COUNTIFS(B463:B1377,"&gt;="&amp;1,C463:C1377,B1382,K463:K1377,"&gt;="&amp;0,I463:I1377,"&gt;"&amp;DATE(2021,1,1))</f>
        <v>0</v>
      </c>
      <c r="H1382" s="47" t="str">
        <f>IF(G1382=0,"-",(SUM(E1382,F1382)/G1382))</f>
        <v>-</v>
      </c>
      <c r="I1382" s="41">
        <f>IF((COUNTIFS(B463:B1377,"&gt;="&amp;1,C463:C1377,"="&amp;B1382))&gt;228,228,(COUNTIFS(B463:B1377,"&gt;="&amp;1,C463:C1377,"="&amp;B1382)))</f>
        <v>228</v>
      </c>
      <c r="J1382" s="47">
        <f>IF(I1382=0,"-",(COUNTIFS(C463:C1377,"="&amp;B1382,I463:I1377,"&lt;="&amp;DATE(2024,12,31),K463:K1377,"&gt;="&amp;0)/I1382))</f>
        <v>0</v>
      </c>
      <c r="K1382" s="47">
        <f>IF(I1382=0,"-",IF(J1382=1,"-",(COUNTIFS(B463:B1377,"&gt;"&amp;0,C463:C1377,"="&amp;B1382,I463:I1377,"&gt;"&amp;DATE(2024,12,31),K463:K1377,"&gt;="&amp;0)/(I1382-COUNTIFS(B463:B1377,"&gt;"&amp;0,C463:C1377,"="&amp;B1382,I463:I1377,"&lt;="&amp;DATE(2024,12,31),K463:K1377,"&gt;="&amp;0)))))</f>
        <v>0</v>
      </c>
      <c r="L1382" s="48">
        <f>IF(I1382=0,"-",G1382/I1382)</f>
        <v>0</v>
      </c>
    </row>
    <row r="1383" spans="2:12">
      <c r="B1383" s="7" t="s">
        <v>9</v>
      </c>
      <c r="C1383" s="1">
        <f>COUNTIFS(B463:B1377,"&gt;"&amp;0,C463:C1377,"="&amp;B1383)</f>
        <v>228</v>
      </c>
      <c r="D1383" s="1">
        <f>COUNTIFS(B463:B1377,"&gt;="&amp;1,C463:C1377,B1383,K463:K1377,"&gt;="&amp;0,K463:K1377,"&lt;"&amp;50)</f>
        <v>0</v>
      </c>
      <c r="E1383" s="1">
        <f>COUNTIFS(B463:B1377,"&gt;="&amp;1,C463:C1377,B1383,K463:K1377,"&gt;="&amp;50,K463:K1377,"&lt;"&amp;500)</f>
        <v>0</v>
      </c>
      <c r="F1383" s="1">
        <f>COUNTIFS(B463:B1377,"&gt;="&amp;1,C463:C1377,B1383,K463:K1377,"&gt;="&amp;500)</f>
        <v>0</v>
      </c>
      <c r="G1383" s="1">
        <f>COUNTIFS(B463:B1377,"&gt;="&amp;1,C463:C1377,B1383,K463:K1377,"&gt;="&amp;0,I463:I1377,"&gt;"&amp;DATE(2021,1,1))</f>
        <v>0</v>
      </c>
      <c r="H1383" s="44" t="str">
        <f t="shared" ref="H1383:H1386" si="43">IF(G1383=0,"-",(SUM(E1383,F1383)/G1383))</f>
        <v>-</v>
      </c>
      <c r="I1383" s="1">
        <f>IF((COUNTIFS(B463:B1377,"&gt;="&amp;1,C463:C1377,"="&amp;B1383))&gt;228,228,(COUNTIFS(B463:B1377,"&gt;="&amp;1,C463:C1377,"="&amp;B1383)))</f>
        <v>228</v>
      </c>
      <c r="J1383" s="44">
        <f>IF(I1383=0,"-",(COUNTIFS(C463:C1377,"="&amp;B1383,I463:I1377,"&lt;="&amp;DATE(2024,12,31),K463:K1377,"&gt;="&amp;0)/I1383))</f>
        <v>0</v>
      </c>
      <c r="K1383" s="47">
        <f>IF(I1383=0,"-",IF(J1383=1,"-",(COUNTIFS(B463:B1377,"&gt;"&amp;0,C463:C1377,"="&amp;B1383,I463:I1377,"&gt;"&amp;DATE(2024,12,31),K463:K1377,"&gt;="&amp;0)/(I1383-COUNTIFS(B463:B1377,"&gt;"&amp;0,C463:C1377,"="&amp;B1383,I463:I1377,"&lt;="&amp;DATE(2024,12,31),K463:K1377,"&gt;="&amp;0)))))</f>
        <v>0</v>
      </c>
      <c r="L1383" s="45">
        <f t="shared" ref="L1383:L1386" si="44">IF(I1383=0,"-",G1383/I1383)</f>
        <v>0</v>
      </c>
    </row>
    <row r="1384" spans="2:12">
      <c r="B1384" s="7" t="s">
        <v>175</v>
      </c>
      <c r="C1384" s="1">
        <f>COUNTIFS(B463:B1377,"&gt;"&amp;0,C463:C1377,"="&amp;B1384)</f>
        <v>228</v>
      </c>
      <c r="D1384" s="1">
        <f>COUNTIFS(B463:B1377,"&gt;="&amp;1,C463:C1377,B1384,K463:K1377,"&gt;="&amp;0,K463:K1377,"&lt;"&amp;50)</f>
        <v>0</v>
      </c>
      <c r="E1384" s="1">
        <f>COUNTIFS(B463:B1377,"&gt;="&amp;1,C463:C1377,B1384,K463:K1377,"&gt;="&amp;50,K463:K1377,"&lt;"&amp;500)</f>
        <v>0</v>
      </c>
      <c r="F1384" s="1">
        <f>COUNTIFS(B463:B1377,"&gt;="&amp;1,C463:C1377,B1384,K463:K1377,"&gt;="&amp;500)</f>
        <v>0</v>
      </c>
      <c r="G1384" s="1">
        <f>COUNTIFS(B463:B1377,"&gt;="&amp;1,C463:C1377,B1384,K463:K1377,"&gt;="&amp;0,I463:I1377,"&gt;"&amp;DATE(2021,1,1))</f>
        <v>0</v>
      </c>
      <c r="H1384" s="44" t="str">
        <f t="shared" si="43"/>
        <v>-</v>
      </c>
      <c r="I1384" s="1">
        <f>IF((COUNTIFS(B463:B1377,"&gt;="&amp;1,C463:C1377,"="&amp;B1384))&gt;228,228,(COUNTIFS(B463:B1377,"&gt;="&amp;1,C463:C1377,"="&amp;B1384)))</f>
        <v>228</v>
      </c>
      <c r="J1384" s="44">
        <f>IF(I1384=0,"-",(COUNTIFS(C463:C1377,"="&amp;B1384,I463:I1377,"&lt;="&amp;DATE(2024,12,31),K463:K1377,"&gt;="&amp;0)/I1384))</f>
        <v>0</v>
      </c>
      <c r="K1384" s="47">
        <f>IF(I1384=0,"-",IF(J1384=1,"-",(COUNTIFS(B463:B1377,"&gt;"&amp;0,C463:C1377,"="&amp;B1384,I463:I1377,"&gt;"&amp;DATE(2024,12,31),K463:K1377,"&gt;="&amp;0)/(I1384-COUNTIFS(B463:B1377,"&gt;"&amp;0,C463:C1377,"="&amp;B1384,I463:I1377,"&lt;="&amp;DATE(2024,12,31),K463:K1377,"&gt;="&amp;0)))))</f>
        <v>0</v>
      </c>
      <c r="L1384" s="45">
        <f t="shared" si="44"/>
        <v>0</v>
      </c>
    </row>
    <row r="1385" spans="2:12">
      <c r="B1385" s="7" t="s">
        <v>69</v>
      </c>
      <c r="C1385" s="1">
        <f>COUNTIFS(B463:B1377,"&gt;"&amp;0,C463:C1377,"="&amp;B1385)</f>
        <v>228</v>
      </c>
      <c r="D1385" s="1">
        <f>COUNTIFS(B463:B1377,"&gt;="&amp;1,C463:C1377,B1385,K463:K1377,"&gt;="&amp;0,K463:K1377,"&lt;"&amp;50)</f>
        <v>0</v>
      </c>
      <c r="E1385" s="1">
        <f>COUNTIFS(B463:B1377,"&gt;="&amp;1,C463:C1377,B1385,K463:K1377,"&gt;="&amp;50,K463:K1377,"&lt;"&amp;500)</f>
        <v>0</v>
      </c>
      <c r="F1385" s="1">
        <f>COUNTIFS(B463:B1377,"&gt;="&amp;1,C463:C1377,B1385,K463:K1377,"&gt;="&amp;500)</f>
        <v>0</v>
      </c>
      <c r="G1385" s="1">
        <f>COUNTIFS(B463:B1377,"&gt;="&amp;1,C463:C1377,B1385,K463:K1377,"&gt;="&amp;0,I463:I1377,"&gt;"&amp;DATE(2021,1,1))</f>
        <v>0</v>
      </c>
      <c r="H1385" s="44" t="str">
        <f t="shared" si="43"/>
        <v>-</v>
      </c>
      <c r="I1385" s="1">
        <f>IF((COUNTIFS(B463:B1377,"&gt;="&amp;1,C463:C1377,"="&amp;B1385))&gt;228,228,(COUNTIFS(B463:B1377,"&gt;="&amp;1,C463:C1377,"="&amp;B1385)))</f>
        <v>228</v>
      </c>
      <c r="J1385" s="44">
        <f>IF(I1385=0,"-",(COUNTIFS(C463:C1377,"="&amp;B1385,I463:I1377,"&lt;="&amp;DATE(2024,12,31),K463:K1377,"&gt;="&amp;0)/I1385))</f>
        <v>0</v>
      </c>
      <c r="K1385" s="47">
        <f>IF(I1385=0,"-",IF(J1385=1,"-",(COUNTIFS(B463:B1377,"&gt;"&amp;0,C463:C1377,"="&amp;B1385,I463:I1377,"&gt;"&amp;DATE(2024,12,31),K463:K1377,"&gt;="&amp;0)/(I1385-COUNTIFS(B463:B1377,"&gt;"&amp;0,C463:C1377,"="&amp;B1385,I463:I1377,"&lt;="&amp;DATE(2024,12,31),K463:K1377,"&gt;="&amp;0)))))</f>
        <v>0</v>
      </c>
      <c r="L1385" s="45">
        <f t="shared" si="44"/>
        <v>0</v>
      </c>
    </row>
    <row r="1386" spans="2:12" ht="15.75" thickBot="1">
      <c r="B1386" s="49" t="s">
        <v>59</v>
      </c>
      <c r="C1386" s="50">
        <f>SUM(C1382:C1385)</f>
        <v>912</v>
      </c>
      <c r="D1386" s="50">
        <f>SUM(D1382:D1385)</f>
        <v>0</v>
      </c>
      <c r="E1386" s="50">
        <f>SUM(E1382:E1385)</f>
        <v>0</v>
      </c>
      <c r="F1386" s="50">
        <f>SUM(F1382:F1385)</f>
        <v>0</v>
      </c>
      <c r="G1386" s="50">
        <f>SUM(G1382:G1385)</f>
        <v>0</v>
      </c>
      <c r="H1386" s="51" t="str">
        <f t="shared" si="43"/>
        <v>-</v>
      </c>
      <c r="I1386" s="50">
        <f>SUM(I1382:I1385)</f>
        <v>912</v>
      </c>
      <c r="J1386" s="51">
        <f>IF(I1386=0,"-",(COUNTIFS(I463:I1377,"&lt;="&amp;DATE(2024,12,31),K463:K1377,"&gt;="&amp;0)/I1386))</f>
        <v>0</v>
      </c>
      <c r="K1386" s="51">
        <f>IF(I1386=0,"-",IF(J1386=1,"-",(COUNTIFS(B463:B1377,"&gt;"&amp;0,I463:I1377,"&gt;"&amp;DATE(2024,12,31),K463:K1377,"&gt;="&amp;0)/(I1386-COUNTIFS(B463:B1377,"&gt;"&amp;0,I463:I1377,"&lt;="&amp;DATE(2024,12,31),K463:K1377,"&gt;="&amp;0)))))</f>
        <v>0</v>
      </c>
      <c r="L1386" s="52">
        <f t="shared" si="44"/>
        <v>0</v>
      </c>
    </row>
  </sheetData>
  <mergeCells count="13">
    <mergeCell ref="B461:L461"/>
    <mergeCell ref="B1380:L1380"/>
    <mergeCell ref="B81:L81"/>
    <mergeCell ref="B89:L89"/>
    <mergeCell ref="B343:L343"/>
    <mergeCell ref="B351:L351"/>
    <mergeCell ref="B453:L453"/>
    <mergeCell ref="B57:L57"/>
    <mergeCell ref="B1:L2"/>
    <mergeCell ref="B4:L4"/>
    <mergeCell ref="B9:L9"/>
    <mergeCell ref="B17:L17"/>
    <mergeCell ref="B49:L49"/>
  </mergeCells>
  <dataValidations count="3">
    <dataValidation type="list" allowBlank="1" showInputMessage="1" showErrorMessage="1" promptTitle="Selecionar a Sub-Família" sqref="C8:D8 C452 C342 C80 C48" xr:uid="{4960E188-CF90-4F47-ADEC-73C75E4A622F}">
      <formula1>"Até 1988, Após 1988, Sem Info"</formula1>
    </dataValidation>
    <dataValidation type="list" allowBlank="1" showInputMessage="1" showErrorMessage="1" error="Dado Inserido errado" promptTitle="Selecionar a Sub-Família" sqref="C6:D7 C353:C451 C19:C47 C59:C79 C91:C341" xr:uid="{CC096A74-25B1-4B8F-B1FD-9ECF95F013EB}">
      <formula1>$B$11:$B$13</formula1>
    </dataValidation>
    <dataValidation type="list" allowBlank="1" showInputMessage="1" showErrorMessage="1" sqref="C463:C690 C1150:C1377 C921:C1148 C692:C919" xr:uid="{899D9101-8889-4B5E-A1FB-0DC202A815FE}">
      <formula1>$B$1382:$B$1385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E6B4A-8A7F-468F-ADF0-AEF59C34D56D}">
  <dimension ref="B1:L1386"/>
  <sheetViews>
    <sheetView showGridLines="0" topLeftCell="A460" workbookViewId="0">
      <pane ySplit="3" topLeftCell="C583" activePane="bottomLeft" state="frozen"/>
      <selection pane="bottomLeft" activeCell="A463" sqref="A462:XFD463"/>
    </sheetView>
  </sheetViews>
  <sheetFormatPr defaultRowHeight="15" outlineLevelRow="2"/>
  <cols>
    <col min="2" max="2" width="12.7109375" bestFit="1" customWidth="1"/>
    <col min="3" max="3" width="16.85546875" customWidth="1"/>
    <col min="4" max="5" width="18.42578125" bestFit="1" customWidth="1"/>
    <col min="6" max="6" width="17.5703125" customWidth="1"/>
    <col min="7" max="8" width="17.7109375" bestFit="1" customWidth="1"/>
    <col min="9" max="9" width="17" bestFit="1" customWidth="1"/>
    <col min="10" max="10" width="14.7109375" bestFit="1" customWidth="1"/>
    <col min="11" max="11" width="11.85546875" bestFit="1" customWidth="1"/>
    <col min="12" max="12" width="19.5703125" bestFit="1" customWidth="1"/>
    <col min="13" max="13" width="17.28515625" bestFit="1" customWidth="1"/>
  </cols>
  <sheetData>
    <row r="1" spans="2:12">
      <c r="B1" s="310" t="s">
        <v>47</v>
      </c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2:12" ht="19.5" customHeight="1" thickBot="1">
      <c r="B2" s="347"/>
      <c r="C2" s="348"/>
      <c r="D2" s="348"/>
      <c r="E2" s="348"/>
      <c r="F2" s="348"/>
      <c r="G2" s="348"/>
      <c r="H2" s="348"/>
      <c r="I2" s="348"/>
      <c r="J2" s="348"/>
      <c r="K2" s="348"/>
      <c r="L2" s="349"/>
    </row>
    <row r="3" spans="2:12" ht="19.5" customHeight="1" thickBot="1"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ht="32.25" customHeight="1" thickBot="1">
      <c r="B4" s="320" t="str">
        <f>_xlfn.CONCAT("Transformadores de Rede Subterrânea",TEXT(IF(SUM(I11:I13)=0," ",(SUM(G11:G13)/SUM(I11:I13))), " 0,00%"))</f>
        <v xml:space="preserve">Transformadores de Rede Subterrânea </v>
      </c>
      <c r="C4" s="321"/>
      <c r="D4" s="321"/>
      <c r="E4" s="321"/>
      <c r="F4" s="321"/>
      <c r="G4" s="321"/>
      <c r="H4" s="321"/>
      <c r="I4" s="321"/>
      <c r="J4" s="321"/>
      <c r="K4" s="321"/>
      <c r="L4" s="322"/>
    </row>
    <row r="5" spans="2:12" ht="24" hidden="1" customHeight="1" outlineLevel="1" thickBot="1">
      <c r="B5" s="26" t="s">
        <v>48</v>
      </c>
      <c r="C5" s="27" t="s">
        <v>49</v>
      </c>
      <c r="D5" s="27" t="s">
        <v>50</v>
      </c>
      <c r="E5" s="27" t="s">
        <v>51</v>
      </c>
      <c r="F5" s="27" t="s">
        <v>52</v>
      </c>
      <c r="G5" s="27" t="s">
        <v>53</v>
      </c>
      <c r="H5" s="27" t="s">
        <v>54</v>
      </c>
      <c r="I5" s="27" t="s">
        <v>55</v>
      </c>
      <c r="J5" s="27" t="s">
        <v>56</v>
      </c>
      <c r="K5" s="27" t="s">
        <v>57</v>
      </c>
      <c r="L5" s="28" t="s">
        <v>58</v>
      </c>
    </row>
    <row r="6" spans="2:12" ht="15.75" hidden="1" outlineLevel="1" thickBot="1">
      <c r="B6" s="40" t="str">
        <f>IF(C6="","",ROW($A$1))</f>
        <v/>
      </c>
      <c r="C6" s="41"/>
      <c r="D6" s="41"/>
      <c r="E6" s="41"/>
      <c r="F6" s="41"/>
      <c r="G6" s="41"/>
      <c r="H6" s="41"/>
      <c r="I6" s="42"/>
      <c r="J6" s="41"/>
      <c r="K6" s="41"/>
      <c r="L6" s="43"/>
    </row>
    <row r="7" spans="2:12" ht="15.75" hidden="1" outlineLevel="1" thickBot="1">
      <c r="B7" s="35" t="str">
        <f>IF(B6="","",(B6+1))</f>
        <v/>
      </c>
      <c r="C7" s="1"/>
      <c r="D7" s="1"/>
      <c r="E7" s="1"/>
      <c r="F7" s="1"/>
      <c r="G7" s="1"/>
      <c r="H7" s="1"/>
      <c r="I7" s="36"/>
      <c r="J7" s="1"/>
      <c r="K7" s="1"/>
      <c r="L7" s="2"/>
    </row>
    <row r="8" spans="2:12" ht="15.75" hidden="1" outlineLevel="1" thickBot="1">
      <c r="B8" s="37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2:12" ht="26.25" customHeight="1" collapsed="1" thickBot="1">
      <c r="B9" s="320" t="s">
        <v>59</v>
      </c>
      <c r="C9" s="321"/>
      <c r="D9" s="321"/>
      <c r="E9" s="321"/>
      <c r="F9" s="321"/>
      <c r="G9" s="321"/>
      <c r="H9" s="321"/>
      <c r="I9" s="321"/>
      <c r="J9" s="321"/>
      <c r="K9" s="321"/>
      <c r="L9" s="322"/>
    </row>
    <row r="10" spans="2:12" ht="24" customHeight="1" thickBot="1">
      <c r="B10" s="26" t="s">
        <v>49</v>
      </c>
      <c r="C10" s="27" t="s">
        <v>60</v>
      </c>
      <c r="D10" s="27" t="s">
        <v>62</v>
      </c>
      <c r="E10" s="27" t="s">
        <v>63</v>
      </c>
      <c r="F10" s="27" t="s">
        <v>64</v>
      </c>
      <c r="G10" s="27" t="s">
        <v>65</v>
      </c>
      <c r="H10" s="27" t="s">
        <v>66</v>
      </c>
      <c r="I10" s="27" t="s">
        <v>67</v>
      </c>
      <c r="J10" s="27" t="s">
        <v>6</v>
      </c>
      <c r="K10" s="27" t="s">
        <v>7</v>
      </c>
      <c r="L10" s="28" t="s">
        <v>68</v>
      </c>
    </row>
    <row r="11" spans="2:12">
      <c r="B11" s="46" t="s">
        <v>8</v>
      </c>
      <c r="C11" s="41">
        <f>COUNTIFS(B6:B8,"&gt;"&amp;0,C6:C8,"="&amp;B11)</f>
        <v>0</v>
      </c>
      <c r="D11" s="41">
        <f>COUNTIFS(B6:B8,"&gt;="&amp;1,C6:C8,B11,K6:K8,"&gt;="&amp;0,K6:K8,"&lt;"&amp;50)</f>
        <v>0</v>
      </c>
      <c r="E11" s="41">
        <f>COUNTIFS(B6:B8,"&gt;="&amp;1,C6:C8,B11,K6:K8,"&gt;="&amp;50,K6:K8,"&lt;"&amp;500)</f>
        <v>0</v>
      </c>
      <c r="F11" s="41">
        <f>COUNTIFS(B6:B8,"&gt;="&amp;1,C6:C8,B11,K6:K8,"&gt;="&amp;500)</f>
        <v>0</v>
      </c>
      <c r="G11" s="41">
        <f>COUNTIFS(B6:B8,"&gt;="&amp;1,C6:C8,B11,K6:K8,"&gt;="&amp;0,I6:I8,"&gt;"&amp;DATE(2021,1,1))</f>
        <v>0</v>
      </c>
      <c r="H11" s="47" t="str">
        <f>IF(G11=0,"-",(SUM(E11,F11)/G11))</f>
        <v>-</v>
      </c>
      <c r="I11" s="41">
        <f>IF((COUNTIFS(B6:B8,"&gt;="&amp;1,C6:C8,"="&amp;B11))&gt;228,228,(COUNTIFS(B6:B8,"&gt;="&amp;1,C6:C8,"="&amp;B11)))</f>
        <v>0</v>
      </c>
      <c r="J11" s="47" t="str">
        <f>IF(I11=0,"-",(COUNTIFS(C6:C8,"="&amp;B11,I6:I8,"&lt;="&amp;DATE(2024,12,31),K6:K8,"&gt;="&amp;0)/I11))</f>
        <v>-</v>
      </c>
      <c r="K11" s="47" t="str">
        <f>IF(I11=0,"-",IF(J11=1,"-",(COUNTIFS(B6:B8,"&gt;"&amp;0,C6:C8,"="&amp;B11,I6:I8,"&gt;"&amp;DATE(2024,12,31),K6:K8,"&gt;="&amp;0)/(I11-COUNTIFS(B6:B8,"&gt;"&amp;0,C6:C8,"="&amp;B11,I6:I8,"&lt;="&amp;DATE(2024,12,31),K6:K8,"&gt;="&amp;0)))))</f>
        <v>-</v>
      </c>
      <c r="L11" s="48" t="str">
        <f>IF(I11=0,"-",G11/I11)</f>
        <v>-</v>
      </c>
    </row>
    <row r="12" spans="2:12">
      <c r="B12" s="7" t="s">
        <v>9</v>
      </c>
      <c r="C12" s="1">
        <f>COUNTIFS(B6:B8,"&gt;"&amp;0,C6:C8,"="&amp;B12)</f>
        <v>0</v>
      </c>
      <c r="D12" s="1">
        <f>COUNTIFS(B6:B8,"&gt;="&amp;1,C6:C8,B12,K6:K8,"&gt;="&amp;0,K6:K8,"&lt;"&amp;50)</f>
        <v>0</v>
      </c>
      <c r="E12" s="1">
        <f>COUNTIFS(B6:B8,"&gt;="&amp;1,C6:C8,B12,K6:K8,"&gt;="&amp;50,K6:K8,"&lt;"&amp;500)</f>
        <v>0</v>
      </c>
      <c r="F12" s="1">
        <f>COUNTIFS(B6:B8,"&gt;="&amp;1,C6:C8,B12,K6:K8,"&gt;="&amp;500)</f>
        <v>0</v>
      </c>
      <c r="G12" s="1">
        <f>COUNTIFS(B6:B8,"&gt;="&amp;1,C6:C8,B12,K6:K8,"&gt;="&amp;0,I6:I8,"&gt;"&amp;DATE(2021,1,1))</f>
        <v>0</v>
      </c>
      <c r="H12" s="44" t="str">
        <f t="shared" ref="H12:H14" si="0">IF(G12=0,"-",(SUM(E12,F12)/G12))</f>
        <v>-</v>
      </c>
      <c r="I12" s="1">
        <f>IF((COUNTIFS(B6:B8,"&gt;="&amp;1,C6:C8,"="&amp;B12))&gt;228,228,(COUNTIFS(B6:B8,"&gt;="&amp;1,C6:C8,"="&amp;B12)))</f>
        <v>0</v>
      </c>
      <c r="J12" s="44" t="str">
        <f>IF(I12=0,"-",(COUNTIFS(C6:C8,"="&amp;B12,I6:I8,"&lt;="&amp;DATE(2024,12,31),K6:K8,"&gt;="&amp;0)/I12))</f>
        <v>-</v>
      </c>
      <c r="K12" s="47" t="str">
        <f>IF(I12=0,"-",IF(J12=1,"-",(COUNTIFS(B6:B8,"&gt;"&amp;0,C6:C8,"="&amp;B12,I6:I8,"&gt;"&amp;DATE(2024,12,31),K6:K8,"&gt;="&amp;0)/(I12-COUNTIFS(B6:B8,"&gt;"&amp;0,C6:C8,"="&amp;B12,I6:I8,"&lt;="&amp;DATE(2024,12,31),K6:K8,"&gt;="&amp;0)))))</f>
        <v>-</v>
      </c>
      <c r="L12" s="45" t="str">
        <f t="shared" ref="L12:L14" si="1">IF(I12=0,"-",G12/I12)</f>
        <v>-</v>
      </c>
    </row>
    <row r="13" spans="2:12">
      <c r="B13" s="7" t="s">
        <v>69</v>
      </c>
      <c r="C13" s="1">
        <f>COUNTIFS(B6:B8,"&gt;"&amp;0,C6:C8,"="&amp;B13)</f>
        <v>0</v>
      </c>
      <c r="D13" s="1">
        <f>COUNTIFS(B6:B8,"&gt;="&amp;1,C6:C8,B13,K6:K8,"&gt;="&amp;0,K6:K8,"&lt;"&amp;50)</f>
        <v>0</v>
      </c>
      <c r="E13" s="1">
        <f>COUNTIFS(B6:B8,"&gt;="&amp;1,C6:C8,B13,K6:K8,"&gt;="&amp;50,K6:K8,"&lt;"&amp;500)</f>
        <v>0</v>
      </c>
      <c r="F13" s="1">
        <f>COUNTIFS(B6:B7,"&gt;="&amp;1,C6:C7,B13,K6:K7,"&gt;="&amp;500)</f>
        <v>0</v>
      </c>
      <c r="G13" s="1">
        <f>COUNTIFS(B6:B8,"&gt;="&amp;1,C6:C8,B13,K6:K8,"&gt;="&amp;0,I6:I8,"&gt;"&amp;DATE(2021,1,1))</f>
        <v>0</v>
      </c>
      <c r="H13" s="44" t="str">
        <f t="shared" si="0"/>
        <v>-</v>
      </c>
      <c r="I13" s="1">
        <f>IF((COUNTIFS(B6:B7,"&gt;="&amp;1,C6:C7,"="&amp;B13))&gt;228,228,(COUNTIFS(B6:B7,"&gt;="&amp;1,C6:C7,"="&amp;B13)))</f>
        <v>0</v>
      </c>
      <c r="J13" s="44" t="str">
        <f>IF(I13=0,"-",(COUNTIFS(C6:C8,"="&amp;B13,I6:I8,"&lt;="&amp;DATE(2024,12,31),K6:K8,"&gt;="&amp;0)/I13))</f>
        <v>-</v>
      </c>
      <c r="K13" s="47" t="str">
        <f>IF(I13=0,"-",IF(J13=1,"-",(COUNTIFS(B6:B8,"&gt;"&amp;0,C6:C8,"="&amp;B13,I6:I8,"&gt;"&amp;DATE(2024,12,31),K6:K8,"&gt;="&amp;0)/(I13-COUNTIFS(B6:B8,"&gt;"&amp;0,C6:C8,"="&amp;B13,I6:I8,"&lt;="&amp;DATE(2024,12,31),K6:K8,"&gt;="&amp;0)))))</f>
        <v>-</v>
      </c>
      <c r="L13" s="45" t="str">
        <f t="shared" si="1"/>
        <v>-</v>
      </c>
    </row>
    <row r="14" spans="2:12" ht="23.25" customHeight="1" thickBot="1">
      <c r="B14" s="49" t="s">
        <v>59</v>
      </c>
      <c r="C14" s="50">
        <f>SUM(C11:C13)</f>
        <v>0</v>
      </c>
      <c r="D14" s="50">
        <f>SUM(D11:D13)</f>
        <v>0</v>
      </c>
      <c r="E14" s="50">
        <f>SUM(E11:E13)</f>
        <v>0</v>
      </c>
      <c r="F14" s="50">
        <f>SUM(F11:F13)</f>
        <v>0</v>
      </c>
      <c r="G14" s="50">
        <f>SUM(G11:G13)</f>
        <v>0</v>
      </c>
      <c r="H14" s="51" t="str">
        <f t="shared" si="0"/>
        <v>-</v>
      </c>
      <c r="I14" s="50">
        <f>SUM(I11:I13)</f>
        <v>0</v>
      </c>
      <c r="J14" s="51" t="str">
        <f>IF(I14=0,"-",(COUNTIFS(I6:I8,"&lt;="&amp;DATE(2024,12,31),K6:K8,"&gt;="&amp;0)/I14))</f>
        <v>-</v>
      </c>
      <c r="K14" s="51" t="str">
        <f>IF(I14=0,"-",IF(J14=1,"-",(COUNTIFS(B6:B8,"&gt;"&amp;0,I6:I8,"&gt;"&amp;DATE(2024,12,31),K6:K8,"&gt;="&amp;0)/(I14-COUNTIFS(B6:B8,"&gt;"&amp;0,I6:I8,"&lt;="&amp;DATE(2024,12,31),K6:K8,"&gt;="&amp;0)))))</f>
        <v>-</v>
      </c>
      <c r="L14" s="52" t="str">
        <f t="shared" si="1"/>
        <v>-</v>
      </c>
    </row>
    <row r="16" spans="2:12" ht="15.75" thickBot="1"/>
    <row r="17" spans="2:12" ht="32.25" customHeight="1" thickBot="1">
      <c r="B17" s="320" t="str">
        <f>_xlfn.CONCAT("Disjuntores com extinção de arco OMI (PVO e GVO)",TEXT(IF(SUM(I51:I53)=0," ",(SUM(G51:G53)/SUM(I51:I53))), " 0,00%"))</f>
        <v xml:space="preserve">Disjuntores com extinção de arco OMI (PVO e GVO) </v>
      </c>
      <c r="C17" s="321"/>
      <c r="D17" s="321"/>
      <c r="E17" s="321"/>
      <c r="F17" s="321"/>
      <c r="G17" s="321"/>
      <c r="H17" s="321"/>
      <c r="I17" s="321"/>
      <c r="J17" s="321"/>
      <c r="K17" s="321"/>
      <c r="L17" s="322"/>
    </row>
    <row r="18" spans="2:12" ht="24" hidden="1" customHeight="1" outlineLevel="1" thickBot="1">
      <c r="B18" s="26" t="s">
        <v>48</v>
      </c>
      <c r="C18" s="27" t="s">
        <v>49</v>
      </c>
      <c r="D18" s="27" t="s">
        <v>50</v>
      </c>
      <c r="E18" s="27" t="s">
        <v>51</v>
      </c>
      <c r="F18" s="27" t="s">
        <v>52</v>
      </c>
      <c r="G18" s="27" t="s">
        <v>53</v>
      </c>
      <c r="H18" s="27" t="s">
        <v>54</v>
      </c>
      <c r="I18" s="27" t="s">
        <v>55</v>
      </c>
      <c r="J18" s="27" t="s">
        <v>56</v>
      </c>
      <c r="K18" s="27" t="s">
        <v>57</v>
      </c>
      <c r="L18" s="28" t="s">
        <v>58</v>
      </c>
    </row>
    <row r="19" spans="2:12" hidden="1" outlineLevel="1">
      <c r="B19" s="46" t="str">
        <f>IF(C19="","",ROW($A$1))</f>
        <v/>
      </c>
      <c r="C19" s="41"/>
      <c r="D19" s="41"/>
      <c r="E19" s="41"/>
      <c r="F19" s="41"/>
      <c r="G19" s="41"/>
      <c r="H19" s="41"/>
      <c r="I19" s="42"/>
      <c r="J19" s="41"/>
      <c r="K19" s="41"/>
      <c r="L19" s="43"/>
    </row>
    <row r="20" spans="2:12" hidden="1" outlineLevel="1">
      <c r="B20" s="46" t="str">
        <f>IF(C20="","",B19+1)</f>
        <v/>
      </c>
      <c r="C20" s="41"/>
      <c r="D20" s="41"/>
      <c r="E20" s="41"/>
      <c r="F20" s="41"/>
      <c r="G20" s="41"/>
      <c r="H20" s="41"/>
      <c r="I20" s="42"/>
      <c r="J20" s="41"/>
      <c r="K20" s="41"/>
      <c r="L20" s="43"/>
    </row>
    <row r="21" spans="2:12" hidden="1" outlineLevel="1">
      <c r="B21" s="46" t="str">
        <f t="shared" ref="B21:B48" si="2">IF(C21="","",B20+1)</f>
        <v/>
      </c>
      <c r="C21" s="41"/>
      <c r="D21" s="41"/>
      <c r="E21" s="41"/>
      <c r="F21" s="41"/>
      <c r="G21" s="41"/>
      <c r="H21" s="41"/>
      <c r="I21" s="42"/>
      <c r="J21" s="41"/>
      <c r="K21" s="41"/>
      <c r="L21" s="43"/>
    </row>
    <row r="22" spans="2:12" hidden="1" outlineLevel="1">
      <c r="B22" s="46" t="str">
        <f t="shared" si="2"/>
        <v/>
      </c>
      <c r="C22" s="41"/>
      <c r="D22" s="41"/>
      <c r="E22" s="41"/>
      <c r="F22" s="41"/>
      <c r="G22" s="41"/>
      <c r="H22" s="41"/>
      <c r="I22" s="42"/>
      <c r="J22" s="41"/>
      <c r="K22" s="41"/>
      <c r="L22" s="43"/>
    </row>
    <row r="23" spans="2:12" hidden="1" outlineLevel="1">
      <c r="B23" s="46" t="str">
        <f t="shared" si="2"/>
        <v/>
      </c>
      <c r="C23" s="41"/>
      <c r="D23" s="41"/>
      <c r="E23" s="41"/>
      <c r="F23" s="41"/>
      <c r="G23" s="41"/>
      <c r="H23" s="41"/>
      <c r="I23" s="42"/>
      <c r="J23" s="41"/>
      <c r="K23" s="41"/>
      <c r="L23" s="43"/>
    </row>
    <row r="24" spans="2:12" hidden="1" outlineLevel="1">
      <c r="B24" s="46" t="str">
        <f t="shared" si="2"/>
        <v/>
      </c>
      <c r="C24" s="41"/>
      <c r="D24" s="41"/>
      <c r="E24" s="41"/>
      <c r="F24" s="41"/>
      <c r="G24" s="41"/>
      <c r="H24" s="41"/>
      <c r="I24" s="42"/>
      <c r="J24" s="41"/>
      <c r="K24" s="41"/>
      <c r="L24" s="43"/>
    </row>
    <row r="25" spans="2:12" hidden="1" outlineLevel="1">
      <c r="B25" s="46" t="str">
        <f t="shared" si="2"/>
        <v/>
      </c>
      <c r="C25" s="41"/>
      <c r="D25" s="41"/>
      <c r="E25" s="41"/>
      <c r="F25" s="41"/>
      <c r="G25" s="41"/>
      <c r="H25" s="41"/>
      <c r="I25" s="42"/>
      <c r="J25" s="41"/>
      <c r="K25" s="41"/>
      <c r="L25" s="43"/>
    </row>
    <row r="26" spans="2:12" hidden="1" outlineLevel="1">
      <c r="B26" s="46" t="str">
        <f t="shared" si="2"/>
        <v/>
      </c>
      <c r="C26" s="41"/>
      <c r="D26" s="41"/>
      <c r="E26" s="41"/>
      <c r="F26" s="41"/>
      <c r="G26" s="41"/>
      <c r="H26" s="41"/>
      <c r="I26" s="42"/>
      <c r="J26" s="41"/>
      <c r="K26" s="41"/>
      <c r="L26" s="43"/>
    </row>
    <row r="27" spans="2:12" hidden="1" outlineLevel="1">
      <c r="B27" s="46" t="str">
        <f t="shared" si="2"/>
        <v/>
      </c>
      <c r="C27" s="41"/>
      <c r="D27" s="41"/>
      <c r="E27" s="41"/>
      <c r="F27" s="41"/>
      <c r="G27" s="41"/>
      <c r="H27" s="41"/>
      <c r="I27" s="42"/>
      <c r="J27" s="41"/>
      <c r="K27" s="41"/>
      <c r="L27" s="43"/>
    </row>
    <row r="28" spans="2:12" hidden="1" outlineLevel="1">
      <c r="B28" s="46" t="str">
        <f t="shared" si="2"/>
        <v/>
      </c>
      <c r="C28" s="41"/>
      <c r="D28" s="41"/>
      <c r="E28" s="41"/>
      <c r="F28" s="41"/>
      <c r="G28" s="41"/>
      <c r="H28" s="41"/>
      <c r="I28" s="42"/>
      <c r="J28" s="41"/>
      <c r="K28" s="41"/>
      <c r="L28" s="43"/>
    </row>
    <row r="29" spans="2:12" hidden="1" outlineLevel="1">
      <c r="B29" s="46" t="str">
        <f t="shared" si="2"/>
        <v/>
      </c>
      <c r="C29" s="41"/>
      <c r="D29" s="41"/>
      <c r="E29" s="41"/>
      <c r="F29" s="41"/>
      <c r="G29" s="41"/>
      <c r="H29" s="41"/>
      <c r="I29" s="42"/>
      <c r="J29" s="41"/>
      <c r="K29" s="41"/>
      <c r="L29" s="43"/>
    </row>
    <row r="30" spans="2:12" hidden="1" outlineLevel="1">
      <c r="B30" s="46" t="str">
        <f t="shared" si="2"/>
        <v/>
      </c>
      <c r="C30" s="41"/>
      <c r="D30" s="41"/>
      <c r="E30" s="41"/>
      <c r="F30" s="41"/>
      <c r="G30" s="41"/>
      <c r="H30" s="41"/>
      <c r="I30" s="42"/>
      <c r="J30" s="41"/>
      <c r="K30" s="41"/>
      <c r="L30" s="43"/>
    </row>
    <row r="31" spans="2:12" hidden="1" outlineLevel="1">
      <c r="B31" s="46" t="str">
        <f t="shared" si="2"/>
        <v/>
      </c>
      <c r="C31" s="41"/>
      <c r="D31" s="41"/>
      <c r="E31" s="41"/>
      <c r="F31" s="41"/>
      <c r="G31" s="41"/>
      <c r="H31" s="41"/>
      <c r="I31" s="42"/>
      <c r="J31" s="41"/>
      <c r="K31" s="41"/>
      <c r="L31" s="43"/>
    </row>
    <row r="32" spans="2:12" hidden="1" outlineLevel="1">
      <c r="B32" s="46" t="str">
        <f t="shared" si="2"/>
        <v/>
      </c>
      <c r="C32" s="41"/>
      <c r="D32" s="41"/>
      <c r="E32" s="41"/>
      <c r="F32" s="41"/>
      <c r="G32" s="41"/>
      <c r="H32" s="41"/>
      <c r="I32" s="42"/>
      <c r="J32" s="41"/>
      <c r="K32" s="41"/>
      <c r="L32" s="43"/>
    </row>
    <row r="33" spans="2:12" hidden="1" outlineLevel="1">
      <c r="B33" s="46" t="str">
        <f t="shared" si="2"/>
        <v/>
      </c>
      <c r="C33" s="41"/>
      <c r="D33" s="41"/>
      <c r="E33" s="41"/>
      <c r="F33" s="41"/>
      <c r="G33" s="41"/>
      <c r="H33" s="41"/>
      <c r="I33" s="42"/>
      <c r="J33" s="41"/>
      <c r="K33" s="41"/>
      <c r="L33" s="43"/>
    </row>
    <row r="34" spans="2:12" hidden="1" outlineLevel="1">
      <c r="B34" s="46" t="str">
        <f t="shared" si="2"/>
        <v/>
      </c>
      <c r="C34" s="41"/>
      <c r="D34" s="41"/>
      <c r="E34" s="41"/>
      <c r="F34" s="41"/>
      <c r="G34" s="41"/>
      <c r="H34" s="41"/>
      <c r="I34" s="42"/>
      <c r="J34" s="41"/>
      <c r="K34" s="41"/>
      <c r="L34" s="43"/>
    </row>
    <row r="35" spans="2:12" hidden="1" outlineLevel="1">
      <c r="B35" s="46" t="str">
        <f t="shared" si="2"/>
        <v/>
      </c>
      <c r="C35" s="41"/>
      <c r="D35" s="41"/>
      <c r="E35" s="41"/>
      <c r="F35" s="41"/>
      <c r="G35" s="41"/>
      <c r="H35" s="41"/>
      <c r="I35" s="42"/>
      <c r="J35" s="41"/>
      <c r="K35" s="41"/>
      <c r="L35" s="43"/>
    </row>
    <row r="36" spans="2:12" hidden="1" outlineLevel="1">
      <c r="B36" s="46" t="str">
        <f t="shared" si="2"/>
        <v/>
      </c>
      <c r="C36" s="41"/>
      <c r="D36" s="41"/>
      <c r="E36" s="41"/>
      <c r="F36" s="41"/>
      <c r="G36" s="41"/>
      <c r="H36" s="41"/>
      <c r="I36" s="42"/>
      <c r="J36" s="41"/>
      <c r="K36" s="41"/>
      <c r="L36" s="43"/>
    </row>
    <row r="37" spans="2:12" hidden="1" outlineLevel="1">
      <c r="B37" s="46" t="str">
        <f t="shared" si="2"/>
        <v/>
      </c>
      <c r="C37" s="41"/>
      <c r="D37" s="41"/>
      <c r="E37" s="41"/>
      <c r="F37" s="41"/>
      <c r="G37" s="41"/>
      <c r="H37" s="41"/>
      <c r="I37" s="42"/>
      <c r="J37" s="41"/>
      <c r="K37" s="41"/>
      <c r="L37" s="43"/>
    </row>
    <row r="38" spans="2:12" hidden="1" outlineLevel="1">
      <c r="B38" s="46" t="str">
        <f t="shared" si="2"/>
        <v/>
      </c>
      <c r="C38" s="41"/>
      <c r="D38" s="41"/>
      <c r="E38" s="41"/>
      <c r="F38" s="41"/>
      <c r="G38" s="41"/>
      <c r="H38" s="41"/>
      <c r="I38" s="42"/>
      <c r="J38" s="41"/>
      <c r="K38" s="41"/>
      <c r="L38" s="43"/>
    </row>
    <row r="39" spans="2:12" hidden="1" outlineLevel="1">
      <c r="B39" s="46" t="str">
        <f t="shared" si="2"/>
        <v/>
      </c>
      <c r="C39" s="41"/>
      <c r="D39" s="41"/>
      <c r="E39" s="41"/>
      <c r="F39" s="41"/>
      <c r="G39" s="41"/>
      <c r="H39" s="41"/>
      <c r="I39" s="42"/>
      <c r="J39" s="41"/>
      <c r="K39" s="41"/>
      <c r="L39" s="43"/>
    </row>
    <row r="40" spans="2:12" hidden="1" outlineLevel="1">
      <c r="B40" s="46" t="str">
        <f t="shared" si="2"/>
        <v/>
      </c>
      <c r="C40" s="41"/>
      <c r="D40" s="41"/>
      <c r="E40" s="41"/>
      <c r="F40" s="41"/>
      <c r="G40" s="41"/>
      <c r="H40" s="41"/>
      <c r="I40" s="42"/>
      <c r="J40" s="41"/>
      <c r="K40" s="41"/>
      <c r="L40" s="43"/>
    </row>
    <row r="41" spans="2:12" hidden="1" outlineLevel="1">
      <c r="B41" s="46" t="str">
        <f t="shared" si="2"/>
        <v/>
      </c>
      <c r="C41" s="41"/>
      <c r="D41" s="41"/>
      <c r="E41" s="41"/>
      <c r="F41" s="41"/>
      <c r="G41" s="41"/>
      <c r="H41" s="41"/>
      <c r="I41" s="42"/>
      <c r="J41" s="41"/>
      <c r="K41" s="41"/>
      <c r="L41" s="43"/>
    </row>
    <row r="42" spans="2:12" hidden="1" outlineLevel="1">
      <c r="B42" s="46" t="str">
        <f t="shared" si="2"/>
        <v/>
      </c>
      <c r="C42" s="41"/>
      <c r="D42" s="41"/>
      <c r="E42" s="41"/>
      <c r="F42" s="41"/>
      <c r="G42" s="41"/>
      <c r="H42" s="41"/>
      <c r="I42" s="42"/>
      <c r="J42" s="41"/>
      <c r="K42" s="41"/>
      <c r="L42" s="43"/>
    </row>
    <row r="43" spans="2:12" hidden="1" outlineLevel="1">
      <c r="B43" s="46" t="str">
        <f t="shared" si="2"/>
        <v/>
      </c>
      <c r="C43" s="41"/>
      <c r="D43" s="41"/>
      <c r="E43" s="41"/>
      <c r="F43" s="41"/>
      <c r="G43" s="41"/>
      <c r="H43" s="41"/>
      <c r="I43" s="42"/>
      <c r="J43" s="41"/>
      <c r="K43" s="41"/>
      <c r="L43" s="43"/>
    </row>
    <row r="44" spans="2:12" hidden="1" outlineLevel="1">
      <c r="B44" s="46" t="str">
        <f t="shared" si="2"/>
        <v/>
      </c>
      <c r="C44" s="41"/>
      <c r="D44" s="41"/>
      <c r="E44" s="41"/>
      <c r="F44" s="41"/>
      <c r="G44" s="41"/>
      <c r="H44" s="41"/>
      <c r="I44" s="42"/>
      <c r="J44" s="41"/>
      <c r="K44" s="41"/>
      <c r="L44" s="43"/>
    </row>
    <row r="45" spans="2:12" hidden="1" outlineLevel="1">
      <c r="B45" s="46" t="str">
        <f t="shared" si="2"/>
        <v/>
      </c>
      <c r="C45" s="41"/>
      <c r="D45" s="41"/>
      <c r="E45" s="41"/>
      <c r="F45" s="41"/>
      <c r="G45" s="41"/>
      <c r="H45" s="41"/>
      <c r="I45" s="42"/>
      <c r="J45" s="41"/>
      <c r="K45" s="41"/>
      <c r="L45" s="43"/>
    </row>
    <row r="46" spans="2:12" hidden="1" outlineLevel="1">
      <c r="B46" s="46" t="str">
        <f t="shared" si="2"/>
        <v/>
      </c>
      <c r="C46" s="41"/>
      <c r="D46" s="41"/>
      <c r="E46" s="41"/>
      <c r="F46" s="41"/>
      <c r="G46" s="41"/>
      <c r="H46" s="41"/>
      <c r="I46" s="42"/>
      <c r="J46" s="41"/>
      <c r="K46" s="41"/>
      <c r="L46" s="43"/>
    </row>
    <row r="47" spans="2:12" hidden="1" outlineLevel="1">
      <c r="B47" s="46" t="str">
        <f t="shared" si="2"/>
        <v/>
      </c>
      <c r="C47" s="1"/>
      <c r="D47" s="1"/>
      <c r="E47" s="1"/>
      <c r="F47" s="1"/>
      <c r="G47" s="1"/>
      <c r="H47" s="1"/>
      <c r="I47" s="36"/>
      <c r="J47" s="1"/>
      <c r="K47" s="1"/>
      <c r="L47" s="2"/>
    </row>
    <row r="48" spans="2:12" ht="15.75" hidden="1" outlineLevel="1" thickBot="1">
      <c r="B48" s="56" t="str">
        <f t="shared" si="2"/>
        <v/>
      </c>
      <c r="C48" s="38"/>
      <c r="D48" s="38"/>
      <c r="E48" s="38"/>
      <c r="F48" s="38"/>
      <c r="G48" s="38"/>
      <c r="H48" s="38"/>
      <c r="I48" s="38"/>
      <c r="J48" s="38"/>
      <c r="K48" s="38"/>
      <c r="L48" s="39"/>
    </row>
    <row r="49" spans="2:12" ht="24" customHeight="1" collapsed="1" thickBot="1">
      <c r="B49" s="320" t="s">
        <v>59</v>
      </c>
      <c r="C49" s="321"/>
      <c r="D49" s="321"/>
      <c r="E49" s="321"/>
      <c r="F49" s="321"/>
      <c r="G49" s="321"/>
      <c r="H49" s="321"/>
      <c r="I49" s="321"/>
      <c r="J49" s="321"/>
      <c r="K49" s="321"/>
      <c r="L49" s="322"/>
    </row>
    <row r="50" spans="2:12" ht="24" customHeight="1" thickBot="1">
      <c r="B50" s="26" t="s">
        <v>49</v>
      </c>
      <c r="C50" s="27" t="s">
        <v>60</v>
      </c>
      <c r="D50" s="27" t="s">
        <v>62</v>
      </c>
      <c r="E50" s="27" t="s">
        <v>63</v>
      </c>
      <c r="F50" s="27" t="s">
        <v>64</v>
      </c>
      <c r="G50" s="27" t="s">
        <v>65</v>
      </c>
      <c r="H50" s="27" t="s">
        <v>66</v>
      </c>
      <c r="I50" s="27" t="s">
        <v>67</v>
      </c>
      <c r="J50" s="27" t="s">
        <v>6</v>
      </c>
      <c r="K50" s="27" t="s">
        <v>7</v>
      </c>
      <c r="L50" s="28" t="s">
        <v>68</v>
      </c>
    </row>
    <row r="51" spans="2:12">
      <c r="B51" s="46" t="s">
        <v>8</v>
      </c>
      <c r="C51" s="41">
        <f>COUNTIFS(B19:B48,"&gt;"&amp;0,C19:C48,"="&amp;B51)</f>
        <v>0</v>
      </c>
      <c r="D51" s="41">
        <f>COUNTIFS(B19:B48,"&gt;="&amp;1,C19:C48,B51,K19:K48,"&gt;="&amp;0,K19:K48,"&lt;"&amp;50)</f>
        <v>0</v>
      </c>
      <c r="E51" s="41">
        <f>COUNTIFS(B19:B48,"&gt;="&amp;1,C19:C48,B51,K19:K48,"&gt;="&amp;50,K19:K48,"&lt;"&amp;500)</f>
        <v>0</v>
      </c>
      <c r="F51" s="41">
        <f>COUNTIFS(B19:B48,"&gt;="&amp;1,C19:C48,B51,K19:K48,"&gt;="&amp;500)</f>
        <v>0</v>
      </c>
      <c r="G51" s="41">
        <f>COUNTIFS(B19:B48,"&gt;="&amp;1,C19:C48,B51,K19:K48,"&gt;="&amp;0,I19:I48,"&gt;"&amp;DATE(2021,1,1))</f>
        <v>0</v>
      </c>
      <c r="H51" s="47" t="str">
        <f>IF(G51=0,"-",(SUM(E51,F51)/G51))</f>
        <v>-</v>
      </c>
      <c r="I51" s="41">
        <f>IF((COUNTIFS(B19:B48,"&gt;="&amp;1,C19:C48,"="&amp;B51))&gt;228,228,(COUNTIFS(B19:B48,"&gt;="&amp;1,C19:C48,"="&amp;B51)))</f>
        <v>0</v>
      </c>
      <c r="J51" s="47" t="str">
        <f>IF(I51=0,"-",(COUNTIFS(C19:C48,"="&amp;B51,I19:I48,"&lt;="&amp;DATE(2024,12,31),K19:K48,"&gt;="&amp;0)/I51))</f>
        <v>-</v>
      </c>
      <c r="K51" s="47" t="str">
        <f>IF(I51=0,"-",IF(J51=1,"-",(COUNTIFS(B19:B48,"&gt;"&amp;0,C19:C48,"="&amp;B51,I19:I48,"&gt;"&amp;DATE(2024,12,31),K19:K48,"&gt;="&amp;0)/(I51-COUNTIFS(B19:B48,"&gt;"&amp;0,C19:C48,"="&amp;B51,I19:I48,"&lt;="&amp;DATE(2024,12,31),K19:K48,"&gt;="&amp;0)))))</f>
        <v>-</v>
      </c>
      <c r="L51" s="48" t="str">
        <f>IF(I51=0,"-",G51/I51)</f>
        <v>-</v>
      </c>
    </row>
    <row r="52" spans="2:12">
      <c r="B52" s="7" t="s">
        <v>9</v>
      </c>
      <c r="C52" s="1">
        <f>COUNTIFS(B19:B48,"&gt;"&amp;0,C19:C48,"="&amp;B52)</f>
        <v>0</v>
      </c>
      <c r="D52" s="1">
        <f>COUNTIFS(B19:B48,"&gt;="&amp;1,C19:C48,B52,K19:K48,"&gt;="&amp;0,K19:K48,"&lt;"&amp;50)</f>
        <v>0</v>
      </c>
      <c r="E52" s="1">
        <f>COUNTIFS(B19:B48,"&gt;="&amp;1,C19:C48,B52,K19:K48,"&gt;="&amp;50,K19:K48,"&lt;"&amp;500)</f>
        <v>0</v>
      </c>
      <c r="F52" s="1">
        <f>COUNTIFS(B19:B48,"&gt;="&amp;1,C19:C48,B52,K19:K48,"&gt;="&amp;500)</f>
        <v>0</v>
      </c>
      <c r="G52" s="1">
        <f>COUNTIFS(B19:B48,"&gt;="&amp;1,C19:C48,B52,K19:K48,"&gt;="&amp;0,I19:I48,"&gt;"&amp;DATE(2021,1,1))</f>
        <v>0</v>
      </c>
      <c r="H52" s="44" t="str">
        <f t="shared" ref="H52:H54" si="3">IF(G52=0,"-",(SUM(E52,F52)/G52))</f>
        <v>-</v>
      </c>
      <c r="I52" s="1">
        <f>IF((COUNTIFS(B19:B48,"&gt;="&amp;1,C19:C48,"="&amp;B52))&gt;228,228,(COUNTIFS(B19:B48,"&gt;="&amp;1,C19:C48,"="&amp;B52)))</f>
        <v>0</v>
      </c>
      <c r="J52" s="44" t="str">
        <f>IF(I52=0,"-",(COUNTIFS(C19:C48,"="&amp;B52,I19:I48,"&lt;="&amp;DATE(2024,12,31),K19:K48,"&gt;="&amp;0)/I52))</f>
        <v>-</v>
      </c>
      <c r="K52" s="47" t="str">
        <f>IF(I52=0,"-",IF(J52=1,"-",(COUNTIFS(B19:B48,"&gt;"&amp;0,C19:C48,"="&amp;B52,I19:I48,"&gt;"&amp;DATE(2024,12,31),K19:K48,"&gt;="&amp;0)/(I52-COUNTIFS(B19:B48,"&gt;"&amp;0,C19:C48,"="&amp;B52,I19:I48,"&lt;="&amp;DATE(2024,12,31),K19:K48,"&gt;="&amp;0)))))</f>
        <v>-</v>
      </c>
      <c r="L52" s="45" t="str">
        <f t="shared" ref="L52:L54" si="4">IF(I52=0,"-",G52/I52)</f>
        <v>-</v>
      </c>
    </row>
    <row r="53" spans="2:12">
      <c r="B53" s="7" t="s">
        <v>69</v>
      </c>
      <c r="C53" s="1">
        <f>COUNTIFS(B19:B48,"&gt;"&amp;0,C19:C48,"="&amp;B53)</f>
        <v>0</v>
      </c>
      <c r="D53" s="1">
        <f>COUNTIFS(B19:B48,"&gt;="&amp;1,C19:C48,B53,K19:K48,"&gt;="&amp;0,K19:K48,"&lt;"&amp;50)</f>
        <v>0</v>
      </c>
      <c r="E53" s="1">
        <f>COUNTIFS(B19:B48,"&gt;="&amp;1,C19:C48,B53,K19:K48,"&gt;="&amp;50,K19:K48,"&lt;"&amp;500)</f>
        <v>0</v>
      </c>
      <c r="F53" s="1">
        <f>COUNTIFS(B19:B47,"&gt;="&amp;1,C19:C47,B53,K19:K47,"&gt;="&amp;500)</f>
        <v>0</v>
      </c>
      <c r="G53" s="1">
        <f>COUNTIFS(B19:B48,"&gt;="&amp;1,C19:C48,B53,K19:K48,"&gt;="&amp;0,I19:I48,"&gt;"&amp;DATE(2021,1,1))</f>
        <v>0</v>
      </c>
      <c r="H53" s="44" t="str">
        <f t="shared" si="3"/>
        <v>-</v>
      </c>
      <c r="I53" s="1">
        <f>IF((COUNTIFS(B19:B47,"&gt;="&amp;1,C19:C47,"="&amp;B53))&gt;228,228,(COUNTIFS(B19:B47,"&gt;="&amp;1,C19:C47,"="&amp;B53)))</f>
        <v>0</v>
      </c>
      <c r="J53" s="44" t="str">
        <f>IF(I53=0,"-",(COUNTIFS(C19:C48,"="&amp;B53,I19:I48,"&lt;="&amp;DATE(2024,12,31),K19:K48,"&gt;="&amp;0)/I53))</f>
        <v>-</v>
      </c>
      <c r="K53" s="47" t="str">
        <f>IF(I53=0,"-",IF(J53=1,"-",(COUNTIFS(B19:B48,"&gt;"&amp;0,C19:C48,"="&amp;B53,I19:I48,"&gt;"&amp;DATE(2024,12,31),K19:K48,"&gt;="&amp;0)/(I53-COUNTIFS(B19:B48,"&gt;"&amp;0,C19:C48,"="&amp;B53,I19:I48,"&lt;="&amp;DATE(2024,12,31),K19:K48,"&gt;="&amp;0)))))</f>
        <v>-</v>
      </c>
      <c r="L53" s="45" t="str">
        <f t="shared" si="4"/>
        <v>-</v>
      </c>
    </row>
    <row r="54" spans="2:12" ht="24" customHeight="1" thickBot="1">
      <c r="B54" s="49" t="s">
        <v>59</v>
      </c>
      <c r="C54" s="50">
        <f>SUM(C51:C53)</f>
        <v>0</v>
      </c>
      <c r="D54" s="50">
        <f>SUM(D51:D53)</f>
        <v>0</v>
      </c>
      <c r="E54" s="50">
        <f>SUM(E51:E53)</f>
        <v>0</v>
      </c>
      <c r="F54" s="50">
        <f>SUM(F51:F53)</f>
        <v>0</v>
      </c>
      <c r="G54" s="50">
        <f>SUM(G51:G53)</f>
        <v>0</v>
      </c>
      <c r="H54" s="51" t="str">
        <f t="shared" si="3"/>
        <v>-</v>
      </c>
      <c r="I54" s="50">
        <f>SUM(I51:I53)</f>
        <v>0</v>
      </c>
      <c r="J54" s="51" t="str">
        <f>IF(I54=0,"-",(COUNTIFS(I19:I48,"&lt;="&amp;DATE(2024,12,31),K19:K48,"&gt;="&amp;0)/I54))</f>
        <v>-</v>
      </c>
      <c r="K54" s="51" t="str">
        <f>IF(I54=0,"-",IF(J54=1,"-",(COUNTIFS(B19:B48,"&gt;"&amp;0,I19:I48,"&gt;"&amp;DATE(2024,12,31),K19:K48,"&gt;="&amp;0)/(I54-COUNTIFS(B19:B48,"&gt;"&amp;0,I19:I48,"&lt;="&amp;DATE(2024,12,31),K19:K48,"&gt;="&amp;0)))))</f>
        <v>-</v>
      </c>
      <c r="L54" s="52" t="str">
        <f t="shared" si="4"/>
        <v>-</v>
      </c>
    </row>
    <row r="56" spans="2:12" ht="15.75" thickBot="1"/>
    <row r="57" spans="2:12" ht="32.25" customHeight="1" thickBot="1">
      <c r="B57" s="320" t="str">
        <f>_xlfn.CONCAT("Religadores",TEXT(IF(SUM(I83:I85)=0," ",(SUM(G83:G85)/SUM(I83:I85))), " 0,00%"))</f>
        <v xml:space="preserve">Religadores </v>
      </c>
      <c r="C57" s="321"/>
      <c r="D57" s="321"/>
      <c r="E57" s="321"/>
      <c r="F57" s="321"/>
      <c r="G57" s="321"/>
      <c r="H57" s="321"/>
      <c r="I57" s="321"/>
      <c r="J57" s="321"/>
      <c r="K57" s="321"/>
      <c r="L57" s="322"/>
    </row>
    <row r="58" spans="2:12" ht="24" hidden="1" customHeight="1" outlineLevel="1" thickBot="1">
      <c r="B58" s="26" t="s">
        <v>48</v>
      </c>
      <c r="C58" s="27" t="s">
        <v>49</v>
      </c>
      <c r="D58" s="27" t="s">
        <v>50</v>
      </c>
      <c r="E58" s="27" t="s">
        <v>51</v>
      </c>
      <c r="F58" s="27" t="s">
        <v>52</v>
      </c>
      <c r="G58" s="27" t="s">
        <v>53</v>
      </c>
      <c r="H58" s="27" t="s">
        <v>54</v>
      </c>
      <c r="I58" s="27" t="s">
        <v>55</v>
      </c>
      <c r="J58" s="27" t="s">
        <v>56</v>
      </c>
      <c r="K58" s="27" t="s">
        <v>57</v>
      </c>
      <c r="L58" s="28" t="s">
        <v>58</v>
      </c>
    </row>
    <row r="59" spans="2:12" hidden="1" outlineLevel="1">
      <c r="B59" s="46" t="str">
        <f>IF(C59="","",ROW($A$1))</f>
        <v/>
      </c>
      <c r="C59" s="41"/>
      <c r="D59" s="41"/>
      <c r="E59" s="41"/>
      <c r="F59" s="41"/>
      <c r="G59" s="41"/>
      <c r="H59" s="41"/>
      <c r="I59" s="42"/>
      <c r="J59" s="41"/>
      <c r="K59" s="41"/>
      <c r="L59" s="43"/>
    </row>
    <row r="60" spans="2:12" hidden="1" outlineLevel="1">
      <c r="B60" s="7" t="str">
        <f>IF(C60="","",(B59+1))</f>
        <v/>
      </c>
      <c r="C60" s="1"/>
      <c r="D60" s="41"/>
      <c r="E60" s="1"/>
      <c r="F60" s="1"/>
      <c r="G60" s="1"/>
      <c r="H60" s="1"/>
      <c r="I60" s="36"/>
      <c r="J60" s="41"/>
      <c r="K60" s="1"/>
      <c r="L60" s="2"/>
    </row>
    <row r="61" spans="2:12" hidden="1" outlineLevel="1">
      <c r="B61" s="7" t="str">
        <f t="shared" ref="B61:B80" si="5">IF(C61="","",(B60+1))</f>
        <v/>
      </c>
      <c r="C61" s="53"/>
      <c r="D61" s="41"/>
      <c r="E61" s="53"/>
      <c r="F61" s="53"/>
      <c r="G61" s="53"/>
      <c r="H61" s="53"/>
      <c r="I61" s="54"/>
      <c r="J61" s="41"/>
      <c r="K61" s="53"/>
      <c r="L61" s="55"/>
    </row>
    <row r="62" spans="2:12" hidden="1" outlineLevel="1">
      <c r="B62" s="7" t="str">
        <f t="shared" si="5"/>
        <v/>
      </c>
      <c r="C62" s="53"/>
      <c r="D62" s="41"/>
      <c r="E62" s="53"/>
      <c r="F62" s="53"/>
      <c r="G62" s="53"/>
      <c r="H62" s="53"/>
      <c r="I62" s="54"/>
      <c r="J62" s="41"/>
      <c r="K62" s="53"/>
      <c r="L62" s="55"/>
    </row>
    <row r="63" spans="2:12" hidden="1" outlineLevel="1">
      <c r="B63" s="7" t="str">
        <f t="shared" si="5"/>
        <v/>
      </c>
      <c r="C63" s="53"/>
      <c r="D63" s="41"/>
      <c r="E63" s="53"/>
      <c r="F63" s="53"/>
      <c r="G63" s="53"/>
      <c r="H63" s="53"/>
      <c r="I63" s="54"/>
      <c r="J63" s="41"/>
      <c r="K63" s="53"/>
      <c r="L63" s="55"/>
    </row>
    <row r="64" spans="2:12" hidden="1" outlineLevel="1">
      <c r="B64" s="7" t="str">
        <f t="shared" si="5"/>
        <v/>
      </c>
      <c r="C64" s="53"/>
      <c r="D64" s="41"/>
      <c r="E64" s="53"/>
      <c r="F64" s="53"/>
      <c r="G64" s="53"/>
      <c r="H64" s="53"/>
      <c r="I64" s="54"/>
      <c r="J64" s="41"/>
      <c r="K64" s="53"/>
      <c r="L64" s="55"/>
    </row>
    <row r="65" spans="2:12" hidden="1" outlineLevel="1">
      <c r="B65" s="7" t="str">
        <f t="shared" si="5"/>
        <v/>
      </c>
      <c r="C65" s="53"/>
      <c r="D65" s="41"/>
      <c r="E65" s="53"/>
      <c r="F65" s="53"/>
      <c r="G65" s="53"/>
      <c r="H65" s="53"/>
      <c r="I65" s="54"/>
      <c r="J65" s="41"/>
      <c r="K65" s="53"/>
      <c r="L65" s="55"/>
    </row>
    <row r="66" spans="2:12" hidden="1" outlineLevel="1">
      <c r="B66" s="7" t="str">
        <f t="shared" si="5"/>
        <v/>
      </c>
      <c r="C66" s="53"/>
      <c r="D66" s="41"/>
      <c r="E66" s="53"/>
      <c r="F66" s="53"/>
      <c r="G66" s="53"/>
      <c r="H66" s="53"/>
      <c r="I66" s="54"/>
      <c r="J66" s="41"/>
      <c r="K66" s="53"/>
      <c r="L66" s="55"/>
    </row>
    <row r="67" spans="2:12" hidden="1" outlineLevel="1">
      <c r="B67" s="7" t="str">
        <f t="shared" si="5"/>
        <v/>
      </c>
      <c r="C67" s="53"/>
      <c r="D67" s="41"/>
      <c r="E67" s="53"/>
      <c r="F67" s="53"/>
      <c r="G67" s="53"/>
      <c r="H67" s="53"/>
      <c r="I67" s="54"/>
      <c r="J67" s="41"/>
      <c r="K67" s="53"/>
      <c r="L67" s="55"/>
    </row>
    <row r="68" spans="2:12" hidden="1" outlineLevel="1">
      <c r="B68" s="7" t="str">
        <f t="shared" si="5"/>
        <v/>
      </c>
      <c r="C68" s="53"/>
      <c r="D68" s="41"/>
      <c r="E68" s="53"/>
      <c r="F68" s="53"/>
      <c r="G68" s="53"/>
      <c r="H68" s="53"/>
      <c r="I68" s="54"/>
      <c r="J68" s="41"/>
      <c r="K68" s="53"/>
      <c r="L68" s="55"/>
    </row>
    <row r="69" spans="2:12" hidden="1" outlineLevel="1">
      <c r="B69" s="7" t="str">
        <f t="shared" si="5"/>
        <v/>
      </c>
      <c r="C69" s="53"/>
      <c r="D69" s="41"/>
      <c r="E69" s="53"/>
      <c r="F69" s="53"/>
      <c r="G69" s="53"/>
      <c r="H69" s="53"/>
      <c r="I69" s="54"/>
      <c r="J69" s="41"/>
      <c r="K69" s="53"/>
      <c r="L69" s="55"/>
    </row>
    <row r="70" spans="2:12" hidden="1" outlineLevel="1">
      <c r="B70" s="7" t="str">
        <f t="shared" si="5"/>
        <v/>
      </c>
      <c r="C70" s="53"/>
      <c r="D70" s="41"/>
      <c r="E70" s="53"/>
      <c r="F70" s="53"/>
      <c r="G70" s="53"/>
      <c r="H70" s="53"/>
      <c r="I70" s="54"/>
      <c r="J70" s="41"/>
      <c r="K70" s="53"/>
      <c r="L70" s="55"/>
    </row>
    <row r="71" spans="2:12" hidden="1" outlineLevel="1">
      <c r="B71" s="7" t="str">
        <f t="shared" si="5"/>
        <v/>
      </c>
      <c r="C71" s="53"/>
      <c r="D71" s="41"/>
      <c r="E71" s="53"/>
      <c r="F71" s="53"/>
      <c r="G71" s="53"/>
      <c r="H71" s="53"/>
      <c r="I71" s="54"/>
      <c r="J71" s="41"/>
      <c r="K71" s="53"/>
      <c r="L71" s="55"/>
    </row>
    <row r="72" spans="2:12" hidden="1" outlineLevel="1">
      <c r="B72" s="7" t="str">
        <f t="shared" si="5"/>
        <v/>
      </c>
      <c r="C72" s="53"/>
      <c r="D72" s="41"/>
      <c r="E72" s="53"/>
      <c r="F72" s="53"/>
      <c r="G72" s="53"/>
      <c r="H72" s="53"/>
      <c r="I72" s="54"/>
      <c r="J72" s="53"/>
      <c r="K72" s="53"/>
      <c r="L72" s="55"/>
    </row>
    <row r="73" spans="2:12" hidden="1" outlineLevel="1">
      <c r="B73" s="7" t="str">
        <f t="shared" si="5"/>
        <v/>
      </c>
      <c r="C73" s="53"/>
      <c r="D73" s="41"/>
      <c r="E73" s="53"/>
      <c r="F73" s="53"/>
      <c r="G73" s="53"/>
      <c r="H73" s="53"/>
      <c r="I73" s="54"/>
      <c r="J73" s="53"/>
      <c r="K73" s="53"/>
      <c r="L73" s="55"/>
    </row>
    <row r="74" spans="2:12" hidden="1" outlineLevel="1">
      <c r="B74" s="7" t="str">
        <f t="shared" si="5"/>
        <v/>
      </c>
      <c r="C74" s="53"/>
      <c r="D74" s="41"/>
      <c r="E74" s="53"/>
      <c r="F74" s="53"/>
      <c r="G74" s="53"/>
      <c r="H74" s="53"/>
      <c r="I74" s="54"/>
      <c r="J74" s="53"/>
      <c r="K74" s="53"/>
      <c r="L74" s="55"/>
    </row>
    <row r="75" spans="2:12" hidden="1" outlineLevel="1">
      <c r="B75" s="7" t="str">
        <f>IF(C75="","",(B74+1))</f>
        <v/>
      </c>
      <c r="C75" s="53"/>
      <c r="D75" s="41"/>
      <c r="E75" s="53"/>
      <c r="F75" s="53"/>
      <c r="G75" s="53"/>
      <c r="H75" s="53"/>
      <c r="I75" s="54"/>
      <c r="J75" s="53"/>
      <c r="K75" s="53"/>
      <c r="L75" s="55"/>
    </row>
    <row r="76" spans="2:12" hidden="1" outlineLevel="1">
      <c r="B76" s="7" t="str">
        <f>IF(C76="","",(B75+1))</f>
        <v/>
      </c>
      <c r="C76" s="53"/>
      <c r="D76" s="41"/>
      <c r="E76" s="53"/>
      <c r="F76" s="53"/>
      <c r="G76" s="53"/>
      <c r="H76" s="53"/>
      <c r="I76" s="54"/>
      <c r="J76" s="53"/>
      <c r="K76" s="53"/>
      <c r="L76" s="55"/>
    </row>
    <row r="77" spans="2:12" hidden="1" outlineLevel="1">
      <c r="B77" s="7" t="str">
        <f t="shared" si="5"/>
        <v/>
      </c>
      <c r="C77" s="53"/>
      <c r="D77" s="53"/>
      <c r="E77" s="53"/>
      <c r="F77" s="53"/>
      <c r="G77" s="53"/>
      <c r="H77" s="53"/>
      <c r="I77" s="54"/>
      <c r="J77" s="53"/>
      <c r="K77" s="53"/>
      <c r="L77" s="55"/>
    </row>
    <row r="78" spans="2:12" hidden="1" outlineLevel="1">
      <c r="B78" s="7" t="str">
        <f t="shared" si="5"/>
        <v/>
      </c>
      <c r="C78" s="53"/>
      <c r="D78" s="53"/>
      <c r="E78" s="53"/>
      <c r="F78" s="53"/>
      <c r="G78" s="53"/>
      <c r="H78" s="53"/>
      <c r="I78" s="54"/>
      <c r="J78" s="53"/>
      <c r="K78" s="53"/>
      <c r="L78" s="55"/>
    </row>
    <row r="79" spans="2:12" hidden="1" outlineLevel="1">
      <c r="B79" s="7" t="str">
        <f t="shared" si="5"/>
        <v/>
      </c>
      <c r="C79" s="53"/>
      <c r="D79" s="53"/>
      <c r="E79" s="53"/>
      <c r="F79" s="53"/>
      <c r="G79" s="53"/>
      <c r="H79" s="53"/>
      <c r="I79" s="54"/>
      <c r="J79" s="53"/>
      <c r="K79" s="53"/>
      <c r="L79" s="55"/>
    </row>
    <row r="80" spans="2:12" ht="15.75" hidden="1" outlineLevel="1" thickBot="1">
      <c r="B80" s="56" t="str">
        <f t="shared" si="5"/>
        <v/>
      </c>
      <c r="C80" s="38"/>
      <c r="D80" s="38"/>
      <c r="E80" s="38"/>
      <c r="F80" s="38"/>
      <c r="G80" s="38"/>
      <c r="H80" s="38"/>
      <c r="I80" s="57"/>
      <c r="J80" s="38"/>
      <c r="K80" s="38"/>
      <c r="L80" s="39"/>
    </row>
    <row r="81" spans="2:12" ht="24" customHeight="1" collapsed="1" thickBot="1">
      <c r="B81" s="320" t="s">
        <v>59</v>
      </c>
      <c r="C81" s="321"/>
      <c r="D81" s="321"/>
      <c r="E81" s="321"/>
      <c r="F81" s="321"/>
      <c r="G81" s="321"/>
      <c r="H81" s="321"/>
      <c r="I81" s="321"/>
      <c r="J81" s="321"/>
      <c r="K81" s="321"/>
      <c r="L81" s="322"/>
    </row>
    <row r="82" spans="2:12" ht="24" customHeight="1" thickBot="1">
      <c r="B82" s="26" t="s">
        <v>49</v>
      </c>
      <c r="C82" s="27" t="s">
        <v>60</v>
      </c>
      <c r="D82" s="27" t="s">
        <v>62</v>
      </c>
      <c r="E82" s="27" t="s">
        <v>63</v>
      </c>
      <c r="F82" s="27" t="s">
        <v>64</v>
      </c>
      <c r="G82" s="27" t="s">
        <v>65</v>
      </c>
      <c r="H82" s="27" t="s">
        <v>66</v>
      </c>
      <c r="I82" s="27" t="s">
        <v>67</v>
      </c>
      <c r="J82" s="27" t="s">
        <v>6</v>
      </c>
      <c r="K82" s="27" t="s">
        <v>7</v>
      </c>
      <c r="L82" s="28" t="s">
        <v>68</v>
      </c>
    </row>
    <row r="83" spans="2:12">
      <c r="B83" s="46" t="s">
        <v>8</v>
      </c>
      <c r="C83" s="41">
        <f>COUNTIFS(B59:B80,"&gt;"&amp;0,C59:C80,"="&amp;B83)</f>
        <v>0</v>
      </c>
      <c r="D83" s="41">
        <f>COUNTIFS(B59:B80,"&gt;="&amp;1,C59:C80,B83,K59:K80,"&gt;="&amp;0,K59:K80,"&lt;"&amp;50)</f>
        <v>0</v>
      </c>
      <c r="E83" s="41">
        <f>COUNTIFS(B59:B80,"&gt;="&amp;1,C59:C80,B83,K59:K80,"&gt;="&amp;50,K59:K80,"&lt;"&amp;500)</f>
        <v>0</v>
      </c>
      <c r="F83" s="41">
        <f>COUNTIFS(B59:B80,"&gt;="&amp;1,C59:C80,B83,K59:K80,"&gt;="&amp;500)</f>
        <v>0</v>
      </c>
      <c r="G83" s="41">
        <f>COUNTIFS(B59:B80,"&gt;="&amp;1,C59:C80,B83,K59:K80,"&gt;="&amp;0,I59:I80,"&gt;"&amp;DATE(2021,1,1))</f>
        <v>0</v>
      </c>
      <c r="H83" s="47" t="str">
        <f>IF(G83=0,"-",(SUM(E83,F83)/G83))</f>
        <v>-</v>
      </c>
      <c r="I83" s="41">
        <f>IF((COUNTIFS(B59:B80,"&gt;="&amp;1,C59:C80,"="&amp;B83))&gt;228,228,(COUNTIFS(B59:B80,"&gt;="&amp;1,C59:C80,"="&amp;B83)))</f>
        <v>0</v>
      </c>
      <c r="J83" s="47" t="str">
        <f>IF(I83=0,"-",(COUNTIFS(C59:C80,"="&amp;B83,I59:I80,"&lt;="&amp;DATE(2024,12,31),K59:K80,"&gt;="&amp;0)/I83))</f>
        <v>-</v>
      </c>
      <c r="K83" s="47" t="str">
        <f>IF(I83=0,"-",IF(J83=1,"-",(COUNTIFS(B59:B80,"&gt;"&amp;0,C59:C80,"="&amp;B83,I59:I80,"&gt;"&amp;DATE(2024,12,31),K59:K80,"&gt;="&amp;0)/(I83-COUNTIFS(B59:B80,"&gt;"&amp;0,C59:C80,"="&amp;B83,I59:I80,"&lt;="&amp;DATE(2024,12,31),K59:K80,"&gt;="&amp;0)))))</f>
        <v>-</v>
      </c>
      <c r="L83" s="48" t="str">
        <f>IF(I83=0,"-",G83/I83)</f>
        <v>-</v>
      </c>
    </row>
    <row r="84" spans="2:12">
      <c r="B84" s="7" t="s">
        <v>9</v>
      </c>
      <c r="C84" s="1">
        <f>COUNTIFS(B59:B80,"&gt;"&amp;0,C59:C80,"="&amp;B84)</f>
        <v>0</v>
      </c>
      <c r="D84" s="1">
        <f>COUNTIFS(B59:B80,"&gt;="&amp;1,C59:C80,B84,K59:K80,"&gt;="&amp;0,K59:K80,"&lt;"&amp;50)</f>
        <v>0</v>
      </c>
      <c r="E84" s="1">
        <f>COUNTIFS(B59:B80,"&gt;="&amp;1,C59:C80,B84,K59:K80,"&gt;="&amp;50,K59:K80,"&lt;"&amp;500)</f>
        <v>0</v>
      </c>
      <c r="F84" s="1">
        <f>COUNTIFS(B59:B80,"&gt;="&amp;1,C59:C80,B84,K59:K80,"&gt;="&amp;500)</f>
        <v>0</v>
      </c>
      <c r="G84" s="1">
        <f>COUNTIFS(B59:B80,"&gt;="&amp;1,C59:C80,B84,K59:K80,"&gt;="&amp;0,I59:I80,"&gt;"&amp;DATE(2021,1,1))</f>
        <v>0</v>
      </c>
      <c r="H84" s="44" t="str">
        <f t="shared" ref="H84:H86" si="6">IF(G84=0,"-",(SUM(E84,F84)/G84))</f>
        <v>-</v>
      </c>
      <c r="I84" s="1">
        <f>IF((COUNTIFS(B59:B80,"&gt;="&amp;1,C59:C80,"="&amp;B84))&gt;228,228,(COUNTIFS(B59:B80,"&gt;="&amp;1,C59:C80,"="&amp;B84)))</f>
        <v>0</v>
      </c>
      <c r="J84" s="44" t="str">
        <f>IF(I84=0,"-",(COUNTIFS(C59:C80,"="&amp;B84,I59:I80,"&lt;="&amp;DATE(2024,12,31),K59:K80,"&gt;="&amp;0)/I84))</f>
        <v>-</v>
      </c>
      <c r="K84" s="47" t="str">
        <f>IF(I84=0,"-",IF(J84=1,"-",(COUNTIFS(B59:B80,"&gt;"&amp;0,C59:C80,"="&amp;B84,I59:I80,"&gt;"&amp;DATE(2024,12,31),K59:K80,"&gt;="&amp;0)/(I84-COUNTIFS(B59:B80,"&gt;"&amp;0,C59:C80,"="&amp;B84,I59:I80,"&lt;="&amp;DATE(2024,12,31),K59:K80,"&gt;="&amp;0)))))</f>
        <v>-</v>
      </c>
      <c r="L84" s="45" t="str">
        <f t="shared" ref="L84:L86" si="7">IF(I84=0,"-",G84/I84)</f>
        <v>-</v>
      </c>
    </row>
    <row r="85" spans="2:12">
      <c r="B85" s="7" t="s">
        <v>69</v>
      </c>
      <c r="C85" s="1">
        <f>COUNTIFS(B59:B80,"&gt;"&amp;0,C59:C80,"="&amp;B85)</f>
        <v>0</v>
      </c>
      <c r="D85" s="1">
        <f>COUNTIFS(B59:B80,"&gt;="&amp;1,C59:C80,B85,K59:K80,"&gt;="&amp;0,K59:K80,"&lt;"&amp;50)</f>
        <v>0</v>
      </c>
      <c r="E85" s="1">
        <f>COUNTIFS(B59:B80,"&gt;="&amp;1,C59:C80,B85,K59:K80,"&gt;="&amp;50,K59:K80,"&lt;"&amp;500)</f>
        <v>0</v>
      </c>
      <c r="F85" s="1">
        <f>COUNTIFS(B59:B60,"&gt;="&amp;1,C59:C60,B85,K59:K60,"&gt;="&amp;500)</f>
        <v>0</v>
      </c>
      <c r="G85" s="1">
        <f>COUNTIFS(B59:B80,"&gt;="&amp;1,C59:C80,B85,K59:K80,"&gt;="&amp;0,I59:I80,"&gt;"&amp;DATE(2021,1,1))</f>
        <v>0</v>
      </c>
      <c r="H85" s="44" t="str">
        <f t="shared" si="6"/>
        <v>-</v>
      </c>
      <c r="I85" s="1">
        <f>IF((COUNTIFS(B59:B60,"&gt;="&amp;1,C59:C60,"="&amp;B85))&gt;228,228,(COUNTIFS(B59:B60,"&gt;="&amp;1,C59:C60,"="&amp;B85)))</f>
        <v>0</v>
      </c>
      <c r="J85" s="44" t="str">
        <f>IF(I85=0,"-",(COUNTIFS(C59:C80,"="&amp;B85,I59:I80,"&lt;="&amp;DATE(2024,12,31),K59:K80,"&gt;="&amp;0)/I85))</f>
        <v>-</v>
      </c>
      <c r="K85" s="47" t="str">
        <f>IF(I85=0,"-",IF(J85=1,"-",(COUNTIFS(B59:B80,"&gt;"&amp;0,C59:C80,"="&amp;B85,I59:I80,"&gt;"&amp;DATE(2024,12,31),K59:K80,"&gt;="&amp;0)/(I85-COUNTIFS(B59:B80,"&gt;"&amp;0,C59:C80,"="&amp;B85,I59:I80,"&lt;="&amp;DATE(2024,12,31),K59:K80,"&gt;="&amp;0)))))</f>
        <v>-</v>
      </c>
      <c r="L85" s="45" t="str">
        <f t="shared" si="7"/>
        <v>-</v>
      </c>
    </row>
    <row r="86" spans="2:12" ht="24" customHeight="1" thickBot="1">
      <c r="B86" s="49" t="s">
        <v>59</v>
      </c>
      <c r="C86" s="50">
        <f>SUM(C83:C85)</f>
        <v>0</v>
      </c>
      <c r="D86" s="50">
        <f>SUM(D83:D85)</f>
        <v>0</v>
      </c>
      <c r="E86" s="50">
        <f>SUM(E83:E85)</f>
        <v>0</v>
      </c>
      <c r="F86" s="50">
        <f>SUM(F83:F85)</f>
        <v>0</v>
      </c>
      <c r="G86" s="50">
        <f>SUM(G83:G85)</f>
        <v>0</v>
      </c>
      <c r="H86" s="51" t="str">
        <f t="shared" si="6"/>
        <v>-</v>
      </c>
      <c r="I86" s="50">
        <f>SUM(I83:I85)</f>
        <v>0</v>
      </c>
      <c r="J86" s="51" t="str">
        <f>IF(I86=0,"-",(COUNTIFS(I59:I80,"&lt;="&amp;DATE(2024,12,31),K59:K80,"&gt;="&amp;0)/I86))</f>
        <v>-</v>
      </c>
      <c r="K86" s="51" t="str">
        <f>IF(I86=0,"-",IF(J86=1,"-",(COUNTIFS(B59:B80,"&gt;"&amp;0,I59:I80,"&gt;"&amp;DATE(2024,12,31),K59:K80,"&gt;="&amp;0)/(I86-COUNTIFS(B59:B80,"&gt;"&amp;0,I59:I80,"&lt;="&amp;DATE(2024,12,31),K59:K80,"&gt;="&amp;0)))))</f>
        <v>-</v>
      </c>
      <c r="L86" s="52" t="str">
        <f t="shared" si="7"/>
        <v>-</v>
      </c>
    </row>
    <row r="88" spans="2:12" ht="15.75" thickBot="1"/>
    <row r="89" spans="2:12" ht="32.25" customHeight="1" thickBot="1">
      <c r="B89" s="320" t="str">
        <f>_xlfn.CONCAT("Reguladores de Tensão",TEXT(IF(SUM(I345:I347)=0," ",(SUM(G345:G347)/SUM(I345:I347))), " 0,00%"))</f>
        <v xml:space="preserve">Reguladores de Tensão </v>
      </c>
      <c r="C89" s="321"/>
      <c r="D89" s="321"/>
      <c r="E89" s="321"/>
      <c r="F89" s="321"/>
      <c r="G89" s="321"/>
      <c r="H89" s="321"/>
      <c r="I89" s="321"/>
      <c r="J89" s="321"/>
      <c r="K89" s="321"/>
      <c r="L89" s="322"/>
    </row>
    <row r="90" spans="2:12" ht="24" hidden="1" customHeight="1" outlineLevel="1" thickBot="1">
      <c r="B90" s="26" t="s">
        <v>48</v>
      </c>
      <c r="C90" s="27" t="s">
        <v>49</v>
      </c>
      <c r="D90" s="27" t="s">
        <v>50</v>
      </c>
      <c r="E90" s="27" t="s">
        <v>51</v>
      </c>
      <c r="F90" s="27" t="s">
        <v>52</v>
      </c>
      <c r="G90" s="27" t="s">
        <v>53</v>
      </c>
      <c r="H90" s="27" t="s">
        <v>54</v>
      </c>
      <c r="I90" s="27" t="s">
        <v>55</v>
      </c>
      <c r="J90" s="27" t="s">
        <v>56</v>
      </c>
      <c r="K90" s="27" t="s">
        <v>57</v>
      </c>
      <c r="L90" s="28" t="s">
        <v>58</v>
      </c>
    </row>
    <row r="91" spans="2:12" hidden="1" outlineLevel="1">
      <c r="B91" s="46" t="str">
        <f>IF(C91="","",ROW($A$1))</f>
        <v/>
      </c>
      <c r="C91" s="41"/>
      <c r="D91" s="41"/>
      <c r="E91" s="41"/>
      <c r="F91" s="41"/>
      <c r="G91" s="41"/>
      <c r="H91" s="41"/>
      <c r="I91" s="42"/>
      <c r="J91" s="41"/>
      <c r="K91" s="41"/>
      <c r="L91" s="43"/>
    </row>
    <row r="92" spans="2:12" hidden="1" outlineLevel="1">
      <c r="B92" s="7" t="str">
        <f>IF(C92="","",(B91+1))</f>
        <v/>
      </c>
      <c r="C92" s="41"/>
      <c r="D92" s="41"/>
      <c r="E92" s="41"/>
      <c r="F92" s="41"/>
      <c r="G92" s="41"/>
      <c r="H92" s="41"/>
      <c r="I92" s="42"/>
      <c r="J92" s="41"/>
      <c r="K92" s="41"/>
      <c r="L92" s="43"/>
    </row>
    <row r="93" spans="2:12" hidden="1" outlineLevel="1">
      <c r="B93" s="7" t="str">
        <f t="shared" ref="B93:B156" si="8">IF(C93="","",(B92+1))</f>
        <v/>
      </c>
      <c r="C93" s="41"/>
      <c r="D93" s="41"/>
      <c r="E93" s="41"/>
      <c r="F93" s="41"/>
      <c r="G93" s="41"/>
      <c r="H93" s="41"/>
      <c r="I93" s="42"/>
      <c r="J93" s="41"/>
      <c r="K93" s="41"/>
      <c r="L93" s="43"/>
    </row>
    <row r="94" spans="2:12" hidden="1" outlineLevel="1">
      <c r="B94" s="7" t="str">
        <f t="shared" si="8"/>
        <v/>
      </c>
      <c r="C94" s="41"/>
      <c r="D94" s="41"/>
      <c r="E94" s="41"/>
      <c r="F94" s="41"/>
      <c r="G94" s="41"/>
      <c r="H94" s="41"/>
      <c r="I94" s="42"/>
      <c r="J94" s="41"/>
      <c r="K94" s="41"/>
      <c r="L94" s="43"/>
    </row>
    <row r="95" spans="2:12" hidden="1" outlineLevel="1">
      <c r="B95" s="7" t="str">
        <f t="shared" si="8"/>
        <v/>
      </c>
      <c r="C95" s="41"/>
      <c r="D95" s="41"/>
      <c r="E95" s="41"/>
      <c r="F95" s="41"/>
      <c r="G95" s="41"/>
      <c r="H95" s="41"/>
      <c r="I95" s="42"/>
      <c r="J95" s="41"/>
      <c r="K95" s="41"/>
      <c r="L95" s="43"/>
    </row>
    <row r="96" spans="2:12" hidden="1" outlineLevel="1">
      <c r="B96" s="7" t="str">
        <f t="shared" si="8"/>
        <v/>
      </c>
      <c r="C96" s="41"/>
      <c r="D96" s="41"/>
      <c r="E96" s="41"/>
      <c r="F96" s="41"/>
      <c r="G96" s="41"/>
      <c r="H96" s="41"/>
      <c r="I96" s="42"/>
      <c r="J96" s="41"/>
      <c r="K96" s="41"/>
      <c r="L96" s="43"/>
    </row>
    <row r="97" spans="2:12" hidden="1" outlineLevel="1">
      <c r="B97" s="7" t="str">
        <f t="shared" si="8"/>
        <v/>
      </c>
      <c r="C97" s="41"/>
      <c r="D97" s="41"/>
      <c r="E97" s="41"/>
      <c r="F97" s="41"/>
      <c r="G97" s="41"/>
      <c r="H97" s="41"/>
      <c r="I97" s="42"/>
      <c r="J97" s="41"/>
      <c r="K97" s="41"/>
      <c r="L97" s="43"/>
    </row>
    <row r="98" spans="2:12" hidden="1" outlineLevel="1">
      <c r="B98" s="7" t="str">
        <f t="shared" si="8"/>
        <v/>
      </c>
      <c r="C98" s="41"/>
      <c r="D98" s="41"/>
      <c r="E98" s="58"/>
      <c r="F98" s="41"/>
      <c r="G98" s="41"/>
      <c r="H98" s="41"/>
      <c r="I98" s="42"/>
      <c r="J98" s="41"/>
      <c r="K98" s="41"/>
      <c r="L98" s="43"/>
    </row>
    <row r="99" spans="2:12" hidden="1" outlineLevel="1">
      <c r="B99" s="7" t="str">
        <f t="shared" si="8"/>
        <v/>
      </c>
      <c r="C99" s="41"/>
      <c r="D99" s="41"/>
      <c r="E99" s="58"/>
      <c r="F99" s="41"/>
      <c r="G99" s="41"/>
      <c r="H99" s="41"/>
      <c r="I99" s="42"/>
      <c r="J99" s="41"/>
      <c r="K99" s="41"/>
      <c r="L99" s="43"/>
    </row>
    <row r="100" spans="2:12" hidden="1" outlineLevel="1">
      <c r="B100" s="7" t="str">
        <f t="shared" si="8"/>
        <v/>
      </c>
      <c r="C100" s="41"/>
      <c r="D100" s="41"/>
      <c r="E100" s="58"/>
      <c r="F100" s="41"/>
      <c r="G100" s="41"/>
      <c r="H100" s="41"/>
      <c r="I100" s="42"/>
      <c r="J100" s="41"/>
      <c r="K100" s="41"/>
      <c r="L100" s="43"/>
    </row>
    <row r="101" spans="2:12" hidden="1" outlineLevel="1">
      <c r="B101" s="7" t="str">
        <f t="shared" si="8"/>
        <v/>
      </c>
      <c r="C101" s="41"/>
      <c r="D101" s="41"/>
      <c r="E101" s="41"/>
      <c r="F101" s="41"/>
      <c r="G101" s="41"/>
      <c r="H101" s="41"/>
      <c r="I101" s="42"/>
      <c r="J101" s="41"/>
      <c r="K101" s="41"/>
      <c r="L101" s="43"/>
    </row>
    <row r="102" spans="2:12" hidden="1" outlineLevel="1">
      <c r="B102" s="7" t="str">
        <f t="shared" si="8"/>
        <v/>
      </c>
      <c r="C102" s="41"/>
      <c r="D102" s="41"/>
      <c r="E102" s="41"/>
      <c r="F102" s="41"/>
      <c r="G102" s="41"/>
      <c r="H102" s="41"/>
      <c r="I102" s="42"/>
      <c r="J102" s="41"/>
      <c r="K102" s="41"/>
      <c r="L102" s="43"/>
    </row>
    <row r="103" spans="2:12" hidden="1" outlineLevel="1">
      <c r="B103" s="7" t="str">
        <f t="shared" si="8"/>
        <v/>
      </c>
      <c r="C103" s="41"/>
      <c r="D103" s="41"/>
      <c r="E103" s="41"/>
      <c r="F103" s="41"/>
      <c r="G103" s="41"/>
      <c r="H103" s="41"/>
      <c r="I103" s="42"/>
      <c r="J103" s="41"/>
      <c r="K103" s="41"/>
      <c r="L103" s="43"/>
    </row>
    <row r="104" spans="2:12" hidden="1" outlineLevel="1">
      <c r="B104" s="7" t="str">
        <f t="shared" si="8"/>
        <v/>
      </c>
      <c r="C104" s="41"/>
      <c r="D104" s="41"/>
      <c r="E104" s="41"/>
      <c r="F104" s="41"/>
      <c r="G104" s="41"/>
      <c r="H104" s="41"/>
      <c r="I104" s="42"/>
      <c r="J104" s="41"/>
      <c r="K104" s="41"/>
      <c r="L104" s="43"/>
    </row>
    <row r="105" spans="2:12" hidden="1" outlineLevel="1">
      <c r="B105" s="7" t="str">
        <f t="shared" si="8"/>
        <v/>
      </c>
      <c r="C105" s="41"/>
      <c r="D105" s="41"/>
      <c r="E105" s="41"/>
      <c r="F105" s="41"/>
      <c r="G105" s="41"/>
      <c r="H105" s="41"/>
      <c r="I105" s="42"/>
      <c r="J105" s="41"/>
      <c r="K105" s="41"/>
      <c r="L105" s="43"/>
    </row>
    <row r="106" spans="2:12" hidden="1" outlineLevel="1">
      <c r="B106" s="7" t="str">
        <f t="shared" si="8"/>
        <v/>
      </c>
      <c r="C106" s="41"/>
      <c r="D106" s="41"/>
      <c r="E106" s="41"/>
      <c r="F106" s="41"/>
      <c r="G106" s="41"/>
      <c r="H106" s="41"/>
      <c r="I106" s="42"/>
      <c r="J106" s="41"/>
      <c r="K106" s="41"/>
      <c r="L106" s="43"/>
    </row>
    <row r="107" spans="2:12" hidden="1" outlineLevel="1">
      <c r="B107" s="7" t="str">
        <f t="shared" si="8"/>
        <v/>
      </c>
      <c r="C107" s="41"/>
      <c r="D107" s="41"/>
      <c r="E107" s="58"/>
      <c r="F107" s="41"/>
      <c r="G107" s="41"/>
      <c r="H107" s="41"/>
      <c r="I107" s="42"/>
      <c r="J107" s="41"/>
      <c r="K107" s="41"/>
      <c r="L107" s="43"/>
    </row>
    <row r="108" spans="2:12" hidden="1" outlineLevel="1">
      <c r="B108" s="7" t="str">
        <f t="shared" si="8"/>
        <v/>
      </c>
      <c r="C108" s="41"/>
      <c r="D108" s="41"/>
      <c r="E108" s="41"/>
      <c r="F108" s="41"/>
      <c r="G108" s="41"/>
      <c r="H108" s="41"/>
      <c r="I108" s="42"/>
      <c r="J108" s="41"/>
      <c r="K108" s="41"/>
      <c r="L108" s="43"/>
    </row>
    <row r="109" spans="2:12" hidden="1" outlineLevel="1">
      <c r="B109" s="7" t="str">
        <f t="shared" si="8"/>
        <v/>
      </c>
      <c r="C109" s="41"/>
      <c r="D109" s="41"/>
      <c r="E109" s="41"/>
      <c r="F109" s="41"/>
      <c r="G109" s="41"/>
      <c r="H109" s="41"/>
      <c r="I109" s="42"/>
      <c r="J109" s="41"/>
      <c r="K109" s="41"/>
      <c r="L109" s="43"/>
    </row>
    <row r="110" spans="2:12" hidden="1" outlineLevel="1">
      <c r="B110" s="7" t="str">
        <f t="shared" si="8"/>
        <v/>
      </c>
      <c r="C110" s="41"/>
      <c r="D110" s="41"/>
      <c r="E110" s="41"/>
      <c r="F110" s="41"/>
      <c r="G110" s="41"/>
      <c r="H110" s="41"/>
      <c r="I110" s="42"/>
      <c r="J110" s="41"/>
      <c r="K110" s="41"/>
      <c r="L110" s="43"/>
    </row>
    <row r="111" spans="2:12" hidden="1" outlineLevel="1">
      <c r="B111" s="7" t="str">
        <f t="shared" si="8"/>
        <v/>
      </c>
      <c r="C111" s="41"/>
      <c r="D111" s="41"/>
      <c r="E111" s="41"/>
      <c r="F111" s="41"/>
      <c r="G111" s="41"/>
      <c r="H111" s="41"/>
      <c r="I111" s="42"/>
      <c r="J111" s="41"/>
      <c r="K111" s="41"/>
      <c r="L111" s="43"/>
    </row>
    <row r="112" spans="2:12" hidden="1" outlineLevel="1">
      <c r="B112" s="7" t="str">
        <f t="shared" si="8"/>
        <v/>
      </c>
      <c r="C112" s="41"/>
      <c r="D112" s="41"/>
      <c r="E112" s="41"/>
      <c r="F112" s="41"/>
      <c r="G112" s="41"/>
      <c r="H112" s="41"/>
      <c r="I112" s="42"/>
      <c r="J112" s="41"/>
      <c r="K112" s="41"/>
      <c r="L112" s="43"/>
    </row>
    <row r="113" spans="2:12" hidden="1" outlineLevel="1">
      <c r="B113" s="7" t="str">
        <f t="shared" si="8"/>
        <v/>
      </c>
      <c r="C113" s="41"/>
      <c r="D113" s="41"/>
      <c r="E113" s="41"/>
      <c r="F113" s="41"/>
      <c r="G113" s="41"/>
      <c r="H113" s="41"/>
      <c r="I113" s="42"/>
      <c r="J113" s="41"/>
      <c r="K113" s="41"/>
      <c r="L113" s="43"/>
    </row>
    <row r="114" spans="2:12" hidden="1" outlineLevel="1">
      <c r="B114" s="7" t="str">
        <f t="shared" si="8"/>
        <v/>
      </c>
      <c r="C114" s="41"/>
      <c r="D114" s="41"/>
      <c r="E114" s="41"/>
      <c r="F114" s="41"/>
      <c r="G114" s="41"/>
      <c r="H114" s="41"/>
      <c r="I114" s="42"/>
      <c r="J114" s="41"/>
      <c r="K114" s="41"/>
      <c r="L114" s="43"/>
    </row>
    <row r="115" spans="2:12" hidden="1" outlineLevel="1">
      <c r="B115" s="7" t="str">
        <f t="shared" si="8"/>
        <v/>
      </c>
      <c r="C115" s="41"/>
      <c r="D115" s="41"/>
      <c r="E115" s="41"/>
      <c r="F115" s="41"/>
      <c r="G115" s="41"/>
      <c r="H115" s="41"/>
      <c r="I115" s="42"/>
      <c r="J115" s="41"/>
      <c r="K115" s="41"/>
      <c r="L115" s="43"/>
    </row>
    <row r="116" spans="2:12" hidden="1" outlineLevel="1">
      <c r="B116" s="7" t="str">
        <f t="shared" si="8"/>
        <v/>
      </c>
      <c r="C116" s="41"/>
      <c r="D116" s="41"/>
      <c r="E116" s="41"/>
      <c r="F116" s="41"/>
      <c r="G116" s="41"/>
      <c r="H116" s="41"/>
      <c r="I116" s="42"/>
      <c r="J116" s="41"/>
      <c r="K116" s="41"/>
      <c r="L116" s="43"/>
    </row>
    <row r="117" spans="2:12" hidden="1" outlineLevel="1">
      <c r="B117" s="7" t="str">
        <f t="shared" si="8"/>
        <v/>
      </c>
      <c r="C117" s="41"/>
      <c r="D117" s="41"/>
      <c r="E117" s="41"/>
      <c r="F117" s="41"/>
      <c r="G117" s="41"/>
      <c r="H117" s="41"/>
      <c r="I117" s="42"/>
      <c r="J117" s="41"/>
      <c r="K117" s="41"/>
      <c r="L117" s="43"/>
    </row>
    <row r="118" spans="2:12" hidden="1" outlineLevel="1">
      <c r="B118" s="7" t="str">
        <f t="shared" si="8"/>
        <v/>
      </c>
      <c r="C118" s="41"/>
      <c r="D118" s="41"/>
      <c r="E118" s="41"/>
      <c r="F118" s="41"/>
      <c r="G118" s="41"/>
      <c r="H118" s="41"/>
      <c r="I118" s="42"/>
      <c r="J118" s="41"/>
      <c r="K118" s="41"/>
      <c r="L118" s="43"/>
    </row>
    <row r="119" spans="2:12" hidden="1" outlineLevel="1">
      <c r="B119" s="7" t="str">
        <f t="shared" si="8"/>
        <v/>
      </c>
      <c r="C119" s="41"/>
      <c r="D119" s="41"/>
      <c r="E119" s="41"/>
      <c r="F119" s="41"/>
      <c r="G119" s="41"/>
      <c r="H119" s="41"/>
      <c r="I119" s="42"/>
      <c r="J119" s="41"/>
      <c r="K119" s="41"/>
      <c r="L119" s="43"/>
    </row>
    <row r="120" spans="2:12" hidden="1" outlineLevel="1">
      <c r="B120" s="7" t="str">
        <f t="shared" si="8"/>
        <v/>
      </c>
      <c r="C120" s="41"/>
      <c r="D120" s="41"/>
      <c r="E120" s="41"/>
      <c r="F120" s="41"/>
      <c r="G120" s="41"/>
      <c r="H120" s="41"/>
      <c r="I120" s="42"/>
      <c r="J120" s="41"/>
      <c r="K120" s="41"/>
      <c r="L120" s="43"/>
    </row>
    <row r="121" spans="2:12" hidden="1" outlineLevel="1">
      <c r="B121" s="7" t="str">
        <f t="shared" si="8"/>
        <v/>
      </c>
      <c r="C121" s="41"/>
      <c r="D121" s="41"/>
      <c r="E121" s="41"/>
      <c r="F121" s="41"/>
      <c r="G121" s="41"/>
      <c r="H121" s="41"/>
      <c r="I121" s="42"/>
      <c r="J121" s="41"/>
      <c r="K121" s="41"/>
      <c r="L121" s="43"/>
    </row>
    <row r="122" spans="2:12" hidden="1" outlineLevel="1">
      <c r="B122" s="7" t="str">
        <f t="shared" si="8"/>
        <v/>
      </c>
      <c r="C122" s="41"/>
      <c r="D122" s="41"/>
      <c r="E122" s="41"/>
      <c r="F122" s="41"/>
      <c r="G122" s="41"/>
      <c r="H122" s="41"/>
      <c r="I122" s="42"/>
      <c r="J122" s="41"/>
      <c r="K122" s="41"/>
      <c r="L122" s="43"/>
    </row>
    <row r="123" spans="2:12" hidden="1" outlineLevel="1">
      <c r="B123" s="7" t="str">
        <f t="shared" si="8"/>
        <v/>
      </c>
      <c r="C123" s="41"/>
      <c r="D123" s="41"/>
      <c r="E123" s="41"/>
      <c r="F123" s="41"/>
      <c r="G123" s="41"/>
      <c r="H123" s="41"/>
      <c r="I123" s="42"/>
      <c r="J123" s="41"/>
      <c r="K123" s="41"/>
      <c r="L123" s="43"/>
    </row>
    <row r="124" spans="2:12" hidden="1" outlineLevel="1">
      <c r="B124" s="7" t="str">
        <f t="shared" si="8"/>
        <v/>
      </c>
      <c r="C124" s="41"/>
      <c r="D124" s="41"/>
      <c r="E124" s="41"/>
      <c r="F124" s="41"/>
      <c r="G124" s="41"/>
      <c r="H124" s="41"/>
      <c r="I124" s="42"/>
      <c r="J124" s="41"/>
      <c r="K124" s="41"/>
      <c r="L124" s="43"/>
    </row>
    <row r="125" spans="2:12" hidden="1" outlineLevel="1">
      <c r="B125" s="7" t="str">
        <f t="shared" si="8"/>
        <v/>
      </c>
      <c r="C125" s="41"/>
      <c r="D125" s="41"/>
      <c r="E125" s="41"/>
      <c r="F125" s="41"/>
      <c r="G125" s="41"/>
      <c r="H125" s="41"/>
      <c r="I125" s="42"/>
      <c r="J125" s="41"/>
      <c r="K125" s="41"/>
      <c r="L125" s="43"/>
    </row>
    <row r="126" spans="2:12" hidden="1" outlineLevel="1">
      <c r="B126" s="7" t="str">
        <f t="shared" si="8"/>
        <v/>
      </c>
      <c r="C126" s="41"/>
      <c r="D126" s="41"/>
      <c r="E126" s="41"/>
      <c r="F126" s="41"/>
      <c r="G126" s="41"/>
      <c r="H126" s="41"/>
      <c r="I126" s="42"/>
      <c r="J126" s="41"/>
      <c r="K126" s="41"/>
      <c r="L126" s="43"/>
    </row>
    <row r="127" spans="2:12" hidden="1" outlineLevel="1">
      <c r="B127" s="7" t="str">
        <f t="shared" si="8"/>
        <v/>
      </c>
      <c r="C127" s="41"/>
      <c r="D127" s="41"/>
      <c r="E127" s="58"/>
      <c r="F127" s="41"/>
      <c r="G127" s="41"/>
      <c r="H127" s="41"/>
      <c r="I127" s="42"/>
      <c r="J127" s="41"/>
      <c r="K127" s="41"/>
      <c r="L127" s="43"/>
    </row>
    <row r="128" spans="2:12" hidden="1" outlineLevel="1">
      <c r="B128" s="7" t="str">
        <f t="shared" si="8"/>
        <v/>
      </c>
      <c r="C128" s="41"/>
      <c r="D128" s="41"/>
      <c r="E128" s="58"/>
      <c r="F128" s="41"/>
      <c r="G128" s="41"/>
      <c r="H128" s="41"/>
      <c r="I128" s="42"/>
      <c r="J128" s="41"/>
      <c r="K128" s="41"/>
      <c r="L128" s="43"/>
    </row>
    <row r="129" spans="2:12" hidden="1" outlineLevel="1">
      <c r="B129" s="7" t="str">
        <f t="shared" si="8"/>
        <v/>
      </c>
      <c r="C129" s="41"/>
      <c r="D129" s="41"/>
      <c r="E129" s="41"/>
      <c r="F129" s="41"/>
      <c r="G129" s="41"/>
      <c r="H129" s="41"/>
      <c r="I129" s="42"/>
      <c r="J129" s="41"/>
      <c r="K129" s="41"/>
      <c r="L129" s="43"/>
    </row>
    <row r="130" spans="2:12" hidden="1" outlineLevel="1">
      <c r="B130" s="7" t="str">
        <f t="shared" si="8"/>
        <v/>
      </c>
      <c r="C130" s="41"/>
      <c r="D130" s="41"/>
      <c r="E130" s="41"/>
      <c r="F130" s="41"/>
      <c r="G130" s="41"/>
      <c r="H130" s="41"/>
      <c r="I130" s="42"/>
      <c r="J130" s="41"/>
      <c r="K130" s="41"/>
      <c r="L130" s="43"/>
    </row>
    <row r="131" spans="2:12" hidden="1" outlineLevel="1">
      <c r="B131" s="7" t="str">
        <f t="shared" si="8"/>
        <v/>
      </c>
      <c r="C131" s="41"/>
      <c r="D131" s="41"/>
      <c r="E131" s="41"/>
      <c r="F131" s="41"/>
      <c r="G131" s="41"/>
      <c r="H131" s="41"/>
      <c r="I131" s="42"/>
      <c r="J131" s="41"/>
      <c r="K131" s="41"/>
      <c r="L131" s="43"/>
    </row>
    <row r="132" spans="2:12" hidden="1" outlineLevel="1">
      <c r="B132" s="7" t="str">
        <f t="shared" si="8"/>
        <v/>
      </c>
      <c r="C132" s="41"/>
      <c r="D132" s="41"/>
      <c r="E132" s="41"/>
      <c r="F132" s="41"/>
      <c r="G132" s="41"/>
      <c r="H132" s="41"/>
      <c r="I132" s="42"/>
      <c r="J132" s="41"/>
      <c r="K132" s="41"/>
      <c r="L132" s="43"/>
    </row>
    <row r="133" spans="2:12" hidden="1" outlineLevel="1">
      <c r="B133" s="7" t="str">
        <f t="shared" si="8"/>
        <v/>
      </c>
      <c r="C133" s="41"/>
      <c r="D133" s="41"/>
      <c r="E133" s="41"/>
      <c r="F133" s="41"/>
      <c r="G133" s="41"/>
      <c r="H133" s="41"/>
      <c r="I133" s="42"/>
      <c r="J133" s="41"/>
      <c r="K133" s="41"/>
      <c r="L133" s="43"/>
    </row>
    <row r="134" spans="2:12" hidden="1" outlineLevel="1">
      <c r="B134" s="7" t="str">
        <f t="shared" si="8"/>
        <v/>
      </c>
      <c r="C134" s="41"/>
      <c r="D134" s="41"/>
      <c r="E134" s="41"/>
      <c r="F134" s="41"/>
      <c r="G134" s="41"/>
      <c r="H134" s="41"/>
      <c r="I134" s="42"/>
      <c r="J134" s="41"/>
      <c r="K134" s="41"/>
      <c r="L134" s="43"/>
    </row>
    <row r="135" spans="2:12" hidden="1" outlineLevel="1">
      <c r="B135" s="7" t="str">
        <f t="shared" si="8"/>
        <v/>
      </c>
      <c r="C135" s="41"/>
      <c r="D135" s="41"/>
      <c r="E135" s="41"/>
      <c r="F135" s="41"/>
      <c r="G135" s="41"/>
      <c r="H135" s="41"/>
      <c r="I135" s="42"/>
      <c r="J135" s="41"/>
      <c r="K135" s="41"/>
      <c r="L135" s="43"/>
    </row>
    <row r="136" spans="2:12" hidden="1" outlineLevel="1">
      <c r="B136" s="7" t="str">
        <f t="shared" si="8"/>
        <v/>
      </c>
      <c r="C136" s="41"/>
      <c r="D136" s="41"/>
      <c r="E136" s="41"/>
      <c r="F136" s="41"/>
      <c r="G136" s="41"/>
      <c r="H136" s="41"/>
      <c r="I136" s="42"/>
      <c r="J136" s="41"/>
      <c r="K136" s="41"/>
      <c r="L136" s="43"/>
    </row>
    <row r="137" spans="2:12" hidden="1" outlineLevel="1">
      <c r="B137" s="7" t="str">
        <f t="shared" si="8"/>
        <v/>
      </c>
      <c r="C137" s="41"/>
      <c r="D137" s="41"/>
      <c r="E137" s="41"/>
      <c r="F137" s="41"/>
      <c r="G137" s="41"/>
      <c r="H137" s="41"/>
      <c r="I137" s="42"/>
      <c r="J137" s="41"/>
      <c r="K137" s="41"/>
      <c r="L137" s="43"/>
    </row>
    <row r="138" spans="2:12" hidden="1" outlineLevel="1">
      <c r="B138" s="7" t="str">
        <f t="shared" si="8"/>
        <v/>
      </c>
      <c r="C138" s="41"/>
      <c r="D138" s="41"/>
      <c r="E138" s="41"/>
      <c r="F138" s="41"/>
      <c r="G138" s="41"/>
      <c r="H138" s="41"/>
      <c r="I138" s="42"/>
      <c r="J138" s="41"/>
      <c r="K138" s="41"/>
      <c r="L138" s="43"/>
    </row>
    <row r="139" spans="2:12" hidden="1" outlineLevel="1">
      <c r="B139" s="7" t="str">
        <f t="shared" si="8"/>
        <v/>
      </c>
      <c r="C139" s="41"/>
      <c r="D139" s="41"/>
      <c r="E139" s="41"/>
      <c r="F139" s="41"/>
      <c r="G139" s="41"/>
      <c r="H139" s="41"/>
      <c r="I139" s="42"/>
      <c r="J139" s="41"/>
      <c r="K139" s="41"/>
      <c r="L139" s="43"/>
    </row>
    <row r="140" spans="2:12" hidden="1" outlineLevel="1">
      <c r="B140" s="7" t="str">
        <f t="shared" si="8"/>
        <v/>
      </c>
      <c r="C140" s="41"/>
      <c r="D140" s="41"/>
      <c r="E140" s="41"/>
      <c r="F140" s="41"/>
      <c r="G140" s="41"/>
      <c r="H140" s="41"/>
      <c r="I140" s="42"/>
      <c r="J140" s="41"/>
      <c r="K140" s="41"/>
      <c r="L140" s="43"/>
    </row>
    <row r="141" spans="2:12" hidden="1" outlineLevel="1">
      <c r="B141" s="7" t="str">
        <f t="shared" si="8"/>
        <v/>
      </c>
      <c r="C141" s="41"/>
      <c r="D141" s="41"/>
      <c r="E141" s="41"/>
      <c r="F141" s="41"/>
      <c r="G141" s="41"/>
      <c r="H141" s="41"/>
      <c r="I141" s="42"/>
      <c r="J141" s="41"/>
      <c r="K141" s="41"/>
      <c r="L141" s="43"/>
    </row>
    <row r="142" spans="2:12" hidden="1" outlineLevel="1">
      <c r="B142" s="7" t="str">
        <f t="shared" si="8"/>
        <v/>
      </c>
      <c r="C142" s="41"/>
      <c r="D142" s="41"/>
      <c r="E142" s="41"/>
      <c r="F142" s="41"/>
      <c r="G142" s="41"/>
      <c r="H142" s="41"/>
      <c r="I142" s="42"/>
      <c r="J142" s="41"/>
      <c r="K142" s="41"/>
      <c r="L142" s="43"/>
    </row>
    <row r="143" spans="2:12" hidden="1" outlineLevel="1">
      <c r="B143" s="7" t="str">
        <f t="shared" si="8"/>
        <v/>
      </c>
      <c r="C143" s="41"/>
      <c r="D143" s="41"/>
      <c r="E143" s="41"/>
      <c r="F143" s="41"/>
      <c r="G143" s="41"/>
      <c r="H143" s="41"/>
      <c r="I143" s="42"/>
      <c r="J143" s="41"/>
      <c r="K143" s="41"/>
      <c r="L143" s="43"/>
    </row>
    <row r="144" spans="2:12" hidden="1" outlineLevel="1">
      <c r="B144" s="7" t="str">
        <f t="shared" si="8"/>
        <v/>
      </c>
      <c r="C144" s="41"/>
      <c r="D144" s="41"/>
      <c r="E144" s="41"/>
      <c r="F144" s="41"/>
      <c r="G144" s="41"/>
      <c r="H144" s="41"/>
      <c r="I144" s="42"/>
      <c r="J144" s="41"/>
      <c r="K144" s="41"/>
      <c r="L144" s="43"/>
    </row>
    <row r="145" spans="2:12" hidden="1" outlineLevel="1">
      <c r="B145" s="7" t="str">
        <f t="shared" si="8"/>
        <v/>
      </c>
      <c r="C145" s="41"/>
      <c r="D145" s="41"/>
      <c r="E145" s="41"/>
      <c r="F145" s="41"/>
      <c r="G145" s="41"/>
      <c r="H145" s="41"/>
      <c r="I145" s="42"/>
      <c r="J145" s="41"/>
      <c r="K145" s="41"/>
      <c r="L145" s="43"/>
    </row>
    <row r="146" spans="2:12" hidden="1" outlineLevel="1">
      <c r="B146" s="7" t="str">
        <f t="shared" si="8"/>
        <v/>
      </c>
      <c r="C146" s="41"/>
      <c r="D146" s="41"/>
      <c r="E146" s="41"/>
      <c r="F146" s="41"/>
      <c r="G146" s="41"/>
      <c r="H146" s="41"/>
      <c r="I146" s="42"/>
      <c r="J146" s="41"/>
      <c r="K146" s="41"/>
      <c r="L146" s="43"/>
    </row>
    <row r="147" spans="2:12" hidden="1" outlineLevel="1">
      <c r="B147" s="7" t="str">
        <f t="shared" si="8"/>
        <v/>
      </c>
      <c r="C147" s="41"/>
      <c r="D147" s="41"/>
      <c r="E147" s="41"/>
      <c r="F147" s="41"/>
      <c r="G147" s="41"/>
      <c r="H147" s="41"/>
      <c r="I147" s="42"/>
      <c r="J147" s="41"/>
      <c r="K147" s="41"/>
      <c r="L147" s="43"/>
    </row>
    <row r="148" spans="2:12" hidden="1" outlineLevel="1">
      <c r="B148" s="7" t="str">
        <f t="shared" si="8"/>
        <v/>
      </c>
      <c r="C148" s="41"/>
      <c r="D148" s="41"/>
      <c r="E148" s="41"/>
      <c r="F148" s="41"/>
      <c r="G148" s="41"/>
      <c r="H148" s="41"/>
      <c r="I148" s="42"/>
      <c r="J148" s="41"/>
      <c r="K148" s="41"/>
      <c r="L148" s="43"/>
    </row>
    <row r="149" spans="2:12" hidden="1" outlineLevel="1">
      <c r="B149" s="7" t="str">
        <f t="shared" si="8"/>
        <v/>
      </c>
      <c r="C149" s="41"/>
      <c r="D149" s="41"/>
      <c r="E149" s="41"/>
      <c r="F149" s="41"/>
      <c r="G149" s="41"/>
      <c r="H149" s="41"/>
      <c r="I149" s="42"/>
      <c r="J149" s="41"/>
      <c r="K149" s="41"/>
      <c r="L149" s="43"/>
    </row>
    <row r="150" spans="2:12" hidden="1" outlineLevel="1">
      <c r="B150" s="7" t="str">
        <f t="shared" si="8"/>
        <v/>
      </c>
      <c r="C150" s="41"/>
      <c r="D150" s="41"/>
      <c r="E150" s="41"/>
      <c r="F150" s="41"/>
      <c r="G150" s="41"/>
      <c r="H150" s="41"/>
      <c r="I150" s="42"/>
      <c r="J150" s="41"/>
      <c r="K150" s="41"/>
      <c r="L150" s="43"/>
    </row>
    <row r="151" spans="2:12" hidden="1" outlineLevel="1">
      <c r="B151" s="7" t="str">
        <f t="shared" si="8"/>
        <v/>
      </c>
      <c r="C151" s="41"/>
      <c r="D151" s="41"/>
      <c r="E151" s="41"/>
      <c r="F151" s="41"/>
      <c r="G151" s="41"/>
      <c r="H151" s="41"/>
      <c r="I151" s="42"/>
      <c r="J151" s="41"/>
      <c r="K151" s="41"/>
      <c r="L151" s="43"/>
    </row>
    <row r="152" spans="2:12" hidden="1" outlineLevel="1">
      <c r="B152" s="7" t="str">
        <f t="shared" si="8"/>
        <v/>
      </c>
      <c r="C152" s="41"/>
      <c r="D152" s="41"/>
      <c r="E152" s="58"/>
      <c r="F152" s="41"/>
      <c r="G152" s="41"/>
      <c r="H152" s="41"/>
      <c r="I152" s="42"/>
      <c r="J152" s="41"/>
      <c r="K152" s="41"/>
      <c r="L152" s="43"/>
    </row>
    <row r="153" spans="2:12" hidden="1" outlineLevel="1">
      <c r="B153" s="7" t="str">
        <f t="shared" si="8"/>
        <v/>
      </c>
      <c r="C153" s="41"/>
      <c r="D153" s="41"/>
      <c r="E153" s="41"/>
      <c r="F153" s="41"/>
      <c r="G153" s="41"/>
      <c r="H153" s="41"/>
      <c r="I153" s="42"/>
      <c r="J153" s="41"/>
      <c r="K153" s="41"/>
      <c r="L153" s="43"/>
    </row>
    <row r="154" spans="2:12" hidden="1" outlineLevel="1">
      <c r="B154" s="7" t="str">
        <f t="shared" si="8"/>
        <v/>
      </c>
      <c r="C154" s="41"/>
      <c r="D154" s="41"/>
      <c r="E154" s="41"/>
      <c r="F154" s="41"/>
      <c r="G154" s="41"/>
      <c r="H154" s="41"/>
      <c r="I154" s="42"/>
      <c r="J154" s="41"/>
      <c r="K154" s="41"/>
      <c r="L154" s="43"/>
    </row>
    <row r="155" spans="2:12" hidden="1" outlineLevel="1">
      <c r="B155" s="7" t="str">
        <f t="shared" si="8"/>
        <v/>
      </c>
      <c r="C155" s="41"/>
      <c r="D155" s="41"/>
      <c r="E155" s="41"/>
      <c r="F155" s="41"/>
      <c r="G155" s="41"/>
      <c r="H155" s="41"/>
      <c r="I155" s="42"/>
      <c r="J155" s="41"/>
      <c r="K155" s="41"/>
      <c r="L155" s="43"/>
    </row>
    <row r="156" spans="2:12" hidden="1" outlineLevel="1">
      <c r="B156" s="7" t="str">
        <f t="shared" si="8"/>
        <v/>
      </c>
      <c r="C156" s="41"/>
      <c r="D156" s="41"/>
      <c r="E156" s="41"/>
      <c r="F156" s="41"/>
      <c r="G156" s="41"/>
      <c r="H156" s="41"/>
      <c r="I156" s="42"/>
      <c r="J156" s="41"/>
      <c r="K156" s="41"/>
      <c r="L156" s="43"/>
    </row>
    <row r="157" spans="2:12" hidden="1" outlineLevel="1">
      <c r="B157" s="7" t="str">
        <f t="shared" ref="B157:B220" si="9">IF(C157="","",(B156+1))</f>
        <v/>
      </c>
      <c r="C157" s="41"/>
      <c r="D157" s="41"/>
      <c r="E157" s="41"/>
      <c r="F157" s="41"/>
      <c r="G157" s="41"/>
      <c r="H157" s="41"/>
      <c r="I157" s="42"/>
      <c r="J157" s="41"/>
      <c r="K157" s="41"/>
      <c r="L157" s="43"/>
    </row>
    <row r="158" spans="2:12" hidden="1" outlineLevel="1">
      <c r="B158" s="7" t="str">
        <f t="shared" si="9"/>
        <v/>
      </c>
      <c r="C158" s="41"/>
      <c r="D158" s="41"/>
      <c r="E158" s="41"/>
      <c r="F158" s="41"/>
      <c r="G158" s="41"/>
      <c r="H158" s="41"/>
      <c r="I158" s="42"/>
      <c r="J158" s="41"/>
      <c r="K158" s="41"/>
      <c r="L158" s="43"/>
    </row>
    <row r="159" spans="2:12" hidden="1" outlineLevel="1">
      <c r="B159" s="7" t="str">
        <f t="shared" si="9"/>
        <v/>
      </c>
      <c r="C159" s="41"/>
      <c r="D159" s="41"/>
      <c r="E159" s="58"/>
      <c r="F159" s="41"/>
      <c r="G159" s="41"/>
      <c r="H159" s="41"/>
      <c r="I159" s="42"/>
      <c r="J159" s="41"/>
      <c r="K159" s="41"/>
      <c r="L159" s="43"/>
    </row>
    <row r="160" spans="2:12" hidden="1" outlineLevel="1">
      <c r="B160" s="7" t="str">
        <f t="shared" si="9"/>
        <v/>
      </c>
      <c r="C160" s="41"/>
      <c r="D160" s="41"/>
      <c r="E160" s="41"/>
      <c r="F160" s="41"/>
      <c r="G160" s="41"/>
      <c r="H160" s="41"/>
      <c r="I160" s="42"/>
      <c r="J160" s="41"/>
      <c r="K160" s="41"/>
      <c r="L160" s="43"/>
    </row>
    <row r="161" spans="2:12" hidden="1" outlineLevel="1">
      <c r="B161" s="7" t="str">
        <f t="shared" si="9"/>
        <v/>
      </c>
      <c r="C161" s="41"/>
      <c r="D161" s="41"/>
      <c r="E161" s="58"/>
      <c r="F161" s="41"/>
      <c r="G161" s="41"/>
      <c r="H161" s="41"/>
      <c r="I161" s="42"/>
      <c r="J161" s="41"/>
      <c r="K161" s="41"/>
      <c r="L161" s="43"/>
    </row>
    <row r="162" spans="2:12" hidden="1" outlineLevel="1">
      <c r="B162" s="7" t="str">
        <f t="shared" si="9"/>
        <v/>
      </c>
      <c r="C162" s="41"/>
      <c r="D162" s="41"/>
      <c r="E162" s="41"/>
      <c r="F162" s="41"/>
      <c r="G162" s="41"/>
      <c r="H162" s="41"/>
      <c r="I162" s="42"/>
      <c r="J162" s="41"/>
      <c r="K162" s="41"/>
      <c r="L162" s="43"/>
    </row>
    <row r="163" spans="2:12" hidden="1" outlineLevel="1">
      <c r="B163" s="7" t="str">
        <f t="shared" si="9"/>
        <v/>
      </c>
      <c r="C163" s="41"/>
      <c r="D163" s="41"/>
      <c r="E163" s="41"/>
      <c r="F163" s="41"/>
      <c r="G163" s="41"/>
      <c r="H163" s="41"/>
      <c r="I163" s="42"/>
      <c r="J163" s="41"/>
      <c r="K163" s="41"/>
      <c r="L163" s="43"/>
    </row>
    <row r="164" spans="2:12" hidden="1" outlineLevel="1">
      <c r="B164" s="7" t="str">
        <f t="shared" si="9"/>
        <v/>
      </c>
      <c r="C164" s="41"/>
      <c r="D164" s="41"/>
      <c r="E164" s="41"/>
      <c r="F164" s="41"/>
      <c r="G164" s="41"/>
      <c r="H164" s="41"/>
      <c r="I164" s="42"/>
      <c r="J164" s="41"/>
      <c r="K164" s="41"/>
      <c r="L164" s="43"/>
    </row>
    <row r="165" spans="2:12" hidden="1" outlineLevel="1">
      <c r="B165" s="7" t="str">
        <f t="shared" si="9"/>
        <v/>
      </c>
      <c r="C165" s="41"/>
      <c r="D165" s="41"/>
      <c r="E165" s="41"/>
      <c r="F165" s="41"/>
      <c r="G165" s="41"/>
      <c r="H165" s="41"/>
      <c r="I165" s="42"/>
      <c r="J165" s="41"/>
      <c r="K165" s="41"/>
      <c r="L165" s="43"/>
    </row>
    <row r="166" spans="2:12" hidden="1" outlineLevel="1">
      <c r="B166" s="7" t="str">
        <f t="shared" si="9"/>
        <v/>
      </c>
      <c r="C166" s="41"/>
      <c r="D166" s="41"/>
      <c r="E166" s="41"/>
      <c r="F166" s="41"/>
      <c r="G166" s="41"/>
      <c r="H166" s="41"/>
      <c r="I166" s="42"/>
      <c r="J166" s="41"/>
      <c r="K166" s="41"/>
      <c r="L166" s="43"/>
    </row>
    <row r="167" spans="2:12" hidden="1" outlineLevel="1">
      <c r="B167" s="7" t="str">
        <f t="shared" si="9"/>
        <v/>
      </c>
      <c r="C167" s="41"/>
      <c r="D167" s="41"/>
      <c r="E167" s="58"/>
      <c r="F167" s="41"/>
      <c r="G167" s="41"/>
      <c r="H167" s="41"/>
      <c r="I167" s="42"/>
      <c r="J167" s="41"/>
      <c r="K167" s="41"/>
      <c r="L167" s="43"/>
    </row>
    <row r="168" spans="2:12" hidden="1" outlineLevel="1">
      <c r="B168" s="7" t="str">
        <f t="shared" si="9"/>
        <v/>
      </c>
      <c r="C168" s="41"/>
      <c r="D168" s="41"/>
      <c r="E168" s="41"/>
      <c r="F168" s="41"/>
      <c r="G168" s="41"/>
      <c r="H168" s="41"/>
      <c r="I168" s="42"/>
      <c r="J168" s="41"/>
      <c r="K168" s="41"/>
      <c r="L168" s="43"/>
    </row>
    <row r="169" spans="2:12" hidden="1" outlineLevel="1">
      <c r="B169" s="7" t="str">
        <f t="shared" si="9"/>
        <v/>
      </c>
      <c r="C169" s="41"/>
      <c r="D169" s="41"/>
      <c r="E169" s="41"/>
      <c r="F169" s="41"/>
      <c r="G169" s="41"/>
      <c r="H169" s="41"/>
      <c r="I169" s="42"/>
      <c r="J169" s="41"/>
      <c r="K169" s="41"/>
      <c r="L169" s="43"/>
    </row>
    <row r="170" spans="2:12" hidden="1" outlineLevel="1">
      <c r="B170" s="7" t="str">
        <f t="shared" si="9"/>
        <v/>
      </c>
      <c r="C170" s="41"/>
      <c r="D170" s="41"/>
      <c r="E170" s="41"/>
      <c r="F170" s="41"/>
      <c r="G170" s="41"/>
      <c r="H170" s="41"/>
      <c r="I170" s="42"/>
      <c r="J170" s="41"/>
      <c r="K170" s="41"/>
      <c r="L170" s="43"/>
    </row>
    <row r="171" spans="2:12" hidden="1" outlineLevel="1">
      <c r="B171" s="7" t="str">
        <f t="shared" si="9"/>
        <v/>
      </c>
      <c r="C171" s="41"/>
      <c r="D171" s="41"/>
      <c r="E171" s="41"/>
      <c r="F171" s="41"/>
      <c r="G171" s="41"/>
      <c r="H171" s="41"/>
      <c r="I171" s="42"/>
      <c r="J171" s="41"/>
      <c r="K171" s="41"/>
      <c r="L171" s="43"/>
    </row>
    <row r="172" spans="2:12" hidden="1" outlineLevel="1">
      <c r="B172" s="7" t="str">
        <f t="shared" si="9"/>
        <v/>
      </c>
      <c r="C172" s="41"/>
      <c r="D172" s="41"/>
      <c r="E172" s="58"/>
      <c r="F172" s="41"/>
      <c r="G172" s="41"/>
      <c r="H172" s="41"/>
      <c r="I172" s="42"/>
      <c r="J172" s="41"/>
      <c r="K172" s="41"/>
      <c r="L172" s="43"/>
    </row>
    <row r="173" spans="2:12" hidden="1" outlineLevel="1">
      <c r="B173" s="7" t="str">
        <f t="shared" si="9"/>
        <v/>
      </c>
      <c r="C173" s="41"/>
      <c r="D173" s="41"/>
      <c r="E173" s="41"/>
      <c r="F173" s="41"/>
      <c r="G173" s="41"/>
      <c r="H173" s="41"/>
      <c r="I173" s="42"/>
      <c r="J173" s="41"/>
      <c r="K173" s="41"/>
      <c r="L173" s="43"/>
    </row>
    <row r="174" spans="2:12" hidden="1" outlineLevel="1">
      <c r="B174" s="7" t="str">
        <f t="shared" si="9"/>
        <v/>
      </c>
      <c r="C174" s="41"/>
      <c r="D174" s="41"/>
      <c r="E174" s="41"/>
      <c r="F174" s="41"/>
      <c r="G174" s="41"/>
      <c r="H174" s="41"/>
      <c r="I174" s="42"/>
      <c r="J174" s="41"/>
      <c r="K174" s="41"/>
      <c r="L174" s="43"/>
    </row>
    <row r="175" spans="2:12" hidden="1" outlineLevel="1">
      <c r="B175" s="7" t="str">
        <f t="shared" si="9"/>
        <v/>
      </c>
      <c r="C175" s="41"/>
      <c r="D175" s="41"/>
      <c r="E175" s="41"/>
      <c r="F175" s="41"/>
      <c r="G175" s="41"/>
      <c r="H175" s="41"/>
      <c r="I175" s="42"/>
      <c r="J175" s="41"/>
      <c r="K175" s="41"/>
      <c r="L175" s="43"/>
    </row>
    <row r="176" spans="2:12" hidden="1" outlineLevel="1">
      <c r="B176" s="7" t="str">
        <f t="shared" si="9"/>
        <v/>
      </c>
      <c r="C176" s="41"/>
      <c r="D176" s="41"/>
      <c r="E176" s="41"/>
      <c r="F176" s="41"/>
      <c r="G176" s="41"/>
      <c r="H176" s="41"/>
      <c r="I176" s="42"/>
      <c r="J176" s="41"/>
      <c r="K176" s="41"/>
      <c r="L176" s="43"/>
    </row>
    <row r="177" spans="2:12" hidden="1" outlineLevel="1">
      <c r="B177" s="7" t="str">
        <f t="shared" si="9"/>
        <v/>
      </c>
      <c r="C177" s="41"/>
      <c r="D177" s="41"/>
      <c r="E177" s="41"/>
      <c r="F177" s="41"/>
      <c r="G177" s="41"/>
      <c r="H177" s="41"/>
      <c r="I177" s="42"/>
      <c r="J177" s="41"/>
      <c r="K177" s="41"/>
      <c r="L177" s="43"/>
    </row>
    <row r="178" spans="2:12" hidden="1" outlineLevel="1">
      <c r="B178" s="7" t="str">
        <f t="shared" si="9"/>
        <v/>
      </c>
      <c r="C178" s="41"/>
      <c r="D178" s="41"/>
      <c r="E178" s="41"/>
      <c r="F178" s="41"/>
      <c r="G178" s="41"/>
      <c r="H178" s="41"/>
      <c r="I178" s="42"/>
      <c r="J178" s="41"/>
      <c r="K178" s="41"/>
      <c r="L178" s="43"/>
    </row>
    <row r="179" spans="2:12" hidden="1" outlineLevel="1">
      <c r="B179" s="7" t="str">
        <f t="shared" si="9"/>
        <v/>
      </c>
      <c r="C179" s="41"/>
      <c r="D179" s="41"/>
      <c r="E179" s="41"/>
      <c r="F179" s="41"/>
      <c r="G179" s="41"/>
      <c r="H179" s="41"/>
      <c r="I179" s="42"/>
      <c r="J179" s="41"/>
      <c r="K179" s="41"/>
      <c r="L179" s="43"/>
    </row>
    <row r="180" spans="2:12" hidden="1" outlineLevel="1">
      <c r="B180" s="7" t="str">
        <f t="shared" si="9"/>
        <v/>
      </c>
      <c r="C180" s="41"/>
      <c r="D180" s="41"/>
      <c r="E180" s="41"/>
      <c r="F180" s="41"/>
      <c r="G180" s="41"/>
      <c r="H180" s="41"/>
      <c r="I180" s="42"/>
      <c r="J180" s="41"/>
      <c r="K180" s="41"/>
      <c r="L180" s="43"/>
    </row>
    <row r="181" spans="2:12" hidden="1" outlineLevel="1">
      <c r="B181" s="7" t="str">
        <f t="shared" si="9"/>
        <v/>
      </c>
      <c r="C181" s="41"/>
      <c r="D181" s="41"/>
      <c r="E181" s="41"/>
      <c r="F181" s="41"/>
      <c r="G181" s="41"/>
      <c r="H181" s="41"/>
      <c r="I181" s="42"/>
      <c r="J181" s="41"/>
      <c r="K181" s="41"/>
      <c r="L181" s="43"/>
    </row>
    <row r="182" spans="2:12" hidden="1" outlineLevel="1">
      <c r="B182" s="7" t="str">
        <f t="shared" si="9"/>
        <v/>
      </c>
      <c r="C182" s="41"/>
      <c r="D182" s="41"/>
      <c r="E182" s="41"/>
      <c r="F182" s="41"/>
      <c r="G182" s="41"/>
      <c r="H182" s="41"/>
      <c r="I182" s="42"/>
      <c r="J182" s="41"/>
      <c r="K182" s="41"/>
      <c r="L182" s="43"/>
    </row>
    <row r="183" spans="2:12" hidden="1" outlineLevel="1">
      <c r="B183" s="7" t="str">
        <f t="shared" si="9"/>
        <v/>
      </c>
      <c r="C183" s="41"/>
      <c r="D183" s="41"/>
      <c r="E183" s="41"/>
      <c r="F183" s="41"/>
      <c r="G183" s="41"/>
      <c r="H183" s="41"/>
      <c r="I183" s="42"/>
      <c r="J183" s="41"/>
      <c r="K183" s="41"/>
      <c r="L183" s="43"/>
    </row>
    <row r="184" spans="2:12" hidden="1" outlineLevel="1">
      <c r="B184" s="7" t="str">
        <f t="shared" si="9"/>
        <v/>
      </c>
      <c r="C184" s="41"/>
      <c r="D184" s="41"/>
      <c r="E184" s="41"/>
      <c r="F184" s="41"/>
      <c r="G184" s="41"/>
      <c r="H184" s="41"/>
      <c r="I184" s="42"/>
      <c r="J184" s="41"/>
      <c r="K184" s="41"/>
      <c r="L184" s="43"/>
    </row>
    <row r="185" spans="2:12" hidden="1" outlineLevel="1">
      <c r="B185" s="7" t="str">
        <f t="shared" si="9"/>
        <v/>
      </c>
      <c r="C185" s="41"/>
      <c r="D185" s="41"/>
      <c r="E185" s="41"/>
      <c r="F185" s="41"/>
      <c r="G185" s="41"/>
      <c r="H185" s="41"/>
      <c r="I185" s="42"/>
      <c r="J185" s="41"/>
      <c r="K185" s="41"/>
      <c r="L185" s="43"/>
    </row>
    <row r="186" spans="2:12" hidden="1" outlineLevel="1">
      <c r="B186" s="7" t="str">
        <f t="shared" si="9"/>
        <v/>
      </c>
      <c r="C186" s="41"/>
      <c r="D186" s="41"/>
      <c r="E186" s="41"/>
      <c r="F186" s="41"/>
      <c r="G186" s="41"/>
      <c r="H186" s="41"/>
      <c r="I186" s="42"/>
      <c r="J186" s="41"/>
      <c r="K186" s="41"/>
      <c r="L186" s="43"/>
    </row>
    <row r="187" spans="2:12" hidden="1" outlineLevel="1">
      <c r="B187" s="7" t="str">
        <f t="shared" si="9"/>
        <v/>
      </c>
      <c r="C187" s="41"/>
      <c r="D187" s="41"/>
      <c r="E187" s="41"/>
      <c r="F187" s="41"/>
      <c r="G187" s="41"/>
      <c r="H187" s="41"/>
      <c r="I187" s="42"/>
      <c r="J187" s="41"/>
      <c r="K187" s="41"/>
      <c r="L187" s="43"/>
    </row>
    <row r="188" spans="2:12" hidden="1" outlineLevel="1">
      <c r="B188" s="7" t="str">
        <f t="shared" si="9"/>
        <v/>
      </c>
      <c r="C188" s="41"/>
      <c r="D188" s="41"/>
      <c r="E188" s="41"/>
      <c r="F188" s="41"/>
      <c r="G188" s="41"/>
      <c r="H188" s="41"/>
      <c r="I188" s="42"/>
      <c r="J188" s="41"/>
      <c r="K188" s="41"/>
      <c r="L188" s="43"/>
    </row>
    <row r="189" spans="2:12" hidden="1" outlineLevel="1">
      <c r="B189" s="7" t="str">
        <f t="shared" si="9"/>
        <v/>
      </c>
      <c r="C189" s="41"/>
      <c r="D189" s="41"/>
      <c r="E189" s="41"/>
      <c r="F189" s="41"/>
      <c r="G189" s="41"/>
      <c r="H189" s="41"/>
      <c r="I189" s="42"/>
      <c r="J189" s="41"/>
      <c r="K189" s="41"/>
      <c r="L189" s="43"/>
    </row>
    <row r="190" spans="2:12" hidden="1" outlineLevel="1">
      <c r="B190" s="7" t="str">
        <f t="shared" si="9"/>
        <v/>
      </c>
      <c r="C190" s="41"/>
      <c r="D190" s="41"/>
      <c r="E190" s="41"/>
      <c r="F190" s="41"/>
      <c r="G190" s="41"/>
      <c r="H190" s="41"/>
      <c r="I190" s="42"/>
      <c r="J190" s="41"/>
      <c r="K190" s="41"/>
      <c r="L190" s="43"/>
    </row>
    <row r="191" spans="2:12" hidden="1" outlineLevel="1">
      <c r="B191" s="7" t="str">
        <f t="shared" si="9"/>
        <v/>
      </c>
      <c r="C191" s="41"/>
      <c r="D191" s="41"/>
      <c r="E191" s="41"/>
      <c r="F191" s="41"/>
      <c r="G191" s="41"/>
      <c r="H191" s="41"/>
      <c r="I191" s="42"/>
      <c r="J191" s="41"/>
      <c r="K191" s="41"/>
      <c r="L191" s="43"/>
    </row>
    <row r="192" spans="2:12" hidden="1" outlineLevel="1">
      <c r="B192" s="7" t="str">
        <f t="shared" si="9"/>
        <v/>
      </c>
      <c r="C192" s="41"/>
      <c r="D192" s="41"/>
      <c r="E192" s="41"/>
      <c r="F192" s="41"/>
      <c r="G192" s="41"/>
      <c r="H192" s="41"/>
      <c r="I192" s="42"/>
      <c r="J192" s="41"/>
      <c r="K192" s="41"/>
      <c r="L192" s="43"/>
    </row>
    <row r="193" spans="2:12" hidden="1" outlineLevel="1">
      <c r="B193" s="7" t="str">
        <f t="shared" si="9"/>
        <v/>
      </c>
      <c r="C193" s="41"/>
      <c r="D193" s="41"/>
      <c r="E193" s="41"/>
      <c r="F193" s="41"/>
      <c r="G193" s="41"/>
      <c r="H193" s="41"/>
      <c r="I193" s="42"/>
      <c r="J193" s="41"/>
      <c r="K193" s="41"/>
      <c r="L193" s="43"/>
    </row>
    <row r="194" spans="2:12" hidden="1" outlineLevel="1">
      <c r="B194" s="7" t="str">
        <f t="shared" si="9"/>
        <v/>
      </c>
      <c r="C194" s="41"/>
      <c r="D194" s="41"/>
      <c r="E194" s="41"/>
      <c r="F194" s="41"/>
      <c r="G194" s="41"/>
      <c r="H194" s="41"/>
      <c r="I194" s="42"/>
      <c r="J194" s="41"/>
      <c r="K194" s="41"/>
      <c r="L194" s="43"/>
    </row>
    <row r="195" spans="2:12" hidden="1" outlineLevel="1">
      <c r="B195" s="7" t="str">
        <f t="shared" si="9"/>
        <v/>
      </c>
      <c r="C195" s="41"/>
      <c r="D195" s="41"/>
      <c r="E195" s="41"/>
      <c r="F195" s="41"/>
      <c r="G195" s="41"/>
      <c r="H195" s="41"/>
      <c r="I195" s="42"/>
      <c r="J195" s="41"/>
      <c r="K195" s="41"/>
      <c r="L195" s="43"/>
    </row>
    <row r="196" spans="2:12" hidden="1" outlineLevel="1">
      <c r="B196" s="7" t="str">
        <f t="shared" si="9"/>
        <v/>
      </c>
      <c r="C196" s="41"/>
      <c r="D196" s="41"/>
      <c r="E196" s="41"/>
      <c r="F196" s="41"/>
      <c r="G196" s="41"/>
      <c r="H196" s="41"/>
      <c r="I196" s="42"/>
      <c r="J196" s="41"/>
      <c r="K196" s="41"/>
      <c r="L196" s="43"/>
    </row>
    <row r="197" spans="2:12" hidden="1" outlineLevel="1">
      <c r="B197" s="7" t="str">
        <f t="shared" si="9"/>
        <v/>
      </c>
      <c r="C197" s="41"/>
      <c r="D197" s="41"/>
      <c r="E197" s="41"/>
      <c r="F197" s="41"/>
      <c r="G197" s="41"/>
      <c r="H197" s="41"/>
      <c r="I197" s="42"/>
      <c r="J197" s="41"/>
      <c r="K197" s="41"/>
      <c r="L197" s="43"/>
    </row>
    <row r="198" spans="2:12" hidden="1" outlineLevel="1">
      <c r="B198" s="7" t="str">
        <f t="shared" si="9"/>
        <v/>
      </c>
      <c r="C198" s="41"/>
      <c r="D198" s="41"/>
      <c r="E198" s="41"/>
      <c r="F198" s="41"/>
      <c r="G198" s="41"/>
      <c r="H198" s="41"/>
      <c r="I198" s="42"/>
      <c r="J198" s="41"/>
      <c r="K198" s="41"/>
      <c r="L198" s="43"/>
    </row>
    <row r="199" spans="2:12" hidden="1" outlineLevel="1">
      <c r="B199" s="7" t="str">
        <f t="shared" si="9"/>
        <v/>
      </c>
      <c r="C199" s="41"/>
      <c r="D199" s="41"/>
      <c r="E199" s="41"/>
      <c r="F199" s="41"/>
      <c r="G199" s="41"/>
      <c r="H199" s="41"/>
      <c r="I199" s="42"/>
      <c r="J199" s="41"/>
      <c r="K199" s="41"/>
      <c r="L199" s="43"/>
    </row>
    <row r="200" spans="2:12" hidden="1" outlineLevel="1">
      <c r="B200" s="7" t="str">
        <f t="shared" si="9"/>
        <v/>
      </c>
      <c r="C200" s="41"/>
      <c r="D200" s="41"/>
      <c r="E200" s="41"/>
      <c r="F200" s="41"/>
      <c r="G200" s="41"/>
      <c r="H200" s="41"/>
      <c r="I200" s="42"/>
      <c r="J200" s="41"/>
      <c r="K200" s="41"/>
      <c r="L200" s="43"/>
    </row>
    <row r="201" spans="2:12" hidden="1" outlineLevel="1">
      <c r="B201" s="7" t="str">
        <f t="shared" si="9"/>
        <v/>
      </c>
      <c r="C201" s="41"/>
      <c r="D201" s="41"/>
      <c r="E201" s="41"/>
      <c r="F201" s="41"/>
      <c r="G201" s="41"/>
      <c r="H201" s="41"/>
      <c r="I201" s="42"/>
      <c r="J201" s="41"/>
      <c r="K201" s="41"/>
      <c r="L201" s="43"/>
    </row>
    <row r="202" spans="2:12" hidden="1" outlineLevel="1">
      <c r="B202" s="7" t="str">
        <f t="shared" si="9"/>
        <v/>
      </c>
      <c r="C202" s="41"/>
      <c r="D202" s="41"/>
      <c r="E202" s="41"/>
      <c r="F202" s="41"/>
      <c r="G202" s="41"/>
      <c r="H202" s="41"/>
      <c r="I202" s="42"/>
      <c r="J202" s="41"/>
      <c r="K202" s="41"/>
      <c r="L202" s="43"/>
    </row>
    <row r="203" spans="2:12" hidden="1" outlineLevel="1">
      <c r="B203" s="7" t="str">
        <f t="shared" si="9"/>
        <v/>
      </c>
      <c r="C203" s="41"/>
      <c r="D203" s="41"/>
      <c r="E203" s="41"/>
      <c r="F203" s="41"/>
      <c r="G203" s="41"/>
      <c r="H203" s="41"/>
      <c r="I203" s="42"/>
      <c r="J203" s="41"/>
      <c r="K203" s="41"/>
      <c r="L203" s="43"/>
    </row>
    <row r="204" spans="2:12" hidden="1" outlineLevel="1">
      <c r="B204" s="7" t="str">
        <f t="shared" si="9"/>
        <v/>
      </c>
      <c r="C204" s="41"/>
      <c r="D204" s="41"/>
      <c r="E204" s="41"/>
      <c r="F204" s="41"/>
      <c r="G204" s="41"/>
      <c r="H204" s="41"/>
      <c r="I204" s="42"/>
      <c r="J204" s="41"/>
      <c r="K204" s="41"/>
      <c r="L204" s="43"/>
    </row>
    <row r="205" spans="2:12" hidden="1" outlineLevel="1">
      <c r="B205" s="7" t="str">
        <f t="shared" si="9"/>
        <v/>
      </c>
      <c r="C205" s="41"/>
      <c r="D205" s="41"/>
      <c r="E205" s="41"/>
      <c r="F205" s="41"/>
      <c r="G205" s="41"/>
      <c r="H205" s="41"/>
      <c r="I205" s="42"/>
      <c r="J205" s="41"/>
      <c r="K205" s="41"/>
      <c r="L205" s="43"/>
    </row>
    <row r="206" spans="2:12" hidden="1" outlineLevel="1">
      <c r="B206" s="7" t="str">
        <f t="shared" si="9"/>
        <v/>
      </c>
      <c r="C206" s="41"/>
      <c r="D206" s="41"/>
      <c r="E206" s="41"/>
      <c r="F206" s="41"/>
      <c r="G206" s="41"/>
      <c r="H206" s="41"/>
      <c r="I206" s="42"/>
      <c r="J206" s="41"/>
      <c r="K206" s="41"/>
      <c r="L206" s="43"/>
    </row>
    <row r="207" spans="2:12" hidden="1" outlineLevel="1">
      <c r="B207" s="7" t="str">
        <f t="shared" si="9"/>
        <v/>
      </c>
      <c r="C207" s="41"/>
      <c r="D207" s="41"/>
      <c r="E207" s="41"/>
      <c r="F207" s="41"/>
      <c r="G207" s="41"/>
      <c r="H207" s="41"/>
      <c r="I207" s="42"/>
      <c r="J207" s="41"/>
      <c r="K207" s="41"/>
      <c r="L207" s="43"/>
    </row>
    <row r="208" spans="2:12" hidden="1" outlineLevel="1">
      <c r="B208" s="7" t="str">
        <f t="shared" si="9"/>
        <v/>
      </c>
      <c r="C208" s="41"/>
      <c r="D208" s="41"/>
      <c r="E208" s="41"/>
      <c r="F208" s="41"/>
      <c r="G208" s="41"/>
      <c r="H208" s="41"/>
      <c r="I208" s="42"/>
      <c r="J208" s="41"/>
      <c r="K208" s="41"/>
      <c r="L208" s="43"/>
    </row>
    <row r="209" spans="2:12" hidden="1" outlineLevel="1">
      <c r="B209" s="7" t="str">
        <f t="shared" si="9"/>
        <v/>
      </c>
      <c r="C209" s="41"/>
      <c r="D209" s="41"/>
      <c r="E209" s="41"/>
      <c r="F209" s="41"/>
      <c r="G209" s="41"/>
      <c r="H209" s="41"/>
      <c r="I209" s="42"/>
      <c r="J209" s="41"/>
      <c r="K209" s="41"/>
      <c r="L209" s="43"/>
    </row>
    <row r="210" spans="2:12" hidden="1" outlineLevel="1">
      <c r="B210" s="7" t="str">
        <f t="shared" si="9"/>
        <v/>
      </c>
      <c r="C210" s="41"/>
      <c r="D210" s="41"/>
      <c r="E210" s="41"/>
      <c r="F210" s="41"/>
      <c r="G210" s="41"/>
      <c r="H210" s="41"/>
      <c r="I210" s="42"/>
      <c r="J210" s="41"/>
      <c r="K210" s="41"/>
      <c r="L210" s="43"/>
    </row>
    <row r="211" spans="2:12" hidden="1" outlineLevel="1">
      <c r="B211" s="7" t="str">
        <f t="shared" si="9"/>
        <v/>
      </c>
      <c r="C211" s="41"/>
      <c r="D211" s="41"/>
      <c r="E211" s="41"/>
      <c r="F211" s="41"/>
      <c r="G211" s="41"/>
      <c r="H211" s="41"/>
      <c r="I211" s="42"/>
      <c r="J211" s="41"/>
      <c r="K211" s="41"/>
      <c r="L211" s="43"/>
    </row>
    <row r="212" spans="2:12" hidden="1" outlineLevel="1">
      <c r="B212" s="7" t="str">
        <f t="shared" si="9"/>
        <v/>
      </c>
      <c r="C212" s="41"/>
      <c r="D212" s="41"/>
      <c r="E212" s="41"/>
      <c r="F212" s="41"/>
      <c r="G212" s="41"/>
      <c r="H212" s="41"/>
      <c r="I212" s="42"/>
      <c r="J212" s="41"/>
      <c r="K212" s="41"/>
      <c r="L212" s="43"/>
    </row>
    <row r="213" spans="2:12" hidden="1" outlineLevel="1">
      <c r="B213" s="7" t="str">
        <f t="shared" si="9"/>
        <v/>
      </c>
      <c r="C213" s="41"/>
      <c r="D213" s="41"/>
      <c r="E213" s="41"/>
      <c r="F213" s="41"/>
      <c r="G213" s="41"/>
      <c r="H213" s="41"/>
      <c r="I213" s="42"/>
      <c r="J213" s="41"/>
      <c r="K213" s="41"/>
      <c r="L213" s="43"/>
    </row>
    <row r="214" spans="2:12" hidden="1" outlineLevel="1">
      <c r="B214" s="7" t="str">
        <f t="shared" si="9"/>
        <v/>
      </c>
      <c r="C214" s="41"/>
      <c r="D214" s="41"/>
      <c r="E214" s="41"/>
      <c r="F214" s="41"/>
      <c r="G214" s="41"/>
      <c r="H214" s="41"/>
      <c r="I214" s="42"/>
      <c r="J214" s="41"/>
      <c r="K214" s="41"/>
      <c r="L214" s="43"/>
    </row>
    <row r="215" spans="2:12" hidden="1" outlineLevel="1">
      <c r="B215" s="7" t="str">
        <f t="shared" si="9"/>
        <v/>
      </c>
      <c r="C215" s="41"/>
      <c r="D215" s="41"/>
      <c r="E215" s="41"/>
      <c r="F215" s="41"/>
      <c r="G215" s="41"/>
      <c r="H215" s="41"/>
      <c r="I215" s="42"/>
      <c r="J215" s="41"/>
      <c r="K215" s="41"/>
      <c r="L215" s="43"/>
    </row>
    <row r="216" spans="2:12" hidden="1" outlineLevel="1">
      <c r="B216" s="7" t="str">
        <f t="shared" si="9"/>
        <v/>
      </c>
      <c r="C216" s="41"/>
      <c r="D216" s="41"/>
      <c r="E216" s="41"/>
      <c r="F216" s="41"/>
      <c r="G216" s="41"/>
      <c r="H216" s="41"/>
      <c r="I216" s="42"/>
      <c r="J216" s="41"/>
      <c r="K216" s="41"/>
      <c r="L216" s="43"/>
    </row>
    <row r="217" spans="2:12" hidden="1" outlineLevel="1">
      <c r="B217" s="7" t="str">
        <f t="shared" si="9"/>
        <v/>
      </c>
      <c r="C217" s="41"/>
      <c r="D217" s="41"/>
      <c r="E217" s="41"/>
      <c r="F217" s="41"/>
      <c r="G217" s="41"/>
      <c r="H217" s="41"/>
      <c r="I217" s="42"/>
      <c r="J217" s="41"/>
      <c r="K217" s="41"/>
      <c r="L217" s="43"/>
    </row>
    <row r="218" spans="2:12" hidden="1" outlineLevel="1">
      <c r="B218" s="7" t="str">
        <f t="shared" si="9"/>
        <v/>
      </c>
      <c r="C218" s="41"/>
      <c r="D218" s="41"/>
      <c r="E218" s="41"/>
      <c r="F218" s="41"/>
      <c r="G218" s="41"/>
      <c r="H218" s="41"/>
      <c r="I218" s="42"/>
      <c r="J218" s="41"/>
      <c r="K218" s="41"/>
      <c r="L218" s="43"/>
    </row>
    <row r="219" spans="2:12" hidden="1" outlineLevel="1">
      <c r="B219" s="7" t="str">
        <f t="shared" si="9"/>
        <v/>
      </c>
      <c r="C219" s="41"/>
      <c r="D219" s="41"/>
      <c r="E219" s="41"/>
      <c r="F219" s="41"/>
      <c r="G219" s="41"/>
      <c r="H219" s="41"/>
      <c r="I219" s="42"/>
      <c r="J219" s="41"/>
      <c r="K219" s="41"/>
      <c r="L219" s="43"/>
    </row>
    <row r="220" spans="2:12" hidden="1" outlineLevel="1">
      <c r="B220" s="7" t="str">
        <f t="shared" si="9"/>
        <v/>
      </c>
      <c r="C220" s="41"/>
      <c r="D220" s="41"/>
      <c r="E220" s="41"/>
      <c r="F220" s="41"/>
      <c r="G220" s="41"/>
      <c r="H220" s="41"/>
      <c r="I220" s="42"/>
      <c r="J220" s="41"/>
      <c r="K220" s="41"/>
      <c r="L220" s="43"/>
    </row>
    <row r="221" spans="2:12" hidden="1" outlineLevel="1">
      <c r="B221" s="7" t="str">
        <f t="shared" ref="B221:B284" si="10">IF(C221="","",(B220+1))</f>
        <v/>
      </c>
      <c r="C221" s="41"/>
      <c r="D221" s="41"/>
      <c r="E221" s="41"/>
      <c r="F221" s="41"/>
      <c r="G221" s="41"/>
      <c r="H221" s="41"/>
      <c r="I221" s="42"/>
      <c r="J221" s="41"/>
      <c r="K221" s="41"/>
      <c r="L221" s="43"/>
    </row>
    <row r="222" spans="2:12" hidden="1" outlineLevel="1">
      <c r="B222" s="7" t="str">
        <f t="shared" si="10"/>
        <v/>
      </c>
      <c r="C222" s="41"/>
      <c r="D222" s="41"/>
      <c r="E222" s="41"/>
      <c r="F222" s="41"/>
      <c r="G222" s="41"/>
      <c r="H222" s="41"/>
      <c r="I222" s="42"/>
      <c r="J222" s="41"/>
      <c r="K222" s="41"/>
      <c r="L222" s="43"/>
    </row>
    <row r="223" spans="2:12" hidden="1" outlineLevel="1">
      <c r="B223" s="7" t="str">
        <f t="shared" si="10"/>
        <v/>
      </c>
      <c r="C223" s="41"/>
      <c r="D223" s="41"/>
      <c r="E223" s="58"/>
      <c r="F223" s="41"/>
      <c r="G223" s="41"/>
      <c r="H223" s="41"/>
      <c r="I223" s="42"/>
      <c r="J223" s="41"/>
      <c r="K223" s="41"/>
      <c r="L223" s="43"/>
    </row>
    <row r="224" spans="2:12" hidden="1" outlineLevel="1">
      <c r="B224" s="7" t="str">
        <f t="shared" si="10"/>
        <v/>
      </c>
      <c r="C224" s="41"/>
      <c r="D224" s="41"/>
      <c r="E224" s="41"/>
      <c r="F224" s="41"/>
      <c r="G224" s="41"/>
      <c r="H224" s="41"/>
      <c r="I224" s="42"/>
      <c r="J224" s="41"/>
      <c r="K224" s="41"/>
      <c r="L224" s="43"/>
    </row>
    <row r="225" spans="2:12" hidden="1" outlineLevel="1">
      <c r="B225" s="7" t="str">
        <f t="shared" si="10"/>
        <v/>
      </c>
      <c r="C225" s="41"/>
      <c r="D225" s="41"/>
      <c r="E225" s="41"/>
      <c r="F225" s="41"/>
      <c r="G225" s="41"/>
      <c r="H225" s="41"/>
      <c r="I225" s="42"/>
      <c r="J225" s="41"/>
      <c r="K225" s="41"/>
      <c r="L225" s="43"/>
    </row>
    <row r="226" spans="2:12" hidden="1" outlineLevel="1">
      <c r="B226" s="7" t="str">
        <f t="shared" si="10"/>
        <v/>
      </c>
      <c r="C226" s="41"/>
      <c r="D226" s="41"/>
      <c r="E226" s="58"/>
      <c r="F226" s="41"/>
      <c r="G226" s="41"/>
      <c r="H226" s="41"/>
      <c r="I226" s="42"/>
      <c r="J226" s="41"/>
      <c r="K226" s="41"/>
      <c r="L226" s="43"/>
    </row>
    <row r="227" spans="2:12" hidden="1" outlineLevel="1">
      <c r="B227" s="7" t="str">
        <f t="shared" si="10"/>
        <v/>
      </c>
      <c r="C227" s="41"/>
      <c r="D227" s="41"/>
      <c r="E227" s="41"/>
      <c r="F227" s="41"/>
      <c r="G227" s="41"/>
      <c r="H227" s="41"/>
      <c r="I227" s="42"/>
      <c r="J227" s="41"/>
      <c r="K227" s="41"/>
      <c r="L227" s="43"/>
    </row>
    <row r="228" spans="2:12" hidden="1" outlineLevel="1">
      <c r="B228" s="7" t="str">
        <f t="shared" si="10"/>
        <v/>
      </c>
      <c r="C228" s="41"/>
      <c r="D228" s="41"/>
      <c r="E228" s="41"/>
      <c r="F228" s="41"/>
      <c r="G228" s="41"/>
      <c r="H228" s="41"/>
      <c r="I228" s="42"/>
      <c r="J228" s="41"/>
      <c r="K228" s="41"/>
      <c r="L228" s="43"/>
    </row>
    <row r="229" spans="2:12" hidden="1" outlineLevel="1">
      <c r="B229" s="7" t="str">
        <f t="shared" si="10"/>
        <v/>
      </c>
      <c r="C229" s="41"/>
      <c r="D229" s="41"/>
      <c r="E229" s="41"/>
      <c r="F229" s="41"/>
      <c r="G229" s="41"/>
      <c r="H229" s="41"/>
      <c r="I229" s="42"/>
      <c r="J229" s="41"/>
      <c r="K229" s="41"/>
      <c r="L229" s="43"/>
    </row>
    <row r="230" spans="2:12" hidden="1" outlineLevel="1">
      <c r="B230" s="7" t="str">
        <f t="shared" si="10"/>
        <v/>
      </c>
      <c r="C230" s="41"/>
      <c r="D230" s="41"/>
      <c r="E230" s="41"/>
      <c r="F230" s="41"/>
      <c r="G230" s="41"/>
      <c r="H230" s="41"/>
      <c r="I230" s="42"/>
      <c r="J230" s="41"/>
      <c r="K230" s="41"/>
      <c r="L230" s="43"/>
    </row>
    <row r="231" spans="2:12" hidden="1" outlineLevel="1">
      <c r="B231" s="7" t="str">
        <f t="shared" si="10"/>
        <v/>
      </c>
      <c r="C231" s="41"/>
      <c r="D231" s="41"/>
      <c r="E231" s="41"/>
      <c r="F231" s="41"/>
      <c r="G231" s="41"/>
      <c r="H231" s="41"/>
      <c r="I231" s="42"/>
      <c r="J231" s="41"/>
      <c r="K231" s="41"/>
      <c r="L231" s="43"/>
    </row>
    <row r="232" spans="2:12" hidden="1" outlineLevel="1">
      <c r="B232" s="7" t="str">
        <f t="shared" si="10"/>
        <v/>
      </c>
      <c r="C232" s="41"/>
      <c r="D232" s="41"/>
      <c r="E232" s="41"/>
      <c r="F232" s="41"/>
      <c r="G232" s="41"/>
      <c r="H232" s="41"/>
      <c r="I232" s="42"/>
      <c r="J232" s="41"/>
      <c r="K232" s="41"/>
      <c r="L232" s="43"/>
    </row>
    <row r="233" spans="2:12" hidden="1" outlineLevel="1">
      <c r="B233" s="7" t="str">
        <f t="shared" si="10"/>
        <v/>
      </c>
      <c r="C233" s="41"/>
      <c r="D233" s="41"/>
      <c r="E233" s="41"/>
      <c r="F233" s="41"/>
      <c r="G233" s="41"/>
      <c r="H233" s="41"/>
      <c r="I233" s="42"/>
      <c r="J233" s="41"/>
      <c r="K233" s="41"/>
      <c r="L233" s="43"/>
    </row>
    <row r="234" spans="2:12" hidden="1" outlineLevel="1">
      <c r="B234" s="7" t="str">
        <f t="shared" si="10"/>
        <v/>
      </c>
      <c r="C234" s="41"/>
      <c r="D234" s="41"/>
      <c r="E234" s="41"/>
      <c r="F234" s="41"/>
      <c r="G234" s="41"/>
      <c r="H234" s="41"/>
      <c r="I234" s="42"/>
      <c r="J234" s="41"/>
      <c r="K234" s="41"/>
      <c r="L234" s="43"/>
    </row>
    <row r="235" spans="2:12" hidden="1" outlineLevel="1">
      <c r="B235" s="7" t="str">
        <f t="shared" si="10"/>
        <v/>
      </c>
      <c r="C235" s="41"/>
      <c r="D235" s="41"/>
      <c r="E235" s="41"/>
      <c r="F235" s="41"/>
      <c r="G235" s="41"/>
      <c r="H235" s="41"/>
      <c r="I235" s="42"/>
      <c r="J235" s="41"/>
      <c r="K235" s="41"/>
      <c r="L235" s="43"/>
    </row>
    <row r="236" spans="2:12" hidden="1" outlineLevel="1">
      <c r="B236" s="7" t="str">
        <f t="shared" si="10"/>
        <v/>
      </c>
      <c r="C236" s="41"/>
      <c r="D236" s="41"/>
      <c r="E236" s="41"/>
      <c r="F236" s="41"/>
      <c r="G236" s="41"/>
      <c r="H236" s="41"/>
      <c r="I236" s="42"/>
      <c r="J236" s="41"/>
      <c r="K236" s="41"/>
      <c r="L236" s="43"/>
    </row>
    <row r="237" spans="2:12" hidden="1" outlineLevel="1">
      <c r="B237" s="7" t="str">
        <f t="shared" si="10"/>
        <v/>
      </c>
      <c r="C237" s="41"/>
      <c r="D237" s="41"/>
      <c r="E237" s="41"/>
      <c r="F237" s="41"/>
      <c r="G237" s="41"/>
      <c r="H237" s="41"/>
      <c r="I237" s="42"/>
      <c r="J237" s="41"/>
      <c r="K237" s="41"/>
      <c r="L237" s="43"/>
    </row>
    <row r="238" spans="2:12" hidden="1" outlineLevel="1">
      <c r="B238" s="7" t="str">
        <f t="shared" si="10"/>
        <v/>
      </c>
      <c r="C238" s="41"/>
      <c r="D238" s="41"/>
      <c r="E238" s="41"/>
      <c r="F238" s="41"/>
      <c r="G238" s="41"/>
      <c r="H238" s="41"/>
      <c r="I238" s="42"/>
      <c r="J238" s="41"/>
      <c r="K238" s="41"/>
      <c r="L238" s="43"/>
    </row>
    <row r="239" spans="2:12" hidden="1" outlineLevel="1">
      <c r="B239" s="7" t="str">
        <f t="shared" si="10"/>
        <v/>
      </c>
      <c r="C239" s="41"/>
      <c r="D239" s="41"/>
      <c r="E239" s="41"/>
      <c r="F239" s="41"/>
      <c r="G239" s="41"/>
      <c r="H239" s="41"/>
      <c r="I239" s="42"/>
      <c r="J239" s="41"/>
      <c r="K239" s="41"/>
      <c r="L239" s="43"/>
    </row>
    <row r="240" spans="2:12" hidden="1" outlineLevel="1">
      <c r="B240" s="7" t="str">
        <f t="shared" si="10"/>
        <v/>
      </c>
      <c r="C240" s="41"/>
      <c r="D240" s="41"/>
      <c r="E240" s="41"/>
      <c r="F240" s="41"/>
      <c r="G240" s="41"/>
      <c r="H240" s="41"/>
      <c r="I240" s="42"/>
      <c r="J240" s="41"/>
      <c r="K240" s="41"/>
      <c r="L240" s="43"/>
    </row>
    <row r="241" spans="2:12" hidden="1" outlineLevel="1">
      <c r="B241" s="7" t="str">
        <f t="shared" si="10"/>
        <v/>
      </c>
      <c r="C241" s="41"/>
      <c r="D241" s="41"/>
      <c r="E241" s="41"/>
      <c r="F241" s="41"/>
      <c r="G241" s="41"/>
      <c r="H241" s="41"/>
      <c r="I241" s="42"/>
      <c r="J241" s="41"/>
      <c r="K241" s="41"/>
      <c r="L241" s="43"/>
    </row>
    <row r="242" spans="2:12" hidden="1" outlineLevel="1">
      <c r="B242" s="7" t="str">
        <f t="shared" si="10"/>
        <v/>
      </c>
      <c r="C242" s="41"/>
      <c r="D242" s="41"/>
      <c r="E242" s="41"/>
      <c r="F242" s="41"/>
      <c r="G242" s="41"/>
      <c r="H242" s="41"/>
      <c r="I242" s="42"/>
      <c r="J242" s="41"/>
      <c r="K242" s="41"/>
      <c r="L242" s="43"/>
    </row>
    <row r="243" spans="2:12" hidden="1" outlineLevel="1">
      <c r="B243" s="7" t="str">
        <f t="shared" si="10"/>
        <v/>
      </c>
      <c r="C243" s="41"/>
      <c r="D243" s="41"/>
      <c r="E243" s="58"/>
      <c r="F243" s="41"/>
      <c r="G243" s="41"/>
      <c r="H243" s="41"/>
      <c r="I243" s="42"/>
      <c r="J243" s="41"/>
      <c r="K243" s="41"/>
      <c r="L243" s="43"/>
    </row>
    <row r="244" spans="2:12" hidden="1" outlineLevel="1">
      <c r="B244" s="7" t="str">
        <f t="shared" si="10"/>
        <v/>
      </c>
      <c r="C244" s="41"/>
      <c r="D244" s="41"/>
      <c r="E244" s="41"/>
      <c r="F244" s="41"/>
      <c r="G244" s="41"/>
      <c r="H244" s="41"/>
      <c r="I244" s="42"/>
      <c r="J244" s="41"/>
      <c r="K244" s="41"/>
      <c r="L244" s="43"/>
    </row>
    <row r="245" spans="2:12" hidden="1" outlineLevel="1">
      <c r="B245" s="7" t="str">
        <f t="shared" si="10"/>
        <v/>
      </c>
      <c r="C245" s="41"/>
      <c r="D245" s="41"/>
      <c r="E245" s="41"/>
      <c r="F245" s="41"/>
      <c r="G245" s="41"/>
      <c r="H245" s="41"/>
      <c r="I245" s="42"/>
      <c r="J245" s="41"/>
      <c r="K245" s="41"/>
      <c r="L245" s="43"/>
    </row>
    <row r="246" spans="2:12" hidden="1" outlineLevel="1">
      <c r="B246" s="7" t="str">
        <f t="shared" si="10"/>
        <v/>
      </c>
      <c r="C246" s="41"/>
      <c r="D246" s="41"/>
      <c r="E246" s="41"/>
      <c r="F246" s="41"/>
      <c r="G246" s="41"/>
      <c r="H246" s="41"/>
      <c r="I246" s="42"/>
      <c r="J246" s="41"/>
      <c r="K246" s="41"/>
      <c r="L246" s="43"/>
    </row>
    <row r="247" spans="2:12" hidden="1" outlineLevel="1">
      <c r="B247" s="7" t="str">
        <f t="shared" si="10"/>
        <v/>
      </c>
      <c r="C247" s="41"/>
      <c r="D247" s="41"/>
      <c r="E247" s="41"/>
      <c r="F247" s="41"/>
      <c r="G247" s="41"/>
      <c r="H247" s="41"/>
      <c r="I247" s="42"/>
      <c r="J247" s="41"/>
      <c r="K247" s="41"/>
      <c r="L247" s="43"/>
    </row>
    <row r="248" spans="2:12" hidden="1" outlineLevel="1">
      <c r="B248" s="7" t="str">
        <f t="shared" si="10"/>
        <v/>
      </c>
      <c r="C248" s="41"/>
      <c r="D248" s="41"/>
      <c r="E248" s="41"/>
      <c r="F248" s="41"/>
      <c r="G248" s="41"/>
      <c r="H248" s="41"/>
      <c r="I248" s="42"/>
      <c r="J248" s="41"/>
      <c r="K248" s="41"/>
      <c r="L248" s="43"/>
    </row>
    <row r="249" spans="2:12" hidden="1" outlineLevel="1">
      <c r="B249" s="7" t="str">
        <f t="shared" si="10"/>
        <v/>
      </c>
      <c r="C249" s="41"/>
      <c r="D249" s="41"/>
      <c r="E249" s="58"/>
      <c r="F249" s="41"/>
      <c r="G249" s="41"/>
      <c r="H249" s="41"/>
      <c r="I249" s="42"/>
      <c r="J249" s="41"/>
      <c r="K249" s="41"/>
      <c r="L249" s="43"/>
    </row>
    <row r="250" spans="2:12" hidden="1" outlineLevel="1">
      <c r="B250" s="7" t="str">
        <f t="shared" si="10"/>
        <v/>
      </c>
      <c r="C250" s="41"/>
      <c r="D250" s="41"/>
      <c r="E250" s="41"/>
      <c r="F250" s="41"/>
      <c r="G250" s="41"/>
      <c r="H250" s="41"/>
      <c r="I250" s="42"/>
      <c r="J250" s="41"/>
      <c r="K250" s="41"/>
      <c r="L250" s="43"/>
    </row>
    <row r="251" spans="2:12" hidden="1" outlineLevel="1">
      <c r="B251" s="7" t="str">
        <f t="shared" si="10"/>
        <v/>
      </c>
      <c r="C251" s="41"/>
      <c r="D251" s="41"/>
      <c r="E251" s="41"/>
      <c r="F251" s="41"/>
      <c r="G251" s="41"/>
      <c r="H251" s="41"/>
      <c r="I251" s="42"/>
      <c r="J251" s="41"/>
      <c r="K251" s="41"/>
      <c r="L251" s="43"/>
    </row>
    <row r="252" spans="2:12" hidden="1" outlineLevel="1">
      <c r="B252" s="7" t="str">
        <f t="shared" si="10"/>
        <v/>
      </c>
      <c r="C252" s="41"/>
      <c r="D252" s="41"/>
      <c r="E252" s="58"/>
      <c r="F252" s="41"/>
      <c r="G252" s="41"/>
      <c r="H252" s="41"/>
      <c r="I252" s="42"/>
      <c r="J252" s="41"/>
      <c r="K252" s="41"/>
      <c r="L252" s="43"/>
    </row>
    <row r="253" spans="2:12" hidden="1" outlineLevel="1">
      <c r="B253" s="7" t="str">
        <f t="shared" si="10"/>
        <v/>
      </c>
      <c r="C253" s="41"/>
      <c r="D253" s="41"/>
      <c r="E253" s="58"/>
      <c r="F253" s="41"/>
      <c r="G253" s="41"/>
      <c r="H253" s="41"/>
      <c r="I253" s="42"/>
      <c r="J253" s="41"/>
      <c r="K253" s="41"/>
      <c r="L253" s="43"/>
    </row>
    <row r="254" spans="2:12" hidden="1" outlineLevel="1">
      <c r="B254" s="7" t="str">
        <f t="shared" si="10"/>
        <v/>
      </c>
      <c r="C254" s="41"/>
      <c r="D254" s="41"/>
      <c r="E254" s="58"/>
      <c r="F254" s="41"/>
      <c r="G254" s="41"/>
      <c r="H254" s="41"/>
      <c r="I254" s="42"/>
      <c r="J254" s="41"/>
      <c r="K254" s="41"/>
      <c r="L254" s="43"/>
    </row>
    <row r="255" spans="2:12" hidden="1" outlineLevel="1">
      <c r="B255" s="7" t="str">
        <f t="shared" si="10"/>
        <v/>
      </c>
      <c r="C255" s="41"/>
      <c r="D255" s="41"/>
      <c r="E255" s="41"/>
      <c r="F255" s="41"/>
      <c r="G255" s="41"/>
      <c r="H255" s="41"/>
      <c r="I255" s="42"/>
      <c r="J255" s="41"/>
      <c r="K255" s="41"/>
      <c r="L255" s="43"/>
    </row>
    <row r="256" spans="2:12" hidden="1" outlineLevel="1">
      <c r="B256" s="7" t="str">
        <f t="shared" si="10"/>
        <v/>
      </c>
      <c r="C256" s="41"/>
      <c r="D256" s="41"/>
      <c r="E256" s="41"/>
      <c r="F256" s="41"/>
      <c r="G256" s="41"/>
      <c r="H256" s="41"/>
      <c r="I256" s="42"/>
      <c r="J256" s="41"/>
      <c r="K256" s="41"/>
      <c r="L256" s="43"/>
    </row>
    <row r="257" spans="2:12" hidden="1" outlineLevel="1">
      <c r="B257" s="7" t="str">
        <f t="shared" si="10"/>
        <v/>
      </c>
      <c r="C257" s="41"/>
      <c r="D257" s="41"/>
      <c r="E257" s="41"/>
      <c r="F257" s="41"/>
      <c r="G257" s="41"/>
      <c r="H257" s="41"/>
      <c r="I257" s="42"/>
      <c r="J257" s="41"/>
      <c r="K257" s="41"/>
      <c r="L257" s="43"/>
    </row>
    <row r="258" spans="2:12" hidden="1" outlineLevel="1">
      <c r="B258" s="7" t="str">
        <f t="shared" si="10"/>
        <v/>
      </c>
      <c r="C258" s="41"/>
      <c r="D258" s="41"/>
      <c r="E258" s="41"/>
      <c r="F258" s="41"/>
      <c r="G258" s="41"/>
      <c r="H258" s="41"/>
      <c r="I258" s="42"/>
      <c r="J258" s="41"/>
      <c r="K258" s="41"/>
      <c r="L258" s="43"/>
    </row>
    <row r="259" spans="2:12" hidden="1" outlineLevel="1">
      <c r="B259" s="7" t="str">
        <f t="shared" si="10"/>
        <v/>
      </c>
      <c r="C259" s="41"/>
      <c r="D259" s="41"/>
      <c r="E259" s="41"/>
      <c r="F259" s="41"/>
      <c r="G259" s="41"/>
      <c r="H259" s="41"/>
      <c r="I259" s="42"/>
      <c r="J259" s="41"/>
      <c r="K259" s="41"/>
      <c r="L259" s="43"/>
    </row>
    <row r="260" spans="2:12" hidden="1" outlineLevel="1">
      <c r="B260" s="7" t="str">
        <f t="shared" si="10"/>
        <v/>
      </c>
      <c r="C260" s="41"/>
      <c r="D260" s="41"/>
      <c r="E260" s="41"/>
      <c r="F260" s="41"/>
      <c r="G260" s="41"/>
      <c r="H260" s="41"/>
      <c r="I260" s="42"/>
      <c r="J260" s="41"/>
      <c r="K260" s="41"/>
      <c r="L260" s="43"/>
    </row>
    <row r="261" spans="2:12" hidden="1" outlineLevel="1">
      <c r="B261" s="7" t="str">
        <f t="shared" si="10"/>
        <v/>
      </c>
      <c r="C261" s="41"/>
      <c r="D261" s="41"/>
      <c r="E261" s="41"/>
      <c r="F261" s="41"/>
      <c r="G261" s="41"/>
      <c r="H261" s="41"/>
      <c r="I261" s="42"/>
      <c r="J261" s="41"/>
      <c r="K261" s="41"/>
      <c r="L261" s="43"/>
    </row>
    <row r="262" spans="2:12" hidden="1" outlineLevel="1">
      <c r="B262" s="7" t="str">
        <f t="shared" si="10"/>
        <v/>
      </c>
      <c r="C262" s="41"/>
      <c r="D262" s="41"/>
      <c r="E262" s="41"/>
      <c r="F262" s="41"/>
      <c r="G262" s="41"/>
      <c r="H262" s="41"/>
      <c r="I262" s="42"/>
      <c r="J262" s="41"/>
      <c r="K262" s="41"/>
      <c r="L262" s="43"/>
    </row>
    <row r="263" spans="2:12" hidden="1" outlineLevel="1">
      <c r="B263" s="7" t="str">
        <f t="shared" si="10"/>
        <v/>
      </c>
      <c r="C263" s="41"/>
      <c r="D263" s="41"/>
      <c r="E263" s="41"/>
      <c r="F263" s="41"/>
      <c r="G263" s="41"/>
      <c r="H263" s="41"/>
      <c r="I263" s="42"/>
      <c r="J263" s="41"/>
      <c r="K263" s="41"/>
      <c r="L263" s="43"/>
    </row>
    <row r="264" spans="2:12" hidden="1" outlineLevel="1">
      <c r="B264" s="7" t="str">
        <f t="shared" si="10"/>
        <v/>
      </c>
      <c r="C264" s="41"/>
      <c r="D264" s="41"/>
      <c r="E264" s="41"/>
      <c r="F264" s="41"/>
      <c r="G264" s="41"/>
      <c r="H264" s="41"/>
      <c r="I264" s="42"/>
      <c r="J264" s="41"/>
      <c r="K264" s="41"/>
      <c r="L264" s="43"/>
    </row>
    <row r="265" spans="2:12" hidden="1" outlineLevel="1">
      <c r="B265" s="7" t="str">
        <f t="shared" si="10"/>
        <v/>
      </c>
      <c r="C265" s="41"/>
      <c r="D265" s="41"/>
      <c r="E265" s="41"/>
      <c r="F265" s="41"/>
      <c r="G265" s="41"/>
      <c r="H265" s="41"/>
      <c r="I265" s="42"/>
      <c r="J265" s="41"/>
      <c r="K265" s="41"/>
      <c r="L265" s="43"/>
    </row>
    <row r="266" spans="2:12" hidden="1" outlineLevel="1">
      <c r="B266" s="7" t="str">
        <f t="shared" si="10"/>
        <v/>
      </c>
      <c r="C266" s="41"/>
      <c r="D266" s="41"/>
      <c r="E266" s="58"/>
      <c r="F266" s="41"/>
      <c r="G266" s="41"/>
      <c r="H266" s="41"/>
      <c r="I266" s="42"/>
      <c r="J266" s="41"/>
      <c r="K266" s="41"/>
      <c r="L266" s="43"/>
    </row>
    <row r="267" spans="2:12" hidden="1" outlineLevel="1">
      <c r="B267" s="7" t="str">
        <f t="shared" si="10"/>
        <v/>
      </c>
      <c r="C267" s="41"/>
      <c r="D267" s="41"/>
      <c r="E267" s="41"/>
      <c r="F267" s="41"/>
      <c r="G267" s="41"/>
      <c r="H267" s="41"/>
      <c r="I267" s="42"/>
      <c r="J267" s="41"/>
      <c r="K267" s="41"/>
      <c r="L267" s="43"/>
    </row>
    <row r="268" spans="2:12" hidden="1" outlineLevel="1">
      <c r="B268" s="7" t="str">
        <f t="shared" si="10"/>
        <v/>
      </c>
      <c r="C268" s="41"/>
      <c r="D268" s="41"/>
      <c r="E268" s="58"/>
      <c r="F268" s="41"/>
      <c r="G268" s="41"/>
      <c r="H268" s="41"/>
      <c r="I268" s="42"/>
      <c r="J268" s="41"/>
      <c r="K268" s="41"/>
      <c r="L268" s="43"/>
    </row>
    <row r="269" spans="2:12" hidden="1" outlineLevel="1">
      <c r="B269" s="7" t="str">
        <f t="shared" si="10"/>
        <v/>
      </c>
      <c r="C269" s="41"/>
      <c r="D269" s="41"/>
      <c r="E269" s="41"/>
      <c r="F269" s="41"/>
      <c r="G269" s="41"/>
      <c r="H269" s="41"/>
      <c r="I269" s="42"/>
      <c r="J269" s="41"/>
      <c r="K269" s="41"/>
      <c r="L269" s="43"/>
    </row>
    <row r="270" spans="2:12" hidden="1" outlineLevel="1">
      <c r="B270" s="7" t="str">
        <f t="shared" si="10"/>
        <v/>
      </c>
      <c r="C270" s="41"/>
      <c r="D270" s="41"/>
      <c r="E270" s="58"/>
      <c r="F270" s="41"/>
      <c r="G270" s="41"/>
      <c r="H270" s="41"/>
      <c r="I270" s="42"/>
      <c r="J270" s="41"/>
      <c r="K270" s="41"/>
      <c r="L270" s="43"/>
    </row>
    <row r="271" spans="2:12" hidden="1" outlineLevel="1">
      <c r="B271" s="7" t="str">
        <f t="shared" si="10"/>
        <v/>
      </c>
      <c r="C271" s="41"/>
      <c r="D271" s="41"/>
      <c r="E271" s="41"/>
      <c r="F271" s="41"/>
      <c r="G271" s="41"/>
      <c r="H271" s="41"/>
      <c r="I271" s="42"/>
      <c r="J271" s="41"/>
      <c r="K271" s="41"/>
      <c r="L271" s="43"/>
    </row>
    <row r="272" spans="2:12" hidden="1" outlineLevel="1">
      <c r="B272" s="7" t="str">
        <f t="shared" si="10"/>
        <v/>
      </c>
      <c r="C272" s="41"/>
      <c r="D272" s="41"/>
      <c r="E272" s="58"/>
      <c r="F272" s="41"/>
      <c r="G272" s="41"/>
      <c r="H272" s="41"/>
      <c r="I272" s="42"/>
      <c r="J272" s="41"/>
      <c r="K272" s="41"/>
      <c r="L272" s="43"/>
    </row>
    <row r="273" spans="2:12" hidden="1" outlineLevel="1">
      <c r="B273" s="7" t="str">
        <f t="shared" si="10"/>
        <v/>
      </c>
      <c r="C273" s="41"/>
      <c r="D273" s="41"/>
      <c r="E273" s="41"/>
      <c r="F273" s="41"/>
      <c r="G273" s="41"/>
      <c r="H273" s="41"/>
      <c r="I273" s="42"/>
      <c r="J273" s="41"/>
      <c r="K273" s="41"/>
      <c r="L273" s="43"/>
    </row>
    <row r="274" spans="2:12" hidden="1" outlineLevel="1">
      <c r="B274" s="7" t="str">
        <f t="shared" si="10"/>
        <v/>
      </c>
      <c r="C274" s="41"/>
      <c r="D274" s="41"/>
      <c r="E274" s="41"/>
      <c r="F274" s="41"/>
      <c r="G274" s="41"/>
      <c r="H274" s="41"/>
      <c r="I274" s="42"/>
      <c r="J274" s="41"/>
      <c r="K274" s="41"/>
      <c r="L274" s="43"/>
    </row>
    <row r="275" spans="2:12" hidden="1" outlineLevel="1">
      <c r="B275" s="7" t="str">
        <f t="shared" si="10"/>
        <v/>
      </c>
      <c r="C275" s="41"/>
      <c r="D275" s="41"/>
      <c r="E275" s="41"/>
      <c r="F275" s="41"/>
      <c r="G275" s="41"/>
      <c r="H275" s="41"/>
      <c r="I275" s="42"/>
      <c r="J275" s="41"/>
      <c r="K275" s="41"/>
      <c r="L275" s="43"/>
    </row>
    <row r="276" spans="2:12" hidden="1" outlineLevel="1">
      <c r="B276" s="7" t="str">
        <f t="shared" si="10"/>
        <v/>
      </c>
      <c r="C276" s="41"/>
      <c r="D276" s="41"/>
      <c r="E276" s="58"/>
      <c r="F276" s="41"/>
      <c r="G276" s="41"/>
      <c r="H276" s="41"/>
      <c r="I276" s="42"/>
      <c r="J276" s="41"/>
      <c r="K276" s="41"/>
      <c r="L276" s="43"/>
    </row>
    <row r="277" spans="2:12" hidden="1" outlineLevel="1">
      <c r="B277" s="7" t="str">
        <f t="shared" si="10"/>
        <v/>
      </c>
      <c r="C277" s="41"/>
      <c r="D277" s="41"/>
      <c r="E277" s="41"/>
      <c r="F277" s="41"/>
      <c r="G277" s="41"/>
      <c r="H277" s="41"/>
      <c r="I277" s="42"/>
      <c r="J277" s="41"/>
      <c r="K277" s="41"/>
      <c r="L277" s="43"/>
    </row>
    <row r="278" spans="2:12" hidden="1" outlineLevel="1">
      <c r="B278" s="7" t="str">
        <f t="shared" si="10"/>
        <v/>
      </c>
      <c r="C278" s="41"/>
      <c r="D278" s="41"/>
      <c r="E278" s="41"/>
      <c r="F278" s="41"/>
      <c r="G278" s="41"/>
      <c r="H278" s="41"/>
      <c r="I278" s="42"/>
      <c r="J278" s="41"/>
      <c r="K278" s="41"/>
      <c r="L278" s="43"/>
    </row>
    <row r="279" spans="2:12" hidden="1" outlineLevel="1">
      <c r="B279" s="7" t="str">
        <f t="shared" si="10"/>
        <v/>
      </c>
      <c r="C279" s="41"/>
      <c r="D279" s="41"/>
      <c r="E279" s="58"/>
      <c r="F279" s="41"/>
      <c r="G279" s="41"/>
      <c r="H279" s="41"/>
      <c r="I279" s="42"/>
      <c r="J279" s="41"/>
      <c r="K279" s="41"/>
      <c r="L279" s="43"/>
    </row>
    <row r="280" spans="2:12" hidden="1" outlineLevel="1">
      <c r="B280" s="7" t="str">
        <f t="shared" si="10"/>
        <v/>
      </c>
      <c r="C280" s="41"/>
      <c r="D280" s="41"/>
      <c r="E280" s="41"/>
      <c r="F280" s="41"/>
      <c r="G280" s="41"/>
      <c r="H280" s="41"/>
      <c r="I280" s="42"/>
      <c r="J280" s="41"/>
      <c r="K280" s="41"/>
      <c r="L280" s="43"/>
    </row>
    <row r="281" spans="2:12" hidden="1" outlineLevel="1">
      <c r="B281" s="7" t="str">
        <f t="shared" si="10"/>
        <v/>
      </c>
      <c r="C281" s="41"/>
      <c r="D281" s="41"/>
      <c r="E281" s="41"/>
      <c r="F281" s="41"/>
      <c r="G281" s="41"/>
      <c r="H281" s="41"/>
      <c r="I281" s="42"/>
      <c r="J281" s="41"/>
      <c r="K281" s="41"/>
      <c r="L281" s="43"/>
    </row>
    <row r="282" spans="2:12" hidden="1" outlineLevel="1">
      <c r="B282" s="7" t="str">
        <f t="shared" si="10"/>
        <v/>
      </c>
      <c r="C282" s="41"/>
      <c r="D282" s="41"/>
      <c r="E282" s="41"/>
      <c r="F282" s="41"/>
      <c r="G282" s="41"/>
      <c r="H282" s="41"/>
      <c r="I282" s="42"/>
      <c r="J282" s="41"/>
      <c r="K282" s="41"/>
      <c r="L282" s="43"/>
    </row>
    <row r="283" spans="2:12" hidden="1" outlineLevel="1">
      <c r="B283" s="7" t="str">
        <f t="shared" si="10"/>
        <v/>
      </c>
      <c r="C283" s="41"/>
      <c r="D283" s="41"/>
      <c r="E283" s="41"/>
      <c r="F283" s="41"/>
      <c r="G283" s="41"/>
      <c r="H283" s="41"/>
      <c r="I283" s="42"/>
      <c r="J283" s="41"/>
      <c r="K283" s="41"/>
      <c r="L283" s="43"/>
    </row>
    <row r="284" spans="2:12" hidden="1" outlineLevel="1">
      <c r="B284" s="7" t="str">
        <f t="shared" si="10"/>
        <v/>
      </c>
      <c r="C284" s="41"/>
      <c r="D284" s="41"/>
      <c r="E284" s="41"/>
      <c r="F284" s="41"/>
      <c r="G284" s="41"/>
      <c r="H284" s="41"/>
      <c r="I284" s="42"/>
      <c r="J284" s="41"/>
      <c r="K284" s="41"/>
      <c r="L284" s="43"/>
    </row>
    <row r="285" spans="2:12" hidden="1" outlineLevel="1">
      <c r="B285" s="7" t="str">
        <f t="shared" ref="B285:B325" si="11">IF(C285="","",(B284+1))</f>
        <v/>
      </c>
      <c r="C285" s="41"/>
      <c r="D285" s="41"/>
      <c r="E285" s="58"/>
      <c r="F285" s="41"/>
      <c r="G285" s="41"/>
      <c r="H285" s="41"/>
      <c r="I285" s="42"/>
      <c r="J285" s="41"/>
      <c r="K285" s="41"/>
      <c r="L285" s="43"/>
    </row>
    <row r="286" spans="2:12" hidden="1" outlineLevel="1">
      <c r="B286" s="7" t="str">
        <f t="shared" si="11"/>
        <v/>
      </c>
      <c r="C286" s="41"/>
      <c r="D286" s="41"/>
      <c r="E286" s="41"/>
      <c r="F286" s="41"/>
      <c r="G286" s="41"/>
      <c r="H286" s="41"/>
      <c r="I286" s="42"/>
      <c r="J286" s="41"/>
      <c r="K286" s="41"/>
      <c r="L286" s="43"/>
    </row>
    <row r="287" spans="2:12" hidden="1" outlineLevel="1">
      <c r="B287" s="7" t="str">
        <f t="shared" si="11"/>
        <v/>
      </c>
      <c r="C287" s="41"/>
      <c r="D287" s="41"/>
      <c r="E287" s="58"/>
      <c r="F287" s="41"/>
      <c r="G287" s="41"/>
      <c r="H287" s="41"/>
      <c r="I287" s="42"/>
      <c r="J287" s="41"/>
      <c r="K287" s="41"/>
      <c r="L287" s="43"/>
    </row>
    <row r="288" spans="2:12" hidden="1" outlineLevel="1">
      <c r="B288" s="7" t="str">
        <f t="shared" si="11"/>
        <v/>
      </c>
      <c r="C288" s="41"/>
      <c r="D288" s="41"/>
      <c r="E288" s="41"/>
      <c r="F288" s="41"/>
      <c r="G288" s="41"/>
      <c r="H288" s="41"/>
      <c r="I288" s="42"/>
      <c r="J288" s="41"/>
      <c r="K288" s="41"/>
      <c r="L288" s="43"/>
    </row>
    <row r="289" spans="2:12" hidden="1" outlineLevel="1">
      <c r="B289" s="7" t="str">
        <f t="shared" si="11"/>
        <v/>
      </c>
      <c r="C289" s="41"/>
      <c r="D289" s="41"/>
      <c r="E289" s="41"/>
      <c r="F289" s="41"/>
      <c r="G289" s="41"/>
      <c r="H289" s="41"/>
      <c r="I289" s="42"/>
      <c r="J289" s="41"/>
      <c r="K289" s="41"/>
      <c r="L289" s="43"/>
    </row>
    <row r="290" spans="2:12" hidden="1" outlineLevel="1">
      <c r="B290" s="7" t="str">
        <f t="shared" si="11"/>
        <v/>
      </c>
      <c r="C290" s="41"/>
      <c r="D290" s="41"/>
      <c r="E290" s="41"/>
      <c r="F290" s="41"/>
      <c r="G290" s="41"/>
      <c r="H290" s="41"/>
      <c r="I290" s="42"/>
      <c r="J290" s="41"/>
      <c r="K290" s="41"/>
      <c r="L290" s="43"/>
    </row>
    <row r="291" spans="2:12" hidden="1" outlineLevel="1">
      <c r="B291" s="7" t="str">
        <f t="shared" si="11"/>
        <v/>
      </c>
      <c r="C291" s="41"/>
      <c r="D291" s="41"/>
      <c r="E291" s="41"/>
      <c r="F291" s="41"/>
      <c r="G291" s="41"/>
      <c r="H291" s="41"/>
      <c r="I291" s="42"/>
      <c r="J291" s="41"/>
      <c r="K291" s="41"/>
      <c r="L291" s="43"/>
    </row>
    <row r="292" spans="2:12" hidden="1" outlineLevel="1">
      <c r="B292" s="7" t="str">
        <f t="shared" si="11"/>
        <v/>
      </c>
      <c r="C292" s="41"/>
      <c r="D292" s="41"/>
      <c r="E292" s="41"/>
      <c r="F292" s="41"/>
      <c r="G292" s="41"/>
      <c r="H292" s="41"/>
      <c r="I292" s="42"/>
      <c r="J292" s="41"/>
      <c r="K292" s="41"/>
      <c r="L292" s="43"/>
    </row>
    <row r="293" spans="2:12" hidden="1" outlineLevel="1">
      <c r="B293" s="7" t="str">
        <f t="shared" si="11"/>
        <v/>
      </c>
      <c r="C293" s="41"/>
      <c r="D293" s="41"/>
      <c r="E293" s="41"/>
      <c r="F293" s="41"/>
      <c r="G293" s="41"/>
      <c r="H293" s="41"/>
      <c r="I293" s="42"/>
      <c r="J293" s="41"/>
      <c r="K293" s="41"/>
      <c r="L293" s="43"/>
    </row>
    <row r="294" spans="2:12" hidden="1" outlineLevel="1">
      <c r="B294" s="7" t="str">
        <f t="shared" si="11"/>
        <v/>
      </c>
      <c r="C294" s="41"/>
      <c r="D294" s="41"/>
      <c r="E294" s="41"/>
      <c r="F294" s="41"/>
      <c r="G294" s="41"/>
      <c r="H294" s="41"/>
      <c r="I294" s="42"/>
      <c r="J294" s="41"/>
      <c r="K294" s="41"/>
      <c r="L294" s="43"/>
    </row>
    <row r="295" spans="2:12" hidden="1" outlineLevel="1">
      <c r="B295" s="7" t="str">
        <f t="shared" si="11"/>
        <v/>
      </c>
      <c r="C295" s="41"/>
      <c r="D295" s="41"/>
      <c r="E295" s="41"/>
      <c r="F295" s="41"/>
      <c r="G295" s="41"/>
      <c r="H295" s="41"/>
      <c r="I295" s="42"/>
      <c r="J295" s="41"/>
      <c r="K295" s="41"/>
      <c r="L295" s="43"/>
    </row>
    <row r="296" spans="2:12" hidden="1" outlineLevel="1">
      <c r="B296" s="7" t="str">
        <f t="shared" si="11"/>
        <v/>
      </c>
      <c r="C296" s="41"/>
      <c r="D296" s="41"/>
      <c r="E296" s="41"/>
      <c r="F296" s="41"/>
      <c r="G296" s="41"/>
      <c r="H296" s="41"/>
      <c r="I296" s="42"/>
      <c r="J296" s="41"/>
      <c r="K296" s="41"/>
      <c r="L296" s="43"/>
    </row>
    <row r="297" spans="2:12" hidden="1" outlineLevel="1">
      <c r="B297" s="7" t="str">
        <f t="shared" si="11"/>
        <v/>
      </c>
      <c r="C297" s="41"/>
      <c r="D297" s="41"/>
      <c r="E297" s="41"/>
      <c r="F297" s="41"/>
      <c r="G297" s="41"/>
      <c r="H297" s="41"/>
      <c r="I297" s="42"/>
      <c r="J297" s="41"/>
      <c r="K297" s="41"/>
      <c r="L297" s="43"/>
    </row>
    <row r="298" spans="2:12" hidden="1" outlineLevel="1">
      <c r="B298" s="7" t="str">
        <f t="shared" si="11"/>
        <v/>
      </c>
      <c r="C298" s="41"/>
      <c r="D298" s="41"/>
      <c r="E298" s="41"/>
      <c r="F298" s="41"/>
      <c r="G298" s="41"/>
      <c r="H298" s="41"/>
      <c r="I298" s="42"/>
      <c r="J298" s="41"/>
      <c r="K298" s="41"/>
      <c r="L298" s="43"/>
    </row>
    <row r="299" spans="2:12" hidden="1" outlineLevel="1">
      <c r="B299" s="7" t="str">
        <f t="shared" si="11"/>
        <v/>
      </c>
      <c r="C299" s="41"/>
      <c r="D299" s="41"/>
      <c r="E299" s="41"/>
      <c r="F299" s="41"/>
      <c r="G299" s="41"/>
      <c r="H299" s="41"/>
      <c r="I299" s="42"/>
      <c r="J299" s="41"/>
      <c r="K299" s="41"/>
      <c r="L299" s="43"/>
    </row>
    <row r="300" spans="2:12" hidden="1" outlineLevel="1">
      <c r="B300" s="7" t="str">
        <f t="shared" si="11"/>
        <v/>
      </c>
      <c r="C300" s="41"/>
      <c r="D300" s="41"/>
      <c r="E300" s="41"/>
      <c r="F300" s="41"/>
      <c r="G300" s="41"/>
      <c r="H300" s="41"/>
      <c r="I300" s="42"/>
      <c r="J300" s="41"/>
      <c r="K300" s="41"/>
      <c r="L300" s="43"/>
    </row>
    <row r="301" spans="2:12" hidden="1" outlineLevel="1">
      <c r="B301" s="7" t="str">
        <f t="shared" si="11"/>
        <v/>
      </c>
      <c r="C301" s="41"/>
      <c r="D301" s="41"/>
      <c r="E301" s="41"/>
      <c r="F301" s="41"/>
      <c r="G301" s="41"/>
      <c r="H301" s="41"/>
      <c r="I301" s="42"/>
      <c r="J301" s="41"/>
      <c r="K301" s="41"/>
      <c r="L301" s="43"/>
    </row>
    <row r="302" spans="2:12" hidden="1" outlineLevel="1">
      <c r="B302" s="7" t="str">
        <f t="shared" si="11"/>
        <v/>
      </c>
      <c r="C302" s="41"/>
      <c r="D302" s="41"/>
      <c r="E302" s="41"/>
      <c r="F302" s="41"/>
      <c r="G302" s="41"/>
      <c r="H302" s="41"/>
      <c r="I302" s="42"/>
      <c r="J302" s="41"/>
      <c r="K302" s="41"/>
      <c r="L302" s="43"/>
    </row>
    <row r="303" spans="2:12" hidden="1" outlineLevel="1">
      <c r="B303" s="7" t="str">
        <f t="shared" si="11"/>
        <v/>
      </c>
      <c r="C303" s="41"/>
      <c r="D303" s="41"/>
      <c r="E303" s="41"/>
      <c r="F303" s="41"/>
      <c r="G303" s="41"/>
      <c r="H303" s="41"/>
      <c r="I303" s="42"/>
      <c r="J303" s="41"/>
      <c r="K303" s="41"/>
      <c r="L303" s="43"/>
    </row>
    <row r="304" spans="2:12" hidden="1" outlineLevel="1">
      <c r="B304" s="7" t="str">
        <f t="shared" si="11"/>
        <v/>
      </c>
      <c r="C304" s="41"/>
      <c r="D304" s="41"/>
      <c r="E304" s="41"/>
      <c r="F304" s="41"/>
      <c r="G304" s="41"/>
      <c r="H304" s="41"/>
      <c r="I304" s="42"/>
      <c r="J304" s="41"/>
      <c r="K304" s="41"/>
      <c r="L304" s="43"/>
    </row>
    <row r="305" spans="2:12" hidden="1" outlineLevel="1">
      <c r="B305" s="7" t="str">
        <f t="shared" si="11"/>
        <v/>
      </c>
      <c r="C305" s="41"/>
      <c r="D305" s="41"/>
      <c r="E305" s="41"/>
      <c r="F305" s="41"/>
      <c r="G305" s="41"/>
      <c r="H305" s="41"/>
      <c r="I305" s="42"/>
      <c r="J305" s="41"/>
      <c r="K305" s="41"/>
      <c r="L305" s="43"/>
    </row>
    <row r="306" spans="2:12" hidden="1" outlineLevel="1">
      <c r="B306" s="7" t="str">
        <f t="shared" si="11"/>
        <v/>
      </c>
      <c r="C306" s="41"/>
      <c r="D306" s="41"/>
      <c r="E306" s="41"/>
      <c r="F306" s="41"/>
      <c r="G306" s="41"/>
      <c r="H306" s="41"/>
      <c r="I306" s="42"/>
      <c r="J306" s="41"/>
      <c r="K306" s="41"/>
      <c r="L306" s="43"/>
    </row>
    <row r="307" spans="2:12" hidden="1" outlineLevel="1">
      <c r="B307" s="7" t="str">
        <f t="shared" si="11"/>
        <v/>
      </c>
      <c r="C307" s="41"/>
      <c r="D307" s="41"/>
      <c r="E307" s="41"/>
      <c r="F307" s="41"/>
      <c r="G307" s="41"/>
      <c r="H307" s="41"/>
      <c r="I307" s="42"/>
      <c r="J307" s="41"/>
      <c r="K307" s="41"/>
      <c r="L307" s="43"/>
    </row>
    <row r="308" spans="2:12" hidden="1" outlineLevel="1">
      <c r="B308" s="7" t="str">
        <f t="shared" si="11"/>
        <v/>
      </c>
      <c r="C308" s="41"/>
      <c r="D308" s="41"/>
      <c r="E308" s="41"/>
      <c r="F308" s="41"/>
      <c r="G308" s="41"/>
      <c r="H308" s="41"/>
      <c r="I308" s="42"/>
      <c r="J308" s="41"/>
      <c r="K308" s="41"/>
      <c r="L308" s="43"/>
    </row>
    <row r="309" spans="2:12" hidden="1" outlineLevel="1">
      <c r="B309" s="7" t="str">
        <f t="shared" si="11"/>
        <v/>
      </c>
      <c r="C309" s="41"/>
      <c r="D309" s="41"/>
      <c r="E309" s="41"/>
      <c r="F309" s="41"/>
      <c r="G309" s="41"/>
      <c r="H309" s="41"/>
      <c r="I309" s="42"/>
      <c r="J309" s="41"/>
      <c r="K309" s="41"/>
      <c r="L309" s="43"/>
    </row>
    <row r="310" spans="2:12" hidden="1" outlineLevel="1">
      <c r="B310" s="7" t="str">
        <f t="shared" si="11"/>
        <v/>
      </c>
      <c r="C310" s="41"/>
      <c r="D310" s="41"/>
      <c r="E310" s="41"/>
      <c r="F310" s="41"/>
      <c r="G310" s="41"/>
      <c r="H310" s="41"/>
      <c r="I310" s="42"/>
      <c r="J310" s="41"/>
      <c r="K310" s="41"/>
      <c r="L310" s="43"/>
    </row>
    <row r="311" spans="2:12" hidden="1" outlineLevel="1">
      <c r="B311" s="7" t="str">
        <f t="shared" si="11"/>
        <v/>
      </c>
      <c r="C311" s="41"/>
      <c r="D311" s="41"/>
      <c r="E311" s="41"/>
      <c r="F311" s="41"/>
      <c r="G311" s="41"/>
      <c r="H311" s="41"/>
      <c r="I311" s="42"/>
      <c r="J311" s="41"/>
      <c r="K311" s="41"/>
      <c r="L311" s="43"/>
    </row>
    <row r="312" spans="2:12" hidden="1" outlineLevel="1">
      <c r="B312" s="7" t="str">
        <f t="shared" si="11"/>
        <v/>
      </c>
      <c r="C312" s="41"/>
      <c r="D312" s="41"/>
      <c r="E312" s="41"/>
      <c r="F312" s="41"/>
      <c r="G312" s="41"/>
      <c r="H312" s="41"/>
      <c r="I312" s="42"/>
      <c r="J312" s="41"/>
      <c r="K312" s="41"/>
      <c r="L312" s="43"/>
    </row>
    <row r="313" spans="2:12" hidden="1" outlineLevel="1">
      <c r="B313" s="7" t="str">
        <f t="shared" si="11"/>
        <v/>
      </c>
      <c r="C313" s="41"/>
      <c r="D313" s="41"/>
      <c r="E313" s="41"/>
      <c r="F313" s="41"/>
      <c r="G313" s="41"/>
      <c r="H313" s="41"/>
      <c r="I313" s="42"/>
      <c r="J313" s="41"/>
      <c r="K313" s="41"/>
      <c r="L313" s="43"/>
    </row>
    <row r="314" spans="2:12" hidden="1" outlineLevel="1">
      <c r="B314" s="7" t="str">
        <f t="shared" si="11"/>
        <v/>
      </c>
      <c r="C314" s="41"/>
      <c r="D314" s="41"/>
      <c r="E314" s="41"/>
      <c r="F314" s="41"/>
      <c r="G314" s="41"/>
      <c r="H314" s="41"/>
      <c r="I314" s="42"/>
      <c r="J314" s="41"/>
      <c r="K314" s="41"/>
      <c r="L314" s="43"/>
    </row>
    <row r="315" spans="2:12" hidden="1" outlineLevel="1">
      <c r="B315" s="7" t="str">
        <f t="shared" si="11"/>
        <v/>
      </c>
      <c r="C315" s="41"/>
      <c r="D315" s="41"/>
      <c r="E315" s="41"/>
      <c r="F315" s="41"/>
      <c r="G315" s="41"/>
      <c r="H315" s="41"/>
      <c r="I315" s="42"/>
      <c r="J315" s="41"/>
      <c r="K315" s="41"/>
      <c r="L315" s="43"/>
    </row>
    <row r="316" spans="2:12" hidden="1" outlineLevel="1">
      <c r="B316" s="7" t="str">
        <f t="shared" si="11"/>
        <v/>
      </c>
      <c r="C316" s="41"/>
      <c r="D316" s="41"/>
      <c r="E316" s="41"/>
      <c r="F316" s="41"/>
      <c r="G316" s="41"/>
      <c r="H316" s="41"/>
      <c r="I316" s="42"/>
      <c r="J316" s="41"/>
      <c r="K316" s="41"/>
      <c r="L316" s="43"/>
    </row>
    <row r="317" spans="2:12" hidden="1" outlineLevel="1">
      <c r="B317" s="7" t="str">
        <f t="shared" si="11"/>
        <v/>
      </c>
      <c r="C317" s="41"/>
      <c r="D317" s="41"/>
      <c r="E317" s="41"/>
      <c r="F317" s="41"/>
      <c r="G317" s="41"/>
      <c r="H317" s="41"/>
      <c r="I317" s="42"/>
      <c r="J317" s="41"/>
      <c r="K317" s="41"/>
      <c r="L317" s="43"/>
    </row>
    <row r="318" spans="2:12" hidden="1" outlineLevel="1">
      <c r="B318" s="7" t="str">
        <f t="shared" si="11"/>
        <v/>
      </c>
      <c r="C318" s="41"/>
      <c r="D318" s="41"/>
      <c r="E318" s="41"/>
      <c r="F318" s="41"/>
      <c r="G318" s="41"/>
      <c r="H318" s="41"/>
      <c r="I318" s="42"/>
      <c r="J318" s="41"/>
      <c r="K318" s="41"/>
      <c r="L318" s="43"/>
    </row>
    <row r="319" spans="2:12" hidden="1" outlineLevel="1">
      <c r="B319" s="7" t="str">
        <f t="shared" si="11"/>
        <v/>
      </c>
      <c r="C319" s="41"/>
      <c r="D319" s="41"/>
      <c r="E319" s="41"/>
      <c r="F319" s="41"/>
      <c r="G319" s="41"/>
      <c r="H319" s="41"/>
      <c r="I319" s="42"/>
      <c r="J319" s="41"/>
      <c r="K319" s="41"/>
      <c r="L319" s="43"/>
    </row>
    <row r="320" spans="2:12" hidden="1" outlineLevel="1">
      <c r="B320" s="7" t="str">
        <f t="shared" si="11"/>
        <v/>
      </c>
      <c r="C320" s="41"/>
      <c r="D320" s="41"/>
      <c r="E320" s="41"/>
      <c r="F320" s="41"/>
      <c r="G320" s="41"/>
      <c r="H320" s="41"/>
      <c r="I320" s="42"/>
      <c r="J320" s="41"/>
      <c r="K320" s="41"/>
      <c r="L320" s="43"/>
    </row>
    <row r="321" spans="2:12" hidden="1" outlineLevel="1">
      <c r="B321" s="7" t="str">
        <f t="shared" si="11"/>
        <v/>
      </c>
      <c r="C321" s="41"/>
      <c r="D321" s="41"/>
      <c r="E321" s="41"/>
      <c r="F321" s="41"/>
      <c r="G321" s="41"/>
      <c r="H321" s="41"/>
      <c r="I321" s="42"/>
      <c r="J321" s="41"/>
      <c r="K321" s="41"/>
      <c r="L321" s="43"/>
    </row>
    <row r="322" spans="2:12" hidden="1" outlineLevel="1">
      <c r="B322" s="7" t="str">
        <f t="shared" si="11"/>
        <v/>
      </c>
      <c r="C322" s="41"/>
      <c r="D322" s="41"/>
      <c r="E322" s="41"/>
      <c r="F322" s="41"/>
      <c r="G322" s="41"/>
      <c r="H322" s="41"/>
      <c r="I322" s="42"/>
      <c r="J322" s="41"/>
      <c r="K322" s="41"/>
      <c r="L322" s="43"/>
    </row>
    <row r="323" spans="2:12" hidden="1" outlineLevel="1">
      <c r="B323" s="7" t="str">
        <f t="shared" si="11"/>
        <v/>
      </c>
      <c r="C323" s="41"/>
      <c r="D323" s="41"/>
      <c r="E323" s="41"/>
      <c r="F323" s="41"/>
      <c r="G323" s="41"/>
      <c r="H323" s="41"/>
      <c r="I323" s="42"/>
      <c r="J323" s="41"/>
      <c r="K323" s="41"/>
      <c r="L323" s="43"/>
    </row>
    <row r="324" spans="2:12" hidden="1" outlineLevel="1">
      <c r="B324" s="7" t="str">
        <f t="shared" si="11"/>
        <v/>
      </c>
      <c r="C324" s="41"/>
      <c r="D324" s="41"/>
      <c r="E324" s="41"/>
      <c r="F324" s="41"/>
      <c r="G324" s="41"/>
      <c r="H324" s="41"/>
      <c r="I324" s="42"/>
      <c r="J324" s="41"/>
      <c r="K324" s="41"/>
      <c r="L324" s="43"/>
    </row>
    <row r="325" spans="2:12" hidden="1" outlineLevel="1">
      <c r="B325" s="7" t="str">
        <f t="shared" si="11"/>
        <v/>
      </c>
      <c r="C325" s="41"/>
      <c r="D325" s="41"/>
      <c r="E325" s="41"/>
      <c r="F325" s="41"/>
      <c r="G325" s="41"/>
      <c r="H325" s="41"/>
      <c r="I325" s="42"/>
      <c r="J325" s="41"/>
      <c r="K325" s="41"/>
      <c r="L325" s="43"/>
    </row>
    <row r="326" spans="2:12" hidden="1" outlineLevel="1">
      <c r="B326" s="7" t="str">
        <f t="shared" ref="B326:B342" si="12">IF(C326="","",(B325+1))</f>
        <v/>
      </c>
      <c r="C326" s="41"/>
      <c r="D326" s="41"/>
      <c r="E326" s="41"/>
      <c r="F326" s="41"/>
      <c r="G326" s="41"/>
      <c r="H326" s="41"/>
      <c r="I326" s="42"/>
      <c r="J326" s="41"/>
      <c r="K326" s="41"/>
      <c r="L326" s="43"/>
    </row>
    <row r="327" spans="2:12" hidden="1" outlineLevel="1">
      <c r="B327" s="7" t="str">
        <f t="shared" si="12"/>
        <v/>
      </c>
      <c r="C327" s="41"/>
      <c r="D327" s="41"/>
      <c r="E327" s="41"/>
      <c r="F327" s="41"/>
      <c r="G327" s="41"/>
      <c r="H327" s="41"/>
      <c r="I327" s="42"/>
      <c r="J327" s="41"/>
      <c r="K327" s="41"/>
      <c r="L327" s="43"/>
    </row>
    <row r="328" spans="2:12" hidden="1" outlineLevel="1">
      <c r="B328" s="7" t="str">
        <f t="shared" si="12"/>
        <v/>
      </c>
      <c r="C328" s="41"/>
      <c r="D328" s="41"/>
      <c r="E328" s="41"/>
      <c r="F328" s="41"/>
      <c r="G328" s="41"/>
      <c r="H328" s="41"/>
      <c r="I328" s="42"/>
      <c r="J328" s="41"/>
      <c r="K328" s="41"/>
      <c r="L328" s="43"/>
    </row>
    <row r="329" spans="2:12" hidden="1" outlineLevel="1">
      <c r="B329" s="7" t="str">
        <f t="shared" si="12"/>
        <v/>
      </c>
      <c r="C329" s="41"/>
      <c r="D329" s="41"/>
      <c r="E329" s="41"/>
      <c r="F329" s="41"/>
      <c r="G329" s="41"/>
      <c r="H329" s="41"/>
      <c r="I329" s="42"/>
      <c r="J329" s="41"/>
      <c r="K329" s="41"/>
      <c r="L329" s="43"/>
    </row>
    <row r="330" spans="2:12" hidden="1" outlineLevel="1">
      <c r="B330" s="7" t="str">
        <f t="shared" si="12"/>
        <v/>
      </c>
      <c r="C330" s="41"/>
      <c r="D330" s="41"/>
      <c r="E330" s="41"/>
      <c r="F330" s="41"/>
      <c r="G330" s="41"/>
      <c r="H330" s="41"/>
      <c r="I330" s="42"/>
      <c r="J330" s="41"/>
      <c r="K330" s="41"/>
      <c r="L330" s="43"/>
    </row>
    <row r="331" spans="2:12" hidden="1" outlineLevel="1">
      <c r="B331" s="7" t="str">
        <f t="shared" si="12"/>
        <v/>
      </c>
      <c r="C331" s="41"/>
      <c r="D331" s="41"/>
      <c r="E331" s="41"/>
      <c r="F331" s="41"/>
      <c r="G331" s="41"/>
      <c r="H331" s="41"/>
      <c r="I331" s="42"/>
      <c r="J331" s="41"/>
      <c r="K331" s="41"/>
      <c r="L331" s="43"/>
    </row>
    <row r="332" spans="2:12" hidden="1" outlineLevel="1">
      <c r="B332" s="7" t="str">
        <f t="shared" si="12"/>
        <v/>
      </c>
      <c r="C332" s="41"/>
      <c r="D332" s="41"/>
      <c r="E332" s="41"/>
      <c r="F332" s="41"/>
      <c r="G332" s="41"/>
      <c r="H332" s="41"/>
      <c r="I332" s="42"/>
      <c r="J332" s="41"/>
      <c r="K332" s="41"/>
      <c r="L332" s="43"/>
    </row>
    <row r="333" spans="2:12" hidden="1" outlineLevel="1">
      <c r="B333" s="7" t="str">
        <f t="shared" si="12"/>
        <v/>
      </c>
      <c r="C333" s="41"/>
      <c r="D333" s="41"/>
      <c r="E333" s="41"/>
      <c r="F333" s="41"/>
      <c r="G333" s="41"/>
      <c r="H333" s="41"/>
      <c r="I333" s="42"/>
      <c r="J333" s="41"/>
      <c r="K333" s="41"/>
      <c r="L333" s="43"/>
    </row>
    <row r="334" spans="2:12" hidden="1" outlineLevel="1">
      <c r="B334" s="7" t="str">
        <f t="shared" si="12"/>
        <v/>
      </c>
      <c r="C334" s="41"/>
      <c r="D334" s="41"/>
      <c r="E334" s="41"/>
      <c r="F334" s="41"/>
      <c r="G334" s="41"/>
      <c r="H334" s="41"/>
      <c r="I334" s="42"/>
      <c r="J334" s="41"/>
      <c r="K334" s="41"/>
      <c r="L334" s="43"/>
    </row>
    <row r="335" spans="2:12" hidden="1" outlineLevel="1">
      <c r="B335" s="7" t="str">
        <f t="shared" si="12"/>
        <v/>
      </c>
      <c r="C335" s="41"/>
      <c r="D335" s="41"/>
      <c r="E335" s="41"/>
      <c r="F335" s="41"/>
      <c r="G335" s="41"/>
      <c r="H335" s="41"/>
      <c r="I335" s="42"/>
      <c r="J335" s="41"/>
      <c r="K335" s="41"/>
      <c r="L335" s="43"/>
    </row>
    <row r="336" spans="2:12" hidden="1" outlineLevel="1">
      <c r="B336" s="7" t="str">
        <f t="shared" si="12"/>
        <v/>
      </c>
      <c r="C336" s="41"/>
      <c r="D336" s="41"/>
      <c r="E336" s="41"/>
      <c r="F336" s="41"/>
      <c r="G336" s="41"/>
      <c r="H336" s="41"/>
      <c r="I336" s="42"/>
      <c r="J336" s="41"/>
      <c r="K336" s="41"/>
      <c r="L336" s="43"/>
    </row>
    <row r="337" spans="2:12" hidden="1" outlineLevel="1">
      <c r="B337" s="7" t="str">
        <f t="shared" si="12"/>
        <v/>
      </c>
      <c r="C337" s="41"/>
      <c r="D337" s="41"/>
      <c r="E337" s="41"/>
      <c r="F337" s="41"/>
      <c r="G337" s="41"/>
      <c r="H337" s="41"/>
      <c r="I337" s="42"/>
      <c r="J337" s="41"/>
      <c r="K337" s="41"/>
      <c r="L337" s="43"/>
    </row>
    <row r="338" spans="2:12" hidden="1" outlineLevel="1">
      <c r="B338" s="7" t="str">
        <f t="shared" si="12"/>
        <v/>
      </c>
      <c r="C338" s="41"/>
      <c r="D338" s="41"/>
      <c r="E338" s="41"/>
      <c r="F338" s="41"/>
      <c r="G338" s="41"/>
      <c r="H338" s="41"/>
      <c r="I338" s="42"/>
      <c r="J338" s="41"/>
      <c r="K338" s="41"/>
      <c r="L338" s="43"/>
    </row>
    <row r="339" spans="2:12" hidden="1" outlineLevel="1">
      <c r="B339" s="7" t="str">
        <f t="shared" si="12"/>
        <v/>
      </c>
      <c r="C339" s="41"/>
      <c r="D339" s="41"/>
      <c r="E339" s="41"/>
      <c r="F339" s="41"/>
      <c r="G339" s="41"/>
      <c r="H339" s="41"/>
      <c r="I339" s="42"/>
      <c r="J339" s="41"/>
      <c r="K339" s="41"/>
      <c r="L339" s="43"/>
    </row>
    <row r="340" spans="2:12" hidden="1" outlineLevel="1">
      <c r="B340" s="7" t="str">
        <f t="shared" si="12"/>
        <v/>
      </c>
      <c r="C340" s="41"/>
      <c r="D340" s="41"/>
      <c r="E340" s="41"/>
      <c r="F340" s="41"/>
      <c r="G340" s="41"/>
      <c r="H340" s="41"/>
      <c r="I340" s="42"/>
      <c r="J340" s="41"/>
      <c r="K340" s="41"/>
      <c r="L340" s="43"/>
    </row>
    <row r="341" spans="2:12" hidden="1" outlineLevel="1">
      <c r="B341" s="7" t="str">
        <f t="shared" si="12"/>
        <v/>
      </c>
      <c r="C341" s="1"/>
      <c r="D341" s="1"/>
      <c r="E341" s="1"/>
      <c r="F341" s="1"/>
      <c r="G341" s="1"/>
      <c r="H341" s="1"/>
      <c r="I341" s="36"/>
      <c r="J341" s="1"/>
      <c r="K341" s="1"/>
      <c r="L341" s="2"/>
    </row>
    <row r="342" spans="2:12" ht="15.75" hidden="1" outlineLevel="1" thickBot="1">
      <c r="B342" s="7" t="str">
        <f t="shared" si="12"/>
        <v/>
      </c>
      <c r="C342" s="38"/>
      <c r="D342" s="38"/>
      <c r="E342" s="38"/>
      <c r="F342" s="38"/>
      <c r="G342" s="38"/>
      <c r="H342" s="38"/>
      <c r="I342" s="38"/>
      <c r="J342" s="38"/>
      <c r="K342" s="38"/>
      <c r="L342" s="39"/>
    </row>
    <row r="343" spans="2:12" ht="24" customHeight="1" collapsed="1" thickBot="1">
      <c r="B343" s="320" t="s">
        <v>59</v>
      </c>
      <c r="C343" s="321"/>
      <c r="D343" s="321"/>
      <c r="E343" s="321"/>
      <c r="F343" s="321"/>
      <c r="G343" s="321"/>
      <c r="H343" s="321"/>
      <c r="I343" s="321"/>
      <c r="J343" s="321"/>
      <c r="K343" s="321"/>
      <c r="L343" s="322"/>
    </row>
    <row r="344" spans="2:12" ht="24" customHeight="1" thickBot="1">
      <c r="B344" s="26" t="s">
        <v>49</v>
      </c>
      <c r="C344" s="27" t="s">
        <v>60</v>
      </c>
      <c r="D344" s="27" t="s">
        <v>62</v>
      </c>
      <c r="E344" s="27" t="s">
        <v>63</v>
      </c>
      <c r="F344" s="27" t="s">
        <v>64</v>
      </c>
      <c r="G344" s="27" t="s">
        <v>65</v>
      </c>
      <c r="H344" s="27" t="s">
        <v>66</v>
      </c>
      <c r="I344" s="27" t="s">
        <v>67</v>
      </c>
      <c r="J344" s="27" t="s">
        <v>6</v>
      </c>
      <c r="K344" s="27" t="s">
        <v>7</v>
      </c>
      <c r="L344" s="28" t="s">
        <v>68</v>
      </c>
    </row>
    <row r="345" spans="2:12">
      <c r="B345" s="46" t="s">
        <v>8</v>
      </c>
      <c r="C345" s="41">
        <f>COUNTIFS(B91:B342,"&gt;"&amp;0,C91:C342,"="&amp;B345)</f>
        <v>0</v>
      </c>
      <c r="D345" s="41">
        <f>COUNTIFS(B91:B342,"&gt;="&amp;1,C91:C342,B345,K91:K342,"&gt;="&amp;0,K91:K342,"&lt;"&amp;50)</f>
        <v>0</v>
      </c>
      <c r="E345" s="41">
        <f>COUNTIFS(B91:B342,"&gt;="&amp;1,C91:C342,B345,K91:K342,"&gt;="&amp;50,K91:K342,"&lt;"&amp;500)</f>
        <v>0</v>
      </c>
      <c r="F345" s="41">
        <f>COUNTIFS(B91:B342,"&gt;="&amp;1,C91:C342,B345,K91:K342,"&gt;="&amp;500)</f>
        <v>0</v>
      </c>
      <c r="G345" s="41">
        <f>COUNTIFS(B91:B342,"&gt;="&amp;1,C91:C342,B345,K91:K342,"&gt;="&amp;0,I91:I342,"&gt;"&amp;DATE(2021,1,1))</f>
        <v>0</v>
      </c>
      <c r="H345" s="47" t="str">
        <f>IF(G345=0,"-",(SUM(E345,F345)/G345))</f>
        <v>-</v>
      </c>
      <c r="I345" s="41">
        <f>IF((COUNTIFS(B91:B342,"&gt;="&amp;1,C91:C342,"="&amp;B345))&gt;228,228,(COUNTIFS(B91:B342,"&gt;="&amp;1,C91:C342,"="&amp;B345)))</f>
        <v>0</v>
      </c>
      <c r="J345" s="47" t="str">
        <f>IF(I345=0,"-",(COUNTIFS(C91:C342,"="&amp;B345,I91:I342,"&lt;="&amp;DATE(2024,12,31),K91:K342,"&gt;="&amp;0)/I345))</f>
        <v>-</v>
      </c>
      <c r="K345" s="47" t="str">
        <f>IF(I345=0,"-",IF(J345=1,"-",(COUNTIFS(B91:B342,"&gt;"&amp;0,C91:C342,"="&amp;B345,I91:I342,"&gt;"&amp;DATE(2024,12,31),K91:K342,"&gt;="&amp;0)/(I345-COUNTIFS(B91:B342,"&gt;"&amp;0,C91:C342,"="&amp;B345,I91:I342,"&lt;="&amp;DATE(2024,12,31),K91:K342,"&gt;="&amp;0)))))</f>
        <v>-</v>
      </c>
      <c r="L345" s="48" t="str">
        <f>IF(I345=0,"-",G345/I345)</f>
        <v>-</v>
      </c>
    </row>
    <row r="346" spans="2:12">
      <c r="B346" s="7" t="s">
        <v>9</v>
      </c>
      <c r="C346" s="1">
        <f>COUNTIFS(B91:B342,"&gt;"&amp;0,C91:C342,"="&amp;B346)</f>
        <v>0</v>
      </c>
      <c r="D346" s="1">
        <f>COUNTIFS(B91:B342,"&gt;="&amp;1,C91:C342,B346,K91:K342,"&gt;="&amp;0,K91:K342,"&lt;"&amp;50)</f>
        <v>0</v>
      </c>
      <c r="E346" s="1">
        <f>COUNTIFS(B91:B342,"&gt;="&amp;1,C91:C342,B346,K91:K342,"&gt;="&amp;50,K91:K342,"&lt;"&amp;500)</f>
        <v>0</v>
      </c>
      <c r="F346" s="1">
        <f>COUNTIFS(B91:B342,"&gt;="&amp;1,C91:C342,B346,K91:K342,"&gt;="&amp;500)</f>
        <v>0</v>
      </c>
      <c r="G346" s="1">
        <f>COUNTIFS(B91:B342,"&gt;="&amp;1,C91:C342,B346,K91:K342,"&gt;="&amp;0,I91:I342,"&gt;"&amp;DATE(2021,1,1))</f>
        <v>0</v>
      </c>
      <c r="H346" s="44" t="str">
        <f t="shared" ref="H346:H348" si="13">IF(G346=0,"-",(SUM(E346,F346)/G346))</f>
        <v>-</v>
      </c>
      <c r="I346" s="1">
        <f>IF((COUNTIFS(B91:B342,"&gt;="&amp;1,C91:C342,"="&amp;B346))&gt;228,228,(COUNTIFS(B91:B342,"&gt;="&amp;1,C91:C342,"="&amp;B346)))</f>
        <v>0</v>
      </c>
      <c r="J346" s="44" t="str">
        <f>IF(I346=0,"-",(COUNTIFS(C91:C342,"="&amp;B346,I91:I342,"&lt;="&amp;DATE(2024,12,31),K91:K342,"&gt;="&amp;0)/I346))</f>
        <v>-</v>
      </c>
      <c r="K346" s="47" t="str">
        <f>IF(I346=0,"-",IF(J346=1,"-",(COUNTIFS(B91:B342,"&gt;"&amp;0,C91:C342,"="&amp;B346,I91:I342,"&gt;"&amp;DATE(2024,12,31),K91:K342,"&gt;="&amp;0)/(I346-COUNTIFS(B91:B342,"&gt;"&amp;0,C91:C342,"="&amp;B346,I91:I342,"&lt;="&amp;DATE(2024,12,31),K91:K342,"&gt;="&amp;0)))))</f>
        <v>-</v>
      </c>
      <c r="L346" s="45" t="str">
        <f t="shared" ref="L346:L348" si="14">IF(I346=0,"-",G346/I346)</f>
        <v>-</v>
      </c>
    </row>
    <row r="347" spans="2:12">
      <c r="B347" s="7" t="s">
        <v>69</v>
      </c>
      <c r="C347" s="1">
        <f>COUNTIFS(B91:B342,"&gt;"&amp;0,C91:C342,"="&amp;B347)</f>
        <v>0</v>
      </c>
      <c r="D347" s="1">
        <f>COUNTIFS(B91:B342,"&gt;="&amp;1,C91:C342,B347,K91:K342,"&gt;="&amp;0,K91:K342,"&lt;"&amp;50)</f>
        <v>0</v>
      </c>
      <c r="E347" s="1">
        <f>COUNTIFS(B91:B342,"&gt;="&amp;1,C91:C342,B347,K91:K342,"&gt;="&amp;50,K91:K342,"&lt;"&amp;500)</f>
        <v>0</v>
      </c>
      <c r="F347" s="1">
        <f>COUNTIFS(B91:B341,"&gt;="&amp;1,C91:C341,B347,K91:K341,"&gt;="&amp;500)</f>
        <v>0</v>
      </c>
      <c r="G347" s="1">
        <f>COUNTIFS(B91:B342,"&gt;="&amp;1,C91:C342,B347,K91:K342,"&gt;="&amp;0,I91:I342,"&gt;"&amp;DATE(2021,1,1))</f>
        <v>0</v>
      </c>
      <c r="H347" s="44" t="str">
        <f t="shared" si="13"/>
        <v>-</v>
      </c>
      <c r="I347" s="1">
        <f>IF((COUNTIFS(B91:B341,"&gt;="&amp;1,C91:C341,"="&amp;B347))&gt;228,228,(COUNTIFS(B91:B341,"&gt;="&amp;1,C91:C341,"="&amp;B347)))</f>
        <v>0</v>
      </c>
      <c r="J347" s="44" t="str">
        <f>IF(I347=0,"-",(COUNTIFS(C91:C342,"="&amp;B347,I91:I342,"&lt;="&amp;DATE(2024,12,31),K91:K342,"&gt;="&amp;0)/I347))</f>
        <v>-</v>
      </c>
      <c r="K347" s="47" t="str">
        <f>IF(I347=0,"-",IF(J347=1,"-",(COUNTIFS(B91:B342,"&gt;"&amp;0,C91:C342,"="&amp;B347,I91:I342,"&gt;"&amp;DATE(2024,12,31),K91:K342,"&gt;="&amp;0)/(I347-COUNTIFS(B91:B342,"&gt;"&amp;0,C91:C342,"="&amp;B347,I91:I342,"&lt;="&amp;DATE(2024,12,31),K91:K342,"&gt;="&amp;0)))))</f>
        <v>-</v>
      </c>
      <c r="L347" s="45" t="str">
        <f t="shared" si="14"/>
        <v>-</v>
      </c>
    </row>
    <row r="348" spans="2:12" ht="24" customHeight="1" thickBot="1">
      <c r="B348" s="49" t="s">
        <v>59</v>
      </c>
      <c r="C348" s="50">
        <f>SUM(C345:C347)</f>
        <v>0</v>
      </c>
      <c r="D348" s="50">
        <f>SUM(D345:D347)</f>
        <v>0</v>
      </c>
      <c r="E348" s="50">
        <f>SUM(E345:E347)</f>
        <v>0</v>
      </c>
      <c r="F348" s="50">
        <f>SUM(F345:F347)</f>
        <v>0</v>
      </c>
      <c r="G348" s="50">
        <f>SUM(G345:G347)</f>
        <v>0</v>
      </c>
      <c r="H348" s="51" t="str">
        <f t="shared" si="13"/>
        <v>-</v>
      </c>
      <c r="I348" s="50">
        <f>SUM(I345:I347)</f>
        <v>0</v>
      </c>
      <c r="J348" s="51" t="str">
        <f>IF(I348=0,"-",(COUNTIFS(I91:I342,"&lt;="&amp;DATE(2024,12,31),K91:K342,"&gt;="&amp;0)/I348))</f>
        <v>-</v>
      </c>
      <c r="K348" s="51" t="str">
        <f>IF(I348=0,"-",IF(J348=1,"-",(COUNTIFS(B91:B342,"&gt;"&amp;0,I91:I342,"&gt;"&amp;DATE(2024,12,31),K91:K342,"&gt;="&amp;0)/(I348-COUNTIFS(B91:B342,"&gt;"&amp;0,I91:I342,"&lt;="&amp;DATE(2024,12,31),K91:K342,"&gt;="&amp;0)))))</f>
        <v>-</v>
      </c>
      <c r="L348" s="52" t="str">
        <f t="shared" si="14"/>
        <v>-</v>
      </c>
    </row>
    <row r="350" spans="2:12" ht="15.75" thickBot="1"/>
    <row r="351" spans="2:12" ht="32.25" customHeight="1" thickBot="1">
      <c r="B351" s="320" t="str">
        <f>_xlfn.CONCAT("Outros Equipamentos ( TSAs,Chaves a Óleo entre Outros)",TEXT(IF(SUM(I455:I457)=0," ",(SUM(G455:G457)/SUM(I455:I457))), " 0,00%"))</f>
        <v xml:space="preserve">Outros Equipamentos ( TSAs,Chaves a Óleo entre Outros) </v>
      </c>
      <c r="C351" s="321"/>
      <c r="D351" s="321"/>
      <c r="E351" s="321"/>
      <c r="F351" s="321"/>
      <c r="G351" s="321"/>
      <c r="H351" s="321"/>
      <c r="I351" s="321"/>
      <c r="J351" s="321"/>
      <c r="K351" s="321"/>
      <c r="L351" s="322"/>
    </row>
    <row r="352" spans="2:12" ht="24" hidden="1" customHeight="1" outlineLevel="1" thickBot="1">
      <c r="B352" s="26" t="s">
        <v>48</v>
      </c>
      <c r="C352" s="27" t="s">
        <v>49</v>
      </c>
      <c r="D352" s="27" t="s">
        <v>50</v>
      </c>
      <c r="E352" s="27" t="s">
        <v>51</v>
      </c>
      <c r="F352" s="27" t="s">
        <v>52</v>
      </c>
      <c r="G352" s="27" t="s">
        <v>53</v>
      </c>
      <c r="H352" s="27" t="s">
        <v>54</v>
      </c>
      <c r="I352" s="27" t="s">
        <v>55</v>
      </c>
      <c r="J352" s="27" t="s">
        <v>56</v>
      </c>
      <c r="K352" s="27" t="s">
        <v>57</v>
      </c>
      <c r="L352" s="28" t="s">
        <v>58</v>
      </c>
    </row>
    <row r="353" spans="2:12" ht="15.75" hidden="1" outlineLevel="1" thickBot="1">
      <c r="B353" s="40" t="str">
        <f>IF(C353="","",ROW($A$1))</f>
        <v/>
      </c>
      <c r="C353" s="41"/>
      <c r="D353" s="41"/>
      <c r="E353" s="41"/>
      <c r="F353" s="41"/>
      <c r="G353" s="41"/>
      <c r="H353" s="41"/>
      <c r="I353" s="42"/>
      <c r="J353" s="41"/>
      <c r="K353" s="41"/>
      <c r="L353" s="43"/>
    </row>
    <row r="354" spans="2:12" ht="15.75" hidden="1" outlineLevel="1" thickBot="1">
      <c r="B354" s="35" t="str">
        <f>IF(C354="","",(B353+1))</f>
        <v/>
      </c>
      <c r="C354" s="41"/>
      <c r="D354" s="41"/>
      <c r="E354" s="41"/>
      <c r="F354" s="41"/>
      <c r="G354" s="41"/>
      <c r="H354" s="41"/>
      <c r="I354" s="42"/>
      <c r="J354" s="41"/>
      <c r="K354" s="41"/>
      <c r="L354" s="43"/>
    </row>
    <row r="355" spans="2:12" ht="15.75" hidden="1" outlineLevel="1" thickBot="1">
      <c r="B355" s="35" t="str">
        <f t="shared" ref="B355:B418" si="15">IF(C355="","",(B354+1))</f>
        <v/>
      </c>
      <c r="C355" s="41"/>
      <c r="D355" s="41"/>
      <c r="E355" s="41"/>
      <c r="F355" s="41"/>
      <c r="G355" s="41"/>
      <c r="H355" s="41"/>
      <c r="I355" s="42"/>
      <c r="J355" s="41"/>
      <c r="K355" s="41"/>
      <c r="L355" s="43"/>
    </row>
    <row r="356" spans="2:12" ht="15.75" hidden="1" outlineLevel="1" thickBot="1">
      <c r="B356" s="35" t="str">
        <f t="shared" si="15"/>
        <v/>
      </c>
      <c r="C356" s="41"/>
      <c r="D356" s="41"/>
      <c r="E356" s="41"/>
      <c r="F356" s="41"/>
      <c r="G356" s="41"/>
      <c r="H356" s="41"/>
      <c r="I356" s="42"/>
      <c r="J356" s="41"/>
      <c r="K356" s="41"/>
      <c r="L356" s="43"/>
    </row>
    <row r="357" spans="2:12" ht="15.75" hidden="1" outlineLevel="1" thickBot="1">
      <c r="B357" s="35" t="str">
        <f t="shared" si="15"/>
        <v/>
      </c>
      <c r="C357" s="41"/>
      <c r="D357" s="41"/>
      <c r="E357" s="41"/>
      <c r="F357" s="41"/>
      <c r="G357" s="41"/>
      <c r="H357" s="41"/>
      <c r="I357" s="42"/>
      <c r="J357" s="41"/>
      <c r="K357" s="41"/>
      <c r="L357" s="43"/>
    </row>
    <row r="358" spans="2:12" ht="15.75" hidden="1" outlineLevel="1" thickBot="1">
      <c r="B358" s="35" t="str">
        <f t="shared" si="15"/>
        <v/>
      </c>
      <c r="C358" s="41"/>
      <c r="D358" s="41"/>
      <c r="E358" s="41"/>
      <c r="F358" s="41"/>
      <c r="G358" s="41"/>
      <c r="H358" s="41"/>
      <c r="I358" s="42"/>
      <c r="J358" s="41"/>
      <c r="K358" s="41"/>
      <c r="L358" s="43"/>
    </row>
    <row r="359" spans="2:12" ht="15.75" hidden="1" outlineLevel="1" thickBot="1">
      <c r="B359" s="35" t="str">
        <f t="shared" si="15"/>
        <v/>
      </c>
      <c r="C359" s="41"/>
      <c r="D359" s="41"/>
      <c r="E359" s="41"/>
      <c r="F359" s="41"/>
      <c r="G359" s="41"/>
      <c r="H359" s="41"/>
      <c r="I359" s="42"/>
      <c r="J359" s="41"/>
      <c r="K359" s="41"/>
      <c r="L359" s="43"/>
    </row>
    <row r="360" spans="2:12" ht="15.75" hidden="1" outlineLevel="1" thickBot="1">
      <c r="B360" s="35" t="str">
        <f t="shared" si="15"/>
        <v/>
      </c>
      <c r="C360" s="41"/>
      <c r="D360" s="41"/>
      <c r="E360" s="41"/>
      <c r="F360" s="41"/>
      <c r="G360" s="41"/>
      <c r="H360" s="41"/>
      <c r="I360" s="42"/>
      <c r="J360" s="41"/>
      <c r="K360" s="41"/>
      <c r="L360" s="43"/>
    </row>
    <row r="361" spans="2:12" ht="15.75" hidden="1" outlineLevel="1" thickBot="1">
      <c r="B361" s="35" t="str">
        <f t="shared" si="15"/>
        <v/>
      </c>
      <c r="C361" s="41"/>
      <c r="D361" s="41"/>
      <c r="E361" s="41"/>
      <c r="F361" s="41"/>
      <c r="G361" s="41"/>
      <c r="H361" s="41"/>
      <c r="I361" s="42"/>
      <c r="J361" s="41"/>
      <c r="K361" s="41"/>
      <c r="L361" s="43"/>
    </row>
    <row r="362" spans="2:12" ht="15.75" hidden="1" outlineLevel="1" thickBot="1">
      <c r="B362" s="35" t="str">
        <f t="shared" si="15"/>
        <v/>
      </c>
      <c r="C362" s="41"/>
      <c r="D362" s="41"/>
      <c r="E362" s="41"/>
      <c r="F362" s="41"/>
      <c r="G362" s="41"/>
      <c r="H362" s="41"/>
      <c r="I362" s="42"/>
      <c r="J362" s="41"/>
      <c r="K362" s="41"/>
      <c r="L362" s="43"/>
    </row>
    <row r="363" spans="2:12" ht="15.75" hidden="1" outlineLevel="1" thickBot="1">
      <c r="B363" s="35" t="str">
        <f t="shared" si="15"/>
        <v/>
      </c>
      <c r="C363" s="41"/>
      <c r="D363" s="41"/>
      <c r="E363" s="41"/>
      <c r="F363" s="41"/>
      <c r="G363" s="41"/>
      <c r="H363" s="41"/>
      <c r="I363" s="42"/>
      <c r="J363" s="41"/>
      <c r="K363" s="41"/>
      <c r="L363" s="43"/>
    </row>
    <row r="364" spans="2:12" ht="15.75" hidden="1" outlineLevel="1" thickBot="1">
      <c r="B364" s="40" t="str">
        <f t="shared" si="15"/>
        <v/>
      </c>
      <c r="C364" s="41"/>
      <c r="D364" s="41"/>
      <c r="E364" s="41"/>
      <c r="F364" s="41"/>
      <c r="G364" s="41"/>
      <c r="H364" s="41"/>
      <c r="I364" s="42"/>
      <c r="J364" s="41"/>
      <c r="K364" s="41"/>
      <c r="L364" s="43"/>
    </row>
    <row r="365" spans="2:12" ht="15.75" hidden="1" outlineLevel="1" thickBot="1">
      <c r="B365" s="40" t="str">
        <f t="shared" si="15"/>
        <v/>
      </c>
      <c r="C365" s="41"/>
      <c r="D365" s="41"/>
      <c r="E365" s="41"/>
      <c r="F365" s="41"/>
      <c r="G365" s="41"/>
      <c r="H365" s="41"/>
      <c r="I365" s="42"/>
      <c r="J365" s="41"/>
      <c r="K365" s="41"/>
      <c r="L365" s="43"/>
    </row>
    <row r="366" spans="2:12" ht="15.75" hidden="1" outlineLevel="1" thickBot="1">
      <c r="B366" s="40" t="str">
        <f t="shared" si="15"/>
        <v/>
      </c>
      <c r="C366" s="41"/>
      <c r="D366" s="41"/>
      <c r="E366" s="41"/>
      <c r="F366" s="41"/>
      <c r="G366" s="41"/>
      <c r="H366" s="41"/>
      <c r="I366" s="42"/>
      <c r="J366" s="41"/>
      <c r="K366" s="41"/>
      <c r="L366" s="43"/>
    </row>
    <row r="367" spans="2:12" ht="15.75" hidden="1" outlineLevel="1" thickBot="1">
      <c r="B367" s="40" t="str">
        <f t="shared" si="15"/>
        <v/>
      </c>
      <c r="C367" s="41"/>
      <c r="D367" s="41"/>
      <c r="E367" s="41"/>
      <c r="F367" s="41"/>
      <c r="G367" s="41"/>
      <c r="H367" s="41"/>
      <c r="I367" s="42"/>
      <c r="J367" s="41"/>
      <c r="K367" s="41"/>
      <c r="L367" s="43"/>
    </row>
    <row r="368" spans="2:12" ht="15.75" hidden="1" outlineLevel="1" thickBot="1">
      <c r="B368" s="40" t="str">
        <f t="shared" si="15"/>
        <v/>
      </c>
      <c r="C368" s="41"/>
      <c r="D368" s="41"/>
      <c r="E368" s="41"/>
      <c r="F368" s="41"/>
      <c r="G368" s="41"/>
      <c r="H368" s="41"/>
      <c r="I368" s="42"/>
      <c r="J368" s="41"/>
      <c r="K368" s="41"/>
      <c r="L368" s="43"/>
    </row>
    <row r="369" spans="2:12" ht="15.75" hidden="1" outlineLevel="1" thickBot="1">
      <c r="B369" s="40" t="str">
        <f t="shared" si="15"/>
        <v/>
      </c>
      <c r="C369" s="41"/>
      <c r="D369" s="41"/>
      <c r="E369" s="41"/>
      <c r="F369" s="41"/>
      <c r="G369" s="41"/>
      <c r="H369" s="41"/>
      <c r="I369" s="42"/>
      <c r="J369" s="41"/>
      <c r="K369" s="41"/>
      <c r="L369" s="43"/>
    </row>
    <row r="370" spans="2:12" ht="15.75" hidden="1" outlineLevel="1" thickBot="1">
      <c r="B370" s="40" t="str">
        <f t="shared" si="15"/>
        <v/>
      </c>
      <c r="C370" s="41"/>
      <c r="D370" s="41"/>
      <c r="E370" s="41"/>
      <c r="F370" s="41"/>
      <c r="G370" s="41"/>
      <c r="H370" s="41"/>
      <c r="I370" s="42"/>
      <c r="J370" s="41"/>
      <c r="K370" s="41"/>
      <c r="L370" s="43"/>
    </row>
    <row r="371" spans="2:12" ht="15.75" hidden="1" outlineLevel="1" thickBot="1">
      <c r="B371" s="40" t="str">
        <f t="shared" si="15"/>
        <v/>
      </c>
      <c r="C371" s="41"/>
      <c r="D371" s="41"/>
      <c r="E371" s="41"/>
      <c r="F371" s="41"/>
      <c r="G371" s="41"/>
      <c r="H371" s="41"/>
      <c r="I371" s="42"/>
      <c r="J371" s="41"/>
      <c r="K371" s="41"/>
      <c r="L371" s="43"/>
    </row>
    <row r="372" spans="2:12" ht="15.75" hidden="1" outlineLevel="1" thickBot="1">
      <c r="B372" s="40" t="str">
        <f t="shared" si="15"/>
        <v/>
      </c>
      <c r="C372" s="41"/>
      <c r="D372" s="41"/>
      <c r="E372" s="41"/>
      <c r="F372" s="41"/>
      <c r="G372" s="41"/>
      <c r="H372" s="41"/>
      <c r="I372" s="42"/>
      <c r="J372" s="41"/>
      <c r="K372" s="41"/>
      <c r="L372" s="43"/>
    </row>
    <row r="373" spans="2:12" ht="15.75" hidden="1" outlineLevel="1" thickBot="1">
      <c r="B373" s="40" t="str">
        <f t="shared" si="15"/>
        <v/>
      </c>
      <c r="C373" s="41"/>
      <c r="D373" s="41"/>
      <c r="E373" s="41"/>
      <c r="F373" s="41"/>
      <c r="G373" s="41"/>
      <c r="H373" s="41"/>
      <c r="I373" s="42"/>
      <c r="J373" s="41"/>
      <c r="K373" s="41"/>
      <c r="L373" s="43"/>
    </row>
    <row r="374" spans="2:12" ht="15.75" hidden="1" outlineLevel="1" thickBot="1">
      <c r="B374" s="40" t="str">
        <f t="shared" si="15"/>
        <v/>
      </c>
      <c r="C374" s="41"/>
      <c r="D374" s="41"/>
      <c r="E374" s="41"/>
      <c r="F374" s="41"/>
      <c r="G374" s="41"/>
      <c r="H374" s="41"/>
      <c r="I374" s="42"/>
      <c r="J374" s="41"/>
      <c r="K374" s="41"/>
      <c r="L374" s="43"/>
    </row>
    <row r="375" spans="2:12" ht="15.75" hidden="1" outlineLevel="1" thickBot="1">
      <c r="B375" s="40" t="str">
        <f t="shared" si="15"/>
        <v/>
      </c>
      <c r="C375" s="41"/>
      <c r="D375" s="41"/>
      <c r="E375" s="41"/>
      <c r="F375" s="41"/>
      <c r="G375" s="41"/>
      <c r="H375" s="41"/>
      <c r="I375" s="42"/>
      <c r="J375" s="41"/>
      <c r="K375" s="41"/>
      <c r="L375" s="43"/>
    </row>
    <row r="376" spans="2:12" ht="15.75" hidden="1" outlineLevel="1" thickBot="1">
      <c r="B376" s="40" t="str">
        <f t="shared" si="15"/>
        <v/>
      </c>
      <c r="C376" s="41"/>
      <c r="D376" s="41"/>
      <c r="E376" s="41"/>
      <c r="F376" s="41"/>
      <c r="G376" s="41"/>
      <c r="H376" s="41"/>
      <c r="I376" s="42"/>
      <c r="J376" s="41"/>
      <c r="K376" s="41"/>
      <c r="L376" s="43"/>
    </row>
    <row r="377" spans="2:12" ht="15.75" hidden="1" outlineLevel="1" thickBot="1">
      <c r="B377" s="40" t="str">
        <f t="shared" si="15"/>
        <v/>
      </c>
      <c r="C377" s="41"/>
      <c r="D377" s="41"/>
      <c r="E377" s="41"/>
      <c r="F377" s="41"/>
      <c r="G377" s="41"/>
      <c r="H377" s="41"/>
      <c r="I377" s="42"/>
      <c r="J377" s="41"/>
      <c r="K377" s="41"/>
      <c r="L377" s="43"/>
    </row>
    <row r="378" spans="2:12" ht="15.75" hidden="1" outlineLevel="1" thickBot="1">
      <c r="B378" s="40" t="str">
        <f t="shared" si="15"/>
        <v/>
      </c>
      <c r="C378" s="41"/>
      <c r="D378" s="41"/>
      <c r="E378" s="41"/>
      <c r="F378" s="41"/>
      <c r="G378" s="41"/>
      <c r="H378" s="41"/>
      <c r="I378" s="42"/>
      <c r="J378" s="41"/>
      <c r="K378" s="41"/>
      <c r="L378" s="43"/>
    </row>
    <row r="379" spans="2:12" ht="15.75" hidden="1" outlineLevel="1" thickBot="1">
      <c r="B379" s="40" t="str">
        <f t="shared" si="15"/>
        <v/>
      </c>
      <c r="C379" s="41"/>
      <c r="D379" s="41"/>
      <c r="E379" s="41"/>
      <c r="F379" s="41"/>
      <c r="G379" s="41"/>
      <c r="H379" s="41"/>
      <c r="I379" s="42"/>
      <c r="J379" s="41"/>
      <c r="K379" s="41"/>
      <c r="L379" s="43"/>
    </row>
    <row r="380" spans="2:12" ht="15.75" hidden="1" outlineLevel="1" thickBot="1">
      <c r="B380" s="40" t="str">
        <f t="shared" si="15"/>
        <v/>
      </c>
      <c r="C380" s="41"/>
      <c r="D380" s="41"/>
      <c r="E380" s="41"/>
      <c r="F380" s="41"/>
      <c r="G380" s="41"/>
      <c r="H380" s="41"/>
      <c r="I380" s="42"/>
      <c r="J380" s="41"/>
      <c r="K380" s="41"/>
      <c r="L380" s="43"/>
    </row>
    <row r="381" spans="2:12" ht="15.75" hidden="1" outlineLevel="1" thickBot="1">
      <c r="B381" s="40" t="str">
        <f t="shared" si="15"/>
        <v/>
      </c>
      <c r="C381" s="41"/>
      <c r="D381" s="41"/>
      <c r="E381" s="41"/>
      <c r="F381" s="41"/>
      <c r="G381" s="41"/>
      <c r="H381" s="41"/>
      <c r="I381" s="42"/>
      <c r="J381" s="41"/>
      <c r="K381" s="41"/>
      <c r="L381" s="43"/>
    </row>
    <row r="382" spans="2:12" ht="15.75" hidden="1" outlineLevel="1" thickBot="1">
      <c r="B382" s="40" t="str">
        <f t="shared" si="15"/>
        <v/>
      </c>
      <c r="C382" s="41"/>
      <c r="D382" s="41"/>
      <c r="E382" s="41"/>
      <c r="F382" s="41"/>
      <c r="G382" s="41"/>
      <c r="H382" s="41"/>
      <c r="I382" s="42"/>
      <c r="J382" s="41"/>
      <c r="K382" s="41"/>
      <c r="L382" s="43"/>
    </row>
    <row r="383" spans="2:12" ht="15.75" hidden="1" outlineLevel="1" thickBot="1">
      <c r="B383" s="40" t="str">
        <f t="shared" si="15"/>
        <v/>
      </c>
      <c r="C383" s="41"/>
      <c r="D383" s="41"/>
      <c r="E383" s="41"/>
      <c r="F383" s="41"/>
      <c r="G383" s="41"/>
      <c r="H383" s="41"/>
      <c r="I383" s="42"/>
      <c r="J383" s="41"/>
      <c r="K383" s="41"/>
      <c r="L383" s="43"/>
    </row>
    <row r="384" spans="2:12" ht="15.75" hidden="1" outlineLevel="1" thickBot="1">
      <c r="B384" s="40" t="str">
        <f t="shared" si="15"/>
        <v/>
      </c>
      <c r="C384" s="41"/>
      <c r="D384" s="41"/>
      <c r="E384" s="41"/>
      <c r="F384" s="41"/>
      <c r="G384" s="41"/>
      <c r="H384" s="41"/>
      <c r="I384" s="42"/>
      <c r="J384" s="41"/>
      <c r="K384" s="41"/>
      <c r="L384" s="43"/>
    </row>
    <row r="385" spans="2:12" ht="15.75" hidden="1" outlineLevel="1" thickBot="1">
      <c r="B385" s="40" t="str">
        <f t="shared" si="15"/>
        <v/>
      </c>
      <c r="C385" s="41"/>
      <c r="D385" s="41"/>
      <c r="E385" s="41"/>
      <c r="F385" s="41"/>
      <c r="G385" s="41"/>
      <c r="H385" s="41"/>
      <c r="I385" s="42"/>
      <c r="J385" s="41"/>
      <c r="K385" s="41"/>
      <c r="L385" s="43"/>
    </row>
    <row r="386" spans="2:12" ht="15.75" hidden="1" outlineLevel="1" thickBot="1">
      <c r="B386" s="40" t="str">
        <f t="shared" si="15"/>
        <v/>
      </c>
      <c r="C386" s="41"/>
      <c r="D386" s="41"/>
      <c r="E386" s="41"/>
      <c r="F386" s="41"/>
      <c r="G386" s="41"/>
      <c r="H386" s="41"/>
      <c r="I386" s="42"/>
      <c r="J386" s="41"/>
      <c r="K386" s="41"/>
      <c r="L386" s="43"/>
    </row>
    <row r="387" spans="2:12" ht="15.75" hidden="1" outlineLevel="1" thickBot="1">
      <c r="B387" s="40" t="str">
        <f t="shared" si="15"/>
        <v/>
      </c>
      <c r="C387" s="41"/>
      <c r="D387" s="41"/>
      <c r="E387" s="41"/>
      <c r="F387" s="41"/>
      <c r="G387" s="41"/>
      <c r="H387" s="41"/>
      <c r="I387" s="42"/>
      <c r="J387" s="41"/>
      <c r="K387" s="41"/>
      <c r="L387" s="43"/>
    </row>
    <row r="388" spans="2:12" ht="15.75" hidden="1" outlineLevel="1" thickBot="1">
      <c r="B388" s="40" t="str">
        <f t="shared" si="15"/>
        <v/>
      </c>
      <c r="C388" s="41"/>
      <c r="D388" s="41"/>
      <c r="E388" s="41"/>
      <c r="F388" s="41"/>
      <c r="G388" s="41"/>
      <c r="H388" s="41"/>
      <c r="I388" s="42"/>
      <c r="J388" s="41"/>
      <c r="K388" s="41"/>
      <c r="L388" s="43"/>
    </row>
    <row r="389" spans="2:12" ht="15.75" hidden="1" outlineLevel="1" thickBot="1">
      <c r="B389" s="40" t="str">
        <f t="shared" si="15"/>
        <v/>
      </c>
      <c r="C389" s="41"/>
      <c r="D389" s="41"/>
      <c r="E389" s="41"/>
      <c r="F389" s="41"/>
      <c r="G389" s="41"/>
      <c r="H389" s="41"/>
      <c r="I389" s="42"/>
      <c r="J389" s="41"/>
      <c r="K389" s="41"/>
      <c r="L389" s="43"/>
    </row>
    <row r="390" spans="2:12" ht="15.75" hidden="1" outlineLevel="1" thickBot="1">
      <c r="B390" s="40" t="str">
        <f t="shared" si="15"/>
        <v/>
      </c>
      <c r="C390" s="41"/>
      <c r="D390" s="41"/>
      <c r="E390" s="41"/>
      <c r="F390" s="41"/>
      <c r="G390" s="41"/>
      <c r="H390" s="41"/>
      <c r="I390" s="42"/>
      <c r="J390" s="41"/>
      <c r="K390" s="41"/>
      <c r="L390" s="43"/>
    </row>
    <row r="391" spans="2:12" ht="15.75" hidden="1" outlineLevel="1" thickBot="1">
      <c r="B391" s="40" t="str">
        <f t="shared" si="15"/>
        <v/>
      </c>
      <c r="C391" s="41"/>
      <c r="D391" s="41"/>
      <c r="E391" s="41"/>
      <c r="F391" s="41"/>
      <c r="G391" s="41"/>
      <c r="H391" s="41"/>
      <c r="I391" s="42"/>
      <c r="J391" s="41"/>
      <c r="K391" s="41"/>
      <c r="L391" s="43"/>
    </row>
    <row r="392" spans="2:12" ht="15.75" hidden="1" outlineLevel="1" thickBot="1">
      <c r="B392" s="40" t="str">
        <f t="shared" si="15"/>
        <v/>
      </c>
      <c r="C392" s="41"/>
      <c r="D392" s="41"/>
      <c r="E392" s="41"/>
      <c r="F392" s="41"/>
      <c r="G392" s="41"/>
      <c r="H392" s="41"/>
      <c r="I392" s="42"/>
      <c r="J392" s="41"/>
      <c r="K392" s="41"/>
      <c r="L392" s="43"/>
    </row>
    <row r="393" spans="2:12" ht="15.75" hidden="1" outlineLevel="1" thickBot="1">
      <c r="B393" s="40" t="str">
        <f t="shared" si="15"/>
        <v/>
      </c>
      <c r="C393" s="41"/>
      <c r="D393" s="41"/>
      <c r="E393" s="41"/>
      <c r="F393" s="41"/>
      <c r="G393" s="41"/>
      <c r="H393" s="41"/>
      <c r="I393" s="42"/>
      <c r="J393" s="41"/>
      <c r="K393" s="41"/>
      <c r="L393" s="43"/>
    </row>
    <row r="394" spans="2:12" ht="15.75" hidden="1" outlineLevel="1" thickBot="1">
      <c r="B394" s="40" t="str">
        <f t="shared" si="15"/>
        <v/>
      </c>
      <c r="C394" s="41"/>
      <c r="D394" s="41"/>
      <c r="E394" s="41"/>
      <c r="F394" s="41"/>
      <c r="G394" s="41"/>
      <c r="H394" s="41"/>
      <c r="I394" s="42"/>
      <c r="J394" s="41"/>
      <c r="K394" s="41"/>
      <c r="L394" s="43"/>
    </row>
    <row r="395" spans="2:12" ht="15.75" hidden="1" outlineLevel="1" thickBot="1">
      <c r="B395" s="40" t="str">
        <f t="shared" si="15"/>
        <v/>
      </c>
      <c r="C395" s="41"/>
      <c r="D395" s="41"/>
      <c r="E395" s="41"/>
      <c r="F395" s="41"/>
      <c r="G395" s="41"/>
      <c r="H395" s="41"/>
      <c r="I395" s="42"/>
      <c r="J395" s="41"/>
      <c r="K395" s="41"/>
      <c r="L395" s="43"/>
    </row>
    <row r="396" spans="2:12" ht="15.75" hidden="1" outlineLevel="1" thickBot="1">
      <c r="B396" s="40" t="str">
        <f t="shared" si="15"/>
        <v/>
      </c>
      <c r="C396" s="41"/>
      <c r="D396" s="41"/>
      <c r="E396" s="41"/>
      <c r="F396" s="41"/>
      <c r="G396" s="41"/>
      <c r="H396" s="41"/>
      <c r="I396" s="42"/>
      <c r="J396" s="41"/>
      <c r="K396" s="41"/>
      <c r="L396" s="43"/>
    </row>
    <row r="397" spans="2:12" ht="15.75" hidden="1" outlineLevel="1" thickBot="1">
      <c r="B397" s="40" t="str">
        <f t="shared" si="15"/>
        <v/>
      </c>
      <c r="C397" s="41"/>
      <c r="D397" s="41"/>
      <c r="E397" s="41"/>
      <c r="F397" s="41"/>
      <c r="G397" s="41"/>
      <c r="H397" s="41"/>
      <c r="I397" s="42"/>
      <c r="J397" s="41"/>
      <c r="K397" s="41"/>
      <c r="L397" s="43"/>
    </row>
    <row r="398" spans="2:12" ht="15.75" hidden="1" outlineLevel="1" thickBot="1">
      <c r="B398" s="40" t="str">
        <f t="shared" si="15"/>
        <v/>
      </c>
      <c r="C398" s="41"/>
      <c r="D398" s="41"/>
      <c r="E398" s="41"/>
      <c r="F398" s="41"/>
      <c r="G398" s="41"/>
      <c r="H398" s="41"/>
      <c r="I398" s="42"/>
      <c r="J398" s="41"/>
      <c r="K398" s="41"/>
      <c r="L398" s="43"/>
    </row>
    <row r="399" spans="2:12" ht="15.75" hidden="1" outlineLevel="1" thickBot="1">
      <c r="B399" s="40" t="str">
        <f t="shared" si="15"/>
        <v/>
      </c>
      <c r="C399" s="41"/>
      <c r="D399" s="41"/>
      <c r="E399" s="41"/>
      <c r="F399" s="41"/>
      <c r="G399" s="41"/>
      <c r="H399" s="41"/>
      <c r="I399" s="42"/>
      <c r="J399" s="41"/>
      <c r="K399" s="41"/>
      <c r="L399" s="43"/>
    </row>
    <row r="400" spans="2:12" ht="15.75" hidden="1" outlineLevel="1" thickBot="1">
      <c r="B400" s="40" t="str">
        <f t="shared" si="15"/>
        <v/>
      </c>
      <c r="C400" s="41"/>
      <c r="D400" s="41"/>
      <c r="E400" s="41"/>
      <c r="F400" s="41"/>
      <c r="G400" s="41"/>
      <c r="H400" s="41"/>
      <c r="I400" s="42"/>
      <c r="J400" s="41"/>
      <c r="K400" s="41"/>
      <c r="L400" s="43"/>
    </row>
    <row r="401" spans="2:12" ht="15.75" hidden="1" outlineLevel="1" thickBot="1">
      <c r="B401" s="40" t="str">
        <f t="shared" si="15"/>
        <v/>
      </c>
      <c r="C401" s="41"/>
      <c r="D401" s="41"/>
      <c r="E401" s="41"/>
      <c r="F401" s="41"/>
      <c r="G401" s="41"/>
      <c r="H401" s="41"/>
      <c r="I401" s="42"/>
      <c r="J401" s="41"/>
      <c r="K401" s="41"/>
      <c r="L401" s="43"/>
    </row>
    <row r="402" spans="2:12" ht="15.75" hidden="1" outlineLevel="1" thickBot="1">
      <c r="B402" s="40" t="str">
        <f t="shared" si="15"/>
        <v/>
      </c>
      <c r="C402" s="41"/>
      <c r="D402" s="41"/>
      <c r="E402" s="41"/>
      <c r="F402" s="41"/>
      <c r="G402" s="41"/>
      <c r="H402" s="41"/>
      <c r="I402" s="42"/>
      <c r="J402" s="41"/>
      <c r="K402" s="41"/>
      <c r="L402" s="43"/>
    </row>
    <row r="403" spans="2:12" ht="15.75" hidden="1" outlineLevel="1" thickBot="1">
      <c r="B403" s="40" t="str">
        <f t="shared" si="15"/>
        <v/>
      </c>
      <c r="C403" s="41"/>
      <c r="D403" s="41"/>
      <c r="E403" s="41"/>
      <c r="F403" s="41"/>
      <c r="G403" s="41"/>
      <c r="H403" s="41"/>
      <c r="I403" s="42"/>
      <c r="J403" s="41"/>
      <c r="K403" s="41"/>
      <c r="L403" s="43"/>
    </row>
    <row r="404" spans="2:12" ht="15.75" hidden="1" outlineLevel="1" thickBot="1">
      <c r="B404" s="40" t="str">
        <f t="shared" si="15"/>
        <v/>
      </c>
      <c r="C404" s="41"/>
      <c r="D404" s="41"/>
      <c r="E404" s="41"/>
      <c r="F404" s="41"/>
      <c r="G404" s="41"/>
      <c r="H404" s="41"/>
      <c r="I404" s="42"/>
      <c r="J404" s="41"/>
      <c r="K404" s="41"/>
      <c r="L404" s="43"/>
    </row>
    <row r="405" spans="2:12" ht="15.75" hidden="1" outlineLevel="1" thickBot="1">
      <c r="B405" s="40" t="str">
        <f t="shared" si="15"/>
        <v/>
      </c>
      <c r="C405" s="41"/>
      <c r="D405" s="41"/>
      <c r="E405" s="41"/>
      <c r="F405" s="41"/>
      <c r="G405" s="41"/>
      <c r="H405" s="41"/>
      <c r="I405" s="42"/>
      <c r="J405" s="41"/>
      <c r="K405" s="41"/>
      <c r="L405" s="43"/>
    </row>
    <row r="406" spans="2:12" ht="15.75" hidden="1" outlineLevel="1" thickBot="1">
      <c r="B406" s="40" t="str">
        <f t="shared" si="15"/>
        <v/>
      </c>
      <c r="C406" s="41"/>
      <c r="D406" s="41"/>
      <c r="E406" s="41"/>
      <c r="F406" s="41"/>
      <c r="G406" s="41"/>
      <c r="H406" s="41"/>
      <c r="I406" s="42"/>
      <c r="J406" s="41"/>
      <c r="K406" s="41"/>
      <c r="L406" s="43"/>
    </row>
    <row r="407" spans="2:12" ht="15.75" hidden="1" outlineLevel="1" thickBot="1">
      <c r="B407" s="40" t="str">
        <f t="shared" si="15"/>
        <v/>
      </c>
      <c r="C407" s="41"/>
      <c r="D407" s="41"/>
      <c r="E407" s="41"/>
      <c r="F407" s="41"/>
      <c r="G407" s="41"/>
      <c r="H407" s="41"/>
      <c r="I407" s="42"/>
      <c r="J407" s="41"/>
      <c r="K407" s="41"/>
      <c r="L407" s="43"/>
    </row>
    <row r="408" spans="2:12" ht="15.75" hidden="1" outlineLevel="1" thickBot="1">
      <c r="B408" s="40" t="str">
        <f t="shared" si="15"/>
        <v/>
      </c>
      <c r="C408" s="41"/>
      <c r="D408" s="41"/>
      <c r="E408" s="41"/>
      <c r="F408" s="41"/>
      <c r="G408" s="41"/>
      <c r="H408" s="41"/>
      <c r="I408" s="42"/>
      <c r="J408" s="41"/>
      <c r="K408" s="41"/>
      <c r="L408" s="43"/>
    </row>
    <row r="409" spans="2:12" ht="15.75" hidden="1" outlineLevel="1" thickBot="1">
      <c r="B409" s="40" t="str">
        <f t="shared" si="15"/>
        <v/>
      </c>
      <c r="C409" s="41"/>
      <c r="D409" s="41"/>
      <c r="E409" s="41"/>
      <c r="F409" s="41"/>
      <c r="G409" s="41"/>
      <c r="H409" s="41"/>
      <c r="I409" s="42"/>
      <c r="J409" s="41"/>
      <c r="K409" s="41"/>
      <c r="L409" s="43"/>
    </row>
    <row r="410" spans="2:12" ht="15.75" hidden="1" outlineLevel="1" thickBot="1">
      <c r="B410" s="40" t="str">
        <f t="shared" si="15"/>
        <v/>
      </c>
      <c r="C410" s="41"/>
      <c r="D410" s="41"/>
      <c r="E410" s="41"/>
      <c r="F410" s="41"/>
      <c r="G410" s="41"/>
      <c r="H410" s="41"/>
      <c r="I410" s="42"/>
      <c r="J410" s="41"/>
      <c r="K410" s="41"/>
      <c r="L410" s="43"/>
    </row>
    <row r="411" spans="2:12" ht="15.75" hidden="1" outlineLevel="1" thickBot="1">
      <c r="B411" s="40" t="str">
        <f t="shared" si="15"/>
        <v/>
      </c>
      <c r="C411" s="41"/>
      <c r="D411" s="41"/>
      <c r="E411" s="41"/>
      <c r="F411" s="41"/>
      <c r="G411" s="41"/>
      <c r="H411" s="41"/>
      <c r="I411" s="42"/>
      <c r="J411" s="41"/>
      <c r="K411" s="41"/>
      <c r="L411" s="43"/>
    </row>
    <row r="412" spans="2:12" ht="15.75" hidden="1" outlineLevel="1" thickBot="1">
      <c r="B412" s="40" t="str">
        <f t="shared" si="15"/>
        <v/>
      </c>
      <c r="C412" s="41"/>
      <c r="D412" s="41"/>
      <c r="E412" s="41"/>
      <c r="F412" s="41"/>
      <c r="G412" s="41"/>
      <c r="H412" s="41"/>
      <c r="I412" s="42"/>
      <c r="J412" s="41"/>
      <c r="K412" s="41"/>
      <c r="L412" s="43"/>
    </row>
    <row r="413" spans="2:12" ht="15.75" hidden="1" outlineLevel="1" thickBot="1">
      <c r="B413" s="40" t="str">
        <f t="shared" si="15"/>
        <v/>
      </c>
      <c r="C413" s="41"/>
      <c r="D413" s="41"/>
      <c r="E413" s="41"/>
      <c r="F413" s="41"/>
      <c r="G413" s="41"/>
      <c r="H413" s="41"/>
      <c r="I413" s="42"/>
      <c r="J413" s="41"/>
      <c r="K413" s="41"/>
      <c r="L413" s="43"/>
    </row>
    <row r="414" spans="2:12" ht="15.75" hidden="1" outlineLevel="1" thickBot="1">
      <c r="B414" s="40" t="str">
        <f t="shared" si="15"/>
        <v/>
      </c>
      <c r="C414" s="41"/>
      <c r="D414" s="41"/>
      <c r="E414" s="41"/>
      <c r="F414" s="41"/>
      <c r="G414" s="41"/>
      <c r="H414" s="41"/>
      <c r="I414" s="42"/>
      <c r="J414" s="41"/>
      <c r="K414" s="41"/>
      <c r="L414" s="43"/>
    </row>
    <row r="415" spans="2:12" ht="15.75" hidden="1" outlineLevel="1" thickBot="1">
      <c r="B415" s="40" t="str">
        <f t="shared" si="15"/>
        <v/>
      </c>
      <c r="C415" s="41"/>
      <c r="D415" s="41"/>
      <c r="E415" s="41"/>
      <c r="F415" s="41"/>
      <c r="G415" s="41"/>
      <c r="H415" s="41"/>
      <c r="I415" s="42"/>
      <c r="J415" s="41"/>
      <c r="K415" s="41"/>
      <c r="L415" s="43"/>
    </row>
    <row r="416" spans="2:12" ht="15.75" hidden="1" outlineLevel="1" thickBot="1">
      <c r="B416" s="40" t="str">
        <f t="shared" si="15"/>
        <v/>
      </c>
      <c r="C416" s="41"/>
      <c r="D416" s="41"/>
      <c r="E416" s="41"/>
      <c r="F416" s="41"/>
      <c r="G416" s="41"/>
      <c r="H416" s="41"/>
      <c r="I416" s="42"/>
      <c r="J416" s="41"/>
      <c r="K416" s="41"/>
      <c r="L416" s="43"/>
    </row>
    <row r="417" spans="2:12" ht="15.75" hidden="1" outlineLevel="1" thickBot="1">
      <c r="B417" s="40" t="str">
        <f t="shared" si="15"/>
        <v/>
      </c>
      <c r="C417" s="41"/>
      <c r="D417" s="41"/>
      <c r="E417" s="41"/>
      <c r="F417" s="41"/>
      <c r="G417" s="41"/>
      <c r="H417" s="41"/>
      <c r="I417" s="42"/>
      <c r="J417" s="41"/>
      <c r="K417" s="41"/>
      <c r="L417" s="43"/>
    </row>
    <row r="418" spans="2:12" ht="15.75" hidden="1" outlineLevel="1" thickBot="1">
      <c r="B418" s="40" t="str">
        <f t="shared" si="15"/>
        <v/>
      </c>
      <c r="C418" s="41"/>
      <c r="D418" s="41"/>
      <c r="E418" s="41"/>
      <c r="F418" s="41"/>
      <c r="G418" s="41"/>
      <c r="H418" s="41"/>
      <c r="I418" s="42"/>
      <c r="J418" s="41"/>
      <c r="K418" s="41"/>
      <c r="L418" s="43"/>
    </row>
    <row r="419" spans="2:12" ht="15.75" hidden="1" outlineLevel="1" thickBot="1">
      <c r="B419" s="40" t="str">
        <f t="shared" ref="B419:B452" si="16">IF(C419="","",(B418+1))</f>
        <v/>
      </c>
      <c r="C419" s="41"/>
      <c r="D419" s="41"/>
      <c r="E419" s="41"/>
      <c r="F419" s="41"/>
      <c r="G419" s="41"/>
      <c r="H419" s="41"/>
      <c r="I419" s="42"/>
      <c r="J419" s="41"/>
      <c r="K419" s="41"/>
      <c r="L419" s="43"/>
    </row>
    <row r="420" spans="2:12" ht="15.75" hidden="1" outlineLevel="1" thickBot="1">
      <c r="B420" s="40" t="str">
        <f t="shared" si="16"/>
        <v/>
      </c>
      <c r="C420" s="41"/>
      <c r="D420" s="41"/>
      <c r="E420" s="41"/>
      <c r="F420" s="41"/>
      <c r="G420" s="41"/>
      <c r="H420" s="41"/>
      <c r="I420" s="42"/>
      <c r="J420" s="41"/>
      <c r="K420" s="41"/>
      <c r="L420" s="43"/>
    </row>
    <row r="421" spans="2:12" ht="15.75" hidden="1" outlineLevel="1" thickBot="1">
      <c r="B421" s="40" t="str">
        <f t="shared" si="16"/>
        <v/>
      </c>
      <c r="C421" s="41"/>
      <c r="D421" s="41"/>
      <c r="E421" s="41"/>
      <c r="F421" s="41"/>
      <c r="G421" s="41"/>
      <c r="H421" s="41"/>
      <c r="I421" s="42"/>
      <c r="J421" s="41"/>
      <c r="K421" s="41"/>
      <c r="L421" s="43"/>
    </row>
    <row r="422" spans="2:12" ht="15.75" hidden="1" outlineLevel="1" thickBot="1">
      <c r="B422" s="40" t="str">
        <f t="shared" si="16"/>
        <v/>
      </c>
      <c r="C422" s="41"/>
      <c r="D422" s="41"/>
      <c r="E422" s="41"/>
      <c r="F422" s="41"/>
      <c r="G422" s="41"/>
      <c r="H422" s="41"/>
      <c r="I422" s="42"/>
      <c r="J422" s="41"/>
      <c r="K422" s="41"/>
      <c r="L422" s="43"/>
    </row>
    <row r="423" spans="2:12" ht="15.75" hidden="1" outlineLevel="1" thickBot="1">
      <c r="B423" s="40" t="str">
        <f t="shared" si="16"/>
        <v/>
      </c>
      <c r="C423" s="41"/>
      <c r="D423" s="41"/>
      <c r="E423" s="41"/>
      <c r="F423" s="41"/>
      <c r="G423" s="41"/>
      <c r="H423" s="41"/>
      <c r="I423" s="42"/>
      <c r="J423" s="41"/>
      <c r="K423" s="41"/>
      <c r="L423" s="43"/>
    </row>
    <row r="424" spans="2:12" ht="15.75" hidden="1" outlineLevel="1" thickBot="1">
      <c r="B424" s="40" t="str">
        <f t="shared" si="16"/>
        <v/>
      </c>
      <c r="C424" s="41"/>
      <c r="D424" s="41"/>
      <c r="E424" s="41"/>
      <c r="F424" s="41"/>
      <c r="G424" s="41"/>
      <c r="H424" s="41"/>
      <c r="I424" s="42"/>
      <c r="J424" s="41"/>
      <c r="K424" s="41"/>
      <c r="L424" s="43"/>
    </row>
    <row r="425" spans="2:12" ht="15.75" hidden="1" outlineLevel="1" thickBot="1">
      <c r="B425" s="40" t="str">
        <f t="shared" si="16"/>
        <v/>
      </c>
      <c r="C425" s="41"/>
      <c r="D425" s="41"/>
      <c r="E425" s="41"/>
      <c r="F425" s="41"/>
      <c r="G425" s="41"/>
      <c r="H425" s="41"/>
      <c r="I425" s="42"/>
      <c r="J425" s="41"/>
      <c r="K425" s="41"/>
      <c r="L425" s="43"/>
    </row>
    <row r="426" spans="2:12" ht="15.75" hidden="1" outlineLevel="1" thickBot="1">
      <c r="B426" s="40" t="str">
        <f t="shared" si="16"/>
        <v/>
      </c>
      <c r="C426" s="41"/>
      <c r="D426" s="41"/>
      <c r="E426" s="41"/>
      <c r="F426" s="41"/>
      <c r="G426" s="41"/>
      <c r="H426" s="41"/>
      <c r="I426" s="42"/>
      <c r="J426" s="41"/>
      <c r="K426" s="41"/>
      <c r="L426" s="43"/>
    </row>
    <row r="427" spans="2:12" ht="15.75" hidden="1" outlineLevel="1" thickBot="1">
      <c r="B427" s="40" t="str">
        <f t="shared" si="16"/>
        <v/>
      </c>
      <c r="C427" s="41"/>
      <c r="D427" s="41"/>
      <c r="E427" s="41"/>
      <c r="F427" s="41"/>
      <c r="G427" s="41"/>
      <c r="H427" s="41"/>
      <c r="I427" s="42"/>
      <c r="J427" s="41"/>
      <c r="K427" s="41"/>
      <c r="L427" s="43"/>
    </row>
    <row r="428" spans="2:12" ht="15.75" hidden="1" outlineLevel="1" thickBot="1">
      <c r="B428" s="40" t="str">
        <f t="shared" si="16"/>
        <v/>
      </c>
      <c r="C428" s="41"/>
      <c r="D428" s="41"/>
      <c r="E428" s="41"/>
      <c r="F428" s="41"/>
      <c r="G428" s="41"/>
      <c r="H428" s="41"/>
      <c r="I428" s="42"/>
      <c r="J428" s="41"/>
      <c r="K428" s="41"/>
      <c r="L428" s="43"/>
    </row>
    <row r="429" spans="2:12" ht="15.75" hidden="1" outlineLevel="1" thickBot="1">
      <c r="B429" s="40" t="str">
        <f t="shared" si="16"/>
        <v/>
      </c>
      <c r="C429" s="41"/>
      <c r="D429" s="41"/>
      <c r="E429" s="41"/>
      <c r="F429" s="41"/>
      <c r="G429" s="41"/>
      <c r="H429" s="41"/>
      <c r="I429" s="42"/>
      <c r="J429" s="41"/>
      <c r="K429" s="41"/>
      <c r="L429" s="43"/>
    </row>
    <row r="430" spans="2:12" ht="15.75" hidden="1" outlineLevel="1" thickBot="1">
      <c r="B430" s="40" t="str">
        <f t="shared" si="16"/>
        <v/>
      </c>
      <c r="C430" s="41"/>
      <c r="D430" s="41"/>
      <c r="E430" s="41"/>
      <c r="F430" s="41"/>
      <c r="G430" s="41"/>
      <c r="H430" s="41"/>
      <c r="I430" s="42"/>
      <c r="J430" s="41"/>
      <c r="K430" s="41"/>
      <c r="L430" s="43"/>
    </row>
    <row r="431" spans="2:12" ht="15.75" hidden="1" outlineLevel="1" thickBot="1">
      <c r="B431" s="40" t="str">
        <f t="shared" si="16"/>
        <v/>
      </c>
      <c r="C431" s="41"/>
      <c r="D431" s="41"/>
      <c r="E431" s="41"/>
      <c r="F431" s="41"/>
      <c r="G431" s="41"/>
      <c r="H431" s="41"/>
      <c r="I431" s="42"/>
      <c r="J431" s="41"/>
      <c r="K431" s="41"/>
      <c r="L431" s="43"/>
    </row>
    <row r="432" spans="2:12" ht="15.75" hidden="1" outlineLevel="1" thickBot="1">
      <c r="B432" s="40" t="str">
        <f t="shared" si="16"/>
        <v/>
      </c>
      <c r="C432" s="41"/>
      <c r="D432" s="41"/>
      <c r="E432" s="41"/>
      <c r="F432" s="41"/>
      <c r="G432" s="41"/>
      <c r="H432" s="41"/>
      <c r="I432" s="42"/>
      <c r="J432" s="41"/>
      <c r="K432" s="41"/>
      <c r="L432" s="43"/>
    </row>
    <row r="433" spans="2:12" ht="15.75" hidden="1" outlineLevel="1" thickBot="1">
      <c r="B433" s="40" t="str">
        <f t="shared" si="16"/>
        <v/>
      </c>
      <c r="C433" s="41"/>
      <c r="D433" s="41"/>
      <c r="E433" s="41"/>
      <c r="F433" s="41"/>
      <c r="G433" s="41"/>
      <c r="H433" s="41"/>
      <c r="I433" s="42"/>
      <c r="J433" s="41"/>
      <c r="K433" s="41"/>
      <c r="L433" s="43"/>
    </row>
    <row r="434" spans="2:12" ht="15.75" hidden="1" outlineLevel="1" thickBot="1">
      <c r="B434" s="40" t="str">
        <f t="shared" si="16"/>
        <v/>
      </c>
      <c r="C434" s="41"/>
      <c r="D434" s="41"/>
      <c r="E434" s="41"/>
      <c r="F434" s="41"/>
      <c r="G434" s="41"/>
      <c r="H434" s="41"/>
      <c r="I434" s="42"/>
      <c r="J434" s="41"/>
      <c r="K434" s="41"/>
      <c r="L434" s="43"/>
    </row>
    <row r="435" spans="2:12" ht="15.75" hidden="1" outlineLevel="1" thickBot="1">
      <c r="B435" s="40" t="str">
        <f t="shared" si="16"/>
        <v/>
      </c>
      <c r="C435" s="41"/>
      <c r="D435" s="41"/>
      <c r="E435" s="41"/>
      <c r="F435" s="41"/>
      <c r="G435" s="41"/>
      <c r="H435" s="41"/>
      <c r="I435" s="42"/>
      <c r="J435" s="41"/>
      <c r="K435" s="41"/>
      <c r="L435" s="43"/>
    </row>
    <row r="436" spans="2:12" ht="15.75" hidden="1" outlineLevel="1" thickBot="1">
      <c r="B436" s="40" t="str">
        <f t="shared" si="16"/>
        <v/>
      </c>
      <c r="C436" s="41"/>
      <c r="D436" s="41"/>
      <c r="E436" s="41"/>
      <c r="F436" s="41"/>
      <c r="G436" s="41"/>
      <c r="H436" s="41"/>
      <c r="I436" s="42"/>
      <c r="J436" s="41"/>
      <c r="K436" s="41"/>
      <c r="L436" s="43"/>
    </row>
    <row r="437" spans="2:12" ht="15.75" hidden="1" outlineLevel="1" thickBot="1">
      <c r="B437" s="40" t="str">
        <f t="shared" si="16"/>
        <v/>
      </c>
      <c r="C437" s="41"/>
      <c r="D437" s="41"/>
      <c r="E437" s="41"/>
      <c r="F437" s="41"/>
      <c r="G437" s="41"/>
      <c r="H437" s="41"/>
      <c r="I437" s="42"/>
      <c r="J437" s="41"/>
      <c r="K437" s="41"/>
      <c r="L437" s="43"/>
    </row>
    <row r="438" spans="2:12" ht="15.75" hidden="1" outlineLevel="1" thickBot="1">
      <c r="B438" s="40" t="str">
        <f t="shared" si="16"/>
        <v/>
      </c>
      <c r="C438" s="41"/>
      <c r="D438" s="41"/>
      <c r="E438" s="41"/>
      <c r="F438" s="41"/>
      <c r="G438" s="41"/>
      <c r="H438" s="41"/>
      <c r="I438" s="42"/>
      <c r="J438" s="41"/>
      <c r="K438" s="41"/>
      <c r="L438" s="43"/>
    </row>
    <row r="439" spans="2:12" ht="15.75" hidden="1" outlineLevel="1" thickBot="1">
      <c r="B439" s="40" t="str">
        <f t="shared" si="16"/>
        <v/>
      </c>
      <c r="C439" s="41"/>
      <c r="D439" s="41"/>
      <c r="E439" s="41"/>
      <c r="F439" s="41"/>
      <c r="G439" s="41"/>
      <c r="H439" s="41"/>
      <c r="I439" s="42"/>
      <c r="J439" s="41"/>
      <c r="K439" s="41"/>
      <c r="L439" s="43"/>
    </row>
    <row r="440" spans="2:12" ht="15.75" hidden="1" outlineLevel="1" thickBot="1">
      <c r="B440" s="40" t="str">
        <f t="shared" si="16"/>
        <v/>
      </c>
      <c r="C440" s="41"/>
      <c r="D440" s="41"/>
      <c r="E440" s="41"/>
      <c r="F440" s="41"/>
      <c r="G440" s="41"/>
      <c r="H440" s="41"/>
      <c r="I440" s="42"/>
      <c r="J440" s="41"/>
      <c r="K440" s="41"/>
      <c r="L440" s="43"/>
    </row>
    <row r="441" spans="2:12" ht="15.75" hidden="1" outlineLevel="1" thickBot="1">
      <c r="B441" s="40" t="str">
        <f t="shared" si="16"/>
        <v/>
      </c>
      <c r="C441" s="41"/>
      <c r="D441" s="41"/>
      <c r="E441" s="41"/>
      <c r="F441" s="41"/>
      <c r="G441" s="41"/>
      <c r="H441" s="41"/>
      <c r="I441" s="42"/>
      <c r="J441" s="41"/>
      <c r="K441" s="41"/>
      <c r="L441" s="43"/>
    </row>
    <row r="442" spans="2:12" ht="15.75" hidden="1" outlineLevel="1" thickBot="1">
      <c r="B442" s="40" t="str">
        <f t="shared" si="16"/>
        <v/>
      </c>
      <c r="C442" s="41"/>
      <c r="D442" s="41"/>
      <c r="E442" s="41"/>
      <c r="F442" s="41"/>
      <c r="G442" s="41"/>
      <c r="H442" s="41"/>
      <c r="I442" s="42"/>
      <c r="J442" s="41"/>
      <c r="K442" s="41"/>
      <c r="L442" s="43"/>
    </row>
    <row r="443" spans="2:12" ht="15.75" hidden="1" outlineLevel="1" thickBot="1">
      <c r="B443" s="40" t="str">
        <f t="shared" si="16"/>
        <v/>
      </c>
      <c r="C443" s="41"/>
      <c r="D443" s="41"/>
      <c r="E443" s="41"/>
      <c r="F443" s="41"/>
      <c r="G443" s="41"/>
      <c r="H443" s="41"/>
      <c r="I443" s="42"/>
      <c r="J443" s="41"/>
      <c r="K443" s="41"/>
      <c r="L443" s="43"/>
    </row>
    <row r="444" spans="2:12" ht="15.75" hidden="1" outlineLevel="1" thickBot="1">
      <c r="B444" s="40" t="str">
        <f t="shared" si="16"/>
        <v/>
      </c>
      <c r="C444" s="41"/>
      <c r="D444" s="41"/>
      <c r="E444" s="41"/>
      <c r="F444" s="41"/>
      <c r="G444" s="41"/>
      <c r="H444" s="41"/>
      <c r="I444" s="42"/>
      <c r="J444" s="41"/>
      <c r="K444" s="41"/>
      <c r="L444" s="43"/>
    </row>
    <row r="445" spans="2:12" ht="15.75" hidden="1" outlineLevel="1" thickBot="1">
      <c r="B445" s="40" t="str">
        <f t="shared" si="16"/>
        <v/>
      </c>
      <c r="C445" s="41"/>
      <c r="D445" s="41"/>
      <c r="E445" s="41"/>
      <c r="F445" s="41"/>
      <c r="G445" s="41"/>
      <c r="H445" s="41"/>
      <c r="I445" s="42"/>
      <c r="J445" s="41"/>
      <c r="K445" s="41"/>
      <c r="L445" s="43"/>
    </row>
    <row r="446" spans="2:12" ht="15.75" hidden="1" outlineLevel="1" thickBot="1">
      <c r="B446" s="40" t="str">
        <f t="shared" si="16"/>
        <v/>
      </c>
      <c r="C446" s="41"/>
      <c r="D446" s="41"/>
      <c r="E446" s="41"/>
      <c r="F446" s="41"/>
      <c r="G446" s="41"/>
      <c r="H446" s="41"/>
      <c r="I446" s="42"/>
      <c r="J446" s="41"/>
      <c r="K446" s="41"/>
      <c r="L446" s="43"/>
    </row>
    <row r="447" spans="2:12" ht="15.75" hidden="1" outlineLevel="1" thickBot="1">
      <c r="B447" s="40" t="str">
        <f t="shared" si="16"/>
        <v/>
      </c>
      <c r="C447" s="41"/>
      <c r="D447" s="41"/>
      <c r="E447" s="41"/>
      <c r="F447" s="41"/>
      <c r="G447" s="41"/>
      <c r="H447" s="41"/>
      <c r="I447" s="42"/>
      <c r="J447" s="41"/>
      <c r="K447" s="41"/>
      <c r="L447" s="43"/>
    </row>
    <row r="448" spans="2:12" ht="15.75" hidden="1" outlineLevel="1" thickBot="1">
      <c r="B448" s="40" t="str">
        <f t="shared" si="16"/>
        <v/>
      </c>
      <c r="C448" s="41"/>
      <c r="D448" s="41"/>
      <c r="E448" s="41"/>
      <c r="F448" s="41"/>
      <c r="G448" s="41"/>
      <c r="H448" s="41"/>
      <c r="I448" s="42"/>
      <c r="J448" s="41"/>
      <c r="K448" s="41"/>
      <c r="L448" s="43"/>
    </row>
    <row r="449" spans="2:12" ht="15.75" hidden="1" outlineLevel="1" thickBot="1">
      <c r="B449" s="40" t="str">
        <f t="shared" si="16"/>
        <v/>
      </c>
      <c r="C449" s="41"/>
      <c r="D449" s="41"/>
      <c r="E449" s="41"/>
      <c r="F449" s="41"/>
      <c r="G449" s="41"/>
      <c r="H449" s="41"/>
      <c r="I449" s="42"/>
      <c r="J449" s="41"/>
      <c r="K449" s="41"/>
      <c r="L449" s="43"/>
    </row>
    <row r="450" spans="2:12" ht="15.75" hidden="1" outlineLevel="1" thickBot="1">
      <c r="B450" s="40" t="str">
        <f t="shared" si="16"/>
        <v/>
      </c>
      <c r="C450" s="41"/>
      <c r="D450" s="41"/>
      <c r="E450" s="41"/>
      <c r="F450" s="41"/>
      <c r="G450" s="41"/>
      <c r="H450" s="41"/>
      <c r="I450" s="42"/>
      <c r="J450" s="41"/>
      <c r="K450" s="41"/>
      <c r="L450" s="43"/>
    </row>
    <row r="451" spans="2:12" ht="15.75" hidden="1" outlineLevel="1" thickBot="1">
      <c r="B451" s="35" t="str">
        <f t="shared" si="16"/>
        <v/>
      </c>
      <c r="C451" s="41"/>
      <c r="D451" s="1"/>
      <c r="E451" s="1"/>
      <c r="F451" s="1"/>
      <c r="G451" s="1"/>
      <c r="H451" s="1"/>
      <c r="I451" s="36"/>
      <c r="J451" s="1"/>
      <c r="K451" s="1"/>
      <c r="L451" s="2"/>
    </row>
    <row r="452" spans="2:12" ht="15.75" hidden="1" outlineLevel="1" thickBot="1">
      <c r="B452" s="37" t="str">
        <f t="shared" si="16"/>
        <v/>
      </c>
      <c r="C452" s="38"/>
      <c r="D452" s="38"/>
      <c r="E452" s="38"/>
      <c r="F452" s="38"/>
      <c r="G452" s="38"/>
      <c r="H452" s="38"/>
      <c r="I452" s="38"/>
      <c r="J452" s="38"/>
      <c r="K452" s="38"/>
      <c r="L452" s="39"/>
    </row>
    <row r="453" spans="2:12" ht="24" customHeight="1" collapsed="1" thickBot="1">
      <c r="B453" s="320" t="s">
        <v>59</v>
      </c>
      <c r="C453" s="321"/>
      <c r="D453" s="321"/>
      <c r="E453" s="321"/>
      <c r="F453" s="321"/>
      <c r="G453" s="321"/>
      <c r="H453" s="321"/>
      <c r="I453" s="321"/>
      <c r="J453" s="321"/>
      <c r="K453" s="321"/>
      <c r="L453" s="322"/>
    </row>
    <row r="454" spans="2:12" ht="24" customHeight="1" thickBot="1">
      <c r="B454" s="26" t="s">
        <v>49</v>
      </c>
      <c r="C454" s="27" t="s">
        <v>60</v>
      </c>
      <c r="D454" s="27" t="s">
        <v>62</v>
      </c>
      <c r="E454" s="27" t="s">
        <v>63</v>
      </c>
      <c r="F454" s="27" t="s">
        <v>64</v>
      </c>
      <c r="G454" s="27" t="s">
        <v>65</v>
      </c>
      <c r="H454" s="27" t="s">
        <v>66</v>
      </c>
      <c r="I454" s="27" t="s">
        <v>67</v>
      </c>
      <c r="J454" s="27" t="s">
        <v>6</v>
      </c>
      <c r="K454" s="27" t="s">
        <v>7</v>
      </c>
      <c r="L454" s="28" t="s">
        <v>68</v>
      </c>
    </row>
    <row r="455" spans="2:12">
      <c r="B455" s="46" t="s">
        <v>8</v>
      </c>
      <c r="C455" s="41">
        <f>COUNTIFS(B353:B452,"&gt;"&amp;0,C353:C452,"="&amp;B455)</f>
        <v>0</v>
      </c>
      <c r="D455" s="41">
        <f>COUNTIFS(B353:B452,"&gt;="&amp;1,C353:C452,B455,K353:K452,"&gt;="&amp;0,K353:K452,"&lt;"&amp;50)</f>
        <v>0</v>
      </c>
      <c r="E455" s="41">
        <f>COUNTIFS(B353:B452,"&gt;="&amp;1,C353:C452,B455,K353:K452,"&gt;="&amp;50,K353:K452,"&lt;"&amp;500)</f>
        <v>0</v>
      </c>
      <c r="F455" s="41">
        <f>COUNTIFS(B353:B452,"&gt;="&amp;1,C353:C452,B455,K353:K452,"&gt;="&amp;500)</f>
        <v>0</v>
      </c>
      <c r="G455" s="41">
        <f>COUNTIFS(B353:B452,"&gt;="&amp;1,C353:C452,B455,K353:K452,"&gt;="&amp;0,I353:I452,"&gt;"&amp;DATE(2021,1,1))</f>
        <v>0</v>
      </c>
      <c r="H455" s="47" t="str">
        <f>IF(G455=0,"-",(SUM(E455,F455)/G455))</f>
        <v>-</v>
      </c>
      <c r="I455" s="41">
        <f>IF((COUNTIFS(B353:B452,"&gt;="&amp;1,C353:C452,"="&amp;B455))&gt;228,228,(COUNTIFS(B353:B452,"&gt;="&amp;1,C353:C452,"="&amp;B455)))</f>
        <v>0</v>
      </c>
      <c r="J455" s="47" t="str">
        <f>IF(I455=0,"-",(COUNTIFS(C353:C452,"="&amp;B455,I353:I452,"&lt;="&amp;DATE(2024,12,31),K353:K452,"&gt;="&amp;0)/I455))</f>
        <v>-</v>
      </c>
      <c r="K455" s="47" t="str">
        <f>IF(I455=0,"-",IF(J455=1,"-",(COUNTIFS(B353:B452,"&gt;"&amp;0,C353:C452,"="&amp;B455,I353:I452,"&gt;"&amp;DATE(2024,12,31),K353:K452,"&gt;="&amp;0)/(I455-COUNTIFS(B353:B452,"&gt;"&amp;0,C353:C452,"="&amp;B455,I353:I452,"&lt;="&amp;DATE(2024,12,31),K353:K452,"&gt;="&amp;0)))))</f>
        <v>-</v>
      </c>
      <c r="L455" s="48" t="str">
        <f>IF(I455=0,"-",G455/I455)</f>
        <v>-</v>
      </c>
    </row>
    <row r="456" spans="2:12">
      <c r="B456" s="7" t="s">
        <v>9</v>
      </c>
      <c r="C456" s="1">
        <f>COUNTIFS(B353:B452,"&gt;"&amp;0,C353:C452,"="&amp;B456)</f>
        <v>0</v>
      </c>
      <c r="D456" s="1">
        <f>COUNTIFS(B353:B452,"&gt;="&amp;1,C353:C452,B456,K353:K452,"&gt;="&amp;0,K353:K452,"&lt;"&amp;50)</f>
        <v>0</v>
      </c>
      <c r="E456" s="1">
        <f>COUNTIFS(B353:B452,"&gt;="&amp;1,C353:C452,B456,K353:K452,"&gt;="&amp;50,K353:K452,"&lt;"&amp;500)</f>
        <v>0</v>
      </c>
      <c r="F456" s="1">
        <f>COUNTIFS(B353:B452,"&gt;="&amp;1,C353:C452,B456,K353:K452,"&gt;="&amp;500)</f>
        <v>0</v>
      </c>
      <c r="G456" s="1">
        <f>COUNTIFS(B353:B452,"&gt;="&amp;1,C353:C452,B456,K353:K452,"&gt;="&amp;0,I353:I452,"&gt;"&amp;DATE(2021,1,1))</f>
        <v>0</v>
      </c>
      <c r="H456" s="44" t="str">
        <f t="shared" ref="H456:H458" si="17">IF(G456=0,"-",(SUM(E456,F456)/G456))</f>
        <v>-</v>
      </c>
      <c r="I456" s="1">
        <f>IF((COUNTIFS(B353:B452,"&gt;="&amp;1,C353:C452,"="&amp;B456))&gt;228,228,(COUNTIFS(B353:B452,"&gt;="&amp;1,C353:C452,"="&amp;B456)))</f>
        <v>0</v>
      </c>
      <c r="J456" s="44" t="str">
        <f>IF(I456=0,"-",(COUNTIFS(C353:C452,"="&amp;B456,I353:I452,"&lt;="&amp;DATE(2024,12,31),K353:K452,"&gt;="&amp;0)/I456))</f>
        <v>-</v>
      </c>
      <c r="K456" s="47" t="str">
        <f>IF(I456=0,"-",IF(J456=1,"-",(COUNTIFS(B353:B452,"&gt;"&amp;0,C353:C452,"="&amp;B456,I353:I452,"&gt;"&amp;DATE(2024,12,31),K353:K452,"&gt;="&amp;0)/(I456-COUNTIFS(B353:B452,"&gt;"&amp;0,C353:C452,"="&amp;B456,I353:I452,"&lt;="&amp;DATE(2024,12,31),K353:K452,"&gt;="&amp;0)))))</f>
        <v>-</v>
      </c>
      <c r="L456" s="45" t="str">
        <f t="shared" ref="L456:L458" si="18">IF(I456=0,"-",G456/I456)</f>
        <v>-</v>
      </c>
    </row>
    <row r="457" spans="2:12">
      <c r="B457" s="7" t="s">
        <v>69</v>
      </c>
      <c r="C457" s="1">
        <f>COUNTIFS(B353:B452,"&gt;"&amp;0,C353:C452,"="&amp;B457)</f>
        <v>0</v>
      </c>
      <c r="D457" s="1">
        <f>COUNTIFS(B353:B452,"&gt;="&amp;1,C353:C452,B457,K353:K452,"&gt;="&amp;0,K353:K452,"&lt;"&amp;50)</f>
        <v>0</v>
      </c>
      <c r="E457" s="1">
        <f>COUNTIFS(B353:B452,"&gt;="&amp;1,C353:C452,B457,K353:K452,"&gt;="&amp;50,K353:K452,"&lt;"&amp;500)</f>
        <v>0</v>
      </c>
      <c r="F457" s="1">
        <f>COUNTIFS(B353:B451,"&gt;="&amp;1,C353:C451,B457,K353:K451,"&gt;="&amp;500)</f>
        <v>0</v>
      </c>
      <c r="G457" s="1">
        <f>COUNTIFS(B353:B452,"&gt;="&amp;1,C353:C452,B457,K353:K452,"&gt;="&amp;0,I353:I452,"&gt;"&amp;DATE(2021,1,1))</f>
        <v>0</v>
      </c>
      <c r="H457" s="44" t="str">
        <f t="shared" si="17"/>
        <v>-</v>
      </c>
      <c r="I457" s="1">
        <f>IF((COUNTIFS(B353:B451,"&gt;="&amp;1,C353:C451,"="&amp;B457))&gt;228,228,(COUNTIFS(B353:B451,"&gt;="&amp;1,C353:C451,"="&amp;B457)))</f>
        <v>0</v>
      </c>
      <c r="J457" s="44" t="str">
        <f>IF(I457=0,"-",(COUNTIFS(C353:C452,"="&amp;B457,I353:I452,"&lt;="&amp;DATE(2024,12,31),K353:K452,"&gt;="&amp;0)/I457))</f>
        <v>-</v>
      </c>
      <c r="K457" s="47" t="str">
        <f>IF(I457=0,"-",IF(J457=1,"-",(COUNTIFS(B353:B452,"&gt;"&amp;0,C353:C452,"="&amp;B457,I353:I452,"&gt;"&amp;DATE(2024,12,31),K353:K452,"&gt;="&amp;0)/(I457-COUNTIFS(B353:B452,"&gt;"&amp;0,C353:C452,"="&amp;B457,I353:I452,"&lt;="&amp;DATE(2024,12,31),K353:K452,"&gt;="&amp;0)))))</f>
        <v>-</v>
      </c>
      <c r="L457" s="45" t="str">
        <f t="shared" si="18"/>
        <v>-</v>
      </c>
    </row>
    <row r="458" spans="2:12" ht="24" customHeight="1" thickBot="1">
      <c r="B458" s="49" t="s">
        <v>59</v>
      </c>
      <c r="C458" s="50">
        <f>SUM(C455:C457)</f>
        <v>0</v>
      </c>
      <c r="D458" s="50">
        <f>SUM(D455:D457)</f>
        <v>0</v>
      </c>
      <c r="E458" s="50">
        <f>SUM(E455:E457)</f>
        <v>0</v>
      </c>
      <c r="F458" s="50">
        <f>SUM(F455:F457)</f>
        <v>0</v>
      </c>
      <c r="G458" s="50">
        <f>SUM(G455:G457)</f>
        <v>0</v>
      </c>
      <c r="H458" s="51" t="str">
        <f t="shared" si="17"/>
        <v>-</v>
      </c>
      <c r="I458" s="50">
        <f>SUM(I455:I457)</f>
        <v>0</v>
      </c>
      <c r="J458" s="51" t="str">
        <f>IF(I458=0,"-",(COUNTIFS(I353:I452,"&lt;="&amp;DATE(2024,12,31),K353:K452,"&gt;="&amp;0)/I458))</f>
        <v>-</v>
      </c>
      <c r="K458" s="51" t="str">
        <f>IF(I458=0,"-",IF(J458=1,"-",(COUNTIFS(B353:B452,"&gt;"&amp;0,I353:I452,"&gt;"&amp;DATE(2024,12,31),K353:K452,"&gt;="&amp;0)/(I458-COUNTIFS(B353:B452,"&gt;"&amp;0,I353:I452,"&lt;="&amp;DATE(2024,12,31),K353:K452,"&gt;="&amp;0)))))</f>
        <v>-</v>
      </c>
      <c r="L458" s="52" t="str">
        <f t="shared" si="18"/>
        <v>-</v>
      </c>
    </row>
    <row r="460" spans="2:12" ht="15.75" thickBot="1"/>
    <row r="461" spans="2:12" ht="33.75" customHeight="1" thickBot="1">
      <c r="B461" s="320" t="str">
        <f>_xlfn.CONCAT("Transformadores de Distribuição - TD's",TEXT(IF(SUM(I1382:I1385)=0," ",(SUM(G1382:G1385)/SUM(I1382:I1385))), " 0,00%"))</f>
        <v>Transformadores de Distribuição - TD's 0,00%</v>
      </c>
      <c r="C461" s="321"/>
      <c r="D461" s="321"/>
      <c r="E461" s="321"/>
      <c r="F461" s="321"/>
      <c r="G461" s="321"/>
      <c r="H461" s="321"/>
      <c r="I461" s="321"/>
      <c r="J461" s="321"/>
      <c r="K461" s="321"/>
      <c r="L461" s="322"/>
    </row>
    <row r="462" spans="2:12" ht="25.5" customHeight="1" thickBot="1">
      <c r="B462" s="26" t="s">
        <v>48</v>
      </c>
      <c r="C462" s="27" t="s">
        <v>49</v>
      </c>
      <c r="D462" s="27" t="s">
        <v>50</v>
      </c>
      <c r="E462" s="27" t="s">
        <v>51</v>
      </c>
      <c r="F462" s="27" t="s">
        <v>52</v>
      </c>
      <c r="G462" s="27" t="s">
        <v>53</v>
      </c>
      <c r="H462" s="27" t="s">
        <v>54</v>
      </c>
      <c r="I462" s="27" t="s">
        <v>55</v>
      </c>
      <c r="J462" s="27" t="s">
        <v>56</v>
      </c>
      <c r="K462" s="27" t="s">
        <v>57</v>
      </c>
      <c r="L462" s="28" t="s">
        <v>58</v>
      </c>
    </row>
    <row r="463" spans="2:12" outlineLevel="2">
      <c r="B463" s="40">
        <f>ROW(A1)</f>
        <v>1</v>
      </c>
      <c r="C463" s="41" t="s">
        <v>8</v>
      </c>
      <c r="D463" s="41"/>
      <c r="E463" s="41"/>
      <c r="F463" s="41"/>
      <c r="G463" s="41"/>
      <c r="H463" s="41"/>
      <c r="I463" s="42"/>
      <c r="J463" s="41"/>
      <c r="K463" s="41"/>
      <c r="L463" s="43"/>
    </row>
    <row r="464" spans="2:12" outlineLevel="2">
      <c r="B464" s="40">
        <f t="shared" ref="B464" si="19">ROW(A2)</f>
        <v>2</v>
      </c>
      <c r="C464" s="41" t="s">
        <v>8</v>
      </c>
      <c r="D464" s="41"/>
      <c r="E464" s="41"/>
      <c r="F464" s="41"/>
      <c r="G464" s="41"/>
      <c r="H464" s="41"/>
      <c r="I464" s="42"/>
      <c r="J464" s="41"/>
      <c r="K464" s="41"/>
      <c r="L464" s="43"/>
    </row>
    <row r="465" spans="2:12" outlineLevel="2">
      <c r="B465" s="40">
        <f t="shared" ref="B465:B528" si="20">ROW(A3)</f>
        <v>3</v>
      </c>
      <c r="C465" s="41" t="s">
        <v>8</v>
      </c>
      <c r="D465" s="41"/>
      <c r="E465" s="41"/>
      <c r="F465" s="41"/>
      <c r="G465" s="41"/>
      <c r="H465" s="41"/>
      <c r="I465" s="42"/>
      <c r="J465" s="41"/>
      <c r="K465" s="41"/>
      <c r="L465" s="43"/>
    </row>
    <row r="466" spans="2:12" outlineLevel="2">
      <c r="B466" s="40">
        <f t="shared" si="20"/>
        <v>4</v>
      </c>
      <c r="C466" s="41" t="s">
        <v>8</v>
      </c>
      <c r="D466" s="41"/>
      <c r="E466" s="41"/>
      <c r="F466" s="41"/>
      <c r="G466" s="41"/>
      <c r="H466" s="41"/>
      <c r="I466" s="42"/>
      <c r="J466" s="41"/>
      <c r="K466" s="41"/>
      <c r="L466" s="43"/>
    </row>
    <row r="467" spans="2:12" outlineLevel="2">
      <c r="B467" s="40">
        <f t="shared" si="20"/>
        <v>5</v>
      </c>
      <c r="C467" s="41" t="s">
        <v>8</v>
      </c>
      <c r="D467" s="41"/>
      <c r="E467" s="41"/>
      <c r="F467" s="41"/>
      <c r="G467" s="41"/>
      <c r="H467" s="41"/>
      <c r="I467" s="42"/>
      <c r="J467" s="41"/>
      <c r="K467" s="41"/>
      <c r="L467" s="43"/>
    </row>
    <row r="468" spans="2:12" outlineLevel="2">
      <c r="B468" s="40">
        <f t="shared" si="20"/>
        <v>6</v>
      </c>
      <c r="C468" s="41" t="s">
        <v>8</v>
      </c>
      <c r="D468" s="41"/>
      <c r="E468" s="41"/>
      <c r="F468" s="41"/>
      <c r="G468" s="41"/>
      <c r="H468" s="41"/>
      <c r="I468" s="42"/>
      <c r="J468" s="41"/>
      <c r="K468" s="41"/>
      <c r="L468" s="43"/>
    </row>
    <row r="469" spans="2:12" outlineLevel="2">
      <c r="B469" s="40">
        <f t="shared" si="20"/>
        <v>7</v>
      </c>
      <c r="C469" s="41" t="s">
        <v>8</v>
      </c>
      <c r="D469" s="41"/>
      <c r="E469" s="41"/>
      <c r="F469" s="41"/>
      <c r="G469" s="41"/>
      <c r="H469" s="41"/>
      <c r="I469" s="42"/>
      <c r="J469" s="41"/>
      <c r="K469" s="41"/>
      <c r="L469" s="43"/>
    </row>
    <row r="470" spans="2:12" outlineLevel="2">
      <c r="B470" s="40">
        <f t="shared" si="20"/>
        <v>8</v>
      </c>
      <c r="C470" s="41" t="s">
        <v>8</v>
      </c>
      <c r="D470" s="41"/>
      <c r="E470" s="41"/>
      <c r="F470" s="41"/>
      <c r="G470" s="41"/>
      <c r="H470" s="41"/>
      <c r="I470" s="42"/>
      <c r="J470" s="41"/>
      <c r="K470" s="41"/>
      <c r="L470" s="43"/>
    </row>
    <row r="471" spans="2:12" outlineLevel="2">
      <c r="B471" s="40">
        <f t="shared" si="20"/>
        <v>9</v>
      </c>
      <c r="C471" s="41" t="s">
        <v>8</v>
      </c>
      <c r="D471" s="41"/>
      <c r="E471" s="41"/>
      <c r="F471" s="41"/>
      <c r="G471" s="41"/>
      <c r="H471" s="41"/>
      <c r="I471" s="42"/>
      <c r="J471" s="41"/>
      <c r="K471" s="41"/>
      <c r="L471" s="43"/>
    </row>
    <row r="472" spans="2:12" outlineLevel="2">
      <c r="B472" s="40">
        <f t="shared" si="20"/>
        <v>10</v>
      </c>
      <c r="C472" s="41" t="s">
        <v>8</v>
      </c>
      <c r="D472" s="41"/>
      <c r="E472" s="41"/>
      <c r="F472" s="41"/>
      <c r="G472" s="41"/>
      <c r="H472" s="41"/>
      <c r="I472" s="42"/>
      <c r="J472" s="41"/>
      <c r="K472" s="41"/>
      <c r="L472" s="43"/>
    </row>
    <row r="473" spans="2:12" outlineLevel="2">
      <c r="B473" s="40">
        <f t="shared" si="20"/>
        <v>11</v>
      </c>
      <c r="C473" s="41" t="s">
        <v>8</v>
      </c>
      <c r="D473" s="41"/>
      <c r="E473" s="41"/>
      <c r="F473" s="41"/>
      <c r="G473" s="41"/>
      <c r="H473" s="41"/>
      <c r="I473" s="42"/>
      <c r="J473" s="41"/>
      <c r="K473" s="41"/>
      <c r="L473" s="43"/>
    </row>
    <row r="474" spans="2:12" outlineLevel="2">
      <c r="B474" s="40">
        <f t="shared" si="20"/>
        <v>12</v>
      </c>
      <c r="C474" s="41" t="s">
        <v>8</v>
      </c>
      <c r="D474" s="41"/>
      <c r="E474" s="41"/>
      <c r="F474" s="41"/>
      <c r="G474" s="41"/>
      <c r="H474" s="41"/>
      <c r="I474" s="42"/>
      <c r="J474" s="41"/>
      <c r="K474" s="41"/>
      <c r="L474" s="43"/>
    </row>
    <row r="475" spans="2:12" outlineLevel="2">
      <c r="B475" s="40">
        <f t="shared" si="20"/>
        <v>13</v>
      </c>
      <c r="C475" s="41" t="s">
        <v>8</v>
      </c>
      <c r="D475" s="41"/>
      <c r="E475" s="41"/>
      <c r="F475" s="41"/>
      <c r="G475" s="41"/>
      <c r="H475" s="41"/>
      <c r="I475" s="42"/>
      <c r="J475" s="41"/>
      <c r="K475" s="41"/>
      <c r="L475" s="43"/>
    </row>
    <row r="476" spans="2:12" outlineLevel="2">
      <c r="B476" s="40">
        <f t="shared" si="20"/>
        <v>14</v>
      </c>
      <c r="C476" s="41" t="s">
        <v>8</v>
      </c>
      <c r="D476" s="41"/>
      <c r="E476" s="41"/>
      <c r="F476" s="41"/>
      <c r="G476" s="41"/>
      <c r="H476" s="41"/>
      <c r="I476" s="42"/>
      <c r="J476" s="41"/>
      <c r="K476" s="41"/>
      <c r="L476" s="43"/>
    </row>
    <row r="477" spans="2:12" outlineLevel="2">
      <c r="B477" s="40">
        <f t="shared" si="20"/>
        <v>15</v>
      </c>
      <c r="C477" s="41" t="s">
        <v>8</v>
      </c>
      <c r="D477" s="41"/>
      <c r="E477" s="41"/>
      <c r="F477" s="41"/>
      <c r="G477" s="41"/>
      <c r="H477" s="41"/>
      <c r="I477" s="42"/>
      <c r="J477" s="41"/>
      <c r="K477" s="41"/>
      <c r="L477" s="43"/>
    </row>
    <row r="478" spans="2:12" outlineLevel="2">
      <c r="B478" s="40">
        <f t="shared" si="20"/>
        <v>16</v>
      </c>
      <c r="C478" s="41" t="s">
        <v>8</v>
      </c>
      <c r="D478" s="41"/>
      <c r="E478" s="41"/>
      <c r="F478" s="41"/>
      <c r="G478" s="41"/>
      <c r="H478" s="41"/>
      <c r="I478" s="42"/>
      <c r="J478" s="41"/>
      <c r="K478" s="41"/>
      <c r="L478" s="43"/>
    </row>
    <row r="479" spans="2:12" outlineLevel="2">
      <c r="B479" s="40">
        <f t="shared" si="20"/>
        <v>17</v>
      </c>
      <c r="C479" s="41" t="s">
        <v>8</v>
      </c>
      <c r="D479" s="41"/>
      <c r="E479" s="41"/>
      <c r="F479" s="41"/>
      <c r="G479" s="41"/>
      <c r="H479" s="41"/>
      <c r="I479" s="42"/>
      <c r="J479" s="41"/>
      <c r="K479" s="41"/>
      <c r="L479" s="43"/>
    </row>
    <row r="480" spans="2:12" outlineLevel="2">
      <c r="B480" s="40">
        <f t="shared" si="20"/>
        <v>18</v>
      </c>
      <c r="C480" s="41" t="s">
        <v>8</v>
      </c>
      <c r="D480" s="41"/>
      <c r="E480" s="41"/>
      <c r="F480" s="41"/>
      <c r="G480" s="41"/>
      <c r="H480" s="41"/>
      <c r="I480" s="42"/>
      <c r="J480" s="41"/>
      <c r="K480" s="41"/>
      <c r="L480" s="43"/>
    </row>
    <row r="481" spans="2:12" outlineLevel="2">
      <c r="B481" s="40">
        <f t="shared" si="20"/>
        <v>19</v>
      </c>
      <c r="C481" s="41" t="s">
        <v>8</v>
      </c>
      <c r="D481" s="41"/>
      <c r="E481" s="41"/>
      <c r="F481" s="41"/>
      <c r="G481" s="41"/>
      <c r="H481" s="41"/>
      <c r="I481" s="42"/>
      <c r="J481" s="41"/>
      <c r="K481" s="41"/>
      <c r="L481" s="43"/>
    </row>
    <row r="482" spans="2:12" outlineLevel="2">
      <c r="B482" s="40">
        <f t="shared" si="20"/>
        <v>20</v>
      </c>
      <c r="C482" s="41" t="s">
        <v>8</v>
      </c>
      <c r="D482" s="41"/>
      <c r="E482" s="41"/>
      <c r="F482" s="41"/>
      <c r="G482" s="41"/>
      <c r="H482" s="41"/>
      <c r="I482" s="42"/>
      <c r="J482" s="41"/>
      <c r="K482" s="41"/>
      <c r="L482" s="43"/>
    </row>
    <row r="483" spans="2:12" outlineLevel="2">
      <c r="B483" s="40">
        <f t="shared" si="20"/>
        <v>21</v>
      </c>
      <c r="C483" s="41" t="s">
        <v>8</v>
      </c>
      <c r="D483" s="41"/>
      <c r="E483" s="41"/>
      <c r="F483" s="41"/>
      <c r="G483" s="41"/>
      <c r="H483" s="41"/>
      <c r="I483" s="42"/>
      <c r="J483" s="41"/>
      <c r="K483" s="41"/>
      <c r="L483" s="43"/>
    </row>
    <row r="484" spans="2:12" outlineLevel="2">
      <c r="B484" s="40">
        <f t="shared" si="20"/>
        <v>22</v>
      </c>
      <c r="C484" s="41" t="s">
        <v>8</v>
      </c>
      <c r="D484" s="41"/>
      <c r="E484" s="41"/>
      <c r="F484" s="41"/>
      <c r="G484" s="41"/>
      <c r="H484" s="41"/>
      <c r="I484" s="42"/>
      <c r="J484" s="41"/>
      <c r="K484" s="41"/>
      <c r="L484" s="43"/>
    </row>
    <row r="485" spans="2:12" outlineLevel="2">
      <c r="B485" s="40">
        <f t="shared" si="20"/>
        <v>23</v>
      </c>
      <c r="C485" s="41" t="s">
        <v>8</v>
      </c>
      <c r="D485" s="41"/>
      <c r="E485" s="41"/>
      <c r="F485" s="41"/>
      <c r="G485" s="41"/>
      <c r="H485" s="41"/>
      <c r="I485" s="42"/>
      <c r="J485" s="41"/>
      <c r="K485" s="41"/>
      <c r="L485" s="43"/>
    </row>
    <row r="486" spans="2:12" outlineLevel="2">
      <c r="B486" s="40">
        <f t="shared" si="20"/>
        <v>24</v>
      </c>
      <c r="C486" s="41" t="s">
        <v>8</v>
      </c>
      <c r="D486" s="41"/>
      <c r="E486" s="41"/>
      <c r="F486" s="41"/>
      <c r="G486" s="41"/>
      <c r="H486" s="41"/>
      <c r="I486" s="42"/>
      <c r="J486" s="41"/>
      <c r="K486" s="41"/>
      <c r="L486" s="43"/>
    </row>
    <row r="487" spans="2:12" outlineLevel="2">
      <c r="B487" s="40">
        <f t="shared" si="20"/>
        <v>25</v>
      </c>
      <c r="C487" s="41" t="s">
        <v>8</v>
      </c>
      <c r="D487" s="41"/>
      <c r="E487" s="41"/>
      <c r="F487" s="41"/>
      <c r="G487" s="41"/>
      <c r="H487" s="41"/>
      <c r="I487" s="42"/>
      <c r="J487" s="41"/>
      <c r="K487" s="41"/>
      <c r="L487" s="43"/>
    </row>
    <row r="488" spans="2:12" outlineLevel="2">
      <c r="B488" s="40">
        <f t="shared" si="20"/>
        <v>26</v>
      </c>
      <c r="C488" s="41" t="s">
        <v>8</v>
      </c>
      <c r="D488" s="41"/>
      <c r="E488" s="41"/>
      <c r="F488" s="41"/>
      <c r="G488" s="41"/>
      <c r="H488" s="41"/>
      <c r="I488" s="42"/>
      <c r="J488" s="41"/>
      <c r="K488" s="41"/>
      <c r="L488" s="43"/>
    </row>
    <row r="489" spans="2:12" outlineLevel="2">
      <c r="B489" s="40">
        <f t="shared" si="20"/>
        <v>27</v>
      </c>
      <c r="C489" s="41" t="s">
        <v>8</v>
      </c>
      <c r="D489" s="41"/>
      <c r="E489" s="41"/>
      <c r="F489" s="41"/>
      <c r="G489" s="41"/>
      <c r="H489" s="41"/>
      <c r="I489" s="42"/>
      <c r="J489" s="41"/>
      <c r="K489" s="41"/>
      <c r="L489" s="43"/>
    </row>
    <row r="490" spans="2:12" outlineLevel="2">
      <c r="B490" s="40">
        <f t="shared" si="20"/>
        <v>28</v>
      </c>
      <c r="C490" s="41" t="s">
        <v>8</v>
      </c>
      <c r="D490" s="41"/>
      <c r="E490" s="41"/>
      <c r="F490" s="41"/>
      <c r="G490" s="41"/>
      <c r="H490" s="41"/>
      <c r="I490" s="42"/>
      <c r="J490" s="41"/>
      <c r="K490" s="41"/>
      <c r="L490" s="43"/>
    </row>
    <row r="491" spans="2:12" outlineLevel="2">
      <c r="B491" s="40">
        <f t="shared" si="20"/>
        <v>29</v>
      </c>
      <c r="C491" s="41" t="s">
        <v>8</v>
      </c>
      <c r="D491" s="41"/>
      <c r="E491" s="41"/>
      <c r="F491" s="41"/>
      <c r="G491" s="41"/>
      <c r="H491" s="41"/>
      <c r="I491" s="42"/>
      <c r="J491" s="41"/>
      <c r="K491" s="41"/>
      <c r="L491" s="43"/>
    </row>
    <row r="492" spans="2:12" outlineLevel="2">
      <c r="B492" s="40">
        <f t="shared" si="20"/>
        <v>30</v>
      </c>
      <c r="C492" s="41" t="s">
        <v>8</v>
      </c>
      <c r="D492" s="41"/>
      <c r="E492" s="41"/>
      <c r="F492" s="41"/>
      <c r="G492" s="41"/>
      <c r="H492" s="41"/>
      <c r="I492" s="42"/>
      <c r="J492" s="41"/>
      <c r="K492" s="41"/>
      <c r="L492" s="43"/>
    </row>
    <row r="493" spans="2:12" outlineLevel="2">
      <c r="B493" s="40">
        <f t="shared" si="20"/>
        <v>31</v>
      </c>
      <c r="C493" s="41" t="s">
        <v>8</v>
      </c>
      <c r="D493" s="41"/>
      <c r="E493" s="41"/>
      <c r="F493" s="41"/>
      <c r="G493" s="41"/>
      <c r="H493" s="41"/>
      <c r="I493" s="42"/>
      <c r="J493" s="41"/>
      <c r="K493" s="41"/>
      <c r="L493" s="43"/>
    </row>
    <row r="494" spans="2:12" outlineLevel="2">
      <c r="B494" s="40">
        <f t="shared" si="20"/>
        <v>32</v>
      </c>
      <c r="C494" s="41" t="s">
        <v>8</v>
      </c>
      <c r="D494" s="41"/>
      <c r="E494" s="41"/>
      <c r="F494" s="41"/>
      <c r="G494" s="41"/>
      <c r="H494" s="41"/>
      <c r="I494" s="42"/>
      <c r="J494" s="41"/>
      <c r="K494" s="41"/>
      <c r="L494" s="43"/>
    </row>
    <row r="495" spans="2:12" outlineLevel="2">
      <c r="B495" s="40">
        <f t="shared" si="20"/>
        <v>33</v>
      </c>
      <c r="C495" s="41" t="s">
        <v>8</v>
      </c>
      <c r="D495" s="41"/>
      <c r="E495" s="41"/>
      <c r="F495" s="41"/>
      <c r="G495" s="41"/>
      <c r="H495" s="41"/>
      <c r="I495" s="42"/>
      <c r="J495" s="41"/>
      <c r="K495" s="41"/>
      <c r="L495" s="43"/>
    </row>
    <row r="496" spans="2:12" outlineLevel="2">
      <c r="B496" s="40">
        <f t="shared" si="20"/>
        <v>34</v>
      </c>
      <c r="C496" s="41" t="s">
        <v>8</v>
      </c>
      <c r="D496" s="41"/>
      <c r="E496" s="41"/>
      <c r="F496" s="41"/>
      <c r="G496" s="41"/>
      <c r="H496" s="41"/>
      <c r="I496" s="42"/>
      <c r="J496" s="41"/>
      <c r="K496" s="41"/>
      <c r="L496" s="43"/>
    </row>
    <row r="497" spans="2:12" outlineLevel="2">
      <c r="B497" s="40">
        <f t="shared" si="20"/>
        <v>35</v>
      </c>
      <c r="C497" s="41" t="s">
        <v>8</v>
      </c>
      <c r="D497" s="41"/>
      <c r="E497" s="41"/>
      <c r="F497" s="41"/>
      <c r="G497" s="41"/>
      <c r="H497" s="41"/>
      <c r="I497" s="42"/>
      <c r="J497" s="41"/>
      <c r="K497" s="41"/>
      <c r="L497" s="43"/>
    </row>
    <row r="498" spans="2:12" outlineLevel="2">
      <c r="B498" s="40">
        <f t="shared" si="20"/>
        <v>36</v>
      </c>
      <c r="C498" s="41" t="s">
        <v>8</v>
      </c>
      <c r="D498" s="41"/>
      <c r="E498" s="41"/>
      <c r="F498" s="41"/>
      <c r="G498" s="41"/>
      <c r="H498" s="41"/>
      <c r="I498" s="42"/>
      <c r="J498" s="41"/>
      <c r="K498" s="41"/>
      <c r="L498" s="43"/>
    </row>
    <row r="499" spans="2:12" outlineLevel="2">
      <c r="B499" s="40">
        <f t="shared" si="20"/>
        <v>37</v>
      </c>
      <c r="C499" s="41" t="s">
        <v>8</v>
      </c>
      <c r="D499" s="41"/>
      <c r="E499" s="41"/>
      <c r="F499" s="41"/>
      <c r="G499" s="41"/>
      <c r="H499" s="41"/>
      <c r="I499" s="42"/>
      <c r="J499" s="41"/>
      <c r="K499" s="41"/>
      <c r="L499" s="43"/>
    </row>
    <row r="500" spans="2:12" outlineLevel="2">
      <c r="B500" s="40">
        <f t="shared" si="20"/>
        <v>38</v>
      </c>
      <c r="C500" s="41" t="s">
        <v>8</v>
      </c>
      <c r="D500" s="41"/>
      <c r="E500" s="41"/>
      <c r="F500" s="41"/>
      <c r="G500" s="41"/>
      <c r="H500" s="41"/>
      <c r="I500" s="42"/>
      <c r="J500" s="41"/>
      <c r="K500" s="41"/>
      <c r="L500" s="43"/>
    </row>
    <row r="501" spans="2:12" outlineLevel="2">
      <c r="B501" s="40">
        <f t="shared" si="20"/>
        <v>39</v>
      </c>
      <c r="C501" s="41" t="s">
        <v>8</v>
      </c>
      <c r="D501" s="41"/>
      <c r="E501" s="41"/>
      <c r="F501" s="41"/>
      <c r="G501" s="41"/>
      <c r="H501" s="41"/>
      <c r="I501" s="42"/>
      <c r="J501" s="41"/>
      <c r="K501" s="41"/>
      <c r="L501" s="43"/>
    </row>
    <row r="502" spans="2:12" outlineLevel="2">
      <c r="B502" s="40">
        <f t="shared" si="20"/>
        <v>40</v>
      </c>
      <c r="C502" s="41" t="s">
        <v>8</v>
      </c>
      <c r="D502" s="41"/>
      <c r="E502" s="41"/>
      <c r="F502" s="41"/>
      <c r="G502" s="41"/>
      <c r="H502" s="41"/>
      <c r="I502" s="42"/>
      <c r="J502" s="41"/>
      <c r="K502" s="41"/>
      <c r="L502" s="43"/>
    </row>
    <row r="503" spans="2:12" outlineLevel="2">
      <c r="B503" s="40">
        <f t="shared" si="20"/>
        <v>41</v>
      </c>
      <c r="C503" s="41" t="s">
        <v>8</v>
      </c>
      <c r="D503" s="41"/>
      <c r="E503" s="41"/>
      <c r="F503" s="41"/>
      <c r="G503" s="41"/>
      <c r="H503" s="41"/>
      <c r="I503" s="42"/>
      <c r="J503" s="41"/>
      <c r="K503" s="41"/>
      <c r="L503" s="43"/>
    </row>
    <row r="504" spans="2:12" outlineLevel="2">
      <c r="B504" s="40">
        <f t="shared" si="20"/>
        <v>42</v>
      </c>
      <c r="C504" s="41" t="s">
        <v>8</v>
      </c>
      <c r="D504" s="41"/>
      <c r="E504" s="41"/>
      <c r="F504" s="41"/>
      <c r="G504" s="41"/>
      <c r="H504" s="41"/>
      <c r="I504" s="42"/>
      <c r="J504" s="41"/>
      <c r="K504" s="41"/>
      <c r="L504" s="43"/>
    </row>
    <row r="505" spans="2:12" outlineLevel="2">
      <c r="B505" s="40">
        <f t="shared" si="20"/>
        <v>43</v>
      </c>
      <c r="C505" s="41" t="s">
        <v>8</v>
      </c>
      <c r="D505" s="41"/>
      <c r="E505" s="41"/>
      <c r="F505" s="41"/>
      <c r="G505" s="41"/>
      <c r="H505" s="41"/>
      <c r="I505" s="42"/>
      <c r="J505" s="41"/>
      <c r="K505" s="41"/>
      <c r="L505" s="43"/>
    </row>
    <row r="506" spans="2:12" outlineLevel="2">
      <c r="B506" s="40">
        <f t="shared" si="20"/>
        <v>44</v>
      </c>
      <c r="C506" s="41" t="s">
        <v>8</v>
      </c>
      <c r="D506" s="41"/>
      <c r="E506" s="41"/>
      <c r="F506" s="41"/>
      <c r="G506" s="41"/>
      <c r="H506" s="41"/>
      <c r="I506" s="42"/>
      <c r="J506" s="41"/>
      <c r="K506" s="41"/>
      <c r="L506" s="43"/>
    </row>
    <row r="507" spans="2:12" outlineLevel="2">
      <c r="B507" s="40">
        <f t="shared" si="20"/>
        <v>45</v>
      </c>
      <c r="C507" s="41" t="s">
        <v>8</v>
      </c>
      <c r="D507" s="41"/>
      <c r="E507" s="41"/>
      <c r="F507" s="41"/>
      <c r="G507" s="41"/>
      <c r="H507" s="41"/>
      <c r="I507" s="42"/>
      <c r="J507" s="41"/>
      <c r="K507" s="41"/>
      <c r="L507" s="43"/>
    </row>
    <row r="508" spans="2:12" outlineLevel="2">
      <c r="B508" s="40">
        <f t="shared" si="20"/>
        <v>46</v>
      </c>
      <c r="C508" s="41" t="s">
        <v>8</v>
      </c>
      <c r="D508" s="41"/>
      <c r="E508" s="41"/>
      <c r="F508" s="41"/>
      <c r="G508" s="41"/>
      <c r="H508" s="41"/>
      <c r="I508" s="42"/>
      <c r="J508" s="41"/>
      <c r="K508" s="41"/>
      <c r="L508" s="43"/>
    </row>
    <row r="509" spans="2:12" outlineLevel="2">
      <c r="B509" s="40">
        <f t="shared" si="20"/>
        <v>47</v>
      </c>
      <c r="C509" s="41" t="s">
        <v>8</v>
      </c>
      <c r="D509" s="41"/>
      <c r="E509" s="41"/>
      <c r="F509" s="41"/>
      <c r="G509" s="41"/>
      <c r="H509" s="41"/>
      <c r="I509" s="42"/>
      <c r="J509" s="41"/>
      <c r="K509" s="41"/>
      <c r="L509" s="43"/>
    </row>
    <row r="510" spans="2:12" outlineLevel="2">
      <c r="B510" s="40">
        <f t="shared" si="20"/>
        <v>48</v>
      </c>
      <c r="C510" s="41" t="s">
        <v>8</v>
      </c>
      <c r="D510" s="41"/>
      <c r="E510" s="41"/>
      <c r="F510" s="41"/>
      <c r="G510" s="41"/>
      <c r="H510" s="41"/>
      <c r="I510" s="42"/>
      <c r="J510" s="41"/>
      <c r="K510" s="41"/>
      <c r="L510" s="43"/>
    </row>
    <row r="511" spans="2:12" outlineLevel="2">
      <c r="B511" s="40">
        <f t="shared" si="20"/>
        <v>49</v>
      </c>
      <c r="C511" s="41" t="s">
        <v>8</v>
      </c>
      <c r="D511" s="41"/>
      <c r="E511" s="41"/>
      <c r="F511" s="41"/>
      <c r="G511" s="41"/>
      <c r="H511" s="41"/>
      <c r="I511" s="42"/>
      <c r="J511" s="41"/>
      <c r="K511" s="41"/>
      <c r="L511" s="43"/>
    </row>
    <row r="512" spans="2:12" outlineLevel="2">
      <c r="B512" s="40">
        <f t="shared" si="20"/>
        <v>50</v>
      </c>
      <c r="C512" s="41" t="s">
        <v>8</v>
      </c>
      <c r="D512" s="41"/>
      <c r="E512" s="41"/>
      <c r="F512" s="41"/>
      <c r="G512" s="41"/>
      <c r="H512" s="41"/>
      <c r="I512" s="42"/>
      <c r="J512" s="41"/>
      <c r="K512" s="41"/>
      <c r="L512" s="43"/>
    </row>
    <row r="513" spans="2:12" outlineLevel="2">
      <c r="B513" s="40">
        <f t="shared" si="20"/>
        <v>51</v>
      </c>
      <c r="C513" s="41" t="s">
        <v>8</v>
      </c>
      <c r="D513" s="41"/>
      <c r="E513" s="41"/>
      <c r="F513" s="41"/>
      <c r="G513" s="41"/>
      <c r="H513" s="41"/>
      <c r="I513" s="42"/>
      <c r="J513" s="41"/>
      <c r="K513" s="41"/>
      <c r="L513" s="43"/>
    </row>
    <row r="514" spans="2:12" outlineLevel="2">
      <c r="B514" s="40">
        <f t="shared" si="20"/>
        <v>52</v>
      </c>
      <c r="C514" s="41" t="s">
        <v>8</v>
      </c>
      <c r="D514" s="41"/>
      <c r="E514" s="41"/>
      <c r="F514" s="41"/>
      <c r="G514" s="41"/>
      <c r="H514" s="41"/>
      <c r="I514" s="42"/>
      <c r="J514" s="41"/>
      <c r="K514" s="41"/>
      <c r="L514" s="43"/>
    </row>
    <row r="515" spans="2:12" outlineLevel="2">
      <c r="B515" s="40">
        <f t="shared" si="20"/>
        <v>53</v>
      </c>
      <c r="C515" s="41" t="s">
        <v>8</v>
      </c>
      <c r="D515" s="41"/>
      <c r="E515" s="41"/>
      <c r="F515" s="41"/>
      <c r="G515" s="41"/>
      <c r="H515" s="41"/>
      <c r="I515" s="42"/>
      <c r="J515" s="41"/>
      <c r="K515" s="41"/>
      <c r="L515" s="43"/>
    </row>
    <row r="516" spans="2:12" outlineLevel="2">
      <c r="B516" s="40">
        <f t="shared" si="20"/>
        <v>54</v>
      </c>
      <c r="C516" s="41" t="s">
        <v>8</v>
      </c>
      <c r="D516" s="41"/>
      <c r="E516" s="41"/>
      <c r="F516" s="41"/>
      <c r="G516" s="41"/>
      <c r="H516" s="41"/>
      <c r="I516" s="42"/>
      <c r="J516" s="41"/>
      <c r="K516" s="41"/>
      <c r="L516" s="43"/>
    </row>
    <row r="517" spans="2:12" outlineLevel="2">
      <c r="B517" s="40">
        <f t="shared" si="20"/>
        <v>55</v>
      </c>
      <c r="C517" s="41" t="s">
        <v>8</v>
      </c>
      <c r="D517" s="41"/>
      <c r="E517" s="41"/>
      <c r="F517" s="41"/>
      <c r="G517" s="41"/>
      <c r="H517" s="41"/>
      <c r="I517" s="42"/>
      <c r="J517" s="41"/>
      <c r="K517" s="41"/>
      <c r="L517" s="43"/>
    </row>
    <row r="518" spans="2:12" outlineLevel="2">
      <c r="B518" s="40">
        <f t="shared" si="20"/>
        <v>56</v>
      </c>
      <c r="C518" s="41" t="s">
        <v>8</v>
      </c>
      <c r="D518" s="41"/>
      <c r="E518" s="41"/>
      <c r="F518" s="41"/>
      <c r="G518" s="41"/>
      <c r="H518" s="41"/>
      <c r="I518" s="42"/>
      <c r="J518" s="41"/>
      <c r="K518" s="41"/>
      <c r="L518" s="43"/>
    </row>
    <row r="519" spans="2:12" outlineLevel="2">
      <c r="B519" s="40">
        <f t="shared" si="20"/>
        <v>57</v>
      </c>
      <c r="C519" s="41" t="s">
        <v>8</v>
      </c>
      <c r="D519" s="41"/>
      <c r="E519" s="41"/>
      <c r="F519" s="41"/>
      <c r="G519" s="41"/>
      <c r="H519" s="41"/>
      <c r="I519" s="42"/>
      <c r="J519" s="41"/>
      <c r="K519" s="41"/>
      <c r="L519" s="43"/>
    </row>
    <row r="520" spans="2:12" outlineLevel="2">
      <c r="B520" s="40">
        <f t="shared" si="20"/>
        <v>58</v>
      </c>
      <c r="C520" s="41" t="s">
        <v>8</v>
      </c>
      <c r="D520" s="41"/>
      <c r="E520" s="41"/>
      <c r="F520" s="41"/>
      <c r="G520" s="41"/>
      <c r="H520" s="41"/>
      <c r="I520" s="42"/>
      <c r="J520" s="41"/>
      <c r="K520" s="41"/>
      <c r="L520" s="43"/>
    </row>
    <row r="521" spans="2:12" outlineLevel="2">
      <c r="B521" s="40">
        <f t="shared" si="20"/>
        <v>59</v>
      </c>
      <c r="C521" s="41" t="s">
        <v>8</v>
      </c>
      <c r="D521" s="41"/>
      <c r="E521" s="41"/>
      <c r="F521" s="41"/>
      <c r="G521" s="41"/>
      <c r="H521" s="41"/>
      <c r="I521" s="42"/>
      <c r="J521" s="41"/>
      <c r="K521" s="41"/>
      <c r="L521" s="43"/>
    </row>
    <row r="522" spans="2:12" outlineLevel="2">
      <c r="B522" s="40">
        <f t="shared" si="20"/>
        <v>60</v>
      </c>
      <c r="C522" s="41" t="s">
        <v>8</v>
      </c>
      <c r="D522" s="41"/>
      <c r="E522" s="41"/>
      <c r="F522" s="41"/>
      <c r="G522" s="41"/>
      <c r="H522" s="41"/>
      <c r="I522" s="42"/>
      <c r="J522" s="41"/>
      <c r="K522" s="41"/>
      <c r="L522" s="43"/>
    </row>
    <row r="523" spans="2:12" outlineLevel="2">
      <c r="B523" s="40">
        <f t="shared" si="20"/>
        <v>61</v>
      </c>
      <c r="C523" s="41" t="s">
        <v>8</v>
      </c>
      <c r="D523" s="41"/>
      <c r="E523" s="41"/>
      <c r="F523" s="41"/>
      <c r="G523" s="41"/>
      <c r="H523" s="41"/>
      <c r="I523" s="42"/>
      <c r="J523" s="41"/>
      <c r="K523" s="41"/>
      <c r="L523" s="43"/>
    </row>
    <row r="524" spans="2:12" outlineLevel="2">
      <c r="B524" s="40">
        <f t="shared" si="20"/>
        <v>62</v>
      </c>
      <c r="C524" s="41" t="s">
        <v>8</v>
      </c>
      <c r="D524" s="41"/>
      <c r="E524" s="41"/>
      <c r="F524" s="41"/>
      <c r="G524" s="41"/>
      <c r="H524" s="41"/>
      <c r="I524" s="42"/>
      <c r="J524" s="41"/>
      <c r="K524" s="41"/>
      <c r="L524" s="43"/>
    </row>
    <row r="525" spans="2:12" outlineLevel="2">
      <c r="B525" s="40">
        <f t="shared" si="20"/>
        <v>63</v>
      </c>
      <c r="C525" s="41" t="s">
        <v>8</v>
      </c>
      <c r="D525" s="41"/>
      <c r="E525" s="41"/>
      <c r="F525" s="41"/>
      <c r="G525" s="41"/>
      <c r="H525" s="41"/>
      <c r="I525" s="42"/>
      <c r="J525" s="41"/>
      <c r="K525" s="41"/>
      <c r="L525" s="43"/>
    </row>
    <row r="526" spans="2:12" outlineLevel="2">
      <c r="B526" s="40">
        <f t="shared" si="20"/>
        <v>64</v>
      </c>
      <c r="C526" s="41" t="s">
        <v>8</v>
      </c>
      <c r="D526" s="41"/>
      <c r="E526" s="41"/>
      <c r="F526" s="41"/>
      <c r="G526" s="41"/>
      <c r="H526" s="41"/>
      <c r="I526" s="42"/>
      <c r="J526" s="41"/>
      <c r="K526" s="41"/>
      <c r="L526" s="43"/>
    </row>
    <row r="527" spans="2:12" outlineLevel="2">
      <c r="B527" s="40">
        <f t="shared" si="20"/>
        <v>65</v>
      </c>
      <c r="C527" s="41" t="s">
        <v>8</v>
      </c>
      <c r="D527" s="41"/>
      <c r="E527" s="41"/>
      <c r="F527" s="41"/>
      <c r="G527" s="41"/>
      <c r="H527" s="41"/>
      <c r="I527" s="42"/>
      <c r="J527" s="41"/>
      <c r="K527" s="41"/>
      <c r="L527" s="43"/>
    </row>
    <row r="528" spans="2:12" outlineLevel="2">
      <c r="B528" s="40">
        <f t="shared" si="20"/>
        <v>66</v>
      </c>
      <c r="C528" s="41" t="s">
        <v>8</v>
      </c>
      <c r="D528" s="41"/>
      <c r="E528" s="41"/>
      <c r="F528" s="41"/>
      <c r="G528" s="41"/>
      <c r="H528" s="41"/>
      <c r="I528" s="42"/>
      <c r="J528" s="41"/>
      <c r="K528" s="41"/>
      <c r="L528" s="43"/>
    </row>
    <row r="529" spans="2:12" outlineLevel="2">
      <c r="B529" s="40">
        <f t="shared" ref="B529:B592" si="21">ROW(A67)</f>
        <v>67</v>
      </c>
      <c r="C529" s="41" t="s">
        <v>8</v>
      </c>
      <c r="D529" s="41"/>
      <c r="E529" s="41"/>
      <c r="F529" s="41"/>
      <c r="G529" s="41"/>
      <c r="H529" s="41"/>
      <c r="I529" s="42"/>
      <c r="J529" s="41"/>
      <c r="K529" s="41"/>
      <c r="L529" s="43"/>
    </row>
    <row r="530" spans="2:12" outlineLevel="2">
      <c r="B530" s="40">
        <f t="shared" si="21"/>
        <v>68</v>
      </c>
      <c r="C530" s="41" t="s">
        <v>8</v>
      </c>
      <c r="D530" s="41"/>
      <c r="E530" s="41"/>
      <c r="F530" s="41"/>
      <c r="G530" s="41"/>
      <c r="H530" s="41"/>
      <c r="I530" s="42"/>
      <c r="J530" s="41"/>
      <c r="K530" s="41"/>
      <c r="L530" s="43"/>
    </row>
    <row r="531" spans="2:12" outlineLevel="2">
      <c r="B531" s="40">
        <f t="shared" si="21"/>
        <v>69</v>
      </c>
      <c r="C531" s="41" t="s">
        <v>8</v>
      </c>
      <c r="D531" s="41"/>
      <c r="E531" s="41"/>
      <c r="F531" s="41"/>
      <c r="G531" s="41"/>
      <c r="H531" s="41"/>
      <c r="I531" s="42"/>
      <c r="J531" s="41"/>
      <c r="K531" s="41"/>
      <c r="L531" s="43"/>
    </row>
    <row r="532" spans="2:12" outlineLevel="2">
      <c r="B532" s="40">
        <f t="shared" si="21"/>
        <v>70</v>
      </c>
      <c r="C532" s="41" t="s">
        <v>8</v>
      </c>
      <c r="D532" s="41"/>
      <c r="E532" s="41"/>
      <c r="F532" s="41"/>
      <c r="G532" s="41"/>
      <c r="H532" s="41"/>
      <c r="I532" s="42"/>
      <c r="J532" s="41"/>
      <c r="K532" s="41"/>
      <c r="L532" s="43"/>
    </row>
    <row r="533" spans="2:12" outlineLevel="2">
      <c r="B533" s="40">
        <f t="shared" si="21"/>
        <v>71</v>
      </c>
      <c r="C533" s="41" t="s">
        <v>8</v>
      </c>
      <c r="D533" s="41"/>
      <c r="E533" s="41"/>
      <c r="F533" s="41"/>
      <c r="G533" s="41"/>
      <c r="H533" s="41"/>
      <c r="I533" s="42"/>
      <c r="J533" s="41"/>
      <c r="K533" s="41"/>
      <c r="L533" s="43"/>
    </row>
    <row r="534" spans="2:12" outlineLevel="2">
      <c r="B534" s="40">
        <f t="shared" si="21"/>
        <v>72</v>
      </c>
      <c r="C534" s="41" t="s">
        <v>8</v>
      </c>
      <c r="D534" s="41"/>
      <c r="E534" s="41"/>
      <c r="F534" s="41"/>
      <c r="G534" s="41"/>
      <c r="H534" s="41"/>
      <c r="I534" s="42"/>
      <c r="J534" s="41"/>
      <c r="K534" s="41"/>
      <c r="L534" s="43"/>
    </row>
    <row r="535" spans="2:12" outlineLevel="2">
      <c r="B535" s="40">
        <f t="shared" si="21"/>
        <v>73</v>
      </c>
      <c r="C535" s="41" t="s">
        <v>8</v>
      </c>
      <c r="D535" s="41"/>
      <c r="E535" s="41"/>
      <c r="F535" s="41"/>
      <c r="G535" s="41"/>
      <c r="H535" s="41"/>
      <c r="I535" s="42"/>
      <c r="J535" s="41"/>
      <c r="K535" s="41"/>
      <c r="L535" s="43"/>
    </row>
    <row r="536" spans="2:12" outlineLevel="2">
      <c r="B536" s="40">
        <f t="shared" si="21"/>
        <v>74</v>
      </c>
      <c r="C536" s="41" t="s">
        <v>8</v>
      </c>
      <c r="D536" s="41"/>
      <c r="E536" s="41"/>
      <c r="F536" s="41"/>
      <c r="G536" s="41"/>
      <c r="H536" s="41"/>
      <c r="I536" s="42"/>
      <c r="J536" s="41"/>
      <c r="K536" s="41"/>
      <c r="L536" s="43"/>
    </row>
    <row r="537" spans="2:12" outlineLevel="2">
      <c r="B537" s="40">
        <f t="shared" si="21"/>
        <v>75</v>
      </c>
      <c r="C537" s="41" t="s">
        <v>8</v>
      </c>
      <c r="D537" s="41"/>
      <c r="E537" s="41"/>
      <c r="F537" s="41"/>
      <c r="G537" s="41"/>
      <c r="H537" s="41"/>
      <c r="I537" s="42"/>
      <c r="J537" s="41"/>
      <c r="K537" s="41"/>
      <c r="L537" s="43"/>
    </row>
    <row r="538" spans="2:12" outlineLevel="2">
      <c r="B538" s="40">
        <f t="shared" si="21"/>
        <v>76</v>
      </c>
      <c r="C538" s="41" t="s">
        <v>8</v>
      </c>
      <c r="D538" s="41"/>
      <c r="E538" s="41"/>
      <c r="F538" s="41"/>
      <c r="G538" s="41"/>
      <c r="H538" s="41"/>
      <c r="I538" s="42"/>
      <c r="J538" s="41"/>
      <c r="K538" s="41"/>
      <c r="L538" s="43"/>
    </row>
    <row r="539" spans="2:12" outlineLevel="2">
      <c r="B539" s="40">
        <f t="shared" si="21"/>
        <v>77</v>
      </c>
      <c r="C539" s="41" t="s">
        <v>8</v>
      </c>
      <c r="D539" s="41"/>
      <c r="E539" s="41"/>
      <c r="F539" s="41"/>
      <c r="G539" s="41"/>
      <c r="H539" s="41"/>
      <c r="I539" s="42"/>
      <c r="J539" s="41"/>
      <c r="K539" s="41"/>
      <c r="L539" s="43"/>
    </row>
    <row r="540" spans="2:12" outlineLevel="2">
      <c r="B540" s="40">
        <f t="shared" si="21"/>
        <v>78</v>
      </c>
      <c r="C540" s="41" t="s">
        <v>8</v>
      </c>
      <c r="D540" s="41"/>
      <c r="E540" s="41"/>
      <c r="F540" s="41"/>
      <c r="G540" s="41"/>
      <c r="H540" s="41"/>
      <c r="I540" s="42"/>
      <c r="J540" s="41"/>
      <c r="K540" s="41"/>
      <c r="L540" s="43"/>
    </row>
    <row r="541" spans="2:12" outlineLevel="2">
      <c r="B541" s="40">
        <f t="shared" si="21"/>
        <v>79</v>
      </c>
      <c r="C541" s="41" t="s">
        <v>8</v>
      </c>
      <c r="D541" s="41"/>
      <c r="E541" s="41"/>
      <c r="F541" s="41"/>
      <c r="G541" s="41"/>
      <c r="H541" s="41"/>
      <c r="I541" s="42"/>
      <c r="J541" s="41"/>
      <c r="K541" s="41"/>
      <c r="L541" s="43"/>
    </row>
    <row r="542" spans="2:12" outlineLevel="2">
      <c r="B542" s="40">
        <f t="shared" si="21"/>
        <v>80</v>
      </c>
      <c r="C542" s="41" t="s">
        <v>8</v>
      </c>
      <c r="D542" s="41"/>
      <c r="E542" s="41"/>
      <c r="F542" s="41"/>
      <c r="G542" s="41"/>
      <c r="H542" s="41"/>
      <c r="I542" s="42"/>
      <c r="J542" s="41"/>
      <c r="K542" s="41"/>
      <c r="L542" s="43"/>
    </row>
    <row r="543" spans="2:12" outlineLevel="2">
      <c r="B543" s="40">
        <f t="shared" si="21"/>
        <v>81</v>
      </c>
      <c r="C543" s="41" t="s">
        <v>8</v>
      </c>
      <c r="D543" s="41"/>
      <c r="E543" s="41"/>
      <c r="F543" s="41"/>
      <c r="G543" s="41"/>
      <c r="H543" s="41"/>
      <c r="I543" s="42"/>
      <c r="J543" s="41"/>
      <c r="K543" s="41"/>
      <c r="L543" s="43"/>
    </row>
    <row r="544" spans="2:12" outlineLevel="2">
      <c r="B544" s="40">
        <f t="shared" si="21"/>
        <v>82</v>
      </c>
      <c r="C544" s="41" t="s">
        <v>8</v>
      </c>
      <c r="D544" s="41"/>
      <c r="E544" s="41"/>
      <c r="F544" s="41"/>
      <c r="G544" s="41"/>
      <c r="H544" s="41"/>
      <c r="I544" s="42"/>
      <c r="J544" s="41"/>
      <c r="K544" s="41"/>
      <c r="L544" s="43"/>
    </row>
    <row r="545" spans="2:12" outlineLevel="2">
      <c r="B545" s="40">
        <f t="shared" si="21"/>
        <v>83</v>
      </c>
      <c r="C545" s="41" t="s">
        <v>8</v>
      </c>
      <c r="D545" s="41"/>
      <c r="E545" s="41"/>
      <c r="F545" s="41"/>
      <c r="G545" s="41"/>
      <c r="H545" s="41"/>
      <c r="I545" s="42"/>
      <c r="J545" s="41"/>
      <c r="K545" s="41"/>
      <c r="L545" s="43"/>
    </row>
    <row r="546" spans="2:12" outlineLevel="2">
      <c r="B546" s="40">
        <f t="shared" si="21"/>
        <v>84</v>
      </c>
      <c r="C546" s="41" t="s">
        <v>8</v>
      </c>
      <c r="D546" s="41"/>
      <c r="E546" s="41"/>
      <c r="F546" s="41"/>
      <c r="G546" s="41"/>
      <c r="H546" s="41"/>
      <c r="I546" s="42"/>
      <c r="J546" s="41"/>
      <c r="K546" s="41"/>
      <c r="L546" s="43"/>
    </row>
    <row r="547" spans="2:12" outlineLevel="2">
      <c r="B547" s="40">
        <f t="shared" si="21"/>
        <v>85</v>
      </c>
      <c r="C547" s="41" t="s">
        <v>8</v>
      </c>
      <c r="D547" s="41"/>
      <c r="E547" s="41"/>
      <c r="F547" s="41"/>
      <c r="G547" s="41"/>
      <c r="H547" s="41"/>
      <c r="I547" s="42"/>
      <c r="J547" s="41"/>
      <c r="K547" s="41"/>
      <c r="L547" s="43"/>
    </row>
    <row r="548" spans="2:12" outlineLevel="2">
      <c r="B548" s="40">
        <f t="shared" si="21"/>
        <v>86</v>
      </c>
      <c r="C548" s="41" t="s">
        <v>8</v>
      </c>
      <c r="D548" s="41"/>
      <c r="E548" s="41"/>
      <c r="F548" s="41"/>
      <c r="G548" s="41"/>
      <c r="H548" s="41"/>
      <c r="I548" s="42"/>
      <c r="J548" s="41"/>
      <c r="K548" s="41"/>
      <c r="L548" s="43"/>
    </row>
    <row r="549" spans="2:12" outlineLevel="2">
      <c r="B549" s="40">
        <f t="shared" si="21"/>
        <v>87</v>
      </c>
      <c r="C549" s="41" t="s">
        <v>8</v>
      </c>
      <c r="D549" s="41"/>
      <c r="E549" s="41"/>
      <c r="F549" s="41"/>
      <c r="G549" s="41"/>
      <c r="H549" s="41"/>
      <c r="I549" s="42"/>
      <c r="J549" s="41"/>
      <c r="K549" s="41"/>
      <c r="L549" s="43"/>
    </row>
    <row r="550" spans="2:12" outlineLevel="2">
      <c r="B550" s="40">
        <f t="shared" si="21"/>
        <v>88</v>
      </c>
      <c r="C550" s="41" t="s">
        <v>8</v>
      </c>
      <c r="D550" s="41"/>
      <c r="E550" s="41"/>
      <c r="F550" s="41"/>
      <c r="G550" s="41"/>
      <c r="H550" s="41"/>
      <c r="I550" s="42"/>
      <c r="J550" s="41"/>
      <c r="K550" s="41"/>
      <c r="L550" s="43"/>
    </row>
    <row r="551" spans="2:12" outlineLevel="2">
      <c r="B551" s="40">
        <f t="shared" si="21"/>
        <v>89</v>
      </c>
      <c r="C551" s="41" t="s">
        <v>8</v>
      </c>
      <c r="D551" s="41"/>
      <c r="E551" s="41"/>
      <c r="F551" s="41"/>
      <c r="G551" s="41"/>
      <c r="H551" s="41"/>
      <c r="I551" s="42"/>
      <c r="J551" s="41"/>
      <c r="K551" s="41"/>
      <c r="L551" s="43"/>
    </row>
    <row r="552" spans="2:12" outlineLevel="2">
      <c r="B552" s="40">
        <f t="shared" si="21"/>
        <v>90</v>
      </c>
      <c r="C552" s="41" t="s">
        <v>8</v>
      </c>
      <c r="D552" s="41"/>
      <c r="E552" s="41"/>
      <c r="F552" s="41"/>
      <c r="G552" s="41"/>
      <c r="H552" s="41"/>
      <c r="I552" s="42"/>
      <c r="J552" s="41"/>
      <c r="K552" s="41"/>
      <c r="L552" s="43"/>
    </row>
    <row r="553" spans="2:12" outlineLevel="2">
      <c r="B553" s="40">
        <f t="shared" si="21"/>
        <v>91</v>
      </c>
      <c r="C553" s="41" t="s">
        <v>8</v>
      </c>
      <c r="D553" s="41"/>
      <c r="E553" s="41"/>
      <c r="F553" s="41"/>
      <c r="G553" s="41"/>
      <c r="H553" s="41"/>
      <c r="I553" s="42"/>
      <c r="J553" s="41"/>
      <c r="K553" s="41"/>
      <c r="L553" s="43"/>
    </row>
    <row r="554" spans="2:12" outlineLevel="2">
      <c r="B554" s="40">
        <f t="shared" si="21"/>
        <v>92</v>
      </c>
      <c r="C554" s="41" t="s">
        <v>8</v>
      </c>
      <c r="D554" s="41"/>
      <c r="E554" s="41"/>
      <c r="F554" s="41"/>
      <c r="G554" s="41"/>
      <c r="H554" s="41"/>
      <c r="I554" s="42"/>
      <c r="J554" s="41"/>
      <c r="K554" s="41"/>
      <c r="L554" s="43"/>
    </row>
    <row r="555" spans="2:12" outlineLevel="2">
      <c r="B555" s="40">
        <f t="shared" si="21"/>
        <v>93</v>
      </c>
      <c r="C555" s="41" t="s">
        <v>8</v>
      </c>
      <c r="D555" s="41"/>
      <c r="E555" s="41"/>
      <c r="F555" s="41"/>
      <c r="G555" s="41"/>
      <c r="H555" s="41"/>
      <c r="I555" s="42"/>
      <c r="J555" s="41"/>
      <c r="K555" s="41"/>
      <c r="L555" s="43"/>
    </row>
    <row r="556" spans="2:12" outlineLevel="2">
      <c r="B556" s="40">
        <f t="shared" si="21"/>
        <v>94</v>
      </c>
      <c r="C556" s="41" t="s">
        <v>8</v>
      </c>
      <c r="D556" s="41"/>
      <c r="E556" s="41"/>
      <c r="F556" s="41"/>
      <c r="G556" s="41"/>
      <c r="H556" s="41"/>
      <c r="I556" s="42"/>
      <c r="J556" s="41"/>
      <c r="K556" s="41"/>
      <c r="L556" s="43"/>
    </row>
    <row r="557" spans="2:12" outlineLevel="2">
      <c r="B557" s="40">
        <f t="shared" si="21"/>
        <v>95</v>
      </c>
      <c r="C557" s="41" t="s">
        <v>8</v>
      </c>
      <c r="D557" s="41"/>
      <c r="E557" s="41"/>
      <c r="F557" s="41"/>
      <c r="G557" s="41"/>
      <c r="H557" s="41"/>
      <c r="I557" s="42"/>
      <c r="J557" s="41"/>
      <c r="K557" s="41"/>
      <c r="L557" s="43"/>
    </row>
    <row r="558" spans="2:12" outlineLevel="2">
      <c r="B558" s="40">
        <f t="shared" si="21"/>
        <v>96</v>
      </c>
      <c r="C558" s="41" t="s">
        <v>8</v>
      </c>
      <c r="D558" s="41"/>
      <c r="E558" s="41"/>
      <c r="F558" s="41"/>
      <c r="G558" s="41"/>
      <c r="H558" s="41"/>
      <c r="I558" s="42"/>
      <c r="J558" s="41"/>
      <c r="K558" s="41"/>
      <c r="L558" s="43"/>
    </row>
    <row r="559" spans="2:12" outlineLevel="2">
      <c r="B559" s="40">
        <f t="shared" si="21"/>
        <v>97</v>
      </c>
      <c r="C559" s="41" t="s">
        <v>8</v>
      </c>
      <c r="D559" s="41"/>
      <c r="E559" s="41"/>
      <c r="F559" s="41"/>
      <c r="G559" s="41"/>
      <c r="H559" s="41"/>
      <c r="I559" s="42"/>
      <c r="J559" s="41"/>
      <c r="K559" s="41"/>
      <c r="L559" s="43"/>
    </row>
    <row r="560" spans="2:12" outlineLevel="2">
      <c r="B560" s="40">
        <f t="shared" si="21"/>
        <v>98</v>
      </c>
      <c r="C560" s="41" t="s">
        <v>8</v>
      </c>
      <c r="D560" s="41"/>
      <c r="E560" s="41"/>
      <c r="F560" s="41"/>
      <c r="G560" s="41"/>
      <c r="H560" s="41"/>
      <c r="I560" s="42"/>
      <c r="J560" s="41"/>
      <c r="K560" s="41"/>
      <c r="L560" s="43"/>
    </row>
    <row r="561" spans="2:12" outlineLevel="2">
      <c r="B561" s="40">
        <f t="shared" si="21"/>
        <v>99</v>
      </c>
      <c r="C561" s="41" t="s">
        <v>8</v>
      </c>
      <c r="D561" s="41"/>
      <c r="E561" s="41"/>
      <c r="F561" s="41"/>
      <c r="G561" s="41"/>
      <c r="H561" s="41"/>
      <c r="I561" s="42"/>
      <c r="J561" s="41"/>
      <c r="K561" s="41"/>
      <c r="L561" s="43"/>
    </row>
    <row r="562" spans="2:12" outlineLevel="2">
      <c r="B562" s="40">
        <f t="shared" si="21"/>
        <v>100</v>
      </c>
      <c r="C562" s="41" t="s">
        <v>8</v>
      </c>
      <c r="D562" s="41"/>
      <c r="E562" s="41"/>
      <c r="F562" s="41"/>
      <c r="G562" s="41"/>
      <c r="H562" s="41"/>
      <c r="I562" s="42"/>
      <c r="J562" s="41"/>
      <c r="K562" s="41"/>
      <c r="L562" s="43"/>
    </row>
    <row r="563" spans="2:12" outlineLevel="2">
      <c r="B563" s="40">
        <f t="shared" si="21"/>
        <v>101</v>
      </c>
      <c r="C563" s="41" t="s">
        <v>8</v>
      </c>
      <c r="D563" s="41"/>
      <c r="E563" s="41"/>
      <c r="F563" s="41"/>
      <c r="G563" s="41"/>
      <c r="H563" s="41"/>
      <c r="I563" s="42"/>
      <c r="J563" s="41"/>
      <c r="K563" s="41"/>
      <c r="L563" s="43"/>
    </row>
    <row r="564" spans="2:12" outlineLevel="2">
      <c r="B564" s="40">
        <f t="shared" si="21"/>
        <v>102</v>
      </c>
      <c r="C564" s="41" t="s">
        <v>8</v>
      </c>
      <c r="D564" s="41"/>
      <c r="E564" s="41"/>
      <c r="F564" s="41"/>
      <c r="G564" s="41"/>
      <c r="H564" s="41"/>
      <c r="I564" s="42"/>
      <c r="J564" s="41"/>
      <c r="K564" s="41"/>
      <c r="L564" s="43"/>
    </row>
    <row r="565" spans="2:12" outlineLevel="2">
      <c r="B565" s="40">
        <f t="shared" si="21"/>
        <v>103</v>
      </c>
      <c r="C565" s="41" t="s">
        <v>8</v>
      </c>
      <c r="D565" s="41"/>
      <c r="E565" s="41"/>
      <c r="F565" s="41"/>
      <c r="G565" s="41"/>
      <c r="H565" s="41"/>
      <c r="I565" s="42"/>
      <c r="J565" s="41"/>
      <c r="K565" s="41"/>
      <c r="L565" s="43"/>
    </row>
    <row r="566" spans="2:12" outlineLevel="2">
      <c r="B566" s="40">
        <f t="shared" si="21"/>
        <v>104</v>
      </c>
      <c r="C566" s="41" t="s">
        <v>8</v>
      </c>
      <c r="D566" s="41"/>
      <c r="E566" s="41"/>
      <c r="F566" s="41"/>
      <c r="G566" s="41"/>
      <c r="H566" s="41"/>
      <c r="I566" s="42"/>
      <c r="J566" s="41"/>
      <c r="K566" s="41"/>
      <c r="L566" s="43"/>
    </row>
    <row r="567" spans="2:12" outlineLevel="2">
      <c r="B567" s="40">
        <f t="shared" si="21"/>
        <v>105</v>
      </c>
      <c r="C567" s="41" t="s">
        <v>8</v>
      </c>
      <c r="D567" s="41"/>
      <c r="E567" s="41"/>
      <c r="F567" s="41"/>
      <c r="G567" s="41"/>
      <c r="H567" s="41"/>
      <c r="I567" s="42"/>
      <c r="J567" s="41"/>
      <c r="K567" s="41"/>
      <c r="L567" s="43"/>
    </row>
    <row r="568" spans="2:12" outlineLevel="2">
      <c r="B568" s="40">
        <f t="shared" si="21"/>
        <v>106</v>
      </c>
      <c r="C568" s="41" t="s">
        <v>8</v>
      </c>
      <c r="D568" s="41"/>
      <c r="E568" s="41"/>
      <c r="F568" s="41"/>
      <c r="G568" s="41"/>
      <c r="H568" s="41"/>
      <c r="I568" s="42"/>
      <c r="J568" s="41"/>
      <c r="K568" s="41"/>
      <c r="L568" s="43"/>
    </row>
    <row r="569" spans="2:12" outlineLevel="2">
      <c r="B569" s="40">
        <f t="shared" si="21"/>
        <v>107</v>
      </c>
      <c r="C569" s="41" t="s">
        <v>8</v>
      </c>
      <c r="D569" s="41"/>
      <c r="E569" s="41"/>
      <c r="F569" s="41"/>
      <c r="G569" s="41"/>
      <c r="H569" s="41"/>
      <c r="I569" s="42"/>
      <c r="J569" s="41"/>
      <c r="K569" s="41"/>
      <c r="L569" s="43"/>
    </row>
    <row r="570" spans="2:12" outlineLevel="2">
      <c r="B570" s="40">
        <f t="shared" si="21"/>
        <v>108</v>
      </c>
      <c r="C570" s="41" t="s">
        <v>8</v>
      </c>
      <c r="D570" s="41"/>
      <c r="E570" s="41"/>
      <c r="F570" s="41"/>
      <c r="G570" s="41"/>
      <c r="H570" s="41"/>
      <c r="I570" s="42"/>
      <c r="J570" s="41"/>
      <c r="K570" s="41"/>
      <c r="L570" s="43"/>
    </row>
    <row r="571" spans="2:12" outlineLevel="2">
      <c r="B571" s="40">
        <f t="shared" si="21"/>
        <v>109</v>
      </c>
      <c r="C571" s="41" t="s">
        <v>8</v>
      </c>
      <c r="D571" s="41"/>
      <c r="E571" s="41"/>
      <c r="F571" s="41"/>
      <c r="G571" s="41"/>
      <c r="H571" s="41"/>
      <c r="I571" s="42"/>
      <c r="J571" s="41"/>
      <c r="K571" s="41"/>
      <c r="L571" s="43"/>
    </row>
    <row r="572" spans="2:12" outlineLevel="2">
      <c r="B572" s="40">
        <f t="shared" si="21"/>
        <v>110</v>
      </c>
      <c r="C572" s="41" t="s">
        <v>8</v>
      </c>
      <c r="D572" s="41"/>
      <c r="E572" s="41"/>
      <c r="F572" s="41"/>
      <c r="G572" s="41"/>
      <c r="H572" s="41"/>
      <c r="I572" s="42"/>
      <c r="J572" s="41"/>
      <c r="K572" s="41"/>
      <c r="L572" s="43"/>
    </row>
    <row r="573" spans="2:12" outlineLevel="2">
      <c r="B573" s="40">
        <f t="shared" si="21"/>
        <v>111</v>
      </c>
      <c r="C573" s="41" t="s">
        <v>8</v>
      </c>
      <c r="D573" s="41"/>
      <c r="E573" s="41"/>
      <c r="F573" s="41"/>
      <c r="G573" s="41"/>
      <c r="H573" s="41"/>
      <c r="I573" s="42"/>
      <c r="J573" s="41"/>
      <c r="K573" s="41"/>
      <c r="L573" s="43"/>
    </row>
    <row r="574" spans="2:12" outlineLevel="2">
      <c r="B574" s="40">
        <f t="shared" si="21"/>
        <v>112</v>
      </c>
      <c r="C574" s="41" t="s">
        <v>8</v>
      </c>
      <c r="D574" s="41"/>
      <c r="E574" s="41"/>
      <c r="F574" s="41"/>
      <c r="G574" s="41"/>
      <c r="H574" s="41"/>
      <c r="I574" s="42"/>
      <c r="J574" s="41"/>
      <c r="K574" s="41"/>
      <c r="L574" s="43"/>
    </row>
    <row r="575" spans="2:12" outlineLevel="2">
      <c r="B575" s="40">
        <f t="shared" si="21"/>
        <v>113</v>
      </c>
      <c r="C575" s="41" t="s">
        <v>8</v>
      </c>
      <c r="D575" s="41"/>
      <c r="E575" s="41"/>
      <c r="F575" s="41"/>
      <c r="G575" s="41"/>
      <c r="H575" s="41"/>
      <c r="I575" s="42"/>
      <c r="J575" s="41"/>
      <c r="K575" s="41"/>
      <c r="L575" s="43"/>
    </row>
    <row r="576" spans="2:12" outlineLevel="2">
      <c r="B576" s="40">
        <f t="shared" si="21"/>
        <v>114</v>
      </c>
      <c r="C576" s="41" t="s">
        <v>8</v>
      </c>
      <c r="D576" s="41"/>
      <c r="E576" s="41"/>
      <c r="F576" s="41"/>
      <c r="G576" s="41"/>
      <c r="H576" s="41"/>
      <c r="I576" s="42"/>
      <c r="J576" s="41"/>
      <c r="K576" s="41"/>
      <c r="L576" s="43"/>
    </row>
    <row r="577" spans="2:12" outlineLevel="2">
      <c r="B577" s="40">
        <f t="shared" si="21"/>
        <v>115</v>
      </c>
      <c r="C577" s="41" t="s">
        <v>8</v>
      </c>
      <c r="D577" s="41"/>
      <c r="E577" s="41"/>
      <c r="F577" s="41"/>
      <c r="G577" s="41"/>
      <c r="H577" s="41"/>
      <c r="I577" s="42"/>
      <c r="J577" s="41"/>
      <c r="K577" s="41"/>
      <c r="L577" s="43"/>
    </row>
    <row r="578" spans="2:12" outlineLevel="2">
      <c r="B578" s="40">
        <f t="shared" si="21"/>
        <v>116</v>
      </c>
      <c r="C578" s="41" t="s">
        <v>8</v>
      </c>
      <c r="D578" s="41"/>
      <c r="E578" s="41"/>
      <c r="F578" s="41"/>
      <c r="G578" s="41"/>
      <c r="H578" s="41"/>
      <c r="I578" s="42"/>
      <c r="J578" s="41"/>
      <c r="K578" s="41"/>
      <c r="L578" s="43"/>
    </row>
    <row r="579" spans="2:12" outlineLevel="2">
      <c r="B579" s="40">
        <f t="shared" si="21"/>
        <v>117</v>
      </c>
      <c r="C579" s="41" t="s">
        <v>8</v>
      </c>
      <c r="D579" s="41"/>
      <c r="E579" s="41"/>
      <c r="F579" s="41"/>
      <c r="G579" s="41"/>
      <c r="H579" s="41"/>
      <c r="I579" s="42"/>
      <c r="J579" s="41"/>
      <c r="K579" s="41"/>
      <c r="L579" s="43"/>
    </row>
    <row r="580" spans="2:12" outlineLevel="2">
      <c r="B580" s="40">
        <f t="shared" si="21"/>
        <v>118</v>
      </c>
      <c r="C580" s="41" t="s">
        <v>8</v>
      </c>
      <c r="D580" s="41"/>
      <c r="E580" s="41"/>
      <c r="F580" s="41"/>
      <c r="G580" s="41"/>
      <c r="H580" s="41"/>
      <c r="I580" s="42"/>
      <c r="J580" s="41"/>
      <c r="K580" s="41"/>
      <c r="L580" s="43"/>
    </row>
    <row r="581" spans="2:12" outlineLevel="2">
      <c r="B581" s="40">
        <f t="shared" si="21"/>
        <v>119</v>
      </c>
      <c r="C581" s="41" t="s">
        <v>8</v>
      </c>
      <c r="D581" s="41"/>
      <c r="E581" s="41"/>
      <c r="F581" s="41"/>
      <c r="G581" s="41"/>
      <c r="H581" s="41"/>
      <c r="I581" s="42"/>
      <c r="J581" s="41"/>
      <c r="K581" s="41"/>
      <c r="L581" s="43"/>
    </row>
    <row r="582" spans="2:12" outlineLevel="2">
      <c r="B582" s="40">
        <f t="shared" si="21"/>
        <v>120</v>
      </c>
      <c r="C582" s="41" t="s">
        <v>8</v>
      </c>
      <c r="D582" s="41"/>
      <c r="E582" s="41"/>
      <c r="F582" s="41"/>
      <c r="G582" s="41"/>
      <c r="H582" s="41"/>
      <c r="I582" s="42"/>
      <c r="J582" s="41"/>
      <c r="K582" s="41"/>
      <c r="L582" s="43"/>
    </row>
    <row r="583" spans="2:12" outlineLevel="2">
      <c r="B583" s="40">
        <f t="shared" si="21"/>
        <v>121</v>
      </c>
      <c r="C583" s="41" t="s">
        <v>8</v>
      </c>
      <c r="D583" s="41"/>
      <c r="E583" s="41"/>
      <c r="F583" s="41"/>
      <c r="G583" s="41"/>
      <c r="H583" s="41"/>
      <c r="I583" s="42"/>
      <c r="J583" s="41"/>
      <c r="K583" s="41"/>
      <c r="L583" s="43"/>
    </row>
    <row r="584" spans="2:12" outlineLevel="2">
      <c r="B584" s="40">
        <f t="shared" si="21"/>
        <v>122</v>
      </c>
      <c r="C584" s="41" t="s">
        <v>8</v>
      </c>
      <c r="D584" s="41"/>
      <c r="E584" s="41"/>
      <c r="F584" s="41"/>
      <c r="G584" s="41"/>
      <c r="H584" s="41"/>
      <c r="I584" s="42"/>
      <c r="J584" s="41"/>
      <c r="K584" s="41"/>
      <c r="L584" s="43"/>
    </row>
    <row r="585" spans="2:12" outlineLevel="2">
      <c r="B585" s="40">
        <f t="shared" si="21"/>
        <v>123</v>
      </c>
      <c r="C585" s="41" t="s">
        <v>8</v>
      </c>
      <c r="D585" s="41"/>
      <c r="E585" s="41"/>
      <c r="F585" s="41"/>
      <c r="G585" s="41"/>
      <c r="H585" s="41"/>
      <c r="I585" s="42"/>
      <c r="J585" s="41"/>
      <c r="K585" s="41"/>
      <c r="L585" s="43"/>
    </row>
    <row r="586" spans="2:12" outlineLevel="2">
      <c r="B586" s="40">
        <f t="shared" si="21"/>
        <v>124</v>
      </c>
      <c r="C586" s="41" t="s">
        <v>8</v>
      </c>
      <c r="D586" s="41"/>
      <c r="E586" s="41"/>
      <c r="F586" s="41"/>
      <c r="G586" s="41"/>
      <c r="H586" s="41"/>
      <c r="I586" s="42"/>
      <c r="J586" s="41"/>
      <c r="K586" s="41"/>
      <c r="L586" s="43"/>
    </row>
    <row r="587" spans="2:12" outlineLevel="2">
      <c r="B587" s="40">
        <f t="shared" si="21"/>
        <v>125</v>
      </c>
      <c r="C587" s="41" t="s">
        <v>8</v>
      </c>
      <c r="D587" s="41"/>
      <c r="E587" s="41"/>
      <c r="F587" s="41"/>
      <c r="G587" s="41"/>
      <c r="H587" s="41"/>
      <c r="I587" s="42"/>
      <c r="J587" s="41"/>
      <c r="K587" s="41"/>
      <c r="L587" s="43"/>
    </row>
    <row r="588" spans="2:12" outlineLevel="2">
      <c r="B588" s="40">
        <f t="shared" si="21"/>
        <v>126</v>
      </c>
      <c r="C588" s="41" t="s">
        <v>8</v>
      </c>
      <c r="D588" s="41"/>
      <c r="E588" s="41"/>
      <c r="F588" s="41"/>
      <c r="G588" s="41"/>
      <c r="H588" s="41"/>
      <c r="I588" s="42"/>
      <c r="J588" s="41"/>
      <c r="K588" s="41"/>
      <c r="L588" s="43"/>
    </row>
    <row r="589" spans="2:12" outlineLevel="2">
      <c r="B589" s="40">
        <f t="shared" si="21"/>
        <v>127</v>
      </c>
      <c r="C589" s="41" t="s">
        <v>8</v>
      </c>
      <c r="D589" s="41"/>
      <c r="E589" s="41"/>
      <c r="F589" s="41"/>
      <c r="G589" s="41"/>
      <c r="H589" s="41"/>
      <c r="I589" s="42"/>
      <c r="J589" s="41"/>
      <c r="K589" s="41"/>
      <c r="L589" s="43"/>
    </row>
    <row r="590" spans="2:12" outlineLevel="2">
      <c r="B590" s="40">
        <f t="shared" si="21"/>
        <v>128</v>
      </c>
      <c r="C590" s="41" t="s">
        <v>8</v>
      </c>
      <c r="D590" s="41"/>
      <c r="E590" s="41"/>
      <c r="F590" s="41"/>
      <c r="G590" s="41"/>
      <c r="H590" s="41"/>
      <c r="I590" s="42"/>
      <c r="J590" s="41"/>
      <c r="K590" s="41"/>
      <c r="L590" s="43"/>
    </row>
    <row r="591" spans="2:12" outlineLevel="2">
      <c r="B591" s="40">
        <f t="shared" si="21"/>
        <v>129</v>
      </c>
      <c r="C591" s="41" t="s">
        <v>8</v>
      </c>
      <c r="D591" s="41"/>
      <c r="E591" s="41"/>
      <c r="F591" s="41"/>
      <c r="G591" s="41"/>
      <c r="H591" s="41"/>
      <c r="I591" s="42"/>
      <c r="J591" s="41"/>
      <c r="K591" s="41"/>
      <c r="L591" s="43"/>
    </row>
    <row r="592" spans="2:12" outlineLevel="2">
      <c r="B592" s="40">
        <f t="shared" si="21"/>
        <v>130</v>
      </c>
      <c r="C592" s="41" t="s">
        <v>8</v>
      </c>
      <c r="D592" s="41"/>
      <c r="E592" s="41"/>
      <c r="F592" s="41"/>
      <c r="G592" s="41"/>
      <c r="H592" s="41"/>
      <c r="I592" s="42"/>
      <c r="J592" s="41"/>
      <c r="K592" s="41"/>
      <c r="L592" s="43"/>
    </row>
    <row r="593" spans="2:12" outlineLevel="2">
      <c r="B593" s="40">
        <f t="shared" ref="B593:B656" si="22">ROW(A131)</f>
        <v>131</v>
      </c>
      <c r="C593" s="41" t="s">
        <v>8</v>
      </c>
      <c r="D593" s="41"/>
      <c r="E593" s="41"/>
      <c r="F593" s="41"/>
      <c r="G593" s="41"/>
      <c r="H593" s="41"/>
      <c r="I593" s="42"/>
      <c r="J593" s="41"/>
      <c r="K593" s="41"/>
      <c r="L593" s="43"/>
    </row>
    <row r="594" spans="2:12" outlineLevel="2">
      <c r="B594" s="40">
        <f t="shared" si="22"/>
        <v>132</v>
      </c>
      <c r="C594" s="41" t="s">
        <v>8</v>
      </c>
      <c r="D594" s="41"/>
      <c r="E594" s="41"/>
      <c r="F594" s="41"/>
      <c r="G594" s="41"/>
      <c r="H594" s="41"/>
      <c r="I594" s="42"/>
      <c r="J594" s="41"/>
      <c r="K594" s="41"/>
      <c r="L594" s="43"/>
    </row>
    <row r="595" spans="2:12" outlineLevel="2">
      <c r="B595" s="40">
        <f t="shared" si="22"/>
        <v>133</v>
      </c>
      <c r="C595" s="41" t="s">
        <v>8</v>
      </c>
      <c r="D595" s="41"/>
      <c r="E595" s="41"/>
      <c r="F595" s="41"/>
      <c r="G595" s="41"/>
      <c r="H595" s="41"/>
      <c r="I595" s="42"/>
      <c r="J595" s="41"/>
      <c r="K595" s="41"/>
      <c r="L595" s="43"/>
    </row>
    <row r="596" spans="2:12" outlineLevel="2">
      <c r="B596" s="40">
        <f t="shared" si="22"/>
        <v>134</v>
      </c>
      <c r="C596" s="41" t="s">
        <v>8</v>
      </c>
      <c r="D596" s="41"/>
      <c r="E596" s="41"/>
      <c r="F596" s="41"/>
      <c r="G596" s="41"/>
      <c r="H596" s="41"/>
      <c r="I596" s="42"/>
      <c r="J596" s="41"/>
      <c r="K596" s="41"/>
      <c r="L596" s="43"/>
    </row>
    <row r="597" spans="2:12" outlineLevel="2">
      <c r="B597" s="40">
        <f t="shared" si="22"/>
        <v>135</v>
      </c>
      <c r="C597" s="41" t="s">
        <v>8</v>
      </c>
      <c r="D597" s="41"/>
      <c r="E597" s="41"/>
      <c r="F597" s="41"/>
      <c r="G597" s="41"/>
      <c r="H597" s="41"/>
      <c r="I597" s="42"/>
      <c r="J597" s="41"/>
      <c r="K597" s="41"/>
      <c r="L597" s="43"/>
    </row>
    <row r="598" spans="2:12" outlineLevel="2">
      <c r="B598" s="40">
        <f t="shared" si="22"/>
        <v>136</v>
      </c>
      <c r="C598" s="41" t="s">
        <v>8</v>
      </c>
      <c r="D598" s="41"/>
      <c r="E598" s="41"/>
      <c r="F598" s="41"/>
      <c r="G598" s="41"/>
      <c r="H598" s="41"/>
      <c r="I598" s="42"/>
      <c r="J598" s="41"/>
      <c r="K598" s="41"/>
      <c r="L598" s="43"/>
    </row>
    <row r="599" spans="2:12" outlineLevel="2">
      <c r="B599" s="40">
        <f t="shared" si="22"/>
        <v>137</v>
      </c>
      <c r="C599" s="41" t="s">
        <v>8</v>
      </c>
      <c r="D599" s="41"/>
      <c r="E599" s="41"/>
      <c r="F599" s="41"/>
      <c r="G599" s="41"/>
      <c r="H599" s="41"/>
      <c r="I599" s="42"/>
      <c r="J599" s="41"/>
      <c r="K599" s="41"/>
      <c r="L599" s="43"/>
    </row>
    <row r="600" spans="2:12" outlineLevel="2">
      <c r="B600" s="40">
        <f t="shared" si="22"/>
        <v>138</v>
      </c>
      <c r="C600" s="41" t="s">
        <v>8</v>
      </c>
      <c r="D600" s="41"/>
      <c r="E600" s="41"/>
      <c r="F600" s="41"/>
      <c r="G600" s="41"/>
      <c r="H600" s="41"/>
      <c r="I600" s="42"/>
      <c r="J600" s="41"/>
      <c r="K600" s="41"/>
      <c r="L600" s="43"/>
    </row>
    <row r="601" spans="2:12" outlineLevel="2">
      <c r="B601" s="40">
        <f t="shared" si="22"/>
        <v>139</v>
      </c>
      <c r="C601" s="41" t="s">
        <v>8</v>
      </c>
      <c r="D601" s="41"/>
      <c r="E601" s="41"/>
      <c r="F601" s="41"/>
      <c r="G601" s="41"/>
      <c r="H601" s="41"/>
      <c r="I601" s="42"/>
      <c r="J601" s="41"/>
      <c r="K601" s="41"/>
      <c r="L601" s="43"/>
    </row>
    <row r="602" spans="2:12" outlineLevel="2">
      <c r="B602" s="40">
        <f t="shared" si="22"/>
        <v>140</v>
      </c>
      <c r="C602" s="41" t="s">
        <v>8</v>
      </c>
      <c r="D602" s="41"/>
      <c r="E602" s="41"/>
      <c r="F602" s="41"/>
      <c r="G602" s="41"/>
      <c r="H602" s="41"/>
      <c r="I602" s="42"/>
      <c r="J602" s="41"/>
      <c r="K602" s="41"/>
      <c r="L602" s="43"/>
    </row>
    <row r="603" spans="2:12" outlineLevel="2">
      <c r="B603" s="40">
        <f t="shared" si="22"/>
        <v>141</v>
      </c>
      <c r="C603" s="41" t="s">
        <v>8</v>
      </c>
      <c r="D603" s="41"/>
      <c r="E603" s="41"/>
      <c r="F603" s="41"/>
      <c r="G603" s="41"/>
      <c r="H603" s="41"/>
      <c r="I603" s="42"/>
      <c r="J603" s="41"/>
      <c r="K603" s="41"/>
      <c r="L603" s="43"/>
    </row>
    <row r="604" spans="2:12" outlineLevel="2">
      <c r="B604" s="40">
        <f t="shared" si="22"/>
        <v>142</v>
      </c>
      <c r="C604" s="41" t="s">
        <v>8</v>
      </c>
      <c r="D604" s="41"/>
      <c r="E604" s="41"/>
      <c r="F604" s="41"/>
      <c r="G604" s="41"/>
      <c r="H604" s="41"/>
      <c r="I604" s="42"/>
      <c r="J604" s="41"/>
      <c r="K604" s="41"/>
      <c r="L604" s="43"/>
    </row>
    <row r="605" spans="2:12" outlineLevel="2">
      <c r="B605" s="40">
        <f t="shared" si="22"/>
        <v>143</v>
      </c>
      <c r="C605" s="41" t="s">
        <v>8</v>
      </c>
      <c r="D605" s="41"/>
      <c r="E605" s="41"/>
      <c r="F605" s="41"/>
      <c r="G605" s="41"/>
      <c r="H605" s="41"/>
      <c r="I605" s="42"/>
      <c r="J605" s="41"/>
      <c r="K605" s="41"/>
      <c r="L605" s="43"/>
    </row>
    <row r="606" spans="2:12" outlineLevel="2">
      <c r="B606" s="40">
        <f t="shared" si="22"/>
        <v>144</v>
      </c>
      <c r="C606" s="41" t="s">
        <v>8</v>
      </c>
      <c r="D606" s="41"/>
      <c r="E606" s="41"/>
      <c r="F606" s="41"/>
      <c r="G606" s="41"/>
      <c r="H606" s="41"/>
      <c r="I606" s="42"/>
      <c r="J606" s="41"/>
      <c r="K606" s="41"/>
      <c r="L606" s="43"/>
    </row>
    <row r="607" spans="2:12" outlineLevel="2">
      <c r="B607" s="40">
        <f t="shared" si="22"/>
        <v>145</v>
      </c>
      <c r="C607" s="41" t="s">
        <v>8</v>
      </c>
      <c r="D607" s="41"/>
      <c r="E607" s="41"/>
      <c r="F607" s="41"/>
      <c r="G607" s="41"/>
      <c r="H607" s="41"/>
      <c r="I607" s="42"/>
      <c r="J607" s="41"/>
      <c r="K607" s="41"/>
      <c r="L607" s="43"/>
    </row>
    <row r="608" spans="2:12" outlineLevel="2">
      <c r="B608" s="40">
        <f t="shared" si="22"/>
        <v>146</v>
      </c>
      <c r="C608" s="41" t="s">
        <v>8</v>
      </c>
      <c r="D608" s="41"/>
      <c r="E608" s="41"/>
      <c r="F608" s="41"/>
      <c r="G608" s="41"/>
      <c r="H608" s="41"/>
      <c r="I608" s="42"/>
      <c r="J608" s="41"/>
      <c r="K608" s="41"/>
      <c r="L608" s="43"/>
    </row>
    <row r="609" spans="2:12" outlineLevel="2">
      <c r="B609" s="40">
        <f t="shared" si="22"/>
        <v>147</v>
      </c>
      <c r="C609" s="41" t="s">
        <v>8</v>
      </c>
      <c r="D609" s="41"/>
      <c r="E609" s="41"/>
      <c r="F609" s="41"/>
      <c r="G609" s="41"/>
      <c r="H609" s="41"/>
      <c r="I609" s="42"/>
      <c r="J609" s="41"/>
      <c r="K609" s="41"/>
      <c r="L609" s="43"/>
    </row>
    <row r="610" spans="2:12" outlineLevel="2">
      <c r="B610" s="40">
        <f t="shared" si="22"/>
        <v>148</v>
      </c>
      <c r="C610" s="41" t="s">
        <v>8</v>
      </c>
      <c r="D610" s="41"/>
      <c r="E610" s="41"/>
      <c r="F610" s="41"/>
      <c r="G610" s="41"/>
      <c r="H610" s="41"/>
      <c r="I610" s="42"/>
      <c r="J610" s="41"/>
      <c r="K610" s="41"/>
      <c r="L610" s="43"/>
    </row>
    <row r="611" spans="2:12" outlineLevel="2">
      <c r="B611" s="40">
        <f t="shared" si="22"/>
        <v>149</v>
      </c>
      <c r="C611" s="41" t="s">
        <v>8</v>
      </c>
      <c r="D611" s="41"/>
      <c r="E611" s="41"/>
      <c r="F611" s="41"/>
      <c r="G611" s="41"/>
      <c r="H611" s="41"/>
      <c r="I611" s="42"/>
      <c r="J611" s="41"/>
      <c r="K611" s="41"/>
      <c r="L611" s="43"/>
    </row>
    <row r="612" spans="2:12" outlineLevel="2">
      <c r="B612" s="40">
        <f t="shared" si="22"/>
        <v>150</v>
      </c>
      <c r="C612" s="41" t="s">
        <v>8</v>
      </c>
      <c r="D612" s="41"/>
      <c r="E612" s="41"/>
      <c r="F612" s="41"/>
      <c r="G612" s="41"/>
      <c r="H612" s="41"/>
      <c r="I612" s="42"/>
      <c r="J612" s="41"/>
      <c r="K612" s="41"/>
      <c r="L612" s="43"/>
    </row>
    <row r="613" spans="2:12" outlineLevel="2">
      <c r="B613" s="40">
        <f t="shared" si="22"/>
        <v>151</v>
      </c>
      <c r="C613" s="41" t="s">
        <v>8</v>
      </c>
      <c r="D613" s="41"/>
      <c r="E613" s="41"/>
      <c r="F613" s="41"/>
      <c r="G613" s="41"/>
      <c r="H613" s="41"/>
      <c r="I613" s="42"/>
      <c r="J613" s="41"/>
      <c r="K613" s="41"/>
      <c r="L613" s="43"/>
    </row>
    <row r="614" spans="2:12" outlineLevel="2">
      <c r="B614" s="40">
        <f t="shared" si="22"/>
        <v>152</v>
      </c>
      <c r="C614" s="41" t="s">
        <v>8</v>
      </c>
      <c r="D614" s="41"/>
      <c r="E614" s="41"/>
      <c r="F614" s="41"/>
      <c r="G614" s="41"/>
      <c r="H614" s="41"/>
      <c r="I614" s="42"/>
      <c r="J614" s="41"/>
      <c r="K614" s="41"/>
      <c r="L614" s="43"/>
    </row>
    <row r="615" spans="2:12" outlineLevel="2">
      <c r="B615" s="40">
        <f t="shared" si="22"/>
        <v>153</v>
      </c>
      <c r="C615" s="41" t="s">
        <v>8</v>
      </c>
      <c r="D615" s="41"/>
      <c r="E615" s="41"/>
      <c r="F615" s="41"/>
      <c r="G615" s="41"/>
      <c r="H615" s="41"/>
      <c r="I615" s="42"/>
      <c r="J615" s="41"/>
      <c r="K615" s="41"/>
      <c r="L615" s="43"/>
    </row>
    <row r="616" spans="2:12" outlineLevel="2">
      <c r="B616" s="40">
        <f t="shared" si="22"/>
        <v>154</v>
      </c>
      <c r="C616" s="41" t="s">
        <v>8</v>
      </c>
      <c r="D616" s="41"/>
      <c r="E616" s="41"/>
      <c r="F616" s="41"/>
      <c r="G616" s="41"/>
      <c r="H616" s="41"/>
      <c r="I616" s="42"/>
      <c r="J616" s="41"/>
      <c r="K616" s="41"/>
      <c r="L616" s="43"/>
    </row>
    <row r="617" spans="2:12" outlineLevel="2">
      <c r="B617" s="40">
        <f t="shared" si="22"/>
        <v>155</v>
      </c>
      <c r="C617" s="41" t="s">
        <v>8</v>
      </c>
      <c r="D617" s="41"/>
      <c r="E617" s="41"/>
      <c r="F617" s="41"/>
      <c r="G617" s="41"/>
      <c r="H617" s="41"/>
      <c r="I617" s="42"/>
      <c r="J617" s="41"/>
      <c r="K617" s="41"/>
      <c r="L617" s="43"/>
    </row>
    <row r="618" spans="2:12" outlineLevel="2">
      <c r="B618" s="40">
        <f t="shared" si="22"/>
        <v>156</v>
      </c>
      <c r="C618" s="41" t="s">
        <v>8</v>
      </c>
      <c r="D618" s="41"/>
      <c r="E618" s="41"/>
      <c r="F618" s="41"/>
      <c r="G618" s="41"/>
      <c r="H618" s="41"/>
      <c r="I618" s="42"/>
      <c r="J618" s="41"/>
      <c r="K618" s="41"/>
      <c r="L618" s="43"/>
    </row>
    <row r="619" spans="2:12" outlineLevel="2">
      <c r="B619" s="40">
        <f t="shared" si="22"/>
        <v>157</v>
      </c>
      <c r="C619" s="41" t="s">
        <v>8</v>
      </c>
      <c r="D619" s="41"/>
      <c r="E619" s="41"/>
      <c r="F619" s="41"/>
      <c r="G619" s="41"/>
      <c r="H619" s="41"/>
      <c r="I619" s="42"/>
      <c r="J619" s="41"/>
      <c r="K619" s="41"/>
      <c r="L619" s="43"/>
    </row>
    <row r="620" spans="2:12" outlineLevel="2">
      <c r="B620" s="40">
        <f t="shared" si="22"/>
        <v>158</v>
      </c>
      <c r="C620" s="41" t="s">
        <v>8</v>
      </c>
      <c r="D620" s="41"/>
      <c r="E620" s="41"/>
      <c r="F620" s="41"/>
      <c r="G620" s="41"/>
      <c r="H620" s="41"/>
      <c r="I620" s="42"/>
      <c r="J620" s="41"/>
      <c r="K620" s="41"/>
      <c r="L620" s="43"/>
    </row>
    <row r="621" spans="2:12" outlineLevel="2">
      <c r="B621" s="40">
        <f t="shared" si="22"/>
        <v>159</v>
      </c>
      <c r="C621" s="41" t="s">
        <v>8</v>
      </c>
      <c r="D621" s="41"/>
      <c r="E621" s="41"/>
      <c r="F621" s="41"/>
      <c r="G621" s="41"/>
      <c r="H621" s="41"/>
      <c r="I621" s="42"/>
      <c r="J621" s="41"/>
      <c r="K621" s="41"/>
      <c r="L621" s="43"/>
    </row>
    <row r="622" spans="2:12" outlineLevel="2">
      <c r="B622" s="40">
        <f t="shared" si="22"/>
        <v>160</v>
      </c>
      <c r="C622" s="41" t="s">
        <v>8</v>
      </c>
      <c r="D622" s="41"/>
      <c r="E622" s="41"/>
      <c r="F622" s="41"/>
      <c r="G622" s="41"/>
      <c r="H622" s="41"/>
      <c r="I622" s="42"/>
      <c r="J622" s="41"/>
      <c r="K622" s="41"/>
      <c r="L622" s="43"/>
    </row>
    <row r="623" spans="2:12" outlineLevel="2">
      <c r="B623" s="40">
        <f t="shared" si="22"/>
        <v>161</v>
      </c>
      <c r="C623" s="41" t="s">
        <v>8</v>
      </c>
      <c r="D623" s="41"/>
      <c r="E623" s="41"/>
      <c r="F623" s="41"/>
      <c r="G623" s="41"/>
      <c r="H623" s="41"/>
      <c r="I623" s="42"/>
      <c r="J623" s="41"/>
      <c r="K623" s="41"/>
      <c r="L623" s="43"/>
    </row>
    <row r="624" spans="2:12" outlineLevel="2">
      <c r="B624" s="40">
        <f t="shared" si="22"/>
        <v>162</v>
      </c>
      <c r="C624" s="41" t="s">
        <v>8</v>
      </c>
      <c r="D624" s="41"/>
      <c r="E624" s="41"/>
      <c r="F624" s="41"/>
      <c r="G624" s="41"/>
      <c r="H624" s="41"/>
      <c r="I624" s="42"/>
      <c r="J624" s="41"/>
      <c r="K624" s="41"/>
      <c r="L624" s="43"/>
    </row>
    <row r="625" spans="2:12" outlineLevel="2">
      <c r="B625" s="40">
        <f t="shared" si="22"/>
        <v>163</v>
      </c>
      <c r="C625" s="41" t="s">
        <v>8</v>
      </c>
      <c r="D625" s="41"/>
      <c r="E625" s="41"/>
      <c r="F625" s="41"/>
      <c r="G625" s="41"/>
      <c r="H625" s="41"/>
      <c r="I625" s="42"/>
      <c r="J625" s="41"/>
      <c r="K625" s="41"/>
      <c r="L625" s="43"/>
    </row>
    <row r="626" spans="2:12" outlineLevel="2">
      <c r="B626" s="40">
        <f t="shared" si="22"/>
        <v>164</v>
      </c>
      <c r="C626" s="41" t="s">
        <v>8</v>
      </c>
      <c r="D626" s="41"/>
      <c r="E626" s="41"/>
      <c r="F626" s="41"/>
      <c r="G626" s="41"/>
      <c r="H626" s="41"/>
      <c r="I626" s="42"/>
      <c r="J626" s="41"/>
      <c r="K626" s="41"/>
      <c r="L626" s="43"/>
    </row>
    <row r="627" spans="2:12" outlineLevel="2">
      <c r="B627" s="40">
        <f t="shared" si="22"/>
        <v>165</v>
      </c>
      <c r="C627" s="41" t="s">
        <v>8</v>
      </c>
      <c r="D627" s="41"/>
      <c r="E627" s="41"/>
      <c r="F627" s="41"/>
      <c r="G627" s="41"/>
      <c r="H627" s="41"/>
      <c r="I627" s="42"/>
      <c r="J627" s="41"/>
      <c r="K627" s="41"/>
      <c r="L627" s="43"/>
    </row>
    <row r="628" spans="2:12" outlineLevel="2">
      <c r="B628" s="40">
        <f t="shared" si="22"/>
        <v>166</v>
      </c>
      <c r="C628" s="41" t="s">
        <v>8</v>
      </c>
      <c r="D628" s="41"/>
      <c r="E628" s="41"/>
      <c r="F628" s="41"/>
      <c r="G628" s="41"/>
      <c r="H628" s="41"/>
      <c r="I628" s="42"/>
      <c r="J628" s="41"/>
      <c r="K628" s="41"/>
      <c r="L628" s="43"/>
    </row>
    <row r="629" spans="2:12" outlineLevel="2">
      <c r="B629" s="40">
        <f t="shared" si="22"/>
        <v>167</v>
      </c>
      <c r="C629" s="41" t="s">
        <v>8</v>
      </c>
      <c r="D629" s="41"/>
      <c r="E629" s="41"/>
      <c r="F629" s="41"/>
      <c r="G629" s="41"/>
      <c r="H629" s="41"/>
      <c r="I629" s="42"/>
      <c r="J629" s="41"/>
      <c r="K629" s="41"/>
      <c r="L629" s="43"/>
    </row>
    <row r="630" spans="2:12" outlineLevel="2">
      <c r="B630" s="40">
        <f t="shared" si="22"/>
        <v>168</v>
      </c>
      <c r="C630" s="41" t="s">
        <v>8</v>
      </c>
      <c r="D630" s="41"/>
      <c r="E630" s="41"/>
      <c r="F630" s="41"/>
      <c r="G630" s="41"/>
      <c r="H630" s="41"/>
      <c r="I630" s="42"/>
      <c r="J630" s="41"/>
      <c r="K630" s="41"/>
      <c r="L630" s="43"/>
    </row>
    <row r="631" spans="2:12" outlineLevel="2">
      <c r="B631" s="40">
        <f t="shared" si="22"/>
        <v>169</v>
      </c>
      <c r="C631" s="41" t="s">
        <v>8</v>
      </c>
      <c r="D631" s="41"/>
      <c r="E631" s="41"/>
      <c r="F631" s="41"/>
      <c r="G631" s="41"/>
      <c r="H631" s="41"/>
      <c r="I631" s="42"/>
      <c r="J631" s="41"/>
      <c r="K631" s="41"/>
      <c r="L631" s="43"/>
    </row>
    <row r="632" spans="2:12" outlineLevel="2">
      <c r="B632" s="40">
        <f t="shared" si="22"/>
        <v>170</v>
      </c>
      <c r="C632" s="41" t="s">
        <v>8</v>
      </c>
      <c r="D632" s="41"/>
      <c r="E632" s="41"/>
      <c r="F632" s="41"/>
      <c r="G632" s="41"/>
      <c r="H632" s="41"/>
      <c r="I632" s="42"/>
      <c r="J632" s="41"/>
      <c r="K632" s="41"/>
      <c r="L632" s="43"/>
    </row>
    <row r="633" spans="2:12" outlineLevel="2">
      <c r="B633" s="40">
        <f t="shared" si="22"/>
        <v>171</v>
      </c>
      <c r="C633" s="41" t="s">
        <v>8</v>
      </c>
      <c r="D633" s="41"/>
      <c r="E633" s="41"/>
      <c r="F633" s="41"/>
      <c r="G633" s="41"/>
      <c r="H633" s="41"/>
      <c r="I633" s="42"/>
      <c r="J633" s="41"/>
      <c r="K633" s="41"/>
      <c r="L633" s="43"/>
    </row>
    <row r="634" spans="2:12" outlineLevel="2">
      <c r="B634" s="40">
        <f t="shared" si="22"/>
        <v>172</v>
      </c>
      <c r="C634" s="41" t="s">
        <v>8</v>
      </c>
      <c r="D634" s="41"/>
      <c r="E634" s="41"/>
      <c r="F634" s="41"/>
      <c r="G634" s="41"/>
      <c r="H634" s="41"/>
      <c r="I634" s="42"/>
      <c r="J634" s="41"/>
      <c r="K634" s="41"/>
      <c r="L634" s="43"/>
    </row>
    <row r="635" spans="2:12" outlineLevel="2">
      <c r="B635" s="40">
        <f t="shared" si="22"/>
        <v>173</v>
      </c>
      <c r="C635" s="41" t="s">
        <v>8</v>
      </c>
      <c r="D635" s="41"/>
      <c r="E635" s="41"/>
      <c r="F635" s="41"/>
      <c r="G635" s="41"/>
      <c r="H635" s="41"/>
      <c r="I635" s="42"/>
      <c r="J635" s="41"/>
      <c r="K635" s="41"/>
      <c r="L635" s="43"/>
    </row>
    <row r="636" spans="2:12" outlineLevel="2">
      <c r="B636" s="40">
        <f t="shared" si="22"/>
        <v>174</v>
      </c>
      <c r="C636" s="41" t="s">
        <v>8</v>
      </c>
      <c r="D636" s="41"/>
      <c r="E636" s="41"/>
      <c r="F636" s="41"/>
      <c r="G636" s="41"/>
      <c r="H636" s="41"/>
      <c r="I636" s="42"/>
      <c r="J636" s="41"/>
      <c r="K636" s="41"/>
      <c r="L636" s="43"/>
    </row>
    <row r="637" spans="2:12" outlineLevel="2">
      <c r="B637" s="40">
        <f t="shared" si="22"/>
        <v>175</v>
      </c>
      <c r="C637" s="41" t="s">
        <v>8</v>
      </c>
      <c r="D637" s="41"/>
      <c r="E637" s="41"/>
      <c r="F637" s="41"/>
      <c r="G637" s="41"/>
      <c r="H637" s="41"/>
      <c r="I637" s="42"/>
      <c r="J637" s="41"/>
      <c r="K637" s="41"/>
      <c r="L637" s="43"/>
    </row>
    <row r="638" spans="2:12" outlineLevel="2">
      <c r="B638" s="40">
        <f t="shared" si="22"/>
        <v>176</v>
      </c>
      <c r="C638" s="41" t="s">
        <v>8</v>
      </c>
      <c r="D638" s="41"/>
      <c r="E638" s="41"/>
      <c r="F638" s="41"/>
      <c r="G638" s="41"/>
      <c r="H638" s="41"/>
      <c r="I638" s="42"/>
      <c r="J638" s="41"/>
      <c r="K638" s="41"/>
      <c r="L638" s="43"/>
    </row>
    <row r="639" spans="2:12" outlineLevel="2">
      <c r="B639" s="40">
        <f t="shared" si="22"/>
        <v>177</v>
      </c>
      <c r="C639" s="41" t="s">
        <v>8</v>
      </c>
      <c r="D639" s="41"/>
      <c r="E639" s="41"/>
      <c r="F639" s="41"/>
      <c r="G639" s="41"/>
      <c r="H639" s="41"/>
      <c r="I639" s="42"/>
      <c r="J639" s="41"/>
      <c r="K639" s="41"/>
      <c r="L639" s="43"/>
    </row>
    <row r="640" spans="2:12" outlineLevel="2">
      <c r="B640" s="40">
        <f t="shared" si="22"/>
        <v>178</v>
      </c>
      <c r="C640" s="41" t="s">
        <v>8</v>
      </c>
      <c r="D640" s="41"/>
      <c r="E640" s="41"/>
      <c r="F640" s="41"/>
      <c r="G640" s="41"/>
      <c r="H640" s="41"/>
      <c r="I640" s="42"/>
      <c r="J640" s="41"/>
      <c r="K640" s="41"/>
      <c r="L640" s="43"/>
    </row>
    <row r="641" spans="2:12" outlineLevel="2">
      <c r="B641" s="40">
        <f t="shared" si="22"/>
        <v>179</v>
      </c>
      <c r="C641" s="41" t="s">
        <v>8</v>
      </c>
      <c r="D641" s="41"/>
      <c r="E641" s="41"/>
      <c r="F641" s="41"/>
      <c r="G641" s="41"/>
      <c r="H641" s="41"/>
      <c r="I641" s="42"/>
      <c r="J641" s="41"/>
      <c r="K641" s="41"/>
      <c r="L641" s="43"/>
    </row>
    <row r="642" spans="2:12" outlineLevel="2">
      <c r="B642" s="40">
        <f t="shared" si="22"/>
        <v>180</v>
      </c>
      <c r="C642" s="41" t="s">
        <v>8</v>
      </c>
      <c r="D642" s="41"/>
      <c r="E642" s="41"/>
      <c r="F642" s="41"/>
      <c r="G642" s="41"/>
      <c r="H642" s="41"/>
      <c r="I642" s="42"/>
      <c r="J642" s="41"/>
      <c r="K642" s="41"/>
      <c r="L642" s="43"/>
    </row>
    <row r="643" spans="2:12" outlineLevel="2">
      <c r="B643" s="40">
        <f t="shared" si="22"/>
        <v>181</v>
      </c>
      <c r="C643" s="41" t="s">
        <v>8</v>
      </c>
      <c r="D643" s="41"/>
      <c r="E643" s="41"/>
      <c r="F643" s="41"/>
      <c r="G643" s="41"/>
      <c r="H643" s="41"/>
      <c r="I643" s="42"/>
      <c r="J643" s="41"/>
      <c r="K643" s="41"/>
      <c r="L643" s="43"/>
    </row>
    <row r="644" spans="2:12" outlineLevel="2">
      <c r="B644" s="40">
        <f t="shared" si="22"/>
        <v>182</v>
      </c>
      <c r="C644" s="41" t="s">
        <v>8</v>
      </c>
      <c r="D644" s="41"/>
      <c r="E644" s="41"/>
      <c r="F644" s="41"/>
      <c r="G644" s="41"/>
      <c r="H644" s="41"/>
      <c r="I644" s="42"/>
      <c r="J644" s="41"/>
      <c r="K644" s="41"/>
      <c r="L644" s="43"/>
    </row>
    <row r="645" spans="2:12" outlineLevel="2">
      <c r="B645" s="40">
        <f t="shared" si="22"/>
        <v>183</v>
      </c>
      <c r="C645" s="41" t="s">
        <v>8</v>
      </c>
      <c r="D645" s="41"/>
      <c r="E645" s="41"/>
      <c r="F645" s="41"/>
      <c r="G645" s="41"/>
      <c r="H645" s="41"/>
      <c r="I645" s="42"/>
      <c r="J645" s="41"/>
      <c r="K645" s="41"/>
      <c r="L645" s="43"/>
    </row>
    <row r="646" spans="2:12" outlineLevel="2">
      <c r="B646" s="40">
        <f t="shared" si="22"/>
        <v>184</v>
      </c>
      <c r="C646" s="41" t="s">
        <v>8</v>
      </c>
      <c r="D646" s="41"/>
      <c r="E646" s="41"/>
      <c r="F646" s="41"/>
      <c r="G646" s="41"/>
      <c r="H646" s="41"/>
      <c r="I646" s="42"/>
      <c r="J646" s="41"/>
      <c r="K646" s="41"/>
      <c r="L646" s="43"/>
    </row>
    <row r="647" spans="2:12" outlineLevel="2">
      <c r="B647" s="40">
        <f t="shared" si="22"/>
        <v>185</v>
      </c>
      <c r="C647" s="41" t="s">
        <v>8</v>
      </c>
      <c r="D647" s="41"/>
      <c r="E647" s="41"/>
      <c r="F647" s="41"/>
      <c r="G647" s="41"/>
      <c r="H647" s="41"/>
      <c r="I647" s="42"/>
      <c r="J647" s="41"/>
      <c r="K647" s="41"/>
      <c r="L647" s="43"/>
    </row>
    <row r="648" spans="2:12" outlineLevel="2">
      <c r="B648" s="40">
        <f t="shared" si="22"/>
        <v>186</v>
      </c>
      <c r="C648" s="41" t="s">
        <v>8</v>
      </c>
      <c r="D648" s="41"/>
      <c r="E648" s="41"/>
      <c r="F648" s="41"/>
      <c r="G648" s="41"/>
      <c r="H648" s="41"/>
      <c r="I648" s="42"/>
      <c r="J648" s="41"/>
      <c r="K648" s="41"/>
      <c r="L648" s="43"/>
    </row>
    <row r="649" spans="2:12" outlineLevel="2">
      <c r="B649" s="40">
        <f t="shared" si="22"/>
        <v>187</v>
      </c>
      <c r="C649" s="41" t="s">
        <v>8</v>
      </c>
      <c r="D649" s="41"/>
      <c r="E649" s="41"/>
      <c r="F649" s="41"/>
      <c r="G649" s="41"/>
      <c r="H649" s="41"/>
      <c r="I649" s="42"/>
      <c r="J649" s="41"/>
      <c r="K649" s="41"/>
      <c r="L649" s="43"/>
    </row>
    <row r="650" spans="2:12" outlineLevel="2">
      <c r="B650" s="40">
        <f t="shared" si="22"/>
        <v>188</v>
      </c>
      <c r="C650" s="41" t="s">
        <v>8</v>
      </c>
      <c r="D650" s="41"/>
      <c r="E650" s="41"/>
      <c r="F650" s="41"/>
      <c r="G650" s="41"/>
      <c r="H650" s="41"/>
      <c r="I650" s="42"/>
      <c r="J650" s="41"/>
      <c r="K650" s="41"/>
      <c r="L650" s="43"/>
    </row>
    <row r="651" spans="2:12" outlineLevel="2">
      <c r="B651" s="40">
        <f t="shared" si="22"/>
        <v>189</v>
      </c>
      <c r="C651" s="41" t="s">
        <v>8</v>
      </c>
      <c r="D651" s="41"/>
      <c r="E651" s="41"/>
      <c r="F651" s="41"/>
      <c r="G651" s="41"/>
      <c r="H651" s="41"/>
      <c r="I651" s="42"/>
      <c r="J651" s="41"/>
      <c r="K651" s="41"/>
      <c r="L651" s="43"/>
    </row>
    <row r="652" spans="2:12" outlineLevel="2">
      <c r="B652" s="40">
        <f t="shared" si="22"/>
        <v>190</v>
      </c>
      <c r="C652" s="41" t="s">
        <v>8</v>
      </c>
      <c r="D652" s="41"/>
      <c r="E652" s="41"/>
      <c r="F652" s="41"/>
      <c r="G652" s="41"/>
      <c r="H652" s="41"/>
      <c r="I652" s="42"/>
      <c r="J652" s="41"/>
      <c r="K652" s="41"/>
      <c r="L652" s="43"/>
    </row>
    <row r="653" spans="2:12" outlineLevel="2">
      <c r="B653" s="40">
        <f t="shared" si="22"/>
        <v>191</v>
      </c>
      <c r="C653" s="41" t="s">
        <v>8</v>
      </c>
      <c r="D653" s="41"/>
      <c r="E653" s="41"/>
      <c r="F653" s="41"/>
      <c r="G653" s="41"/>
      <c r="H653" s="41"/>
      <c r="I653" s="42"/>
      <c r="J653" s="41"/>
      <c r="K653" s="41"/>
      <c r="L653" s="43"/>
    </row>
    <row r="654" spans="2:12" outlineLevel="2">
      <c r="B654" s="40">
        <f t="shared" si="22"/>
        <v>192</v>
      </c>
      <c r="C654" s="41" t="s">
        <v>8</v>
      </c>
      <c r="D654" s="41"/>
      <c r="E654" s="41"/>
      <c r="F654" s="41"/>
      <c r="G654" s="41"/>
      <c r="H654" s="41"/>
      <c r="I654" s="42"/>
      <c r="J654" s="41"/>
      <c r="K654" s="41"/>
      <c r="L654" s="43"/>
    </row>
    <row r="655" spans="2:12" outlineLevel="2">
      <c r="B655" s="40">
        <f t="shared" si="22"/>
        <v>193</v>
      </c>
      <c r="C655" s="41" t="s">
        <v>8</v>
      </c>
      <c r="D655" s="41"/>
      <c r="E655" s="41"/>
      <c r="F655" s="41"/>
      <c r="G655" s="41"/>
      <c r="H655" s="41"/>
      <c r="I655" s="42"/>
      <c r="J655" s="41"/>
      <c r="K655" s="41"/>
      <c r="L655" s="43"/>
    </row>
    <row r="656" spans="2:12" outlineLevel="2">
      <c r="B656" s="40">
        <f t="shared" si="22"/>
        <v>194</v>
      </c>
      <c r="C656" s="41" t="s">
        <v>8</v>
      </c>
      <c r="D656" s="41"/>
      <c r="E656" s="41"/>
      <c r="F656" s="41"/>
      <c r="G656" s="41"/>
      <c r="H656" s="41"/>
      <c r="I656" s="42"/>
      <c r="J656" s="41"/>
      <c r="K656" s="41"/>
      <c r="L656" s="43"/>
    </row>
    <row r="657" spans="2:12" outlineLevel="2">
      <c r="B657" s="40">
        <f t="shared" ref="B657:B690" si="23">ROW(A195)</f>
        <v>195</v>
      </c>
      <c r="C657" s="41" t="s">
        <v>8</v>
      </c>
      <c r="D657" s="41"/>
      <c r="E657" s="41"/>
      <c r="F657" s="41"/>
      <c r="G657" s="41"/>
      <c r="H657" s="41"/>
      <c r="I657" s="42"/>
      <c r="J657" s="41"/>
      <c r="K657" s="41"/>
      <c r="L657" s="43"/>
    </row>
    <row r="658" spans="2:12" outlineLevel="2">
      <c r="B658" s="40">
        <f t="shared" si="23"/>
        <v>196</v>
      </c>
      <c r="C658" s="41" t="s">
        <v>8</v>
      </c>
      <c r="D658" s="41"/>
      <c r="E658" s="41"/>
      <c r="F658" s="41"/>
      <c r="G658" s="41"/>
      <c r="H658" s="41"/>
      <c r="I658" s="42"/>
      <c r="J658" s="41"/>
      <c r="K658" s="41"/>
      <c r="L658" s="43"/>
    </row>
    <row r="659" spans="2:12" outlineLevel="2">
      <c r="B659" s="40">
        <f t="shared" si="23"/>
        <v>197</v>
      </c>
      <c r="C659" s="41" t="s">
        <v>8</v>
      </c>
      <c r="D659" s="41"/>
      <c r="E659" s="41"/>
      <c r="F659" s="41"/>
      <c r="G659" s="41"/>
      <c r="H659" s="41"/>
      <c r="I659" s="42"/>
      <c r="J659" s="41"/>
      <c r="K659" s="41"/>
      <c r="L659" s="43"/>
    </row>
    <row r="660" spans="2:12" outlineLevel="2">
      <c r="B660" s="40">
        <f t="shared" si="23"/>
        <v>198</v>
      </c>
      <c r="C660" s="41" t="s">
        <v>8</v>
      </c>
      <c r="D660" s="41"/>
      <c r="E660" s="41"/>
      <c r="F660" s="41"/>
      <c r="G660" s="41"/>
      <c r="H660" s="41"/>
      <c r="I660" s="42"/>
      <c r="J660" s="41"/>
      <c r="K660" s="41"/>
      <c r="L660" s="43"/>
    </row>
    <row r="661" spans="2:12" outlineLevel="2">
      <c r="B661" s="40">
        <f t="shared" si="23"/>
        <v>199</v>
      </c>
      <c r="C661" s="41" t="s">
        <v>8</v>
      </c>
      <c r="D661" s="41"/>
      <c r="E661" s="41"/>
      <c r="F661" s="41"/>
      <c r="G661" s="41"/>
      <c r="H661" s="41"/>
      <c r="I661" s="42"/>
      <c r="J661" s="41"/>
      <c r="K661" s="41"/>
      <c r="L661" s="43"/>
    </row>
    <row r="662" spans="2:12" outlineLevel="2">
      <c r="B662" s="40">
        <f t="shared" si="23"/>
        <v>200</v>
      </c>
      <c r="C662" s="41" t="s">
        <v>8</v>
      </c>
      <c r="D662" s="41"/>
      <c r="E662" s="41"/>
      <c r="F662" s="41"/>
      <c r="G662" s="41"/>
      <c r="H662" s="41"/>
      <c r="I662" s="42"/>
      <c r="J662" s="41"/>
      <c r="K662" s="41"/>
      <c r="L662" s="43"/>
    </row>
    <row r="663" spans="2:12" outlineLevel="2">
      <c r="B663" s="40">
        <f t="shared" si="23"/>
        <v>201</v>
      </c>
      <c r="C663" s="41" t="s">
        <v>8</v>
      </c>
      <c r="D663" s="41"/>
      <c r="E663" s="41"/>
      <c r="F663" s="41"/>
      <c r="G663" s="41"/>
      <c r="H663" s="41"/>
      <c r="I663" s="42"/>
      <c r="J663" s="41"/>
      <c r="K663" s="41"/>
      <c r="L663" s="43"/>
    </row>
    <row r="664" spans="2:12" outlineLevel="2">
      <c r="B664" s="40">
        <f t="shared" si="23"/>
        <v>202</v>
      </c>
      <c r="C664" s="41" t="s">
        <v>8</v>
      </c>
      <c r="D664" s="41"/>
      <c r="E664" s="41"/>
      <c r="F664" s="41"/>
      <c r="G664" s="41"/>
      <c r="H664" s="41"/>
      <c r="I664" s="42"/>
      <c r="J664" s="41"/>
      <c r="K664" s="41"/>
      <c r="L664" s="43"/>
    </row>
    <row r="665" spans="2:12" outlineLevel="2">
      <c r="B665" s="40">
        <f t="shared" si="23"/>
        <v>203</v>
      </c>
      <c r="C665" s="41" t="s">
        <v>8</v>
      </c>
      <c r="D665" s="41"/>
      <c r="E665" s="41"/>
      <c r="F665" s="41"/>
      <c r="G665" s="41"/>
      <c r="H665" s="41"/>
      <c r="I665" s="42"/>
      <c r="J665" s="41"/>
      <c r="K665" s="41"/>
      <c r="L665" s="43"/>
    </row>
    <row r="666" spans="2:12" outlineLevel="2">
      <c r="B666" s="40">
        <f t="shared" si="23"/>
        <v>204</v>
      </c>
      <c r="C666" s="41" t="s">
        <v>8</v>
      </c>
      <c r="D666" s="41"/>
      <c r="E666" s="41"/>
      <c r="F666" s="41"/>
      <c r="G666" s="41"/>
      <c r="H666" s="41"/>
      <c r="I666" s="42"/>
      <c r="J666" s="41"/>
      <c r="K666" s="41"/>
      <c r="L666" s="43"/>
    </row>
    <row r="667" spans="2:12" outlineLevel="2">
      <c r="B667" s="40">
        <f t="shared" si="23"/>
        <v>205</v>
      </c>
      <c r="C667" s="41" t="s">
        <v>8</v>
      </c>
      <c r="D667" s="41"/>
      <c r="E667" s="41"/>
      <c r="F667" s="41"/>
      <c r="G667" s="41"/>
      <c r="H667" s="41"/>
      <c r="I667" s="42"/>
      <c r="J667" s="41"/>
      <c r="K667" s="41"/>
      <c r="L667" s="43"/>
    </row>
    <row r="668" spans="2:12" outlineLevel="2">
      <c r="B668" s="40">
        <f t="shared" si="23"/>
        <v>206</v>
      </c>
      <c r="C668" s="41" t="s">
        <v>8</v>
      </c>
      <c r="D668" s="41"/>
      <c r="E668" s="41"/>
      <c r="F668" s="41"/>
      <c r="G668" s="41"/>
      <c r="H668" s="41"/>
      <c r="I668" s="42"/>
      <c r="J668" s="41"/>
      <c r="K668" s="41"/>
      <c r="L668" s="43"/>
    </row>
    <row r="669" spans="2:12" outlineLevel="2">
      <c r="B669" s="40">
        <f t="shared" si="23"/>
        <v>207</v>
      </c>
      <c r="C669" s="41" t="s">
        <v>8</v>
      </c>
      <c r="D669" s="41"/>
      <c r="E669" s="41"/>
      <c r="F669" s="41"/>
      <c r="G669" s="41"/>
      <c r="H669" s="41"/>
      <c r="I669" s="42"/>
      <c r="J669" s="41"/>
      <c r="K669" s="41"/>
      <c r="L669" s="43"/>
    </row>
    <row r="670" spans="2:12" outlineLevel="2">
      <c r="B670" s="40">
        <f t="shared" si="23"/>
        <v>208</v>
      </c>
      <c r="C670" s="41" t="s">
        <v>8</v>
      </c>
      <c r="D670" s="41"/>
      <c r="E670" s="41"/>
      <c r="F670" s="41"/>
      <c r="G670" s="41"/>
      <c r="H670" s="41"/>
      <c r="I670" s="42"/>
      <c r="J670" s="41"/>
      <c r="K670" s="41"/>
      <c r="L670" s="43"/>
    </row>
    <row r="671" spans="2:12" outlineLevel="2">
      <c r="B671" s="40">
        <f t="shared" si="23"/>
        <v>209</v>
      </c>
      <c r="C671" s="41" t="s">
        <v>8</v>
      </c>
      <c r="D671" s="41"/>
      <c r="E671" s="41"/>
      <c r="F671" s="41"/>
      <c r="G671" s="41"/>
      <c r="H671" s="41"/>
      <c r="I671" s="42"/>
      <c r="J671" s="41"/>
      <c r="K671" s="41"/>
      <c r="L671" s="43"/>
    </row>
    <row r="672" spans="2:12" outlineLevel="2">
      <c r="B672" s="40">
        <f t="shared" si="23"/>
        <v>210</v>
      </c>
      <c r="C672" s="41" t="s">
        <v>8</v>
      </c>
      <c r="D672" s="41"/>
      <c r="E672" s="41"/>
      <c r="F672" s="41"/>
      <c r="G672" s="41"/>
      <c r="H672" s="41"/>
      <c r="I672" s="42"/>
      <c r="J672" s="41"/>
      <c r="K672" s="41"/>
      <c r="L672" s="43"/>
    </row>
    <row r="673" spans="2:12" outlineLevel="2">
      <c r="B673" s="40">
        <f t="shared" si="23"/>
        <v>211</v>
      </c>
      <c r="C673" s="41" t="s">
        <v>8</v>
      </c>
      <c r="D673" s="41"/>
      <c r="E673" s="41"/>
      <c r="F673" s="41"/>
      <c r="G673" s="41"/>
      <c r="H673" s="41"/>
      <c r="I673" s="42"/>
      <c r="J673" s="41"/>
      <c r="K673" s="41"/>
      <c r="L673" s="43"/>
    </row>
    <row r="674" spans="2:12" outlineLevel="2">
      <c r="B674" s="40">
        <f t="shared" si="23"/>
        <v>212</v>
      </c>
      <c r="C674" s="41" t="s">
        <v>8</v>
      </c>
      <c r="D674" s="41"/>
      <c r="E674" s="41"/>
      <c r="F674" s="41"/>
      <c r="G674" s="41"/>
      <c r="H674" s="41"/>
      <c r="I674" s="42"/>
      <c r="J674" s="41"/>
      <c r="K674" s="41"/>
      <c r="L674" s="43"/>
    </row>
    <row r="675" spans="2:12" outlineLevel="2">
      <c r="B675" s="40">
        <f t="shared" si="23"/>
        <v>213</v>
      </c>
      <c r="C675" s="41" t="s">
        <v>8</v>
      </c>
      <c r="D675" s="41"/>
      <c r="E675" s="41"/>
      <c r="F675" s="41"/>
      <c r="G675" s="41"/>
      <c r="H675" s="41"/>
      <c r="I675" s="42"/>
      <c r="J675" s="41"/>
      <c r="K675" s="41"/>
      <c r="L675" s="43"/>
    </row>
    <row r="676" spans="2:12" outlineLevel="2">
      <c r="B676" s="40">
        <f t="shared" si="23"/>
        <v>214</v>
      </c>
      <c r="C676" s="41" t="s">
        <v>8</v>
      </c>
      <c r="D676" s="41"/>
      <c r="E676" s="41"/>
      <c r="F676" s="41"/>
      <c r="G676" s="41"/>
      <c r="H676" s="41"/>
      <c r="I676" s="42"/>
      <c r="J676" s="41"/>
      <c r="K676" s="41"/>
      <c r="L676" s="43"/>
    </row>
    <row r="677" spans="2:12" outlineLevel="2">
      <c r="B677" s="40">
        <f t="shared" si="23"/>
        <v>215</v>
      </c>
      <c r="C677" s="41" t="s">
        <v>8</v>
      </c>
      <c r="D677" s="41"/>
      <c r="E677" s="41"/>
      <c r="F677" s="41"/>
      <c r="G677" s="41"/>
      <c r="H677" s="41"/>
      <c r="I677" s="42"/>
      <c r="J677" s="41"/>
      <c r="K677" s="41"/>
      <c r="L677" s="43"/>
    </row>
    <row r="678" spans="2:12" outlineLevel="2">
      <c r="B678" s="40">
        <f t="shared" si="23"/>
        <v>216</v>
      </c>
      <c r="C678" s="41" t="s">
        <v>8</v>
      </c>
      <c r="D678" s="41"/>
      <c r="E678" s="41"/>
      <c r="F678" s="41"/>
      <c r="G678" s="41"/>
      <c r="H678" s="41"/>
      <c r="I678" s="42"/>
      <c r="J678" s="41"/>
      <c r="K678" s="41"/>
      <c r="L678" s="43"/>
    </row>
    <row r="679" spans="2:12" outlineLevel="2">
      <c r="B679" s="40">
        <f t="shared" si="23"/>
        <v>217</v>
      </c>
      <c r="C679" s="41" t="s">
        <v>8</v>
      </c>
      <c r="D679" s="41"/>
      <c r="E679" s="41"/>
      <c r="F679" s="41"/>
      <c r="G679" s="41"/>
      <c r="H679" s="41"/>
      <c r="I679" s="42"/>
      <c r="J679" s="41"/>
      <c r="K679" s="41"/>
      <c r="L679" s="43"/>
    </row>
    <row r="680" spans="2:12" outlineLevel="2">
      <c r="B680" s="40">
        <f t="shared" si="23"/>
        <v>218</v>
      </c>
      <c r="C680" s="41" t="s">
        <v>8</v>
      </c>
      <c r="D680" s="41"/>
      <c r="E680" s="41"/>
      <c r="F680" s="41"/>
      <c r="G680" s="41"/>
      <c r="H680" s="41"/>
      <c r="I680" s="42"/>
      <c r="J680" s="41"/>
      <c r="K680" s="41"/>
      <c r="L680" s="43"/>
    </row>
    <row r="681" spans="2:12" outlineLevel="2">
      <c r="B681" s="40">
        <f t="shared" si="23"/>
        <v>219</v>
      </c>
      <c r="C681" s="41" t="s">
        <v>8</v>
      </c>
      <c r="D681" s="41"/>
      <c r="E681" s="41"/>
      <c r="F681" s="41"/>
      <c r="G681" s="41"/>
      <c r="H681" s="41"/>
      <c r="I681" s="42"/>
      <c r="J681" s="41"/>
      <c r="K681" s="41"/>
      <c r="L681" s="43"/>
    </row>
    <row r="682" spans="2:12" outlineLevel="2">
      <c r="B682" s="40">
        <f t="shared" si="23"/>
        <v>220</v>
      </c>
      <c r="C682" s="41" t="s">
        <v>8</v>
      </c>
      <c r="D682" s="41"/>
      <c r="E682" s="41"/>
      <c r="F682" s="41"/>
      <c r="G682" s="41"/>
      <c r="H682" s="41"/>
      <c r="I682" s="42"/>
      <c r="J682" s="41"/>
      <c r="K682" s="41"/>
      <c r="L682" s="43"/>
    </row>
    <row r="683" spans="2:12" outlineLevel="2">
      <c r="B683" s="40">
        <f t="shared" si="23"/>
        <v>221</v>
      </c>
      <c r="C683" s="41" t="s">
        <v>8</v>
      </c>
      <c r="D683" s="41"/>
      <c r="E683" s="41"/>
      <c r="F683" s="41"/>
      <c r="G683" s="41"/>
      <c r="H683" s="41"/>
      <c r="I683" s="42"/>
      <c r="J683" s="41"/>
      <c r="K683" s="41"/>
      <c r="L683" s="43"/>
    </row>
    <row r="684" spans="2:12" outlineLevel="2">
      <c r="B684" s="40">
        <f t="shared" si="23"/>
        <v>222</v>
      </c>
      <c r="C684" s="41" t="s">
        <v>8</v>
      </c>
      <c r="D684" s="41"/>
      <c r="E684" s="41"/>
      <c r="F684" s="41"/>
      <c r="G684" s="41"/>
      <c r="H684" s="41"/>
      <c r="I684" s="42"/>
      <c r="J684" s="41"/>
      <c r="K684" s="41"/>
      <c r="L684" s="43"/>
    </row>
    <row r="685" spans="2:12" outlineLevel="2">
      <c r="B685" s="40">
        <f t="shared" si="23"/>
        <v>223</v>
      </c>
      <c r="C685" s="41" t="s">
        <v>8</v>
      </c>
      <c r="D685" s="41"/>
      <c r="E685" s="41"/>
      <c r="F685" s="41"/>
      <c r="G685" s="41"/>
      <c r="H685" s="41"/>
      <c r="I685" s="42"/>
      <c r="J685" s="41"/>
      <c r="K685" s="41"/>
      <c r="L685" s="43"/>
    </row>
    <row r="686" spans="2:12" outlineLevel="2">
      <c r="B686" s="40">
        <f t="shared" si="23"/>
        <v>224</v>
      </c>
      <c r="C686" s="41" t="s">
        <v>8</v>
      </c>
      <c r="D686" s="41"/>
      <c r="E686" s="41"/>
      <c r="F686" s="41"/>
      <c r="G686" s="41"/>
      <c r="H686" s="41"/>
      <c r="I686" s="42"/>
      <c r="J686" s="41"/>
      <c r="K686" s="41"/>
      <c r="L686" s="43"/>
    </row>
    <row r="687" spans="2:12" outlineLevel="2">
      <c r="B687" s="40">
        <f t="shared" si="23"/>
        <v>225</v>
      </c>
      <c r="C687" s="41" t="s">
        <v>8</v>
      </c>
      <c r="D687" s="41"/>
      <c r="E687" s="41"/>
      <c r="F687" s="41"/>
      <c r="G687" s="41"/>
      <c r="H687" s="41"/>
      <c r="I687" s="42"/>
      <c r="J687" s="41"/>
      <c r="K687" s="41"/>
      <c r="L687" s="43"/>
    </row>
    <row r="688" spans="2:12" outlineLevel="2">
      <c r="B688" s="40">
        <f t="shared" si="23"/>
        <v>226</v>
      </c>
      <c r="C688" s="41" t="s">
        <v>8</v>
      </c>
      <c r="D688" s="41"/>
      <c r="E688" s="41"/>
      <c r="F688" s="41"/>
      <c r="G688" s="41"/>
      <c r="H688" s="41"/>
      <c r="I688" s="42"/>
      <c r="J688" s="41"/>
      <c r="K688" s="41"/>
      <c r="L688" s="43"/>
    </row>
    <row r="689" spans="2:12" outlineLevel="2">
      <c r="B689" s="40">
        <f t="shared" si="23"/>
        <v>227</v>
      </c>
      <c r="C689" s="41" t="s">
        <v>8</v>
      </c>
      <c r="D689" s="41"/>
      <c r="E689" s="41"/>
      <c r="F689" s="41"/>
      <c r="G689" s="41"/>
      <c r="H689" s="41"/>
      <c r="I689" s="42"/>
      <c r="J689" s="41"/>
      <c r="K689" s="41"/>
      <c r="L689" s="43"/>
    </row>
    <row r="690" spans="2:12" outlineLevel="2">
      <c r="B690" s="40">
        <f t="shared" si="23"/>
        <v>228</v>
      </c>
      <c r="C690" s="41" t="s">
        <v>8</v>
      </c>
      <c r="D690" s="41"/>
      <c r="E690" s="41"/>
      <c r="F690" s="41"/>
      <c r="G690" s="41"/>
      <c r="H690" s="41"/>
      <c r="I690" s="42"/>
      <c r="J690" s="41"/>
      <c r="K690" s="41"/>
      <c r="L690" s="43"/>
    </row>
    <row r="691" spans="2:12" outlineLevel="1">
      <c r="B691" s="59" t="s">
        <v>203</v>
      </c>
      <c r="C691" s="41">
        <f>SUBTOTAL(3,C463:C690)</f>
        <v>228</v>
      </c>
      <c r="D691" s="41"/>
      <c r="E691" s="41"/>
      <c r="F691" s="41"/>
      <c r="G691" s="41"/>
      <c r="H691" s="41"/>
      <c r="I691" s="42"/>
      <c r="J691" s="41"/>
      <c r="K691" s="41"/>
      <c r="L691" s="43"/>
    </row>
    <row r="692" spans="2:12" outlineLevel="2">
      <c r="B692" s="40">
        <f t="shared" ref="B692:B755" si="24">ROW(A229)</f>
        <v>229</v>
      </c>
      <c r="C692" s="41" t="s">
        <v>9</v>
      </c>
      <c r="D692" s="41"/>
      <c r="E692" s="41"/>
      <c r="F692" s="41"/>
      <c r="G692" s="41"/>
      <c r="H692" s="41"/>
      <c r="I692" s="42"/>
      <c r="J692" s="41"/>
      <c r="K692" s="41"/>
      <c r="L692" s="43"/>
    </row>
    <row r="693" spans="2:12" outlineLevel="2">
      <c r="B693" s="40">
        <f t="shared" si="24"/>
        <v>230</v>
      </c>
      <c r="C693" s="41" t="s">
        <v>9</v>
      </c>
      <c r="D693" s="41"/>
      <c r="E693" s="41"/>
      <c r="F693" s="41"/>
      <c r="G693" s="41"/>
      <c r="H693" s="41"/>
      <c r="I693" s="42"/>
      <c r="J693" s="41"/>
      <c r="K693" s="41"/>
      <c r="L693" s="43"/>
    </row>
    <row r="694" spans="2:12" outlineLevel="2">
      <c r="B694" s="40">
        <f t="shared" si="24"/>
        <v>231</v>
      </c>
      <c r="C694" s="41" t="s">
        <v>9</v>
      </c>
      <c r="D694" s="41"/>
      <c r="E694" s="41"/>
      <c r="F694" s="41"/>
      <c r="G694" s="41"/>
      <c r="H694" s="41"/>
      <c r="I694" s="42"/>
      <c r="J694" s="41"/>
      <c r="K694" s="41"/>
      <c r="L694" s="43"/>
    </row>
    <row r="695" spans="2:12" outlineLevel="2">
      <c r="B695" s="40">
        <f t="shared" si="24"/>
        <v>232</v>
      </c>
      <c r="C695" s="41" t="s">
        <v>9</v>
      </c>
      <c r="D695" s="41"/>
      <c r="E695" s="41"/>
      <c r="F695" s="41"/>
      <c r="G695" s="41"/>
      <c r="H695" s="41"/>
      <c r="I695" s="42"/>
      <c r="J695" s="41"/>
      <c r="K695" s="41"/>
      <c r="L695" s="43"/>
    </row>
    <row r="696" spans="2:12" outlineLevel="2">
      <c r="B696" s="40">
        <f t="shared" si="24"/>
        <v>233</v>
      </c>
      <c r="C696" s="41" t="s">
        <v>9</v>
      </c>
      <c r="D696" s="41"/>
      <c r="E696" s="41"/>
      <c r="F696" s="41"/>
      <c r="G696" s="41"/>
      <c r="H696" s="41"/>
      <c r="I696" s="42"/>
      <c r="J696" s="41"/>
      <c r="K696" s="41"/>
      <c r="L696" s="43"/>
    </row>
    <row r="697" spans="2:12" outlineLevel="2">
      <c r="B697" s="40">
        <f t="shared" si="24"/>
        <v>234</v>
      </c>
      <c r="C697" s="41" t="s">
        <v>9</v>
      </c>
      <c r="D697" s="41"/>
      <c r="E697" s="41"/>
      <c r="F697" s="41"/>
      <c r="G697" s="41"/>
      <c r="H697" s="41"/>
      <c r="I697" s="42"/>
      <c r="J697" s="41"/>
      <c r="K697" s="41"/>
      <c r="L697" s="43"/>
    </row>
    <row r="698" spans="2:12" outlineLevel="2">
      <c r="B698" s="40">
        <f t="shared" si="24"/>
        <v>235</v>
      </c>
      <c r="C698" s="41" t="s">
        <v>9</v>
      </c>
      <c r="D698" s="41"/>
      <c r="E698" s="41"/>
      <c r="F698" s="41"/>
      <c r="G698" s="41"/>
      <c r="H698" s="41"/>
      <c r="I698" s="42"/>
      <c r="J698" s="41"/>
      <c r="K698" s="41"/>
      <c r="L698" s="43"/>
    </row>
    <row r="699" spans="2:12" outlineLevel="2">
      <c r="B699" s="40">
        <f t="shared" si="24"/>
        <v>236</v>
      </c>
      <c r="C699" s="41" t="s">
        <v>9</v>
      </c>
      <c r="D699" s="41"/>
      <c r="E699" s="41"/>
      <c r="F699" s="41"/>
      <c r="G699" s="41"/>
      <c r="H699" s="41"/>
      <c r="I699" s="42"/>
      <c r="J699" s="41"/>
      <c r="K699" s="41"/>
      <c r="L699" s="43"/>
    </row>
    <row r="700" spans="2:12" outlineLevel="2">
      <c r="B700" s="40">
        <f t="shared" si="24"/>
        <v>237</v>
      </c>
      <c r="C700" s="41" t="s">
        <v>9</v>
      </c>
      <c r="D700" s="41"/>
      <c r="E700" s="41"/>
      <c r="F700" s="41"/>
      <c r="G700" s="41"/>
      <c r="H700" s="41"/>
      <c r="I700" s="42"/>
      <c r="J700" s="41"/>
      <c r="K700" s="41"/>
      <c r="L700" s="43"/>
    </row>
    <row r="701" spans="2:12" outlineLevel="2">
      <c r="B701" s="40">
        <f t="shared" si="24"/>
        <v>238</v>
      </c>
      <c r="C701" s="41" t="s">
        <v>9</v>
      </c>
      <c r="D701" s="41"/>
      <c r="E701" s="41"/>
      <c r="F701" s="41"/>
      <c r="G701" s="41"/>
      <c r="H701" s="41"/>
      <c r="I701" s="42"/>
      <c r="J701" s="41"/>
      <c r="K701" s="41"/>
      <c r="L701" s="43"/>
    </row>
    <row r="702" spans="2:12" outlineLevel="2">
      <c r="B702" s="40">
        <f t="shared" si="24"/>
        <v>239</v>
      </c>
      <c r="C702" s="41" t="s">
        <v>9</v>
      </c>
      <c r="D702" s="41"/>
      <c r="E702" s="41"/>
      <c r="F702" s="41"/>
      <c r="G702" s="41"/>
      <c r="H702" s="41"/>
      <c r="I702" s="42"/>
      <c r="J702" s="41"/>
      <c r="K702" s="41"/>
      <c r="L702" s="43"/>
    </row>
    <row r="703" spans="2:12" outlineLevel="2">
      <c r="B703" s="40">
        <f t="shared" si="24"/>
        <v>240</v>
      </c>
      <c r="C703" s="41" t="s">
        <v>9</v>
      </c>
      <c r="D703" s="41"/>
      <c r="E703" s="41"/>
      <c r="F703" s="41"/>
      <c r="G703" s="41"/>
      <c r="H703" s="41"/>
      <c r="I703" s="42"/>
      <c r="J703" s="41"/>
      <c r="K703" s="41"/>
      <c r="L703" s="43"/>
    </row>
    <row r="704" spans="2:12" outlineLevel="2">
      <c r="B704" s="40">
        <f t="shared" si="24"/>
        <v>241</v>
      </c>
      <c r="C704" s="41" t="s">
        <v>9</v>
      </c>
      <c r="D704" s="41"/>
      <c r="E704" s="41"/>
      <c r="F704" s="41"/>
      <c r="G704" s="41"/>
      <c r="H704" s="41"/>
      <c r="I704" s="42"/>
      <c r="J704" s="41"/>
      <c r="K704" s="41"/>
      <c r="L704" s="43"/>
    </row>
    <row r="705" spans="2:12" outlineLevel="2">
      <c r="B705" s="40">
        <f t="shared" si="24"/>
        <v>242</v>
      </c>
      <c r="C705" s="41" t="s">
        <v>9</v>
      </c>
      <c r="D705" s="41"/>
      <c r="E705" s="41"/>
      <c r="F705" s="41"/>
      <c r="G705" s="41"/>
      <c r="H705" s="41"/>
      <c r="I705" s="42"/>
      <c r="J705" s="41"/>
      <c r="K705" s="41"/>
      <c r="L705" s="43"/>
    </row>
    <row r="706" spans="2:12" outlineLevel="2">
      <c r="B706" s="40">
        <f t="shared" si="24"/>
        <v>243</v>
      </c>
      <c r="C706" s="41" t="s">
        <v>9</v>
      </c>
      <c r="D706" s="41"/>
      <c r="E706" s="41"/>
      <c r="F706" s="41"/>
      <c r="G706" s="41"/>
      <c r="H706" s="41"/>
      <c r="I706" s="42"/>
      <c r="J706" s="41"/>
      <c r="K706" s="41"/>
      <c r="L706" s="43"/>
    </row>
    <row r="707" spans="2:12" outlineLevel="2">
      <c r="B707" s="40">
        <f t="shared" si="24"/>
        <v>244</v>
      </c>
      <c r="C707" s="41" t="s">
        <v>9</v>
      </c>
      <c r="D707" s="41"/>
      <c r="E707" s="41"/>
      <c r="F707" s="41"/>
      <c r="G707" s="41"/>
      <c r="H707" s="41"/>
      <c r="I707" s="42"/>
      <c r="J707" s="41"/>
      <c r="K707" s="41"/>
      <c r="L707" s="43"/>
    </row>
    <row r="708" spans="2:12" outlineLevel="2">
      <c r="B708" s="40">
        <f t="shared" si="24"/>
        <v>245</v>
      </c>
      <c r="C708" s="41" t="s">
        <v>9</v>
      </c>
      <c r="D708" s="41"/>
      <c r="E708" s="41"/>
      <c r="F708" s="41"/>
      <c r="G708" s="41"/>
      <c r="H708" s="41"/>
      <c r="I708" s="42"/>
      <c r="J708" s="41"/>
      <c r="K708" s="41"/>
      <c r="L708" s="43"/>
    </row>
    <row r="709" spans="2:12" outlineLevel="2">
      <c r="B709" s="40">
        <f t="shared" si="24"/>
        <v>246</v>
      </c>
      <c r="C709" s="41" t="s">
        <v>9</v>
      </c>
      <c r="D709" s="41"/>
      <c r="E709" s="41"/>
      <c r="F709" s="41"/>
      <c r="G709" s="41"/>
      <c r="H709" s="41"/>
      <c r="I709" s="42"/>
      <c r="J709" s="41"/>
      <c r="K709" s="41"/>
      <c r="L709" s="43"/>
    </row>
    <row r="710" spans="2:12" outlineLevel="2">
      <c r="B710" s="40">
        <f t="shared" si="24"/>
        <v>247</v>
      </c>
      <c r="C710" s="41" t="s">
        <v>9</v>
      </c>
      <c r="D710" s="41"/>
      <c r="E710" s="41"/>
      <c r="F710" s="41"/>
      <c r="G710" s="41"/>
      <c r="H710" s="41"/>
      <c r="I710" s="42"/>
      <c r="J710" s="41"/>
      <c r="K710" s="41"/>
      <c r="L710" s="43"/>
    </row>
    <row r="711" spans="2:12" outlineLevel="2">
      <c r="B711" s="40">
        <f t="shared" si="24"/>
        <v>248</v>
      </c>
      <c r="C711" s="41" t="s">
        <v>9</v>
      </c>
      <c r="D711" s="41"/>
      <c r="E711" s="41"/>
      <c r="F711" s="41"/>
      <c r="G711" s="41"/>
      <c r="H711" s="41"/>
      <c r="I711" s="42"/>
      <c r="J711" s="41"/>
      <c r="K711" s="41"/>
      <c r="L711" s="43"/>
    </row>
    <row r="712" spans="2:12" outlineLevel="2">
      <c r="B712" s="40">
        <f t="shared" si="24"/>
        <v>249</v>
      </c>
      <c r="C712" s="41" t="s">
        <v>9</v>
      </c>
      <c r="D712" s="41"/>
      <c r="E712" s="41"/>
      <c r="F712" s="41"/>
      <c r="G712" s="41"/>
      <c r="H712" s="41"/>
      <c r="I712" s="42"/>
      <c r="J712" s="41"/>
      <c r="K712" s="41"/>
      <c r="L712" s="43"/>
    </row>
    <row r="713" spans="2:12" outlineLevel="2">
      <c r="B713" s="40">
        <f t="shared" si="24"/>
        <v>250</v>
      </c>
      <c r="C713" s="41" t="s">
        <v>9</v>
      </c>
      <c r="D713" s="41"/>
      <c r="E713" s="41"/>
      <c r="F713" s="41"/>
      <c r="G713" s="41"/>
      <c r="H713" s="41"/>
      <c r="I713" s="42"/>
      <c r="J713" s="41"/>
      <c r="K713" s="41"/>
      <c r="L713" s="43"/>
    </row>
    <row r="714" spans="2:12" outlineLevel="2">
      <c r="B714" s="40">
        <f t="shared" si="24"/>
        <v>251</v>
      </c>
      <c r="C714" s="41" t="s">
        <v>9</v>
      </c>
      <c r="D714" s="41"/>
      <c r="E714" s="41"/>
      <c r="F714" s="41"/>
      <c r="G714" s="41"/>
      <c r="H714" s="41"/>
      <c r="I714" s="42"/>
      <c r="J714" s="41"/>
      <c r="K714" s="41"/>
      <c r="L714" s="43"/>
    </row>
    <row r="715" spans="2:12" outlineLevel="2">
      <c r="B715" s="40">
        <f t="shared" si="24"/>
        <v>252</v>
      </c>
      <c r="C715" s="41" t="s">
        <v>9</v>
      </c>
      <c r="D715" s="41"/>
      <c r="E715" s="41"/>
      <c r="F715" s="41"/>
      <c r="G715" s="41"/>
      <c r="H715" s="41"/>
      <c r="I715" s="42"/>
      <c r="J715" s="41"/>
      <c r="K715" s="41"/>
      <c r="L715" s="43"/>
    </row>
    <row r="716" spans="2:12" outlineLevel="2">
      <c r="B716" s="40">
        <f t="shared" si="24"/>
        <v>253</v>
      </c>
      <c r="C716" s="41" t="s">
        <v>9</v>
      </c>
      <c r="D716" s="41"/>
      <c r="E716" s="41"/>
      <c r="F716" s="41"/>
      <c r="G716" s="41"/>
      <c r="H716" s="41"/>
      <c r="I716" s="42"/>
      <c r="J716" s="41"/>
      <c r="K716" s="41"/>
      <c r="L716" s="43"/>
    </row>
    <row r="717" spans="2:12" outlineLevel="2">
      <c r="B717" s="40">
        <f t="shared" si="24"/>
        <v>254</v>
      </c>
      <c r="C717" s="41" t="s">
        <v>9</v>
      </c>
      <c r="D717" s="41"/>
      <c r="E717" s="41"/>
      <c r="F717" s="41"/>
      <c r="G717" s="41"/>
      <c r="H717" s="41"/>
      <c r="I717" s="42"/>
      <c r="J717" s="41"/>
      <c r="K717" s="41"/>
      <c r="L717" s="43"/>
    </row>
    <row r="718" spans="2:12" outlineLevel="2">
      <c r="B718" s="40">
        <f t="shared" si="24"/>
        <v>255</v>
      </c>
      <c r="C718" s="41" t="s">
        <v>9</v>
      </c>
      <c r="D718" s="41"/>
      <c r="E718" s="41"/>
      <c r="F718" s="41"/>
      <c r="G718" s="41"/>
      <c r="H718" s="41"/>
      <c r="I718" s="42"/>
      <c r="J718" s="41"/>
      <c r="K718" s="41"/>
      <c r="L718" s="43"/>
    </row>
    <row r="719" spans="2:12" outlineLevel="2">
      <c r="B719" s="40">
        <f t="shared" si="24"/>
        <v>256</v>
      </c>
      <c r="C719" s="41" t="s">
        <v>9</v>
      </c>
      <c r="D719" s="41"/>
      <c r="E719" s="41"/>
      <c r="F719" s="41"/>
      <c r="G719" s="41"/>
      <c r="H719" s="41"/>
      <c r="I719" s="42"/>
      <c r="J719" s="41"/>
      <c r="K719" s="41"/>
      <c r="L719" s="43"/>
    </row>
    <row r="720" spans="2:12" outlineLevel="2">
      <c r="B720" s="40">
        <f t="shared" si="24"/>
        <v>257</v>
      </c>
      <c r="C720" s="41" t="s">
        <v>9</v>
      </c>
      <c r="D720" s="41"/>
      <c r="E720" s="41"/>
      <c r="F720" s="41"/>
      <c r="G720" s="41"/>
      <c r="H720" s="41"/>
      <c r="I720" s="42"/>
      <c r="J720" s="41"/>
      <c r="K720" s="41"/>
      <c r="L720" s="43"/>
    </row>
    <row r="721" spans="2:12" outlineLevel="2">
      <c r="B721" s="40">
        <f t="shared" si="24"/>
        <v>258</v>
      </c>
      <c r="C721" s="41" t="s">
        <v>9</v>
      </c>
      <c r="D721" s="41"/>
      <c r="E721" s="41"/>
      <c r="F721" s="41"/>
      <c r="G721" s="41"/>
      <c r="H721" s="41"/>
      <c r="I721" s="42"/>
      <c r="J721" s="41"/>
      <c r="K721" s="41"/>
      <c r="L721" s="43"/>
    </row>
    <row r="722" spans="2:12" outlineLevel="2">
      <c r="B722" s="40">
        <f t="shared" si="24"/>
        <v>259</v>
      </c>
      <c r="C722" s="41" t="s">
        <v>9</v>
      </c>
      <c r="D722" s="41"/>
      <c r="E722" s="41"/>
      <c r="F722" s="41"/>
      <c r="G722" s="41"/>
      <c r="H722" s="41"/>
      <c r="I722" s="42"/>
      <c r="J722" s="41"/>
      <c r="K722" s="41"/>
      <c r="L722" s="43"/>
    </row>
    <row r="723" spans="2:12" outlineLevel="2">
      <c r="B723" s="40">
        <f t="shared" si="24"/>
        <v>260</v>
      </c>
      <c r="C723" s="41" t="s">
        <v>9</v>
      </c>
      <c r="D723" s="41"/>
      <c r="E723" s="41"/>
      <c r="F723" s="41"/>
      <c r="G723" s="41"/>
      <c r="H723" s="41"/>
      <c r="I723" s="42"/>
      <c r="J723" s="41"/>
      <c r="K723" s="41"/>
      <c r="L723" s="43"/>
    </row>
    <row r="724" spans="2:12" outlineLevel="2">
      <c r="B724" s="40">
        <f t="shared" si="24"/>
        <v>261</v>
      </c>
      <c r="C724" s="41" t="s">
        <v>9</v>
      </c>
      <c r="D724" s="41"/>
      <c r="E724" s="41"/>
      <c r="F724" s="41"/>
      <c r="G724" s="41"/>
      <c r="H724" s="41"/>
      <c r="I724" s="42"/>
      <c r="J724" s="41"/>
      <c r="K724" s="41"/>
      <c r="L724" s="43"/>
    </row>
    <row r="725" spans="2:12" outlineLevel="2">
      <c r="B725" s="40">
        <f t="shared" si="24"/>
        <v>262</v>
      </c>
      <c r="C725" s="41" t="s">
        <v>9</v>
      </c>
      <c r="D725" s="41"/>
      <c r="E725" s="41"/>
      <c r="F725" s="41"/>
      <c r="G725" s="41"/>
      <c r="H725" s="41"/>
      <c r="I725" s="42"/>
      <c r="J725" s="41"/>
      <c r="K725" s="41"/>
      <c r="L725" s="43"/>
    </row>
    <row r="726" spans="2:12" outlineLevel="2">
      <c r="B726" s="40">
        <f t="shared" si="24"/>
        <v>263</v>
      </c>
      <c r="C726" s="41" t="s">
        <v>9</v>
      </c>
      <c r="D726" s="41"/>
      <c r="E726" s="41"/>
      <c r="F726" s="41"/>
      <c r="G726" s="41"/>
      <c r="H726" s="41"/>
      <c r="I726" s="42"/>
      <c r="J726" s="41"/>
      <c r="K726" s="41"/>
      <c r="L726" s="43"/>
    </row>
    <row r="727" spans="2:12" outlineLevel="2">
      <c r="B727" s="40">
        <f t="shared" si="24"/>
        <v>264</v>
      </c>
      <c r="C727" s="41" t="s">
        <v>9</v>
      </c>
      <c r="D727" s="41"/>
      <c r="E727" s="41"/>
      <c r="F727" s="41"/>
      <c r="G727" s="41"/>
      <c r="H727" s="41"/>
      <c r="I727" s="42"/>
      <c r="J727" s="41"/>
      <c r="K727" s="41"/>
      <c r="L727" s="43"/>
    </row>
    <row r="728" spans="2:12" outlineLevel="2">
      <c r="B728" s="40">
        <f t="shared" si="24"/>
        <v>265</v>
      </c>
      <c r="C728" s="41" t="s">
        <v>9</v>
      </c>
      <c r="D728" s="41"/>
      <c r="E728" s="41"/>
      <c r="F728" s="41"/>
      <c r="G728" s="41"/>
      <c r="H728" s="41"/>
      <c r="I728" s="42"/>
      <c r="J728" s="41"/>
      <c r="K728" s="41"/>
      <c r="L728" s="43"/>
    </row>
    <row r="729" spans="2:12" outlineLevel="2">
      <c r="B729" s="40">
        <f t="shared" si="24"/>
        <v>266</v>
      </c>
      <c r="C729" s="41" t="s">
        <v>9</v>
      </c>
      <c r="D729" s="41"/>
      <c r="E729" s="41"/>
      <c r="F729" s="41"/>
      <c r="G729" s="41"/>
      <c r="H729" s="41"/>
      <c r="I729" s="42"/>
      <c r="J729" s="41"/>
      <c r="K729" s="41"/>
      <c r="L729" s="43"/>
    </row>
    <row r="730" spans="2:12" outlineLevel="2">
      <c r="B730" s="40">
        <f t="shared" si="24"/>
        <v>267</v>
      </c>
      <c r="C730" s="41" t="s">
        <v>9</v>
      </c>
      <c r="D730" s="41"/>
      <c r="E730" s="41"/>
      <c r="F730" s="41"/>
      <c r="G730" s="41"/>
      <c r="H730" s="41"/>
      <c r="I730" s="42"/>
      <c r="J730" s="41"/>
      <c r="K730" s="41"/>
      <c r="L730" s="43"/>
    </row>
    <row r="731" spans="2:12" outlineLevel="2">
      <c r="B731" s="40">
        <f t="shared" si="24"/>
        <v>268</v>
      </c>
      <c r="C731" s="41" t="s">
        <v>9</v>
      </c>
      <c r="D731" s="41"/>
      <c r="E731" s="41"/>
      <c r="F731" s="41"/>
      <c r="G731" s="41"/>
      <c r="H731" s="41"/>
      <c r="I731" s="42"/>
      <c r="J731" s="41"/>
      <c r="K731" s="41"/>
      <c r="L731" s="43"/>
    </row>
    <row r="732" spans="2:12" outlineLevel="2">
      <c r="B732" s="40">
        <f t="shared" si="24"/>
        <v>269</v>
      </c>
      <c r="C732" s="41" t="s">
        <v>9</v>
      </c>
      <c r="D732" s="41"/>
      <c r="E732" s="41"/>
      <c r="F732" s="41"/>
      <c r="G732" s="41"/>
      <c r="H732" s="41"/>
      <c r="I732" s="42"/>
      <c r="J732" s="41"/>
      <c r="K732" s="41"/>
      <c r="L732" s="43"/>
    </row>
    <row r="733" spans="2:12" outlineLevel="2">
      <c r="B733" s="40">
        <f t="shared" si="24"/>
        <v>270</v>
      </c>
      <c r="C733" s="41" t="s">
        <v>9</v>
      </c>
      <c r="D733" s="41"/>
      <c r="E733" s="41"/>
      <c r="F733" s="41"/>
      <c r="G733" s="41"/>
      <c r="H733" s="41"/>
      <c r="I733" s="42"/>
      <c r="J733" s="41"/>
      <c r="K733" s="41"/>
      <c r="L733" s="43"/>
    </row>
    <row r="734" spans="2:12" outlineLevel="2">
      <c r="B734" s="40">
        <f t="shared" si="24"/>
        <v>271</v>
      </c>
      <c r="C734" s="41" t="s">
        <v>9</v>
      </c>
      <c r="D734" s="41"/>
      <c r="E734" s="41"/>
      <c r="F734" s="41"/>
      <c r="G734" s="41"/>
      <c r="H734" s="41"/>
      <c r="I734" s="42"/>
      <c r="J734" s="41"/>
      <c r="K734" s="41"/>
      <c r="L734" s="43"/>
    </row>
    <row r="735" spans="2:12" outlineLevel="2">
      <c r="B735" s="40">
        <f t="shared" si="24"/>
        <v>272</v>
      </c>
      <c r="C735" s="41" t="s">
        <v>9</v>
      </c>
      <c r="D735" s="41"/>
      <c r="E735" s="41"/>
      <c r="F735" s="41"/>
      <c r="G735" s="41"/>
      <c r="H735" s="41"/>
      <c r="I735" s="42"/>
      <c r="J735" s="41"/>
      <c r="K735" s="41"/>
      <c r="L735" s="43"/>
    </row>
    <row r="736" spans="2:12" outlineLevel="2">
      <c r="B736" s="40">
        <f t="shared" si="24"/>
        <v>273</v>
      </c>
      <c r="C736" s="41" t="s">
        <v>9</v>
      </c>
      <c r="D736" s="41"/>
      <c r="E736" s="41"/>
      <c r="F736" s="41"/>
      <c r="G736" s="41"/>
      <c r="H736" s="41"/>
      <c r="I736" s="42"/>
      <c r="J736" s="41"/>
      <c r="K736" s="41"/>
      <c r="L736" s="43"/>
    </row>
    <row r="737" spans="2:12" outlineLevel="2">
      <c r="B737" s="40">
        <f t="shared" si="24"/>
        <v>274</v>
      </c>
      <c r="C737" s="41" t="s">
        <v>9</v>
      </c>
      <c r="D737" s="41"/>
      <c r="E737" s="41"/>
      <c r="F737" s="41"/>
      <c r="G737" s="41"/>
      <c r="H737" s="41"/>
      <c r="I737" s="42"/>
      <c r="J737" s="41"/>
      <c r="K737" s="41"/>
      <c r="L737" s="43"/>
    </row>
    <row r="738" spans="2:12" outlineLevel="2">
      <c r="B738" s="40">
        <f t="shared" si="24"/>
        <v>275</v>
      </c>
      <c r="C738" s="41" t="s">
        <v>9</v>
      </c>
      <c r="D738" s="41"/>
      <c r="E738" s="41"/>
      <c r="F738" s="41"/>
      <c r="G738" s="41"/>
      <c r="H738" s="41"/>
      <c r="I738" s="42"/>
      <c r="J738" s="41"/>
      <c r="K738" s="41"/>
      <c r="L738" s="43"/>
    </row>
    <row r="739" spans="2:12" outlineLevel="2">
      <c r="B739" s="40">
        <f t="shared" si="24"/>
        <v>276</v>
      </c>
      <c r="C739" s="41" t="s">
        <v>9</v>
      </c>
      <c r="D739" s="41"/>
      <c r="E739" s="41"/>
      <c r="F739" s="41"/>
      <c r="G739" s="41"/>
      <c r="H739" s="41"/>
      <c r="I739" s="42"/>
      <c r="J739" s="41"/>
      <c r="K739" s="41"/>
      <c r="L739" s="43"/>
    </row>
    <row r="740" spans="2:12" outlineLevel="2">
      <c r="B740" s="40">
        <f t="shared" si="24"/>
        <v>277</v>
      </c>
      <c r="C740" s="41" t="s">
        <v>9</v>
      </c>
      <c r="D740" s="41"/>
      <c r="E740" s="41"/>
      <c r="F740" s="41"/>
      <c r="G740" s="41"/>
      <c r="H740" s="41"/>
      <c r="I740" s="42"/>
      <c r="J740" s="41"/>
      <c r="K740" s="41"/>
      <c r="L740" s="43"/>
    </row>
    <row r="741" spans="2:12" outlineLevel="2">
      <c r="B741" s="40">
        <f t="shared" si="24"/>
        <v>278</v>
      </c>
      <c r="C741" s="41" t="s">
        <v>9</v>
      </c>
      <c r="D741" s="41"/>
      <c r="E741" s="41"/>
      <c r="F741" s="41"/>
      <c r="G741" s="41"/>
      <c r="H741" s="41"/>
      <c r="I741" s="42"/>
      <c r="J741" s="41"/>
      <c r="K741" s="41"/>
      <c r="L741" s="43"/>
    </row>
    <row r="742" spans="2:12" outlineLevel="2">
      <c r="B742" s="40">
        <f t="shared" si="24"/>
        <v>279</v>
      </c>
      <c r="C742" s="41" t="s">
        <v>9</v>
      </c>
      <c r="D742" s="41"/>
      <c r="E742" s="41"/>
      <c r="F742" s="41"/>
      <c r="G742" s="41"/>
      <c r="H742" s="41"/>
      <c r="I742" s="42"/>
      <c r="J742" s="41"/>
      <c r="K742" s="41"/>
      <c r="L742" s="43"/>
    </row>
    <row r="743" spans="2:12" outlineLevel="2">
      <c r="B743" s="40">
        <f t="shared" si="24"/>
        <v>280</v>
      </c>
      <c r="C743" s="41" t="s">
        <v>9</v>
      </c>
      <c r="D743" s="41"/>
      <c r="E743" s="41"/>
      <c r="F743" s="41"/>
      <c r="G743" s="41"/>
      <c r="H743" s="41"/>
      <c r="I743" s="42"/>
      <c r="J743" s="41"/>
      <c r="K743" s="41"/>
      <c r="L743" s="43"/>
    </row>
    <row r="744" spans="2:12" outlineLevel="2">
      <c r="B744" s="40">
        <f t="shared" si="24"/>
        <v>281</v>
      </c>
      <c r="C744" s="41" t="s">
        <v>9</v>
      </c>
      <c r="D744" s="41"/>
      <c r="E744" s="41"/>
      <c r="F744" s="41"/>
      <c r="G744" s="41"/>
      <c r="H744" s="41"/>
      <c r="I744" s="42"/>
      <c r="J744" s="41"/>
      <c r="K744" s="41"/>
      <c r="L744" s="43"/>
    </row>
    <row r="745" spans="2:12" outlineLevel="2">
      <c r="B745" s="40">
        <f t="shared" si="24"/>
        <v>282</v>
      </c>
      <c r="C745" s="41" t="s">
        <v>9</v>
      </c>
      <c r="D745" s="41"/>
      <c r="E745" s="41"/>
      <c r="F745" s="41"/>
      <c r="G745" s="41"/>
      <c r="H745" s="41"/>
      <c r="I745" s="42"/>
      <c r="J745" s="41"/>
      <c r="K745" s="41"/>
      <c r="L745" s="43"/>
    </row>
    <row r="746" spans="2:12" outlineLevel="2">
      <c r="B746" s="40">
        <f t="shared" si="24"/>
        <v>283</v>
      </c>
      <c r="C746" s="41" t="s">
        <v>9</v>
      </c>
      <c r="D746" s="41"/>
      <c r="E746" s="41"/>
      <c r="F746" s="41"/>
      <c r="G746" s="41"/>
      <c r="H746" s="41"/>
      <c r="I746" s="42"/>
      <c r="J746" s="41"/>
      <c r="K746" s="41"/>
      <c r="L746" s="43"/>
    </row>
    <row r="747" spans="2:12" outlineLevel="2">
      <c r="B747" s="40">
        <f t="shared" si="24"/>
        <v>284</v>
      </c>
      <c r="C747" s="41" t="s">
        <v>9</v>
      </c>
      <c r="D747" s="41"/>
      <c r="E747" s="41"/>
      <c r="F747" s="41"/>
      <c r="G747" s="41"/>
      <c r="H747" s="41"/>
      <c r="I747" s="42"/>
      <c r="J747" s="41"/>
      <c r="K747" s="41"/>
      <c r="L747" s="43"/>
    </row>
    <row r="748" spans="2:12" outlineLevel="2">
      <c r="B748" s="40">
        <f t="shared" si="24"/>
        <v>285</v>
      </c>
      <c r="C748" s="41" t="s">
        <v>9</v>
      </c>
      <c r="D748" s="41"/>
      <c r="E748" s="41"/>
      <c r="F748" s="41"/>
      <c r="G748" s="41"/>
      <c r="H748" s="41"/>
      <c r="I748" s="42"/>
      <c r="J748" s="41"/>
      <c r="K748" s="41"/>
      <c r="L748" s="43"/>
    </row>
    <row r="749" spans="2:12" outlineLevel="2">
      <c r="B749" s="40">
        <f t="shared" si="24"/>
        <v>286</v>
      </c>
      <c r="C749" s="41" t="s">
        <v>9</v>
      </c>
      <c r="D749" s="41"/>
      <c r="E749" s="41"/>
      <c r="F749" s="41"/>
      <c r="G749" s="41"/>
      <c r="H749" s="41"/>
      <c r="I749" s="42"/>
      <c r="J749" s="41"/>
      <c r="K749" s="41"/>
      <c r="L749" s="43"/>
    </row>
    <row r="750" spans="2:12" outlineLevel="2">
      <c r="B750" s="40">
        <f t="shared" si="24"/>
        <v>287</v>
      </c>
      <c r="C750" s="41" t="s">
        <v>9</v>
      </c>
      <c r="D750" s="41"/>
      <c r="E750" s="41"/>
      <c r="F750" s="41"/>
      <c r="G750" s="41"/>
      <c r="H750" s="41"/>
      <c r="I750" s="42"/>
      <c r="J750" s="41"/>
      <c r="K750" s="41"/>
      <c r="L750" s="43"/>
    </row>
    <row r="751" spans="2:12" outlineLevel="2">
      <c r="B751" s="40">
        <f t="shared" si="24"/>
        <v>288</v>
      </c>
      <c r="C751" s="41" t="s">
        <v>9</v>
      </c>
      <c r="D751" s="41"/>
      <c r="E751" s="41"/>
      <c r="F751" s="41"/>
      <c r="G751" s="41"/>
      <c r="H751" s="41"/>
      <c r="I751" s="42"/>
      <c r="J751" s="41"/>
      <c r="K751" s="41"/>
      <c r="L751" s="43"/>
    </row>
    <row r="752" spans="2:12" outlineLevel="2">
      <c r="B752" s="40">
        <f t="shared" si="24"/>
        <v>289</v>
      </c>
      <c r="C752" s="41" t="s">
        <v>9</v>
      </c>
      <c r="D752" s="41"/>
      <c r="E752" s="41"/>
      <c r="F752" s="41"/>
      <c r="G752" s="41"/>
      <c r="H752" s="41"/>
      <c r="I752" s="42"/>
      <c r="J752" s="41"/>
      <c r="K752" s="41"/>
      <c r="L752" s="43"/>
    </row>
    <row r="753" spans="2:12" outlineLevel="2">
      <c r="B753" s="40">
        <f t="shared" si="24"/>
        <v>290</v>
      </c>
      <c r="C753" s="41" t="s">
        <v>9</v>
      </c>
      <c r="D753" s="41"/>
      <c r="E753" s="41"/>
      <c r="F753" s="41"/>
      <c r="G753" s="41"/>
      <c r="H753" s="41"/>
      <c r="I753" s="42"/>
      <c r="J753" s="41"/>
      <c r="K753" s="41"/>
      <c r="L753" s="43"/>
    </row>
    <row r="754" spans="2:12" outlineLevel="2">
      <c r="B754" s="40">
        <f t="shared" si="24"/>
        <v>291</v>
      </c>
      <c r="C754" s="41" t="s">
        <v>9</v>
      </c>
      <c r="D754" s="41"/>
      <c r="E754" s="41"/>
      <c r="F754" s="41"/>
      <c r="G754" s="41"/>
      <c r="H754" s="41"/>
      <c r="I754" s="42"/>
      <c r="J754" s="41"/>
      <c r="K754" s="41"/>
      <c r="L754" s="43"/>
    </row>
    <row r="755" spans="2:12" outlineLevel="2">
      <c r="B755" s="40">
        <f t="shared" si="24"/>
        <v>292</v>
      </c>
      <c r="C755" s="41" t="s">
        <v>9</v>
      </c>
      <c r="D755" s="41"/>
      <c r="E755" s="41"/>
      <c r="F755" s="41"/>
      <c r="G755" s="41"/>
      <c r="H755" s="41"/>
      <c r="I755" s="42"/>
      <c r="J755" s="41"/>
      <c r="K755" s="41"/>
      <c r="L755" s="43"/>
    </row>
    <row r="756" spans="2:12" outlineLevel="2">
      <c r="B756" s="40">
        <f t="shared" ref="B756:B819" si="25">ROW(A293)</f>
        <v>293</v>
      </c>
      <c r="C756" s="41" t="s">
        <v>9</v>
      </c>
      <c r="D756" s="41"/>
      <c r="E756" s="41"/>
      <c r="F756" s="41"/>
      <c r="G756" s="41"/>
      <c r="H756" s="41"/>
      <c r="I756" s="42"/>
      <c r="J756" s="41"/>
      <c r="K756" s="41"/>
      <c r="L756" s="43"/>
    </row>
    <row r="757" spans="2:12" outlineLevel="2">
      <c r="B757" s="40">
        <f t="shared" si="25"/>
        <v>294</v>
      </c>
      <c r="C757" s="41" t="s">
        <v>9</v>
      </c>
      <c r="D757" s="41"/>
      <c r="E757" s="41"/>
      <c r="F757" s="41"/>
      <c r="G757" s="41"/>
      <c r="H757" s="41"/>
      <c r="I757" s="42"/>
      <c r="J757" s="41"/>
      <c r="K757" s="41"/>
      <c r="L757" s="43"/>
    </row>
    <row r="758" spans="2:12" outlineLevel="2">
      <c r="B758" s="40">
        <f t="shared" si="25"/>
        <v>295</v>
      </c>
      <c r="C758" s="41" t="s">
        <v>9</v>
      </c>
      <c r="D758" s="41"/>
      <c r="E758" s="41"/>
      <c r="F758" s="41"/>
      <c r="G758" s="41"/>
      <c r="H758" s="41"/>
      <c r="I758" s="42"/>
      <c r="J758" s="41"/>
      <c r="K758" s="41"/>
      <c r="L758" s="43"/>
    </row>
    <row r="759" spans="2:12" outlineLevel="2">
      <c r="B759" s="40">
        <f t="shared" si="25"/>
        <v>296</v>
      </c>
      <c r="C759" s="41" t="s">
        <v>9</v>
      </c>
      <c r="D759" s="41"/>
      <c r="E759" s="41"/>
      <c r="F759" s="41"/>
      <c r="G759" s="41"/>
      <c r="H759" s="41"/>
      <c r="I759" s="42"/>
      <c r="J759" s="41"/>
      <c r="K759" s="41"/>
      <c r="L759" s="43"/>
    </row>
    <row r="760" spans="2:12" outlineLevel="2">
      <c r="B760" s="40">
        <f t="shared" si="25"/>
        <v>297</v>
      </c>
      <c r="C760" s="41" t="s">
        <v>9</v>
      </c>
      <c r="D760" s="41"/>
      <c r="E760" s="41"/>
      <c r="F760" s="41"/>
      <c r="G760" s="41"/>
      <c r="H760" s="41"/>
      <c r="I760" s="42"/>
      <c r="J760" s="41"/>
      <c r="K760" s="41"/>
      <c r="L760" s="43"/>
    </row>
    <row r="761" spans="2:12" outlineLevel="2">
      <c r="B761" s="40">
        <f t="shared" si="25"/>
        <v>298</v>
      </c>
      <c r="C761" s="41" t="s">
        <v>9</v>
      </c>
      <c r="D761" s="41"/>
      <c r="E761" s="41"/>
      <c r="F761" s="41"/>
      <c r="G761" s="41"/>
      <c r="H761" s="41"/>
      <c r="I761" s="42"/>
      <c r="J761" s="41"/>
      <c r="K761" s="41"/>
      <c r="L761" s="43"/>
    </row>
    <row r="762" spans="2:12" outlineLevel="2">
      <c r="B762" s="40">
        <f t="shared" si="25"/>
        <v>299</v>
      </c>
      <c r="C762" s="41" t="s">
        <v>9</v>
      </c>
      <c r="D762" s="41"/>
      <c r="E762" s="41"/>
      <c r="F762" s="41"/>
      <c r="G762" s="41"/>
      <c r="H762" s="41"/>
      <c r="I762" s="42"/>
      <c r="J762" s="41"/>
      <c r="K762" s="41"/>
      <c r="L762" s="43"/>
    </row>
    <row r="763" spans="2:12" outlineLevel="2">
      <c r="B763" s="40">
        <f t="shared" si="25"/>
        <v>300</v>
      </c>
      <c r="C763" s="41" t="s">
        <v>9</v>
      </c>
      <c r="D763" s="41"/>
      <c r="E763" s="41"/>
      <c r="F763" s="41"/>
      <c r="G763" s="41"/>
      <c r="H763" s="41"/>
      <c r="I763" s="42"/>
      <c r="J763" s="41"/>
      <c r="K763" s="41"/>
      <c r="L763" s="43"/>
    </row>
    <row r="764" spans="2:12" outlineLevel="2">
      <c r="B764" s="40">
        <f t="shared" si="25"/>
        <v>301</v>
      </c>
      <c r="C764" s="41" t="s">
        <v>9</v>
      </c>
      <c r="D764" s="41"/>
      <c r="E764" s="41"/>
      <c r="F764" s="41"/>
      <c r="G764" s="41"/>
      <c r="H764" s="41"/>
      <c r="I764" s="42"/>
      <c r="J764" s="41"/>
      <c r="K764" s="41"/>
      <c r="L764" s="43"/>
    </row>
    <row r="765" spans="2:12" outlineLevel="2">
      <c r="B765" s="40">
        <f t="shared" si="25"/>
        <v>302</v>
      </c>
      <c r="C765" s="41" t="s">
        <v>9</v>
      </c>
      <c r="D765" s="41"/>
      <c r="E765" s="41"/>
      <c r="F765" s="41"/>
      <c r="G765" s="41"/>
      <c r="H765" s="41"/>
      <c r="I765" s="42"/>
      <c r="J765" s="41"/>
      <c r="K765" s="41"/>
      <c r="L765" s="43"/>
    </row>
    <row r="766" spans="2:12" outlineLevel="2">
      <c r="B766" s="40">
        <f t="shared" si="25"/>
        <v>303</v>
      </c>
      <c r="C766" s="41" t="s">
        <v>9</v>
      </c>
      <c r="D766" s="41"/>
      <c r="E766" s="41"/>
      <c r="F766" s="41"/>
      <c r="G766" s="41"/>
      <c r="H766" s="41"/>
      <c r="I766" s="42"/>
      <c r="J766" s="41"/>
      <c r="K766" s="41"/>
      <c r="L766" s="43"/>
    </row>
    <row r="767" spans="2:12" outlineLevel="2">
      <c r="B767" s="40">
        <f t="shared" si="25"/>
        <v>304</v>
      </c>
      <c r="C767" s="41" t="s">
        <v>9</v>
      </c>
      <c r="D767" s="41"/>
      <c r="E767" s="41"/>
      <c r="F767" s="41"/>
      <c r="G767" s="41"/>
      <c r="H767" s="41"/>
      <c r="I767" s="42"/>
      <c r="J767" s="41"/>
      <c r="K767" s="41"/>
      <c r="L767" s="43"/>
    </row>
    <row r="768" spans="2:12" outlineLevel="2">
      <c r="B768" s="40">
        <f t="shared" si="25"/>
        <v>305</v>
      </c>
      <c r="C768" s="41" t="s">
        <v>9</v>
      </c>
      <c r="D768" s="41"/>
      <c r="E768" s="41"/>
      <c r="F768" s="41"/>
      <c r="G768" s="41"/>
      <c r="H768" s="41"/>
      <c r="I768" s="42"/>
      <c r="J768" s="41"/>
      <c r="K768" s="41"/>
      <c r="L768" s="43"/>
    </row>
    <row r="769" spans="2:12" outlineLevel="2">
      <c r="B769" s="40">
        <f t="shared" si="25"/>
        <v>306</v>
      </c>
      <c r="C769" s="41" t="s">
        <v>9</v>
      </c>
      <c r="D769" s="41"/>
      <c r="E769" s="41"/>
      <c r="F769" s="41"/>
      <c r="G769" s="41"/>
      <c r="H769" s="41"/>
      <c r="I769" s="42"/>
      <c r="J769" s="41"/>
      <c r="K769" s="41"/>
      <c r="L769" s="43"/>
    </row>
    <row r="770" spans="2:12" outlineLevel="2">
      <c r="B770" s="40">
        <f t="shared" si="25"/>
        <v>307</v>
      </c>
      <c r="C770" s="41" t="s">
        <v>9</v>
      </c>
      <c r="D770" s="41"/>
      <c r="E770" s="41"/>
      <c r="F770" s="41"/>
      <c r="G770" s="41"/>
      <c r="H770" s="41"/>
      <c r="I770" s="42"/>
      <c r="J770" s="41"/>
      <c r="K770" s="41"/>
      <c r="L770" s="43"/>
    </row>
    <row r="771" spans="2:12" outlineLevel="2">
      <c r="B771" s="40">
        <f t="shared" si="25"/>
        <v>308</v>
      </c>
      <c r="C771" s="41" t="s">
        <v>9</v>
      </c>
      <c r="D771" s="41"/>
      <c r="E771" s="41"/>
      <c r="F771" s="41"/>
      <c r="G771" s="41"/>
      <c r="H771" s="41"/>
      <c r="I771" s="42"/>
      <c r="J771" s="41"/>
      <c r="K771" s="41"/>
      <c r="L771" s="43"/>
    </row>
    <row r="772" spans="2:12" outlineLevel="2">
      <c r="B772" s="40">
        <f t="shared" si="25"/>
        <v>309</v>
      </c>
      <c r="C772" s="41" t="s">
        <v>9</v>
      </c>
      <c r="D772" s="41"/>
      <c r="E772" s="41"/>
      <c r="F772" s="41"/>
      <c r="G772" s="41"/>
      <c r="H772" s="41"/>
      <c r="I772" s="42"/>
      <c r="J772" s="41"/>
      <c r="K772" s="41"/>
      <c r="L772" s="43"/>
    </row>
    <row r="773" spans="2:12" outlineLevel="2">
      <c r="B773" s="40">
        <f t="shared" si="25"/>
        <v>310</v>
      </c>
      <c r="C773" s="41" t="s">
        <v>9</v>
      </c>
      <c r="D773" s="41"/>
      <c r="E773" s="41"/>
      <c r="F773" s="41"/>
      <c r="G773" s="41"/>
      <c r="H773" s="41"/>
      <c r="I773" s="42"/>
      <c r="J773" s="41"/>
      <c r="K773" s="41"/>
      <c r="L773" s="43"/>
    </row>
    <row r="774" spans="2:12" outlineLevel="2">
      <c r="B774" s="40">
        <f t="shared" si="25"/>
        <v>311</v>
      </c>
      <c r="C774" s="41" t="s">
        <v>9</v>
      </c>
      <c r="D774" s="41"/>
      <c r="E774" s="41"/>
      <c r="F774" s="41"/>
      <c r="G774" s="41"/>
      <c r="H774" s="41"/>
      <c r="I774" s="42"/>
      <c r="J774" s="41"/>
      <c r="K774" s="41"/>
      <c r="L774" s="43"/>
    </row>
    <row r="775" spans="2:12" outlineLevel="2">
      <c r="B775" s="40">
        <f t="shared" si="25"/>
        <v>312</v>
      </c>
      <c r="C775" s="41" t="s">
        <v>9</v>
      </c>
      <c r="D775" s="41"/>
      <c r="E775" s="41"/>
      <c r="F775" s="41"/>
      <c r="G775" s="41"/>
      <c r="H775" s="41"/>
      <c r="I775" s="42"/>
      <c r="J775" s="41"/>
      <c r="K775" s="41"/>
      <c r="L775" s="43"/>
    </row>
    <row r="776" spans="2:12" outlineLevel="2">
      <c r="B776" s="40">
        <f t="shared" si="25"/>
        <v>313</v>
      </c>
      <c r="C776" s="41" t="s">
        <v>9</v>
      </c>
      <c r="D776" s="41"/>
      <c r="E776" s="41"/>
      <c r="F776" s="41"/>
      <c r="G776" s="41"/>
      <c r="H776" s="41"/>
      <c r="I776" s="42"/>
      <c r="J776" s="41"/>
      <c r="K776" s="41"/>
      <c r="L776" s="43"/>
    </row>
    <row r="777" spans="2:12" outlineLevel="2">
      <c r="B777" s="40">
        <f t="shared" si="25"/>
        <v>314</v>
      </c>
      <c r="C777" s="41" t="s">
        <v>9</v>
      </c>
      <c r="D777" s="41"/>
      <c r="E777" s="41"/>
      <c r="F777" s="41"/>
      <c r="G777" s="41"/>
      <c r="H777" s="41"/>
      <c r="I777" s="42"/>
      <c r="J777" s="41"/>
      <c r="K777" s="41"/>
      <c r="L777" s="43"/>
    </row>
    <row r="778" spans="2:12" outlineLevel="2">
      <c r="B778" s="40">
        <f t="shared" si="25"/>
        <v>315</v>
      </c>
      <c r="C778" s="41" t="s">
        <v>9</v>
      </c>
      <c r="D778" s="41"/>
      <c r="E778" s="41"/>
      <c r="F778" s="41"/>
      <c r="G778" s="41"/>
      <c r="H778" s="41"/>
      <c r="I778" s="42"/>
      <c r="J778" s="41"/>
      <c r="K778" s="41"/>
      <c r="L778" s="43"/>
    </row>
    <row r="779" spans="2:12" outlineLevel="2">
      <c r="B779" s="40">
        <f t="shared" si="25"/>
        <v>316</v>
      </c>
      <c r="C779" s="41" t="s">
        <v>9</v>
      </c>
      <c r="D779" s="41"/>
      <c r="E779" s="41"/>
      <c r="F779" s="41"/>
      <c r="G779" s="41"/>
      <c r="H779" s="41"/>
      <c r="I779" s="42"/>
      <c r="J779" s="41"/>
      <c r="K779" s="41"/>
      <c r="L779" s="43"/>
    </row>
    <row r="780" spans="2:12" outlineLevel="2">
      <c r="B780" s="40">
        <f t="shared" si="25"/>
        <v>317</v>
      </c>
      <c r="C780" s="41" t="s">
        <v>9</v>
      </c>
      <c r="D780" s="41"/>
      <c r="E780" s="41"/>
      <c r="F780" s="41"/>
      <c r="G780" s="41"/>
      <c r="H780" s="41"/>
      <c r="I780" s="42"/>
      <c r="J780" s="41"/>
      <c r="K780" s="41"/>
      <c r="L780" s="43"/>
    </row>
    <row r="781" spans="2:12" outlineLevel="2">
      <c r="B781" s="40">
        <f t="shared" si="25"/>
        <v>318</v>
      </c>
      <c r="C781" s="41" t="s">
        <v>9</v>
      </c>
      <c r="D781" s="41"/>
      <c r="E781" s="41"/>
      <c r="F781" s="41"/>
      <c r="G781" s="41"/>
      <c r="H781" s="41"/>
      <c r="I781" s="42"/>
      <c r="J781" s="41"/>
      <c r="K781" s="41"/>
      <c r="L781" s="43"/>
    </row>
    <row r="782" spans="2:12" outlineLevel="2">
      <c r="B782" s="40">
        <f t="shared" si="25"/>
        <v>319</v>
      </c>
      <c r="C782" s="41" t="s">
        <v>9</v>
      </c>
      <c r="D782" s="41"/>
      <c r="E782" s="41"/>
      <c r="F782" s="41"/>
      <c r="G782" s="41"/>
      <c r="H782" s="41"/>
      <c r="I782" s="42"/>
      <c r="J782" s="41"/>
      <c r="K782" s="41"/>
      <c r="L782" s="43"/>
    </row>
    <row r="783" spans="2:12" outlineLevel="2">
      <c r="B783" s="40">
        <f t="shared" si="25"/>
        <v>320</v>
      </c>
      <c r="C783" s="41" t="s">
        <v>9</v>
      </c>
      <c r="D783" s="41"/>
      <c r="E783" s="41"/>
      <c r="F783" s="41"/>
      <c r="G783" s="41"/>
      <c r="H783" s="41"/>
      <c r="I783" s="42"/>
      <c r="J783" s="41"/>
      <c r="K783" s="41"/>
      <c r="L783" s="43"/>
    </row>
    <row r="784" spans="2:12" outlineLevel="2">
      <c r="B784" s="40">
        <f t="shared" si="25"/>
        <v>321</v>
      </c>
      <c r="C784" s="41" t="s">
        <v>9</v>
      </c>
      <c r="D784" s="41"/>
      <c r="E784" s="41"/>
      <c r="F784" s="41"/>
      <c r="G784" s="41"/>
      <c r="H784" s="41"/>
      <c r="I784" s="42"/>
      <c r="J784" s="41"/>
      <c r="K784" s="41"/>
      <c r="L784" s="43"/>
    </row>
    <row r="785" spans="2:12" outlineLevel="2">
      <c r="B785" s="40">
        <f t="shared" si="25"/>
        <v>322</v>
      </c>
      <c r="C785" s="41" t="s">
        <v>9</v>
      </c>
      <c r="D785" s="41"/>
      <c r="E785" s="41"/>
      <c r="F785" s="41"/>
      <c r="G785" s="41"/>
      <c r="H785" s="41"/>
      <c r="I785" s="42"/>
      <c r="J785" s="41"/>
      <c r="K785" s="41"/>
      <c r="L785" s="43"/>
    </row>
    <row r="786" spans="2:12" outlineLevel="2">
      <c r="B786" s="40">
        <f t="shared" si="25"/>
        <v>323</v>
      </c>
      <c r="C786" s="41" t="s">
        <v>9</v>
      </c>
      <c r="D786" s="41"/>
      <c r="E786" s="41"/>
      <c r="F786" s="41"/>
      <c r="G786" s="41"/>
      <c r="H786" s="41"/>
      <c r="I786" s="42"/>
      <c r="J786" s="41"/>
      <c r="K786" s="41"/>
      <c r="L786" s="43"/>
    </row>
    <row r="787" spans="2:12" outlineLevel="2">
      <c r="B787" s="40">
        <f t="shared" si="25"/>
        <v>324</v>
      </c>
      <c r="C787" s="41" t="s">
        <v>9</v>
      </c>
      <c r="D787" s="41"/>
      <c r="E787" s="41"/>
      <c r="F787" s="41"/>
      <c r="G787" s="41"/>
      <c r="H787" s="41"/>
      <c r="I787" s="42"/>
      <c r="J787" s="41"/>
      <c r="K787" s="41"/>
      <c r="L787" s="43"/>
    </row>
    <row r="788" spans="2:12" outlineLevel="2">
      <c r="B788" s="40">
        <f t="shared" si="25"/>
        <v>325</v>
      </c>
      <c r="C788" s="41" t="s">
        <v>9</v>
      </c>
      <c r="D788" s="41"/>
      <c r="E788" s="41"/>
      <c r="F788" s="41"/>
      <c r="G788" s="41"/>
      <c r="H788" s="41"/>
      <c r="I788" s="42"/>
      <c r="J788" s="41"/>
      <c r="K788" s="41"/>
      <c r="L788" s="43"/>
    </row>
    <row r="789" spans="2:12" outlineLevel="2">
      <c r="B789" s="40">
        <f t="shared" si="25"/>
        <v>326</v>
      </c>
      <c r="C789" s="41" t="s">
        <v>9</v>
      </c>
      <c r="D789" s="41"/>
      <c r="E789" s="41"/>
      <c r="F789" s="41"/>
      <c r="G789" s="41"/>
      <c r="H789" s="41"/>
      <c r="I789" s="42"/>
      <c r="J789" s="41"/>
      <c r="K789" s="41"/>
      <c r="L789" s="43"/>
    </row>
    <row r="790" spans="2:12" outlineLevel="2">
      <c r="B790" s="40">
        <f t="shared" si="25"/>
        <v>327</v>
      </c>
      <c r="C790" s="41" t="s">
        <v>9</v>
      </c>
      <c r="D790" s="41"/>
      <c r="E790" s="41"/>
      <c r="F790" s="41"/>
      <c r="G790" s="41"/>
      <c r="H790" s="41"/>
      <c r="I790" s="42"/>
      <c r="J790" s="41"/>
      <c r="K790" s="41"/>
      <c r="L790" s="43"/>
    </row>
    <row r="791" spans="2:12" outlineLevel="2">
      <c r="B791" s="40">
        <f t="shared" si="25"/>
        <v>328</v>
      </c>
      <c r="C791" s="41" t="s">
        <v>9</v>
      </c>
      <c r="D791" s="41"/>
      <c r="E791" s="41"/>
      <c r="F791" s="41"/>
      <c r="G791" s="41"/>
      <c r="H791" s="41"/>
      <c r="I791" s="42"/>
      <c r="J791" s="41"/>
      <c r="K791" s="41"/>
      <c r="L791" s="43"/>
    </row>
    <row r="792" spans="2:12" outlineLevel="2">
      <c r="B792" s="40">
        <f t="shared" si="25"/>
        <v>329</v>
      </c>
      <c r="C792" s="41" t="s">
        <v>9</v>
      </c>
      <c r="D792" s="41"/>
      <c r="E792" s="41"/>
      <c r="F792" s="41"/>
      <c r="G792" s="41"/>
      <c r="H792" s="41"/>
      <c r="I792" s="42"/>
      <c r="J792" s="41"/>
      <c r="K792" s="41"/>
      <c r="L792" s="43"/>
    </row>
    <row r="793" spans="2:12" outlineLevel="2">
      <c r="B793" s="40">
        <f t="shared" si="25"/>
        <v>330</v>
      </c>
      <c r="C793" s="41" t="s">
        <v>9</v>
      </c>
      <c r="D793" s="41"/>
      <c r="E793" s="41"/>
      <c r="F793" s="41"/>
      <c r="G793" s="41"/>
      <c r="H793" s="41"/>
      <c r="I793" s="42"/>
      <c r="J793" s="41"/>
      <c r="K793" s="41"/>
      <c r="L793" s="43"/>
    </row>
    <row r="794" spans="2:12" outlineLevel="2">
      <c r="B794" s="40">
        <f t="shared" si="25"/>
        <v>331</v>
      </c>
      <c r="C794" s="41" t="s">
        <v>9</v>
      </c>
      <c r="D794" s="41"/>
      <c r="E794" s="41"/>
      <c r="F794" s="41"/>
      <c r="G794" s="41"/>
      <c r="H794" s="41"/>
      <c r="I794" s="42"/>
      <c r="J794" s="41"/>
      <c r="K794" s="41"/>
      <c r="L794" s="43"/>
    </row>
    <row r="795" spans="2:12" outlineLevel="2">
      <c r="B795" s="40">
        <f t="shared" si="25"/>
        <v>332</v>
      </c>
      <c r="C795" s="41" t="s">
        <v>9</v>
      </c>
      <c r="D795" s="41"/>
      <c r="E795" s="41"/>
      <c r="F795" s="41"/>
      <c r="G795" s="41"/>
      <c r="H795" s="41"/>
      <c r="I795" s="42"/>
      <c r="J795" s="41"/>
      <c r="K795" s="41"/>
      <c r="L795" s="43"/>
    </row>
    <row r="796" spans="2:12" outlineLevel="2">
      <c r="B796" s="40">
        <f t="shared" si="25"/>
        <v>333</v>
      </c>
      <c r="C796" s="41" t="s">
        <v>9</v>
      </c>
      <c r="D796" s="41"/>
      <c r="E796" s="41"/>
      <c r="F796" s="41"/>
      <c r="G796" s="41"/>
      <c r="H796" s="41"/>
      <c r="I796" s="42"/>
      <c r="J796" s="41"/>
      <c r="K796" s="41"/>
      <c r="L796" s="43"/>
    </row>
    <row r="797" spans="2:12" outlineLevel="2">
      <c r="B797" s="40">
        <f t="shared" si="25"/>
        <v>334</v>
      </c>
      <c r="C797" s="41" t="s">
        <v>9</v>
      </c>
      <c r="D797" s="41"/>
      <c r="E797" s="41"/>
      <c r="F797" s="41"/>
      <c r="G797" s="41"/>
      <c r="H797" s="41"/>
      <c r="I797" s="42"/>
      <c r="J797" s="41"/>
      <c r="K797" s="41"/>
      <c r="L797" s="43"/>
    </row>
    <row r="798" spans="2:12" outlineLevel="2">
      <c r="B798" s="40">
        <f t="shared" si="25"/>
        <v>335</v>
      </c>
      <c r="C798" s="41" t="s">
        <v>9</v>
      </c>
      <c r="D798" s="41"/>
      <c r="E798" s="41"/>
      <c r="F798" s="41"/>
      <c r="G798" s="41"/>
      <c r="H798" s="41"/>
      <c r="I798" s="42"/>
      <c r="J798" s="41"/>
      <c r="K798" s="41"/>
      <c r="L798" s="43"/>
    </row>
    <row r="799" spans="2:12" outlineLevel="2">
      <c r="B799" s="40">
        <f t="shared" si="25"/>
        <v>336</v>
      </c>
      <c r="C799" s="41" t="s">
        <v>9</v>
      </c>
      <c r="D799" s="41"/>
      <c r="E799" s="41"/>
      <c r="F799" s="41"/>
      <c r="G799" s="41"/>
      <c r="H799" s="41"/>
      <c r="I799" s="42"/>
      <c r="J799" s="41"/>
      <c r="K799" s="41"/>
      <c r="L799" s="43"/>
    </row>
    <row r="800" spans="2:12" outlineLevel="2">
      <c r="B800" s="40">
        <f t="shared" si="25"/>
        <v>337</v>
      </c>
      <c r="C800" s="41" t="s">
        <v>9</v>
      </c>
      <c r="D800" s="41"/>
      <c r="E800" s="41"/>
      <c r="F800" s="41"/>
      <c r="G800" s="41"/>
      <c r="H800" s="41"/>
      <c r="I800" s="42"/>
      <c r="J800" s="41"/>
      <c r="K800" s="41"/>
      <c r="L800" s="43"/>
    </row>
    <row r="801" spans="2:12" outlineLevel="2">
      <c r="B801" s="40">
        <f t="shared" si="25"/>
        <v>338</v>
      </c>
      <c r="C801" s="41" t="s">
        <v>9</v>
      </c>
      <c r="D801" s="41"/>
      <c r="E801" s="41"/>
      <c r="F801" s="41"/>
      <c r="G801" s="41"/>
      <c r="H801" s="41"/>
      <c r="I801" s="42"/>
      <c r="J801" s="41"/>
      <c r="K801" s="41"/>
      <c r="L801" s="43"/>
    </row>
    <row r="802" spans="2:12" outlineLevel="2">
      <c r="B802" s="40">
        <f t="shared" si="25"/>
        <v>339</v>
      </c>
      <c r="C802" s="41" t="s">
        <v>9</v>
      </c>
      <c r="D802" s="41"/>
      <c r="E802" s="41"/>
      <c r="F802" s="41"/>
      <c r="G802" s="41"/>
      <c r="H802" s="41"/>
      <c r="I802" s="42"/>
      <c r="J802" s="41"/>
      <c r="K802" s="41"/>
      <c r="L802" s="43"/>
    </row>
    <row r="803" spans="2:12" outlineLevel="2">
      <c r="B803" s="40">
        <f t="shared" si="25"/>
        <v>340</v>
      </c>
      <c r="C803" s="41" t="s">
        <v>9</v>
      </c>
      <c r="D803" s="41"/>
      <c r="E803" s="41"/>
      <c r="F803" s="41"/>
      <c r="G803" s="41"/>
      <c r="H803" s="41"/>
      <c r="I803" s="42"/>
      <c r="J803" s="41"/>
      <c r="K803" s="41"/>
      <c r="L803" s="43"/>
    </row>
    <row r="804" spans="2:12" outlineLevel="2">
      <c r="B804" s="40">
        <f t="shared" si="25"/>
        <v>341</v>
      </c>
      <c r="C804" s="41" t="s">
        <v>9</v>
      </c>
      <c r="D804" s="41"/>
      <c r="E804" s="41"/>
      <c r="F804" s="41"/>
      <c r="G804" s="41"/>
      <c r="H804" s="41"/>
      <c r="I804" s="42"/>
      <c r="J804" s="41"/>
      <c r="K804" s="41"/>
      <c r="L804" s="43"/>
    </row>
    <row r="805" spans="2:12" outlineLevel="2">
      <c r="B805" s="40">
        <f t="shared" si="25"/>
        <v>342</v>
      </c>
      <c r="C805" s="41" t="s">
        <v>9</v>
      </c>
      <c r="D805" s="41"/>
      <c r="E805" s="41"/>
      <c r="F805" s="41"/>
      <c r="G805" s="41"/>
      <c r="H805" s="41"/>
      <c r="I805" s="42"/>
      <c r="J805" s="41"/>
      <c r="K805" s="41"/>
      <c r="L805" s="43"/>
    </row>
    <row r="806" spans="2:12" outlineLevel="2">
      <c r="B806" s="40">
        <f t="shared" si="25"/>
        <v>343</v>
      </c>
      <c r="C806" s="41" t="s">
        <v>9</v>
      </c>
      <c r="D806" s="41"/>
      <c r="E806" s="41"/>
      <c r="F806" s="41"/>
      <c r="G806" s="41"/>
      <c r="H806" s="41"/>
      <c r="I806" s="42"/>
      <c r="J806" s="41"/>
      <c r="K806" s="41"/>
      <c r="L806" s="43"/>
    </row>
    <row r="807" spans="2:12" outlineLevel="2">
      <c r="B807" s="40">
        <f t="shared" si="25"/>
        <v>344</v>
      </c>
      <c r="C807" s="41" t="s">
        <v>9</v>
      </c>
      <c r="D807" s="41"/>
      <c r="E807" s="41"/>
      <c r="F807" s="41"/>
      <c r="G807" s="41"/>
      <c r="H807" s="41"/>
      <c r="I807" s="42"/>
      <c r="J807" s="41"/>
      <c r="K807" s="41"/>
      <c r="L807" s="43"/>
    </row>
    <row r="808" spans="2:12" outlineLevel="2">
      <c r="B808" s="40">
        <f t="shared" si="25"/>
        <v>345</v>
      </c>
      <c r="C808" s="41" t="s">
        <v>9</v>
      </c>
      <c r="D808" s="41"/>
      <c r="E808" s="41"/>
      <c r="F808" s="41"/>
      <c r="G808" s="41"/>
      <c r="H808" s="41"/>
      <c r="I808" s="42"/>
      <c r="J808" s="41"/>
      <c r="K808" s="41"/>
      <c r="L808" s="43"/>
    </row>
    <row r="809" spans="2:12" outlineLevel="2">
      <c r="B809" s="40">
        <f t="shared" si="25"/>
        <v>346</v>
      </c>
      <c r="C809" s="41" t="s">
        <v>9</v>
      </c>
      <c r="D809" s="41"/>
      <c r="E809" s="41"/>
      <c r="F809" s="41"/>
      <c r="G809" s="41"/>
      <c r="H809" s="41"/>
      <c r="I809" s="42"/>
      <c r="J809" s="41"/>
      <c r="K809" s="41"/>
      <c r="L809" s="43"/>
    </row>
    <row r="810" spans="2:12" outlineLevel="2">
      <c r="B810" s="40">
        <f t="shared" si="25"/>
        <v>347</v>
      </c>
      <c r="C810" s="41" t="s">
        <v>9</v>
      </c>
      <c r="D810" s="41"/>
      <c r="E810" s="41"/>
      <c r="F810" s="41"/>
      <c r="G810" s="41"/>
      <c r="H810" s="41"/>
      <c r="I810" s="42"/>
      <c r="J810" s="41"/>
      <c r="K810" s="41"/>
      <c r="L810" s="43"/>
    </row>
    <row r="811" spans="2:12" outlineLevel="2">
      <c r="B811" s="40">
        <f t="shared" si="25"/>
        <v>348</v>
      </c>
      <c r="C811" s="41" t="s">
        <v>9</v>
      </c>
      <c r="D811" s="41"/>
      <c r="E811" s="41"/>
      <c r="F811" s="41"/>
      <c r="G811" s="41"/>
      <c r="H811" s="41"/>
      <c r="I811" s="42"/>
      <c r="J811" s="41"/>
      <c r="K811" s="41"/>
      <c r="L811" s="43"/>
    </row>
    <row r="812" spans="2:12" outlineLevel="2">
      <c r="B812" s="40">
        <f t="shared" si="25"/>
        <v>349</v>
      </c>
      <c r="C812" s="41" t="s">
        <v>9</v>
      </c>
      <c r="D812" s="41"/>
      <c r="E812" s="41"/>
      <c r="F812" s="41"/>
      <c r="G812" s="41"/>
      <c r="H812" s="41"/>
      <c r="I812" s="42"/>
      <c r="J812" s="41"/>
      <c r="K812" s="41"/>
      <c r="L812" s="43"/>
    </row>
    <row r="813" spans="2:12" outlineLevel="2">
      <c r="B813" s="40">
        <f t="shared" si="25"/>
        <v>350</v>
      </c>
      <c r="C813" s="41" t="s">
        <v>9</v>
      </c>
      <c r="D813" s="41"/>
      <c r="E813" s="41"/>
      <c r="F813" s="41"/>
      <c r="G813" s="41"/>
      <c r="H813" s="41"/>
      <c r="I813" s="42"/>
      <c r="J813" s="41"/>
      <c r="K813" s="41"/>
      <c r="L813" s="43"/>
    </row>
    <row r="814" spans="2:12" outlineLevel="2">
      <c r="B814" s="40">
        <f t="shared" si="25"/>
        <v>351</v>
      </c>
      <c r="C814" s="41" t="s">
        <v>9</v>
      </c>
      <c r="D814" s="41"/>
      <c r="E814" s="41"/>
      <c r="F814" s="41"/>
      <c r="G814" s="41"/>
      <c r="H814" s="41"/>
      <c r="I814" s="42"/>
      <c r="J814" s="41"/>
      <c r="K814" s="41"/>
      <c r="L814" s="43"/>
    </row>
    <row r="815" spans="2:12" outlineLevel="2">
      <c r="B815" s="40">
        <f t="shared" si="25"/>
        <v>352</v>
      </c>
      <c r="C815" s="41" t="s">
        <v>9</v>
      </c>
      <c r="D815" s="41"/>
      <c r="E815" s="41"/>
      <c r="F815" s="41"/>
      <c r="G815" s="41"/>
      <c r="H815" s="41"/>
      <c r="I815" s="42"/>
      <c r="J815" s="41"/>
      <c r="K815" s="41"/>
      <c r="L815" s="43"/>
    </row>
    <row r="816" spans="2:12" outlineLevel="2">
      <c r="B816" s="40">
        <f t="shared" si="25"/>
        <v>353</v>
      </c>
      <c r="C816" s="41" t="s">
        <v>9</v>
      </c>
      <c r="D816" s="41"/>
      <c r="E816" s="41"/>
      <c r="F816" s="41"/>
      <c r="G816" s="41"/>
      <c r="H816" s="41"/>
      <c r="I816" s="42"/>
      <c r="J816" s="41"/>
      <c r="K816" s="41"/>
      <c r="L816" s="43"/>
    </row>
    <row r="817" spans="2:12" outlineLevel="2">
      <c r="B817" s="40">
        <f t="shared" si="25"/>
        <v>354</v>
      </c>
      <c r="C817" s="41" t="s">
        <v>9</v>
      </c>
      <c r="D817" s="41"/>
      <c r="E817" s="41"/>
      <c r="F817" s="41"/>
      <c r="G817" s="41"/>
      <c r="H817" s="41"/>
      <c r="I817" s="42"/>
      <c r="J817" s="41"/>
      <c r="K817" s="41"/>
      <c r="L817" s="43"/>
    </row>
    <row r="818" spans="2:12" outlineLevel="2">
      <c r="B818" s="40">
        <f t="shared" si="25"/>
        <v>355</v>
      </c>
      <c r="C818" s="41" t="s">
        <v>9</v>
      </c>
      <c r="D818" s="41"/>
      <c r="E818" s="41"/>
      <c r="F818" s="41"/>
      <c r="G818" s="41"/>
      <c r="H818" s="41"/>
      <c r="I818" s="42"/>
      <c r="J818" s="41"/>
      <c r="K818" s="41"/>
      <c r="L818" s="43"/>
    </row>
    <row r="819" spans="2:12" outlineLevel="2">
      <c r="B819" s="40">
        <f t="shared" si="25"/>
        <v>356</v>
      </c>
      <c r="C819" s="41" t="s">
        <v>9</v>
      </c>
      <c r="D819" s="41"/>
      <c r="E819" s="41"/>
      <c r="F819" s="41"/>
      <c r="G819" s="41"/>
      <c r="H819" s="41"/>
      <c r="I819" s="42"/>
      <c r="J819" s="41"/>
      <c r="K819" s="41"/>
      <c r="L819" s="43"/>
    </row>
    <row r="820" spans="2:12" outlineLevel="2">
      <c r="B820" s="40">
        <f t="shared" ref="B820:B883" si="26">ROW(A357)</f>
        <v>357</v>
      </c>
      <c r="C820" s="41" t="s">
        <v>9</v>
      </c>
      <c r="D820" s="41"/>
      <c r="E820" s="41"/>
      <c r="F820" s="41"/>
      <c r="G820" s="41"/>
      <c r="H820" s="41"/>
      <c r="I820" s="42"/>
      <c r="J820" s="41"/>
      <c r="K820" s="41"/>
      <c r="L820" s="43"/>
    </row>
    <row r="821" spans="2:12" outlineLevel="2">
      <c r="B821" s="40">
        <f t="shared" si="26"/>
        <v>358</v>
      </c>
      <c r="C821" s="41" t="s">
        <v>9</v>
      </c>
      <c r="D821" s="41"/>
      <c r="E821" s="41"/>
      <c r="F821" s="41"/>
      <c r="G821" s="41"/>
      <c r="H821" s="41"/>
      <c r="I821" s="42"/>
      <c r="J821" s="41"/>
      <c r="K821" s="41"/>
      <c r="L821" s="43"/>
    </row>
    <row r="822" spans="2:12" outlineLevel="2">
      <c r="B822" s="40">
        <f t="shared" si="26"/>
        <v>359</v>
      </c>
      <c r="C822" s="41" t="s">
        <v>9</v>
      </c>
      <c r="D822" s="41"/>
      <c r="E822" s="41"/>
      <c r="F822" s="41"/>
      <c r="G822" s="41"/>
      <c r="H822" s="41"/>
      <c r="I822" s="42"/>
      <c r="J822" s="41"/>
      <c r="K822" s="41"/>
      <c r="L822" s="43"/>
    </row>
    <row r="823" spans="2:12" outlineLevel="2">
      <c r="B823" s="40">
        <f t="shared" si="26"/>
        <v>360</v>
      </c>
      <c r="C823" s="41" t="s">
        <v>9</v>
      </c>
      <c r="D823" s="41"/>
      <c r="E823" s="41"/>
      <c r="F823" s="41"/>
      <c r="G823" s="41"/>
      <c r="H823" s="41"/>
      <c r="I823" s="42"/>
      <c r="J823" s="41"/>
      <c r="K823" s="41"/>
      <c r="L823" s="43"/>
    </row>
    <row r="824" spans="2:12" outlineLevel="2">
      <c r="B824" s="40">
        <f t="shared" si="26"/>
        <v>361</v>
      </c>
      <c r="C824" s="41" t="s">
        <v>9</v>
      </c>
      <c r="D824" s="41"/>
      <c r="E824" s="41"/>
      <c r="F824" s="41"/>
      <c r="G824" s="41"/>
      <c r="H824" s="41"/>
      <c r="I824" s="42"/>
      <c r="J824" s="41"/>
      <c r="K824" s="41"/>
      <c r="L824" s="43"/>
    </row>
    <row r="825" spans="2:12" outlineLevel="2">
      <c r="B825" s="40">
        <f t="shared" si="26"/>
        <v>362</v>
      </c>
      <c r="C825" s="41" t="s">
        <v>9</v>
      </c>
      <c r="D825" s="41"/>
      <c r="E825" s="41"/>
      <c r="F825" s="41"/>
      <c r="G825" s="41"/>
      <c r="H825" s="41"/>
      <c r="I825" s="42"/>
      <c r="J825" s="41"/>
      <c r="K825" s="41"/>
      <c r="L825" s="43"/>
    </row>
    <row r="826" spans="2:12" outlineLevel="2">
      <c r="B826" s="40">
        <f t="shared" si="26"/>
        <v>363</v>
      </c>
      <c r="C826" s="41" t="s">
        <v>9</v>
      </c>
      <c r="D826" s="41"/>
      <c r="E826" s="41"/>
      <c r="F826" s="41"/>
      <c r="G826" s="41"/>
      <c r="H826" s="41"/>
      <c r="I826" s="42"/>
      <c r="J826" s="41"/>
      <c r="K826" s="41"/>
      <c r="L826" s="43"/>
    </row>
    <row r="827" spans="2:12" outlineLevel="2">
      <c r="B827" s="40">
        <f t="shared" si="26"/>
        <v>364</v>
      </c>
      <c r="C827" s="41" t="s">
        <v>9</v>
      </c>
      <c r="D827" s="41"/>
      <c r="E827" s="41"/>
      <c r="F827" s="41"/>
      <c r="G827" s="41"/>
      <c r="H827" s="41"/>
      <c r="I827" s="42"/>
      <c r="J827" s="41"/>
      <c r="K827" s="41"/>
      <c r="L827" s="43"/>
    </row>
    <row r="828" spans="2:12" outlineLevel="2">
      <c r="B828" s="40">
        <f t="shared" si="26"/>
        <v>365</v>
      </c>
      <c r="C828" s="41" t="s">
        <v>9</v>
      </c>
      <c r="D828" s="41"/>
      <c r="E828" s="41"/>
      <c r="F828" s="41"/>
      <c r="G828" s="41"/>
      <c r="H828" s="41"/>
      <c r="I828" s="42"/>
      <c r="J828" s="41"/>
      <c r="K828" s="41"/>
      <c r="L828" s="43"/>
    </row>
    <row r="829" spans="2:12" outlineLevel="2">
      <c r="B829" s="40">
        <f t="shared" si="26"/>
        <v>366</v>
      </c>
      <c r="C829" s="41" t="s">
        <v>9</v>
      </c>
      <c r="D829" s="41"/>
      <c r="E829" s="41"/>
      <c r="F829" s="41"/>
      <c r="G829" s="41"/>
      <c r="H829" s="41"/>
      <c r="I829" s="42"/>
      <c r="J829" s="41"/>
      <c r="K829" s="41"/>
      <c r="L829" s="43"/>
    </row>
    <row r="830" spans="2:12" outlineLevel="2">
      <c r="B830" s="40">
        <f t="shared" si="26"/>
        <v>367</v>
      </c>
      <c r="C830" s="41" t="s">
        <v>9</v>
      </c>
      <c r="D830" s="41"/>
      <c r="E830" s="41"/>
      <c r="F830" s="41"/>
      <c r="G830" s="41"/>
      <c r="H830" s="41"/>
      <c r="I830" s="42"/>
      <c r="J830" s="41"/>
      <c r="K830" s="41"/>
      <c r="L830" s="43"/>
    </row>
    <row r="831" spans="2:12" outlineLevel="2">
      <c r="B831" s="40">
        <f t="shared" si="26"/>
        <v>368</v>
      </c>
      <c r="C831" s="41" t="s">
        <v>9</v>
      </c>
      <c r="D831" s="41"/>
      <c r="E831" s="41"/>
      <c r="F831" s="41"/>
      <c r="G831" s="41"/>
      <c r="H831" s="41"/>
      <c r="I831" s="42"/>
      <c r="J831" s="41"/>
      <c r="K831" s="41"/>
      <c r="L831" s="43"/>
    </row>
    <row r="832" spans="2:12" outlineLevel="2">
      <c r="B832" s="40">
        <f t="shared" si="26"/>
        <v>369</v>
      </c>
      <c r="C832" s="41" t="s">
        <v>9</v>
      </c>
      <c r="D832" s="41"/>
      <c r="E832" s="41"/>
      <c r="F832" s="41"/>
      <c r="G832" s="41"/>
      <c r="H832" s="41"/>
      <c r="I832" s="42"/>
      <c r="J832" s="41"/>
      <c r="K832" s="41"/>
      <c r="L832" s="43"/>
    </row>
    <row r="833" spans="2:12" outlineLevel="2">
      <c r="B833" s="40">
        <f t="shared" si="26"/>
        <v>370</v>
      </c>
      <c r="C833" s="41" t="s">
        <v>9</v>
      </c>
      <c r="D833" s="41"/>
      <c r="E833" s="41"/>
      <c r="F833" s="41"/>
      <c r="G833" s="41"/>
      <c r="H833" s="41"/>
      <c r="I833" s="42"/>
      <c r="J833" s="41"/>
      <c r="K833" s="41"/>
      <c r="L833" s="43"/>
    </row>
    <row r="834" spans="2:12" outlineLevel="2">
      <c r="B834" s="40">
        <f t="shared" si="26"/>
        <v>371</v>
      </c>
      <c r="C834" s="41" t="s">
        <v>9</v>
      </c>
      <c r="D834" s="41"/>
      <c r="E834" s="41"/>
      <c r="F834" s="41"/>
      <c r="G834" s="41"/>
      <c r="H834" s="41"/>
      <c r="I834" s="42"/>
      <c r="J834" s="41"/>
      <c r="K834" s="41"/>
      <c r="L834" s="43"/>
    </row>
    <row r="835" spans="2:12" outlineLevel="2">
      <c r="B835" s="40">
        <f t="shared" si="26"/>
        <v>372</v>
      </c>
      <c r="C835" s="41" t="s">
        <v>9</v>
      </c>
      <c r="D835" s="41"/>
      <c r="E835" s="41"/>
      <c r="F835" s="41"/>
      <c r="G835" s="41"/>
      <c r="H835" s="41"/>
      <c r="I835" s="42"/>
      <c r="J835" s="41"/>
      <c r="K835" s="41"/>
      <c r="L835" s="43"/>
    </row>
    <row r="836" spans="2:12" outlineLevel="2">
      <c r="B836" s="40">
        <f t="shared" si="26"/>
        <v>373</v>
      </c>
      <c r="C836" s="41" t="s">
        <v>9</v>
      </c>
      <c r="D836" s="41"/>
      <c r="E836" s="41"/>
      <c r="F836" s="41"/>
      <c r="G836" s="41"/>
      <c r="H836" s="41"/>
      <c r="I836" s="42"/>
      <c r="J836" s="41"/>
      <c r="K836" s="41"/>
      <c r="L836" s="43"/>
    </row>
    <row r="837" spans="2:12" outlineLevel="2">
      <c r="B837" s="40">
        <f t="shared" si="26"/>
        <v>374</v>
      </c>
      <c r="C837" s="41" t="s">
        <v>9</v>
      </c>
      <c r="D837" s="41"/>
      <c r="E837" s="41"/>
      <c r="F837" s="41"/>
      <c r="G837" s="41"/>
      <c r="H837" s="41"/>
      <c r="I837" s="42"/>
      <c r="J837" s="41"/>
      <c r="K837" s="41"/>
      <c r="L837" s="43"/>
    </row>
    <row r="838" spans="2:12" outlineLevel="2">
      <c r="B838" s="40">
        <f t="shared" si="26"/>
        <v>375</v>
      </c>
      <c r="C838" s="41" t="s">
        <v>9</v>
      </c>
      <c r="D838" s="41"/>
      <c r="E838" s="41"/>
      <c r="F838" s="41"/>
      <c r="G838" s="41"/>
      <c r="H838" s="41"/>
      <c r="I838" s="42"/>
      <c r="J838" s="41"/>
      <c r="K838" s="41"/>
      <c r="L838" s="43"/>
    </row>
    <row r="839" spans="2:12" outlineLevel="2">
      <c r="B839" s="40">
        <f t="shared" si="26"/>
        <v>376</v>
      </c>
      <c r="C839" s="41" t="s">
        <v>9</v>
      </c>
      <c r="D839" s="41"/>
      <c r="E839" s="41"/>
      <c r="F839" s="41"/>
      <c r="G839" s="41"/>
      <c r="H839" s="41"/>
      <c r="I839" s="42"/>
      <c r="J839" s="41"/>
      <c r="K839" s="41"/>
      <c r="L839" s="43"/>
    </row>
    <row r="840" spans="2:12" outlineLevel="2">
      <c r="B840" s="40">
        <f t="shared" si="26"/>
        <v>377</v>
      </c>
      <c r="C840" s="41" t="s">
        <v>9</v>
      </c>
      <c r="D840" s="41"/>
      <c r="E840" s="41"/>
      <c r="F840" s="41"/>
      <c r="G840" s="41"/>
      <c r="H840" s="41"/>
      <c r="I840" s="42"/>
      <c r="J840" s="41"/>
      <c r="K840" s="41"/>
      <c r="L840" s="43"/>
    </row>
    <row r="841" spans="2:12" outlineLevel="2">
      <c r="B841" s="40">
        <f t="shared" si="26"/>
        <v>378</v>
      </c>
      <c r="C841" s="41" t="s">
        <v>9</v>
      </c>
      <c r="D841" s="41"/>
      <c r="E841" s="41"/>
      <c r="F841" s="41"/>
      <c r="G841" s="41"/>
      <c r="H841" s="41"/>
      <c r="I841" s="42"/>
      <c r="J841" s="41"/>
      <c r="K841" s="41"/>
      <c r="L841" s="43"/>
    </row>
    <row r="842" spans="2:12" outlineLevel="2">
      <c r="B842" s="40">
        <f t="shared" si="26"/>
        <v>379</v>
      </c>
      <c r="C842" s="41" t="s">
        <v>9</v>
      </c>
      <c r="D842" s="41"/>
      <c r="E842" s="41"/>
      <c r="F842" s="41"/>
      <c r="G842" s="41"/>
      <c r="H842" s="41"/>
      <c r="I842" s="42"/>
      <c r="J842" s="41"/>
      <c r="K842" s="41"/>
      <c r="L842" s="43"/>
    </row>
    <row r="843" spans="2:12" outlineLevel="2">
      <c r="B843" s="40">
        <f t="shared" si="26"/>
        <v>380</v>
      </c>
      <c r="C843" s="41" t="s">
        <v>9</v>
      </c>
      <c r="D843" s="41"/>
      <c r="E843" s="41"/>
      <c r="F843" s="41"/>
      <c r="G843" s="41"/>
      <c r="H843" s="41"/>
      <c r="I843" s="42"/>
      <c r="J843" s="41"/>
      <c r="K843" s="41"/>
      <c r="L843" s="43"/>
    </row>
    <row r="844" spans="2:12" outlineLevel="2">
      <c r="B844" s="40">
        <f t="shared" si="26"/>
        <v>381</v>
      </c>
      <c r="C844" s="41" t="s">
        <v>9</v>
      </c>
      <c r="D844" s="41"/>
      <c r="E844" s="41"/>
      <c r="F844" s="41"/>
      <c r="G844" s="41"/>
      <c r="H844" s="41"/>
      <c r="I844" s="42"/>
      <c r="J844" s="41"/>
      <c r="K844" s="41"/>
      <c r="L844" s="43"/>
    </row>
    <row r="845" spans="2:12" outlineLevel="2">
      <c r="B845" s="40">
        <f t="shared" si="26"/>
        <v>382</v>
      </c>
      <c r="C845" s="41" t="s">
        <v>9</v>
      </c>
      <c r="D845" s="41"/>
      <c r="E845" s="41"/>
      <c r="F845" s="41"/>
      <c r="G845" s="41"/>
      <c r="H845" s="41"/>
      <c r="I845" s="42"/>
      <c r="J845" s="41"/>
      <c r="K845" s="41"/>
      <c r="L845" s="43"/>
    </row>
    <row r="846" spans="2:12" outlineLevel="2">
      <c r="B846" s="40">
        <f t="shared" si="26"/>
        <v>383</v>
      </c>
      <c r="C846" s="41" t="s">
        <v>9</v>
      </c>
      <c r="D846" s="41"/>
      <c r="E846" s="41"/>
      <c r="F846" s="41"/>
      <c r="G846" s="41"/>
      <c r="H846" s="41"/>
      <c r="I846" s="42"/>
      <c r="J846" s="41"/>
      <c r="K846" s="41"/>
      <c r="L846" s="43"/>
    </row>
    <row r="847" spans="2:12" outlineLevel="2">
      <c r="B847" s="40">
        <f t="shared" si="26"/>
        <v>384</v>
      </c>
      <c r="C847" s="41" t="s">
        <v>9</v>
      </c>
      <c r="D847" s="41"/>
      <c r="E847" s="41"/>
      <c r="F847" s="41"/>
      <c r="G847" s="41"/>
      <c r="H847" s="41"/>
      <c r="I847" s="42"/>
      <c r="J847" s="41"/>
      <c r="K847" s="41"/>
      <c r="L847" s="43"/>
    </row>
    <row r="848" spans="2:12" outlineLevel="2">
      <c r="B848" s="40">
        <f t="shared" si="26"/>
        <v>385</v>
      </c>
      <c r="C848" s="41" t="s">
        <v>9</v>
      </c>
      <c r="D848" s="41"/>
      <c r="E848" s="41"/>
      <c r="F848" s="41"/>
      <c r="G848" s="41"/>
      <c r="H848" s="41"/>
      <c r="I848" s="42"/>
      <c r="J848" s="41"/>
      <c r="K848" s="41"/>
      <c r="L848" s="43"/>
    </row>
    <row r="849" spans="2:12" outlineLevel="2">
      <c r="B849" s="40">
        <f t="shared" si="26"/>
        <v>386</v>
      </c>
      <c r="C849" s="41" t="s">
        <v>9</v>
      </c>
      <c r="D849" s="41"/>
      <c r="E849" s="41"/>
      <c r="F849" s="41"/>
      <c r="G849" s="41"/>
      <c r="H849" s="41"/>
      <c r="I849" s="42"/>
      <c r="J849" s="41"/>
      <c r="K849" s="41"/>
      <c r="L849" s="43"/>
    </row>
    <row r="850" spans="2:12" outlineLevel="2">
      <c r="B850" s="40">
        <f t="shared" si="26"/>
        <v>387</v>
      </c>
      <c r="C850" s="41" t="s">
        <v>9</v>
      </c>
      <c r="D850" s="41"/>
      <c r="E850" s="41"/>
      <c r="F850" s="41"/>
      <c r="G850" s="41"/>
      <c r="H850" s="41"/>
      <c r="I850" s="42"/>
      <c r="J850" s="41"/>
      <c r="K850" s="41"/>
      <c r="L850" s="43"/>
    </row>
    <row r="851" spans="2:12" outlineLevel="2">
      <c r="B851" s="40">
        <f t="shared" si="26"/>
        <v>388</v>
      </c>
      <c r="C851" s="41" t="s">
        <v>9</v>
      </c>
      <c r="D851" s="41"/>
      <c r="E851" s="41"/>
      <c r="F851" s="41"/>
      <c r="G851" s="41"/>
      <c r="H851" s="41"/>
      <c r="I851" s="42"/>
      <c r="J851" s="41"/>
      <c r="K851" s="41"/>
      <c r="L851" s="43"/>
    </row>
    <row r="852" spans="2:12" outlineLevel="2">
      <c r="B852" s="40">
        <f t="shared" si="26"/>
        <v>389</v>
      </c>
      <c r="C852" s="41" t="s">
        <v>9</v>
      </c>
      <c r="D852" s="41"/>
      <c r="E852" s="41"/>
      <c r="F852" s="41"/>
      <c r="G852" s="41"/>
      <c r="H852" s="41"/>
      <c r="I852" s="42"/>
      <c r="J852" s="41"/>
      <c r="K852" s="41"/>
      <c r="L852" s="43"/>
    </row>
    <row r="853" spans="2:12" outlineLevel="2">
      <c r="B853" s="40">
        <f t="shared" si="26"/>
        <v>390</v>
      </c>
      <c r="C853" s="41" t="s">
        <v>9</v>
      </c>
      <c r="D853" s="41"/>
      <c r="E853" s="41"/>
      <c r="F853" s="41"/>
      <c r="G853" s="41"/>
      <c r="H853" s="41"/>
      <c r="I853" s="42"/>
      <c r="J853" s="41"/>
      <c r="K853" s="41"/>
      <c r="L853" s="43"/>
    </row>
    <row r="854" spans="2:12" outlineLevel="2">
      <c r="B854" s="40">
        <f t="shared" si="26"/>
        <v>391</v>
      </c>
      <c r="C854" s="41" t="s">
        <v>9</v>
      </c>
      <c r="D854" s="41"/>
      <c r="E854" s="41"/>
      <c r="F854" s="41"/>
      <c r="G854" s="41"/>
      <c r="H854" s="41"/>
      <c r="I854" s="42"/>
      <c r="J854" s="41"/>
      <c r="K854" s="41"/>
      <c r="L854" s="43"/>
    </row>
    <row r="855" spans="2:12" outlineLevel="2">
      <c r="B855" s="40">
        <f t="shared" si="26"/>
        <v>392</v>
      </c>
      <c r="C855" s="41" t="s">
        <v>9</v>
      </c>
      <c r="D855" s="41"/>
      <c r="E855" s="41"/>
      <c r="F855" s="41"/>
      <c r="G855" s="41"/>
      <c r="H855" s="41"/>
      <c r="I855" s="42"/>
      <c r="J855" s="41"/>
      <c r="K855" s="41"/>
      <c r="L855" s="43"/>
    </row>
    <row r="856" spans="2:12" outlineLevel="2">
      <c r="B856" s="40">
        <f t="shared" si="26"/>
        <v>393</v>
      </c>
      <c r="C856" s="41" t="s">
        <v>9</v>
      </c>
      <c r="D856" s="41"/>
      <c r="E856" s="41"/>
      <c r="F856" s="41"/>
      <c r="G856" s="41"/>
      <c r="H856" s="41"/>
      <c r="I856" s="42"/>
      <c r="J856" s="41"/>
      <c r="K856" s="41"/>
      <c r="L856" s="43"/>
    </row>
    <row r="857" spans="2:12" outlineLevel="2">
      <c r="B857" s="40">
        <f t="shared" si="26"/>
        <v>394</v>
      </c>
      <c r="C857" s="41" t="s">
        <v>9</v>
      </c>
      <c r="D857" s="41"/>
      <c r="E857" s="41"/>
      <c r="F857" s="41"/>
      <c r="G857" s="41"/>
      <c r="H857" s="41"/>
      <c r="I857" s="42"/>
      <c r="J857" s="41"/>
      <c r="K857" s="41"/>
      <c r="L857" s="43"/>
    </row>
    <row r="858" spans="2:12" outlineLevel="2">
      <c r="B858" s="40">
        <f t="shared" si="26"/>
        <v>395</v>
      </c>
      <c r="C858" s="41" t="s">
        <v>9</v>
      </c>
      <c r="D858" s="41"/>
      <c r="E858" s="41"/>
      <c r="F858" s="41"/>
      <c r="G858" s="41"/>
      <c r="H858" s="41"/>
      <c r="I858" s="42"/>
      <c r="J858" s="41"/>
      <c r="K858" s="41"/>
      <c r="L858" s="43"/>
    </row>
    <row r="859" spans="2:12" outlineLevel="2">
      <c r="B859" s="40">
        <f t="shared" si="26"/>
        <v>396</v>
      </c>
      <c r="C859" s="41" t="s">
        <v>9</v>
      </c>
      <c r="D859" s="41"/>
      <c r="E859" s="41"/>
      <c r="F859" s="41"/>
      <c r="G859" s="41"/>
      <c r="H859" s="41"/>
      <c r="I859" s="42"/>
      <c r="J859" s="41"/>
      <c r="K859" s="41"/>
      <c r="L859" s="43"/>
    </row>
    <row r="860" spans="2:12" outlineLevel="2">
      <c r="B860" s="40">
        <f t="shared" si="26"/>
        <v>397</v>
      </c>
      <c r="C860" s="41" t="s">
        <v>9</v>
      </c>
      <c r="D860" s="41"/>
      <c r="E860" s="41"/>
      <c r="F860" s="41"/>
      <c r="G860" s="41"/>
      <c r="H860" s="41"/>
      <c r="I860" s="42"/>
      <c r="J860" s="41"/>
      <c r="K860" s="41"/>
      <c r="L860" s="43"/>
    </row>
    <row r="861" spans="2:12" outlineLevel="2">
      <c r="B861" s="40">
        <f t="shared" si="26"/>
        <v>398</v>
      </c>
      <c r="C861" s="41" t="s">
        <v>9</v>
      </c>
      <c r="D861" s="41"/>
      <c r="E861" s="41"/>
      <c r="F861" s="41"/>
      <c r="G861" s="41"/>
      <c r="H861" s="41"/>
      <c r="I861" s="42"/>
      <c r="J861" s="41"/>
      <c r="K861" s="41"/>
      <c r="L861" s="43"/>
    </row>
    <row r="862" spans="2:12" outlineLevel="2">
      <c r="B862" s="40">
        <f t="shared" si="26"/>
        <v>399</v>
      </c>
      <c r="C862" s="41" t="s">
        <v>9</v>
      </c>
      <c r="D862" s="41"/>
      <c r="E862" s="41"/>
      <c r="F862" s="41"/>
      <c r="G862" s="41"/>
      <c r="H862" s="41"/>
      <c r="I862" s="42"/>
      <c r="J862" s="41"/>
      <c r="K862" s="41"/>
      <c r="L862" s="43"/>
    </row>
    <row r="863" spans="2:12" outlineLevel="2">
      <c r="B863" s="40">
        <f t="shared" si="26"/>
        <v>400</v>
      </c>
      <c r="C863" s="41" t="s">
        <v>9</v>
      </c>
      <c r="D863" s="41"/>
      <c r="E863" s="41"/>
      <c r="F863" s="41"/>
      <c r="G863" s="41"/>
      <c r="H863" s="41"/>
      <c r="I863" s="42"/>
      <c r="J863" s="41"/>
      <c r="K863" s="41"/>
      <c r="L863" s="43"/>
    </row>
    <row r="864" spans="2:12" outlineLevel="2">
      <c r="B864" s="40">
        <f t="shared" si="26"/>
        <v>401</v>
      </c>
      <c r="C864" s="41" t="s">
        <v>9</v>
      </c>
      <c r="D864" s="41"/>
      <c r="E864" s="41"/>
      <c r="F864" s="41"/>
      <c r="G864" s="41"/>
      <c r="H864" s="41"/>
      <c r="I864" s="42"/>
      <c r="J864" s="41"/>
      <c r="K864" s="41"/>
      <c r="L864" s="43"/>
    </row>
    <row r="865" spans="2:12" outlineLevel="2">
      <c r="B865" s="40">
        <f t="shared" si="26"/>
        <v>402</v>
      </c>
      <c r="C865" s="41" t="s">
        <v>9</v>
      </c>
      <c r="D865" s="41"/>
      <c r="E865" s="41"/>
      <c r="F865" s="41"/>
      <c r="G865" s="41"/>
      <c r="H865" s="41"/>
      <c r="I865" s="42"/>
      <c r="J865" s="41"/>
      <c r="K865" s="41"/>
      <c r="L865" s="43"/>
    </row>
    <row r="866" spans="2:12" outlineLevel="2">
      <c r="B866" s="40">
        <f t="shared" si="26"/>
        <v>403</v>
      </c>
      <c r="C866" s="41" t="s">
        <v>9</v>
      </c>
      <c r="D866" s="41"/>
      <c r="E866" s="41"/>
      <c r="F866" s="41"/>
      <c r="G866" s="41"/>
      <c r="H866" s="41"/>
      <c r="I866" s="42"/>
      <c r="J866" s="41"/>
      <c r="K866" s="41"/>
      <c r="L866" s="43"/>
    </row>
    <row r="867" spans="2:12" outlineLevel="2">
      <c r="B867" s="40">
        <f t="shared" si="26"/>
        <v>404</v>
      </c>
      <c r="C867" s="41" t="s">
        <v>9</v>
      </c>
      <c r="D867" s="41"/>
      <c r="E867" s="41"/>
      <c r="F867" s="41"/>
      <c r="G867" s="41"/>
      <c r="H867" s="41"/>
      <c r="I867" s="42"/>
      <c r="J867" s="41"/>
      <c r="K867" s="41"/>
      <c r="L867" s="43"/>
    </row>
    <row r="868" spans="2:12" outlineLevel="2">
      <c r="B868" s="40">
        <f t="shared" si="26"/>
        <v>405</v>
      </c>
      <c r="C868" s="41" t="s">
        <v>9</v>
      </c>
      <c r="D868" s="41"/>
      <c r="E868" s="41"/>
      <c r="F868" s="41"/>
      <c r="G868" s="41"/>
      <c r="H868" s="41"/>
      <c r="I868" s="42"/>
      <c r="J868" s="41"/>
      <c r="K868" s="41"/>
      <c r="L868" s="43"/>
    </row>
    <row r="869" spans="2:12" outlineLevel="2">
      <c r="B869" s="40">
        <f t="shared" si="26"/>
        <v>406</v>
      </c>
      <c r="C869" s="41" t="s">
        <v>9</v>
      </c>
      <c r="D869" s="41"/>
      <c r="E869" s="41"/>
      <c r="F869" s="41"/>
      <c r="G869" s="41"/>
      <c r="H869" s="41"/>
      <c r="I869" s="42"/>
      <c r="J869" s="41"/>
      <c r="K869" s="41"/>
      <c r="L869" s="43"/>
    </row>
    <row r="870" spans="2:12" outlineLevel="2">
      <c r="B870" s="40">
        <f t="shared" si="26"/>
        <v>407</v>
      </c>
      <c r="C870" s="41" t="s">
        <v>9</v>
      </c>
      <c r="D870" s="41"/>
      <c r="E870" s="41"/>
      <c r="F870" s="41"/>
      <c r="G870" s="41"/>
      <c r="H870" s="41"/>
      <c r="I870" s="42"/>
      <c r="J870" s="41"/>
      <c r="K870" s="41"/>
      <c r="L870" s="43"/>
    </row>
    <row r="871" spans="2:12" outlineLevel="2">
      <c r="B871" s="40">
        <f t="shared" si="26"/>
        <v>408</v>
      </c>
      <c r="C871" s="41" t="s">
        <v>9</v>
      </c>
      <c r="D871" s="41"/>
      <c r="E871" s="41"/>
      <c r="F871" s="41"/>
      <c r="G871" s="41"/>
      <c r="H871" s="41"/>
      <c r="I871" s="42"/>
      <c r="J871" s="41"/>
      <c r="K871" s="41"/>
      <c r="L871" s="43"/>
    </row>
    <row r="872" spans="2:12" outlineLevel="2">
      <c r="B872" s="40">
        <f t="shared" si="26"/>
        <v>409</v>
      </c>
      <c r="C872" s="41" t="s">
        <v>9</v>
      </c>
      <c r="D872" s="41"/>
      <c r="E872" s="41"/>
      <c r="F872" s="41"/>
      <c r="G872" s="41"/>
      <c r="H872" s="41"/>
      <c r="I872" s="42"/>
      <c r="J872" s="41"/>
      <c r="K872" s="41"/>
      <c r="L872" s="43"/>
    </row>
    <row r="873" spans="2:12" outlineLevel="2">
      <c r="B873" s="40">
        <f t="shared" si="26"/>
        <v>410</v>
      </c>
      <c r="C873" s="41" t="s">
        <v>9</v>
      </c>
      <c r="D873" s="41"/>
      <c r="E873" s="41"/>
      <c r="F873" s="41"/>
      <c r="G873" s="41"/>
      <c r="H873" s="41"/>
      <c r="I873" s="42"/>
      <c r="J873" s="41"/>
      <c r="K873" s="41"/>
      <c r="L873" s="43"/>
    </row>
    <row r="874" spans="2:12" outlineLevel="2">
      <c r="B874" s="40">
        <f t="shared" si="26"/>
        <v>411</v>
      </c>
      <c r="C874" s="41" t="s">
        <v>9</v>
      </c>
      <c r="D874" s="41"/>
      <c r="E874" s="41"/>
      <c r="F874" s="41"/>
      <c r="G874" s="41"/>
      <c r="H874" s="41"/>
      <c r="I874" s="42"/>
      <c r="J874" s="41"/>
      <c r="K874" s="41"/>
      <c r="L874" s="43"/>
    </row>
    <row r="875" spans="2:12" outlineLevel="2">
      <c r="B875" s="40">
        <f t="shared" si="26"/>
        <v>412</v>
      </c>
      <c r="C875" s="41" t="s">
        <v>9</v>
      </c>
      <c r="D875" s="41"/>
      <c r="E875" s="41"/>
      <c r="F875" s="41"/>
      <c r="G875" s="41"/>
      <c r="H875" s="41"/>
      <c r="I875" s="42"/>
      <c r="J875" s="41"/>
      <c r="K875" s="41"/>
      <c r="L875" s="43"/>
    </row>
    <row r="876" spans="2:12" outlineLevel="2">
      <c r="B876" s="40">
        <f t="shared" si="26"/>
        <v>413</v>
      </c>
      <c r="C876" s="41" t="s">
        <v>9</v>
      </c>
      <c r="D876" s="41"/>
      <c r="E876" s="41"/>
      <c r="F876" s="41"/>
      <c r="G876" s="41"/>
      <c r="H876" s="41"/>
      <c r="I876" s="42"/>
      <c r="J876" s="41"/>
      <c r="K876" s="41"/>
      <c r="L876" s="43"/>
    </row>
    <row r="877" spans="2:12" outlineLevel="2">
      <c r="B877" s="40">
        <f t="shared" si="26"/>
        <v>414</v>
      </c>
      <c r="C877" s="41" t="s">
        <v>9</v>
      </c>
      <c r="D877" s="41"/>
      <c r="E877" s="41"/>
      <c r="F877" s="41"/>
      <c r="G877" s="41"/>
      <c r="H877" s="41"/>
      <c r="I877" s="42"/>
      <c r="J877" s="41"/>
      <c r="K877" s="41"/>
      <c r="L877" s="43"/>
    </row>
    <row r="878" spans="2:12" outlineLevel="2">
      <c r="B878" s="40">
        <f t="shared" si="26"/>
        <v>415</v>
      </c>
      <c r="C878" s="41" t="s">
        <v>9</v>
      </c>
      <c r="D878" s="41"/>
      <c r="E878" s="41"/>
      <c r="F878" s="41"/>
      <c r="G878" s="41"/>
      <c r="H878" s="41"/>
      <c r="I878" s="42"/>
      <c r="J878" s="41"/>
      <c r="K878" s="41"/>
      <c r="L878" s="43"/>
    </row>
    <row r="879" spans="2:12" outlineLevel="2">
      <c r="B879" s="40">
        <f t="shared" si="26"/>
        <v>416</v>
      </c>
      <c r="C879" s="41" t="s">
        <v>9</v>
      </c>
      <c r="D879" s="41"/>
      <c r="E879" s="41"/>
      <c r="F879" s="41"/>
      <c r="G879" s="41"/>
      <c r="H879" s="41"/>
      <c r="I879" s="42"/>
      <c r="J879" s="41"/>
      <c r="K879" s="41"/>
      <c r="L879" s="43"/>
    </row>
    <row r="880" spans="2:12" outlineLevel="2">
      <c r="B880" s="40">
        <f t="shared" si="26"/>
        <v>417</v>
      </c>
      <c r="C880" s="41" t="s">
        <v>9</v>
      </c>
      <c r="D880" s="41"/>
      <c r="E880" s="41"/>
      <c r="F880" s="41"/>
      <c r="G880" s="41"/>
      <c r="H880" s="41"/>
      <c r="I880" s="42"/>
      <c r="J880" s="41"/>
      <c r="K880" s="41"/>
      <c r="L880" s="43"/>
    </row>
    <row r="881" spans="2:12" outlineLevel="2">
      <c r="B881" s="40">
        <f t="shared" si="26"/>
        <v>418</v>
      </c>
      <c r="C881" s="41" t="s">
        <v>9</v>
      </c>
      <c r="D881" s="41"/>
      <c r="E881" s="41"/>
      <c r="F881" s="41"/>
      <c r="G881" s="41"/>
      <c r="H881" s="41"/>
      <c r="I881" s="42"/>
      <c r="J881" s="41"/>
      <c r="K881" s="41"/>
      <c r="L881" s="43"/>
    </row>
    <row r="882" spans="2:12" outlineLevel="2">
      <c r="B882" s="40">
        <f t="shared" si="26"/>
        <v>419</v>
      </c>
      <c r="C882" s="41" t="s">
        <v>9</v>
      </c>
      <c r="D882" s="41"/>
      <c r="E882" s="41"/>
      <c r="F882" s="41"/>
      <c r="G882" s="41"/>
      <c r="H882" s="41"/>
      <c r="I882" s="42"/>
      <c r="J882" s="41"/>
      <c r="K882" s="41"/>
      <c r="L882" s="43"/>
    </row>
    <row r="883" spans="2:12" outlineLevel="2">
      <c r="B883" s="40">
        <f t="shared" si="26"/>
        <v>420</v>
      </c>
      <c r="C883" s="41" t="s">
        <v>9</v>
      </c>
      <c r="D883" s="41"/>
      <c r="E883" s="41"/>
      <c r="F883" s="41"/>
      <c r="G883" s="41"/>
      <c r="H883" s="41"/>
      <c r="I883" s="42"/>
      <c r="J883" s="41"/>
      <c r="K883" s="41"/>
      <c r="L883" s="43"/>
    </row>
    <row r="884" spans="2:12" outlineLevel="2">
      <c r="B884" s="40">
        <f t="shared" ref="B884:B919" si="27">ROW(A421)</f>
        <v>421</v>
      </c>
      <c r="C884" s="41" t="s">
        <v>9</v>
      </c>
      <c r="D884" s="41"/>
      <c r="E884" s="41"/>
      <c r="F884" s="41"/>
      <c r="G884" s="41"/>
      <c r="H884" s="41"/>
      <c r="I884" s="42"/>
      <c r="J884" s="41"/>
      <c r="K884" s="41"/>
      <c r="L884" s="43"/>
    </row>
    <row r="885" spans="2:12" outlineLevel="2">
      <c r="B885" s="40">
        <f t="shared" si="27"/>
        <v>422</v>
      </c>
      <c r="C885" s="41" t="s">
        <v>9</v>
      </c>
      <c r="D885" s="41"/>
      <c r="E885" s="41"/>
      <c r="F885" s="41"/>
      <c r="G885" s="41"/>
      <c r="H885" s="41"/>
      <c r="I885" s="42"/>
      <c r="J885" s="41"/>
      <c r="K885" s="41"/>
      <c r="L885" s="43"/>
    </row>
    <row r="886" spans="2:12" outlineLevel="2">
      <c r="B886" s="40">
        <f t="shared" si="27"/>
        <v>423</v>
      </c>
      <c r="C886" s="41" t="s">
        <v>9</v>
      </c>
      <c r="D886" s="41"/>
      <c r="E886" s="41"/>
      <c r="F886" s="41"/>
      <c r="G886" s="41"/>
      <c r="H886" s="41"/>
      <c r="I886" s="42"/>
      <c r="J886" s="41"/>
      <c r="K886" s="41"/>
      <c r="L886" s="43"/>
    </row>
    <row r="887" spans="2:12" outlineLevel="2">
      <c r="B887" s="40">
        <f t="shared" si="27"/>
        <v>424</v>
      </c>
      <c r="C887" s="41" t="s">
        <v>9</v>
      </c>
      <c r="D887" s="41"/>
      <c r="E887" s="41"/>
      <c r="F887" s="41"/>
      <c r="G887" s="41"/>
      <c r="H887" s="41"/>
      <c r="I887" s="42"/>
      <c r="J887" s="41"/>
      <c r="K887" s="41"/>
      <c r="L887" s="43"/>
    </row>
    <row r="888" spans="2:12" outlineLevel="2">
      <c r="B888" s="40">
        <f t="shared" si="27"/>
        <v>425</v>
      </c>
      <c r="C888" s="41" t="s">
        <v>9</v>
      </c>
      <c r="D888" s="41"/>
      <c r="E888" s="41"/>
      <c r="F888" s="41"/>
      <c r="G888" s="41"/>
      <c r="H888" s="41"/>
      <c r="I888" s="42"/>
      <c r="J888" s="41"/>
      <c r="K888" s="41"/>
      <c r="L888" s="43"/>
    </row>
    <row r="889" spans="2:12" outlineLevel="2">
      <c r="B889" s="40">
        <f t="shared" si="27"/>
        <v>426</v>
      </c>
      <c r="C889" s="41" t="s">
        <v>9</v>
      </c>
      <c r="D889" s="41"/>
      <c r="E889" s="41"/>
      <c r="F889" s="41"/>
      <c r="G889" s="41"/>
      <c r="H889" s="41"/>
      <c r="I889" s="42"/>
      <c r="J889" s="41"/>
      <c r="K889" s="41"/>
      <c r="L889" s="43"/>
    </row>
    <row r="890" spans="2:12" outlineLevel="2">
      <c r="B890" s="40">
        <f t="shared" si="27"/>
        <v>427</v>
      </c>
      <c r="C890" s="41" t="s">
        <v>9</v>
      </c>
      <c r="D890" s="41"/>
      <c r="E890" s="41"/>
      <c r="F890" s="41"/>
      <c r="G890" s="41"/>
      <c r="H890" s="41"/>
      <c r="I890" s="42"/>
      <c r="J890" s="41"/>
      <c r="K890" s="41"/>
      <c r="L890" s="43"/>
    </row>
    <row r="891" spans="2:12" outlineLevel="2">
      <c r="B891" s="40">
        <f t="shared" si="27"/>
        <v>428</v>
      </c>
      <c r="C891" s="41" t="s">
        <v>9</v>
      </c>
      <c r="D891" s="41"/>
      <c r="E891" s="41"/>
      <c r="F891" s="41"/>
      <c r="G891" s="41"/>
      <c r="H891" s="41"/>
      <c r="I891" s="42"/>
      <c r="J891" s="41"/>
      <c r="K891" s="41"/>
      <c r="L891" s="43"/>
    </row>
    <row r="892" spans="2:12" outlineLevel="2">
      <c r="B892" s="40">
        <f t="shared" si="27"/>
        <v>429</v>
      </c>
      <c r="C892" s="41" t="s">
        <v>9</v>
      </c>
      <c r="D892" s="41"/>
      <c r="E892" s="41"/>
      <c r="F892" s="41"/>
      <c r="G892" s="41"/>
      <c r="H892" s="41"/>
      <c r="I892" s="42"/>
      <c r="J892" s="41"/>
      <c r="K892" s="41"/>
      <c r="L892" s="43"/>
    </row>
    <row r="893" spans="2:12" outlineLevel="2">
      <c r="B893" s="40">
        <f t="shared" si="27"/>
        <v>430</v>
      </c>
      <c r="C893" s="41" t="s">
        <v>9</v>
      </c>
      <c r="D893" s="41"/>
      <c r="E893" s="41"/>
      <c r="F893" s="41"/>
      <c r="G893" s="41"/>
      <c r="H893" s="41"/>
      <c r="I893" s="42"/>
      <c r="J893" s="41"/>
      <c r="K893" s="41"/>
      <c r="L893" s="43"/>
    </row>
    <row r="894" spans="2:12" outlineLevel="2">
      <c r="B894" s="40">
        <f t="shared" si="27"/>
        <v>431</v>
      </c>
      <c r="C894" s="41" t="s">
        <v>9</v>
      </c>
      <c r="D894" s="41"/>
      <c r="E894" s="41"/>
      <c r="F894" s="41"/>
      <c r="G894" s="41"/>
      <c r="H894" s="41"/>
      <c r="I894" s="42"/>
      <c r="J894" s="41"/>
      <c r="K894" s="41"/>
      <c r="L894" s="43"/>
    </row>
    <row r="895" spans="2:12" outlineLevel="2">
      <c r="B895" s="40">
        <f t="shared" si="27"/>
        <v>432</v>
      </c>
      <c r="C895" s="41" t="s">
        <v>9</v>
      </c>
      <c r="D895" s="41"/>
      <c r="E895" s="41"/>
      <c r="F895" s="41"/>
      <c r="G895" s="41"/>
      <c r="H895" s="41"/>
      <c r="I895" s="42"/>
      <c r="J895" s="41"/>
      <c r="K895" s="41"/>
      <c r="L895" s="43"/>
    </row>
    <row r="896" spans="2:12" outlineLevel="2">
      <c r="B896" s="40">
        <f t="shared" si="27"/>
        <v>433</v>
      </c>
      <c r="C896" s="41" t="s">
        <v>9</v>
      </c>
      <c r="D896" s="41"/>
      <c r="E896" s="41"/>
      <c r="F896" s="41"/>
      <c r="G896" s="41"/>
      <c r="H896" s="41"/>
      <c r="I896" s="42"/>
      <c r="J896" s="41"/>
      <c r="K896" s="41"/>
      <c r="L896" s="43"/>
    </row>
    <row r="897" spans="2:12" outlineLevel="2">
      <c r="B897" s="40">
        <f t="shared" si="27"/>
        <v>434</v>
      </c>
      <c r="C897" s="41" t="s">
        <v>9</v>
      </c>
      <c r="D897" s="41"/>
      <c r="E897" s="41"/>
      <c r="F897" s="41"/>
      <c r="G897" s="41"/>
      <c r="H897" s="41"/>
      <c r="I897" s="42"/>
      <c r="J897" s="41"/>
      <c r="K897" s="41"/>
      <c r="L897" s="43"/>
    </row>
    <row r="898" spans="2:12" outlineLevel="2">
      <c r="B898" s="40">
        <f t="shared" si="27"/>
        <v>435</v>
      </c>
      <c r="C898" s="41" t="s">
        <v>9</v>
      </c>
      <c r="D898" s="41"/>
      <c r="E898" s="41"/>
      <c r="F898" s="41"/>
      <c r="G898" s="41"/>
      <c r="H898" s="41"/>
      <c r="I898" s="42"/>
      <c r="J898" s="41"/>
      <c r="K898" s="41"/>
      <c r="L898" s="43"/>
    </row>
    <row r="899" spans="2:12" outlineLevel="2">
      <c r="B899" s="40">
        <f t="shared" si="27"/>
        <v>436</v>
      </c>
      <c r="C899" s="41" t="s">
        <v>9</v>
      </c>
      <c r="D899" s="41"/>
      <c r="E899" s="41"/>
      <c r="F899" s="41"/>
      <c r="G899" s="41"/>
      <c r="H899" s="41"/>
      <c r="I899" s="42"/>
      <c r="J899" s="41"/>
      <c r="K899" s="41"/>
      <c r="L899" s="43"/>
    </row>
    <row r="900" spans="2:12" outlineLevel="2">
      <c r="B900" s="40">
        <f t="shared" si="27"/>
        <v>437</v>
      </c>
      <c r="C900" s="41" t="s">
        <v>9</v>
      </c>
      <c r="D900" s="41"/>
      <c r="E900" s="41"/>
      <c r="F900" s="41"/>
      <c r="G900" s="41"/>
      <c r="H900" s="41"/>
      <c r="I900" s="42"/>
      <c r="J900" s="41"/>
      <c r="K900" s="41"/>
      <c r="L900" s="43"/>
    </row>
    <row r="901" spans="2:12" outlineLevel="2">
      <c r="B901" s="40">
        <f t="shared" si="27"/>
        <v>438</v>
      </c>
      <c r="C901" s="41" t="s">
        <v>9</v>
      </c>
      <c r="D901" s="41"/>
      <c r="E901" s="41"/>
      <c r="F901" s="41"/>
      <c r="G901" s="41"/>
      <c r="H901" s="41"/>
      <c r="I901" s="42"/>
      <c r="J901" s="41"/>
      <c r="K901" s="41"/>
      <c r="L901" s="43"/>
    </row>
    <row r="902" spans="2:12" outlineLevel="2">
      <c r="B902" s="40">
        <f t="shared" si="27"/>
        <v>439</v>
      </c>
      <c r="C902" s="41" t="s">
        <v>9</v>
      </c>
      <c r="D902" s="41"/>
      <c r="E902" s="41"/>
      <c r="F902" s="41"/>
      <c r="G902" s="41"/>
      <c r="H902" s="41"/>
      <c r="I902" s="42"/>
      <c r="J902" s="41"/>
      <c r="K902" s="41"/>
      <c r="L902" s="43"/>
    </row>
    <row r="903" spans="2:12" outlineLevel="2">
      <c r="B903" s="40">
        <f t="shared" si="27"/>
        <v>440</v>
      </c>
      <c r="C903" s="41" t="s">
        <v>9</v>
      </c>
      <c r="D903" s="41"/>
      <c r="E903" s="41"/>
      <c r="F903" s="41"/>
      <c r="G903" s="41"/>
      <c r="H903" s="41"/>
      <c r="I903" s="42"/>
      <c r="J903" s="41"/>
      <c r="K903" s="41"/>
      <c r="L903" s="43"/>
    </row>
    <row r="904" spans="2:12" outlineLevel="2">
      <c r="B904" s="40">
        <f t="shared" si="27"/>
        <v>441</v>
      </c>
      <c r="C904" s="41" t="s">
        <v>9</v>
      </c>
      <c r="D904" s="41"/>
      <c r="E904" s="41"/>
      <c r="F904" s="41"/>
      <c r="G904" s="41"/>
      <c r="H904" s="41"/>
      <c r="I904" s="42"/>
      <c r="J904" s="41"/>
      <c r="K904" s="41"/>
      <c r="L904" s="43"/>
    </row>
    <row r="905" spans="2:12" outlineLevel="2">
      <c r="B905" s="40">
        <f t="shared" si="27"/>
        <v>442</v>
      </c>
      <c r="C905" s="41" t="s">
        <v>9</v>
      </c>
      <c r="D905" s="41"/>
      <c r="E905" s="41"/>
      <c r="F905" s="41"/>
      <c r="G905" s="41"/>
      <c r="H905" s="41"/>
      <c r="I905" s="42"/>
      <c r="J905" s="41"/>
      <c r="K905" s="41"/>
      <c r="L905" s="43"/>
    </row>
    <row r="906" spans="2:12" outlineLevel="2">
      <c r="B906" s="40">
        <f t="shared" si="27"/>
        <v>443</v>
      </c>
      <c r="C906" s="41" t="s">
        <v>9</v>
      </c>
      <c r="D906" s="41"/>
      <c r="E906" s="41"/>
      <c r="F906" s="41"/>
      <c r="G906" s="41"/>
      <c r="H906" s="41"/>
      <c r="I906" s="42"/>
      <c r="J906" s="41"/>
      <c r="K906" s="41"/>
      <c r="L906" s="43"/>
    </row>
    <row r="907" spans="2:12" outlineLevel="2">
      <c r="B907" s="40">
        <f t="shared" si="27"/>
        <v>444</v>
      </c>
      <c r="C907" s="41" t="s">
        <v>9</v>
      </c>
      <c r="D907" s="41"/>
      <c r="E907" s="41"/>
      <c r="F907" s="41"/>
      <c r="G907" s="41"/>
      <c r="H907" s="41"/>
      <c r="I907" s="42"/>
      <c r="J907" s="41"/>
      <c r="K907" s="41"/>
      <c r="L907" s="43"/>
    </row>
    <row r="908" spans="2:12" outlineLevel="2">
      <c r="B908" s="40">
        <f t="shared" si="27"/>
        <v>445</v>
      </c>
      <c r="C908" s="41" t="s">
        <v>9</v>
      </c>
      <c r="D908" s="41"/>
      <c r="E908" s="41"/>
      <c r="F908" s="41"/>
      <c r="G908" s="41"/>
      <c r="H908" s="41"/>
      <c r="I908" s="42"/>
      <c r="J908" s="41"/>
      <c r="K908" s="41"/>
      <c r="L908" s="43"/>
    </row>
    <row r="909" spans="2:12" outlineLevel="2">
      <c r="B909" s="40">
        <f t="shared" si="27"/>
        <v>446</v>
      </c>
      <c r="C909" s="41" t="s">
        <v>9</v>
      </c>
      <c r="D909" s="41"/>
      <c r="E909" s="41"/>
      <c r="F909" s="41"/>
      <c r="G909" s="41"/>
      <c r="H909" s="41"/>
      <c r="I909" s="42"/>
      <c r="J909" s="41"/>
      <c r="K909" s="41"/>
      <c r="L909" s="43"/>
    </row>
    <row r="910" spans="2:12" outlineLevel="2">
      <c r="B910" s="40">
        <f t="shared" si="27"/>
        <v>447</v>
      </c>
      <c r="C910" s="41" t="s">
        <v>9</v>
      </c>
      <c r="D910" s="41"/>
      <c r="E910" s="41"/>
      <c r="F910" s="41"/>
      <c r="G910" s="41"/>
      <c r="H910" s="41"/>
      <c r="I910" s="42"/>
      <c r="J910" s="41"/>
      <c r="K910" s="41"/>
      <c r="L910" s="43"/>
    </row>
    <row r="911" spans="2:12" outlineLevel="2">
      <c r="B911" s="40">
        <f t="shared" si="27"/>
        <v>448</v>
      </c>
      <c r="C911" s="41" t="s">
        <v>9</v>
      </c>
      <c r="D911" s="41"/>
      <c r="E911" s="41"/>
      <c r="F911" s="41"/>
      <c r="G911" s="41"/>
      <c r="H911" s="41"/>
      <c r="I911" s="42"/>
      <c r="J911" s="41"/>
      <c r="K911" s="41"/>
      <c r="L911" s="43"/>
    </row>
    <row r="912" spans="2:12" outlineLevel="2">
      <c r="B912" s="40">
        <f t="shared" si="27"/>
        <v>449</v>
      </c>
      <c r="C912" s="41" t="s">
        <v>9</v>
      </c>
      <c r="D912" s="41"/>
      <c r="E912" s="41"/>
      <c r="F912" s="41"/>
      <c r="G912" s="41"/>
      <c r="H912" s="41"/>
      <c r="I912" s="42"/>
      <c r="J912" s="41"/>
      <c r="K912" s="41"/>
      <c r="L912" s="43"/>
    </row>
    <row r="913" spans="2:12" outlineLevel="2">
      <c r="B913" s="40">
        <f t="shared" si="27"/>
        <v>450</v>
      </c>
      <c r="C913" s="41" t="s">
        <v>9</v>
      </c>
      <c r="D913" s="41"/>
      <c r="E913" s="41"/>
      <c r="F913" s="41"/>
      <c r="G913" s="41"/>
      <c r="H913" s="41"/>
      <c r="I913" s="42"/>
      <c r="J913" s="41"/>
      <c r="K913" s="41"/>
      <c r="L913" s="43"/>
    </row>
    <row r="914" spans="2:12" outlineLevel="2">
      <c r="B914" s="40">
        <f t="shared" si="27"/>
        <v>451</v>
      </c>
      <c r="C914" s="41" t="s">
        <v>9</v>
      </c>
      <c r="D914" s="41"/>
      <c r="E914" s="41"/>
      <c r="F914" s="41"/>
      <c r="G914" s="41"/>
      <c r="H914" s="41"/>
      <c r="I914" s="42"/>
      <c r="J914" s="41"/>
      <c r="K914" s="41"/>
      <c r="L914" s="43"/>
    </row>
    <row r="915" spans="2:12" outlineLevel="2">
      <c r="B915" s="40">
        <f t="shared" si="27"/>
        <v>452</v>
      </c>
      <c r="C915" s="41" t="s">
        <v>9</v>
      </c>
      <c r="D915" s="41"/>
      <c r="E915" s="41"/>
      <c r="F915" s="41"/>
      <c r="G915" s="41"/>
      <c r="H915" s="41"/>
      <c r="I915" s="42"/>
      <c r="J915" s="41"/>
      <c r="K915" s="41"/>
      <c r="L915" s="43"/>
    </row>
    <row r="916" spans="2:12" outlineLevel="2">
      <c r="B916" s="40">
        <f t="shared" si="27"/>
        <v>453</v>
      </c>
      <c r="C916" s="41" t="s">
        <v>9</v>
      </c>
      <c r="D916" s="41"/>
      <c r="E916" s="41"/>
      <c r="F916" s="41"/>
      <c r="G916" s="41"/>
      <c r="H916" s="41"/>
      <c r="I916" s="42"/>
      <c r="J916" s="41"/>
      <c r="K916" s="41"/>
      <c r="L916" s="43"/>
    </row>
    <row r="917" spans="2:12" outlineLevel="2">
      <c r="B917" s="40">
        <f t="shared" si="27"/>
        <v>454</v>
      </c>
      <c r="C917" s="41" t="s">
        <v>9</v>
      </c>
      <c r="D917" s="41"/>
      <c r="E917" s="41"/>
      <c r="F917" s="41"/>
      <c r="G917" s="41"/>
      <c r="H917" s="41"/>
      <c r="I917" s="42"/>
      <c r="J917" s="41"/>
      <c r="K917" s="41"/>
      <c r="L917" s="43"/>
    </row>
    <row r="918" spans="2:12" outlineLevel="2">
      <c r="B918" s="40">
        <f t="shared" si="27"/>
        <v>455</v>
      </c>
      <c r="C918" s="41" t="s">
        <v>9</v>
      </c>
      <c r="D918" s="41"/>
      <c r="E918" s="41"/>
      <c r="F918" s="41"/>
      <c r="G918" s="41"/>
      <c r="H918" s="41"/>
      <c r="I918" s="42"/>
      <c r="J918" s="41"/>
      <c r="K918" s="41"/>
      <c r="L918" s="43"/>
    </row>
    <row r="919" spans="2:12" outlineLevel="2">
      <c r="B919" s="40">
        <f t="shared" si="27"/>
        <v>456</v>
      </c>
      <c r="C919" s="41" t="s">
        <v>9</v>
      </c>
      <c r="D919" s="41"/>
      <c r="E919" s="41"/>
      <c r="F919" s="41"/>
      <c r="G919" s="41"/>
      <c r="H919" s="41"/>
      <c r="I919" s="42"/>
      <c r="J919" s="41"/>
      <c r="K919" s="41"/>
      <c r="L919" s="43"/>
    </row>
    <row r="920" spans="2:12" outlineLevel="1">
      <c r="B920" s="59" t="s">
        <v>255</v>
      </c>
      <c r="C920" s="41">
        <f>SUBTOTAL(3,C692:C919)</f>
        <v>228</v>
      </c>
      <c r="D920" s="41"/>
      <c r="E920" s="41"/>
      <c r="F920" s="41"/>
      <c r="G920" s="41"/>
      <c r="H920" s="41"/>
      <c r="I920" s="42"/>
      <c r="J920" s="41"/>
      <c r="K920" s="41"/>
      <c r="L920" s="43"/>
    </row>
    <row r="921" spans="2:12" outlineLevel="2">
      <c r="B921" s="40">
        <f t="shared" ref="B921:B952" si="28">ROW(A457)</f>
        <v>457</v>
      </c>
      <c r="C921" s="41" t="s">
        <v>175</v>
      </c>
      <c r="D921" s="41"/>
      <c r="E921" s="41"/>
      <c r="F921" s="41"/>
      <c r="G921" s="41"/>
      <c r="H921" s="41"/>
      <c r="I921" s="42"/>
      <c r="J921" s="41"/>
      <c r="K921" s="41"/>
      <c r="L921" s="43"/>
    </row>
    <row r="922" spans="2:12" outlineLevel="2">
      <c r="B922" s="40">
        <f t="shared" si="28"/>
        <v>458</v>
      </c>
      <c r="C922" s="41" t="s">
        <v>175</v>
      </c>
      <c r="D922" s="41"/>
      <c r="E922" s="41"/>
      <c r="F922" s="41"/>
      <c r="G922" s="41"/>
      <c r="H922" s="41"/>
      <c r="I922" s="42"/>
      <c r="J922" s="41"/>
      <c r="K922" s="41"/>
      <c r="L922" s="43"/>
    </row>
    <row r="923" spans="2:12" outlineLevel="2">
      <c r="B923" s="40">
        <f t="shared" si="28"/>
        <v>459</v>
      </c>
      <c r="C923" s="41" t="s">
        <v>175</v>
      </c>
      <c r="D923" s="41"/>
      <c r="E923" s="41"/>
      <c r="F923" s="41"/>
      <c r="G923" s="41"/>
      <c r="H923" s="41"/>
      <c r="I923" s="42"/>
      <c r="J923" s="41"/>
      <c r="K923" s="41"/>
      <c r="L923" s="43"/>
    </row>
    <row r="924" spans="2:12" outlineLevel="2">
      <c r="B924" s="40">
        <f t="shared" si="28"/>
        <v>460</v>
      </c>
      <c r="C924" s="41" t="s">
        <v>175</v>
      </c>
      <c r="D924" s="41"/>
      <c r="E924" s="41"/>
      <c r="F924" s="41"/>
      <c r="G924" s="41"/>
      <c r="H924" s="41"/>
      <c r="I924" s="42"/>
      <c r="J924" s="41"/>
      <c r="K924" s="41"/>
      <c r="L924" s="43"/>
    </row>
    <row r="925" spans="2:12" outlineLevel="2">
      <c r="B925" s="40">
        <f t="shared" si="28"/>
        <v>461</v>
      </c>
      <c r="C925" s="41" t="s">
        <v>175</v>
      </c>
      <c r="D925" s="41"/>
      <c r="E925" s="41"/>
      <c r="F925" s="41"/>
      <c r="G925" s="41"/>
      <c r="H925" s="41"/>
      <c r="I925" s="42"/>
      <c r="J925" s="41"/>
      <c r="K925" s="41"/>
      <c r="L925" s="43"/>
    </row>
    <row r="926" spans="2:12" outlineLevel="2">
      <c r="B926" s="40">
        <f t="shared" si="28"/>
        <v>462</v>
      </c>
      <c r="C926" s="41" t="s">
        <v>175</v>
      </c>
      <c r="D926" s="41"/>
      <c r="E926" s="41"/>
      <c r="F926" s="41"/>
      <c r="G926" s="41"/>
      <c r="H926" s="41"/>
      <c r="I926" s="42"/>
      <c r="J926" s="41"/>
      <c r="K926" s="41"/>
      <c r="L926" s="43"/>
    </row>
    <row r="927" spans="2:12" outlineLevel="2">
      <c r="B927" s="40">
        <f t="shared" si="28"/>
        <v>463</v>
      </c>
      <c r="C927" s="41" t="s">
        <v>175</v>
      </c>
      <c r="D927" s="41"/>
      <c r="E927" s="41"/>
      <c r="F927" s="41"/>
      <c r="G927" s="41"/>
      <c r="H927" s="41"/>
      <c r="I927" s="42"/>
      <c r="J927" s="41"/>
      <c r="K927" s="41"/>
      <c r="L927" s="43"/>
    </row>
    <row r="928" spans="2:12" outlineLevel="2">
      <c r="B928" s="40">
        <f t="shared" si="28"/>
        <v>464</v>
      </c>
      <c r="C928" s="41" t="s">
        <v>175</v>
      </c>
      <c r="D928" s="41"/>
      <c r="E928" s="41"/>
      <c r="F928" s="41"/>
      <c r="G928" s="41"/>
      <c r="H928" s="41"/>
      <c r="I928" s="42"/>
      <c r="J928" s="41"/>
      <c r="K928" s="41"/>
      <c r="L928" s="43"/>
    </row>
    <row r="929" spans="2:12" outlineLevel="2">
      <c r="B929" s="40">
        <f t="shared" si="28"/>
        <v>465</v>
      </c>
      <c r="C929" s="41" t="s">
        <v>175</v>
      </c>
      <c r="D929" s="41"/>
      <c r="E929" s="41"/>
      <c r="F929" s="41"/>
      <c r="G929" s="41"/>
      <c r="H929" s="41"/>
      <c r="I929" s="42"/>
      <c r="J929" s="41"/>
      <c r="K929" s="41"/>
      <c r="L929" s="43"/>
    </row>
    <row r="930" spans="2:12" outlineLevel="2">
      <c r="B930" s="40">
        <f t="shared" si="28"/>
        <v>466</v>
      </c>
      <c r="C930" s="41" t="s">
        <v>175</v>
      </c>
      <c r="D930" s="41"/>
      <c r="E930" s="41"/>
      <c r="F930" s="41"/>
      <c r="G930" s="41"/>
      <c r="H930" s="41"/>
      <c r="I930" s="42"/>
      <c r="J930" s="41"/>
      <c r="K930" s="41"/>
      <c r="L930" s="43"/>
    </row>
    <row r="931" spans="2:12" outlineLevel="2">
      <c r="B931" s="40">
        <f t="shared" si="28"/>
        <v>467</v>
      </c>
      <c r="C931" s="41" t="s">
        <v>175</v>
      </c>
      <c r="D931" s="41"/>
      <c r="E931" s="41"/>
      <c r="F931" s="41"/>
      <c r="G931" s="41"/>
      <c r="H931" s="41"/>
      <c r="I931" s="42"/>
      <c r="J931" s="41"/>
      <c r="K931" s="41"/>
      <c r="L931" s="43"/>
    </row>
    <row r="932" spans="2:12" outlineLevel="2">
      <c r="B932" s="40">
        <f t="shared" si="28"/>
        <v>468</v>
      </c>
      <c r="C932" s="41" t="s">
        <v>175</v>
      </c>
      <c r="D932" s="41"/>
      <c r="E932" s="41"/>
      <c r="F932" s="41"/>
      <c r="G932" s="41"/>
      <c r="H932" s="41"/>
      <c r="I932" s="42"/>
      <c r="J932" s="41"/>
      <c r="K932" s="41"/>
      <c r="L932" s="43"/>
    </row>
    <row r="933" spans="2:12" outlineLevel="2">
      <c r="B933" s="40">
        <f t="shared" si="28"/>
        <v>469</v>
      </c>
      <c r="C933" s="41" t="s">
        <v>175</v>
      </c>
      <c r="D933" s="41"/>
      <c r="E933" s="41"/>
      <c r="F933" s="41"/>
      <c r="G933" s="41"/>
      <c r="H933" s="41"/>
      <c r="I933" s="42"/>
      <c r="J933" s="41"/>
      <c r="K933" s="41"/>
      <c r="L933" s="43"/>
    </row>
    <row r="934" spans="2:12" outlineLevel="2">
      <c r="B934" s="40">
        <f t="shared" si="28"/>
        <v>470</v>
      </c>
      <c r="C934" s="41" t="s">
        <v>175</v>
      </c>
      <c r="D934" s="41"/>
      <c r="E934" s="41"/>
      <c r="F934" s="41"/>
      <c r="G934" s="41"/>
      <c r="H934" s="41"/>
      <c r="I934" s="42"/>
      <c r="J934" s="41"/>
      <c r="K934" s="41"/>
      <c r="L934" s="43"/>
    </row>
    <row r="935" spans="2:12" outlineLevel="2">
      <c r="B935" s="40">
        <f t="shared" si="28"/>
        <v>471</v>
      </c>
      <c r="C935" s="41" t="s">
        <v>175</v>
      </c>
      <c r="D935" s="41"/>
      <c r="E935" s="41"/>
      <c r="F935" s="41"/>
      <c r="G935" s="41"/>
      <c r="H935" s="41"/>
      <c r="I935" s="42"/>
      <c r="J935" s="41"/>
      <c r="K935" s="41"/>
      <c r="L935" s="43"/>
    </row>
    <row r="936" spans="2:12" outlineLevel="2">
      <c r="B936" s="40">
        <f t="shared" si="28"/>
        <v>472</v>
      </c>
      <c r="C936" s="41" t="s">
        <v>175</v>
      </c>
      <c r="D936" s="41"/>
      <c r="E936" s="41"/>
      <c r="F936" s="41"/>
      <c r="G936" s="41"/>
      <c r="H936" s="41"/>
      <c r="I936" s="42"/>
      <c r="J936" s="41"/>
      <c r="K936" s="41"/>
      <c r="L936" s="43"/>
    </row>
    <row r="937" spans="2:12" outlineLevel="2">
      <c r="B937" s="40">
        <f t="shared" si="28"/>
        <v>473</v>
      </c>
      <c r="C937" s="41" t="s">
        <v>175</v>
      </c>
      <c r="D937" s="41"/>
      <c r="E937" s="41"/>
      <c r="F937" s="41"/>
      <c r="G937" s="41"/>
      <c r="H937" s="41"/>
      <c r="I937" s="42"/>
      <c r="J937" s="41"/>
      <c r="K937" s="41"/>
      <c r="L937" s="43"/>
    </row>
    <row r="938" spans="2:12" outlineLevel="2">
      <c r="B938" s="40">
        <f t="shared" si="28"/>
        <v>474</v>
      </c>
      <c r="C938" s="41" t="s">
        <v>175</v>
      </c>
      <c r="D938" s="41"/>
      <c r="E938" s="41"/>
      <c r="F938" s="41"/>
      <c r="G938" s="41"/>
      <c r="H938" s="41"/>
      <c r="I938" s="42"/>
      <c r="J938" s="41"/>
      <c r="K938" s="41"/>
      <c r="L938" s="43"/>
    </row>
    <row r="939" spans="2:12" outlineLevel="2">
      <c r="B939" s="40">
        <f t="shared" si="28"/>
        <v>475</v>
      </c>
      <c r="C939" s="41" t="s">
        <v>175</v>
      </c>
      <c r="D939" s="41"/>
      <c r="E939" s="41"/>
      <c r="F939" s="41"/>
      <c r="G939" s="41"/>
      <c r="H939" s="41"/>
      <c r="I939" s="42"/>
      <c r="J939" s="41"/>
      <c r="K939" s="41"/>
      <c r="L939" s="43"/>
    </row>
    <row r="940" spans="2:12" outlineLevel="2">
      <c r="B940" s="40">
        <f t="shared" si="28"/>
        <v>476</v>
      </c>
      <c r="C940" s="41" t="s">
        <v>175</v>
      </c>
      <c r="D940" s="41"/>
      <c r="E940" s="41"/>
      <c r="F940" s="41"/>
      <c r="G940" s="41"/>
      <c r="H940" s="41"/>
      <c r="I940" s="42"/>
      <c r="J940" s="41"/>
      <c r="K940" s="41"/>
      <c r="L940" s="43"/>
    </row>
    <row r="941" spans="2:12" outlineLevel="2">
      <c r="B941" s="40">
        <f t="shared" si="28"/>
        <v>477</v>
      </c>
      <c r="C941" s="41" t="s">
        <v>175</v>
      </c>
      <c r="D941" s="41"/>
      <c r="E941" s="41"/>
      <c r="F941" s="41"/>
      <c r="G941" s="41"/>
      <c r="H941" s="41"/>
      <c r="I941" s="42"/>
      <c r="J941" s="41"/>
      <c r="K941" s="41"/>
      <c r="L941" s="43"/>
    </row>
    <row r="942" spans="2:12" outlineLevel="2">
      <c r="B942" s="40">
        <f t="shared" si="28"/>
        <v>478</v>
      </c>
      <c r="C942" s="41" t="s">
        <v>175</v>
      </c>
      <c r="D942" s="41"/>
      <c r="E942" s="41"/>
      <c r="F942" s="41"/>
      <c r="G942" s="41"/>
      <c r="H942" s="41"/>
      <c r="I942" s="42"/>
      <c r="J942" s="41"/>
      <c r="K942" s="41"/>
      <c r="L942" s="43"/>
    </row>
    <row r="943" spans="2:12" outlineLevel="2">
      <c r="B943" s="40">
        <f t="shared" si="28"/>
        <v>479</v>
      </c>
      <c r="C943" s="41" t="s">
        <v>175</v>
      </c>
      <c r="D943" s="41"/>
      <c r="E943" s="41"/>
      <c r="F943" s="41"/>
      <c r="G943" s="41"/>
      <c r="H943" s="41"/>
      <c r="I943" s="42"/>
      <c r="J943" s="41"/>
      <c r="K943" s="41"/>
      <c r="L943" s="43"/>
    </row>
    <row r="944" spans="2:12" outlineLevel="2">
      <c r="B944" s="40">
        <f t="shared" si="28"/>
        <v>480</v>
      </c>
      <c r="C944" s="41" t="s">
        <v>175</v>
      </c>
      <c r="D944" s="41"/>
      <c r="E944" s="41"/>
      <c r="F944" s="41"/>
      <c r="G944" s="41"/>
      <c r="H944" s="41"/>
      <c r="I944" s="42"/>
      <c r="J944" s="41"/>
      <c r="K944" s="41"/>
      <c r="L944" s="43"/>
    </row>
    <row r="945" spans="2:12" outlineLevel="2">
      <c r="B945" s="40">
        <f t="shared" si="28"/>
        <v>481</v>
      </c>
      <c r="C945" s="41" t="s">
        <v>175</v>
      </c>
      <c r="D945" s="41"/>
      <c r="E945" s="41"/>
      <c r="F945" s="41"/>
      <c r="G945" s="41"/>
      <c r="H945" s="41"/>
      <c r="I945" s="42"/>
      <c r="J945" s="41"/>
      <c r="K945" s="41"/>
      <c r="L945" s="43"/>
    </row>
    <row r="946" spans="2:12" outlineLevel="2">
      <c r="B946" s="40">
        <f t="shared" si="28"/>
        <v>482</v>
      </c>
      <c r="C946" s="41" t="s">
        <v>175</v>
      </c>
      <c r="D946" s="41"/>
      <c r="E946" s="41"/>
      <c r="F946" s="41"/>
      <c r="G946" s="41"/>
      <c r="H946" s="41"/>
      <c r="I946" s="42"/>
      <c r="J946" s="41"/>
      <c r="K946" s="41"/>
      <c r="L946" s="43"/>
    </row>
    <row r="947" spans="2:12" outlineLevel="2">
      <c r="B947" s="40">
        <f t="shared" si="28"/>
        <v>483</v>
      </c>
      <c r="C947" s="41" t="s">
        <v>175</v>
      </c>
      <c r="D947" s="41"/>
      <c r="E947" s="41"/>
      <c r="F947" s="41"/>
      <c r="G947" s="41"/>
      <c r="H947" s="41"/>
      <c r="I947" s="42"/>
      <c r="J947" s="41"/>
      <c r="K947" s="41"/>
      <c r="L947" s="43"/>
    </row>
    <row r="948" spans="2:12" outlineLevel="2">
      <c r="B948" s="40">
        <f t="shared" si="28"/>
        <v>484</v>
      </c>
      <c r="C948" s="41" t="s">
        <v>175</v>
      </c>
      <c r="D948" s="41"/>
      <c r="E948" s="41"/>
      <c r="F948" s="41"/>
      <c r="G948" s="41"/>
      <c r="H948" s="41"/>
      <c r="I948" s="42"/>
      <c r="J948" s="41"/>
      <c r="K948" s="41"/>
      <c r="L948" s="43"/>
    </row>
    <row r="949" spans="2:12" outlineLevel="2">
      <c r="B949" s="40">
        <f t="shared" si="28"/>
        <v>485</v>
      </c>
      <c r="C949" s="41" t="s">
        <v>175</v>
      </c>
      <c r="D949" s="41"/>
      <c r="E949" s="41"/>
      <c r="F949" s="41"/>
      <c r="G949" s="41"/>
      <c r="H949" s="41"/>
      <c r="I949" s="42"/>
      <c r="J949" s="41"/>
      <c r="K949" s="41"/>
      <c r="L949" s="43"/>
    </row>
    <row r="950" spans="2:12" outlineLevel="2">
      <c r="B950" s="40">
        <f t="shared" si="28"/>
        <v>486</v>
      </c>
      <c r="C950" s="41" t="s">
        <v>175</v>
      </c>
      <c r="D950" s="41"/>
      <c r="E950" s="41"/>
      <c r="F950" s="41"/>
      <c r="G950" s="41"/>
      <c r="H950" s="41"/>
      <c r="I950" s="42"/>
      <c r="J950" s="41"/>
      <c r="K950" s="41"/>
      <c r="L950" s="43"/>
    </row>
    <row r="951" spans="2:12" outlineLevel="2">
      <c r="B951" s="40">
        <f t="shared" si="28"/>
        <v>487</v>
      </c>
      <c r="C951" s="41" t="s">
        <v>175</v>
      </c>
      <c r="D951" s="41"/>
      <c r="E951" s="41"/>
      <c r="F951" s="41"/>
      <c r="G951" s="41"/>
      <c r="H951" s="41"/>
      <c r="I951" s="42"/>
      <c r="J951" s="41"/>
      <c r="K951" s="41"/>
      <c r="L951" s="43"/>
    </row>
    <row r="952" spans="2:12" outlineLevel="2">
      <c r="B952" s="40">
        <f t="shared" si="28"/>
        <v>488</v>
      </c>
      <c r="C952" s="41" t="s">
        <v>175</v>
      </c>
      <c r="D952" s="41"/>
      <c r="E952" s="41"/>
      <c r="F952" s="41"/>
      <c r="G952" s="41"/>
      <c r="H952" s="41"/>
      <c r="I952" s="42"/>
      <c r="J952" s="41"/>
      <c r="K952" s="41"/>
      <c r="L952" s="43"/>
    </row>
    <row r="953" spans="2:12" outlineLevel="2">
      <c r="B953" s="40">
        <f t="shared" ref="B953:B984" si="29">ROW(A489)</f>
        <v>489</v>
      </c>
      <c r="C953" s="41" t="s">
        <v>175</v>
      </c>
      <c r="D953" s="41"/>
      <c r="E953" s="41"/>
      <c r="F953" s="41"/>
      <c r="G953" s="41"/>
      <c r="H953" s="41"/>
      <c r="I953" s="42"/>
      <c r="J953" s="41"/>
      <c r="K953" s="41"/>
      <c r="L953" s="43"/>
    </row>
    <row r="954" spans="2:12" outlineLevel="2">
      <c r="B954" s="40">
        <f t="shared" si="29"/>
        <v>490</v>
      </c>
      <c r="C954" s="41" t="s">
        <v>175</v>
      </c>
      <c r="D954" s="41"/>
      <c r="E954" s="41"/>
      <c r="F954" s="41"/>
      <c r="G954" s="41"/>
      <c r="H954" s="41"/>
      <c r="I954" s="42"/>
      <c r="J954" s="41"/>
      <c r="K954" s="41"/>
      <c r="L954" s="43"/>
    </row>
    <row r="955" spans="2:12" outlineLevel="2">
      <c r="B955" s="40">
        <f t="shared" si="29"/>
        <v>491</v>
      </c>
      <c r="C955" s="41" t="s">
        <v>175</v>
      </c>
      <c r="D955" s="41"/>
      <c r="E955" s="41"/>
      <c r="F955" s="41"/>
      <c r="G955" s="41"/>
      <c r="H955" s="41"/>
      <c r="I955" s="42"/>
      <c r="J955" s="41"/>
      <c r="K955" s="41"/>
      <c r="L955" s="43"/>
    </row>
    <row r="956" spans="2:12" outlineLevel="2">
      <c r="B956" s="40">
        <f t="shared" si="29"/>
        <v>492</v>
      </c>
      <c r="C956" s="41" t="s">
        <v>175</v>
      </c>
      <c r="D956" s="41"/>
      <c r="E956" s="41"/>
      <c r="F956" s="41"/>
      <c r="G956" s="41"/>
      <c r="H956" s="41"/>
      <c r="I956" s="42"/>
      <c r="J956" s="41"/>
      <c r="K956" s="41"/>
      <c r="L956" s="43"/>
    </row>
    <row r="957" spans="2:12" outlineLevel="2">
      <c r="B957" s="40">
        <f t="shared" si="29"/>
        <v>493</v>
      </c>
      <c r="C957" s="41" t="s">
        <v>175</v>
      </c>
      <c r="D957" s="41"/>
      <c r="E957" s="41"/>
      <c r="F957" s="41"/>
      <c r="G957" s="41"/>
      <c r="H957" s="41"/>
      <c r="I957" s="42"/>
      <c r="J957" s="41"/>
      <c r="K957" s="41"/>
      <c r="L957" s="43"/>
    </row>
    <row r="958" spans="2:12" outlineLevel="2">
      <c r="B958" s="40">
        <f t="shared" si="29"/>
        <v>494</v>
      </c>
      <c r="C958" s="41" t="s">
        <v>175</v>
      </c>
      <c r="D958" s="41"/>
      <c r="E958" s="41"/>
      <c r="F958" s="41"/>
      <c r="G958" s="41"/>
      <c r="H958" s="41"/>
      <c r="I958" s="42"/>
      <c r="J958" s="41"/>
      <c r="K958" s="41"/>
      <c r="L958" s="43"/>
    </row>
    <row r="959" spans="2:12" outlineLevel="2">
      <c r="B959" s="40">
        <f t="shared" si="29"/>
        <v>495</v>
      </c>
      <c r="C959" s="41" t="s">
        <v>175</v>
      </c>
      <c r="D959" s="41"/>
      <c r="E959" s="41"/>
      <c r="F959" s="41"/>
      <c r="G959" s="41"/>
      <c r="H959" s="41"/>
      <c r="I959" s="42"/>
      <c r="J959" s="41"/>
      <c r="K959" s="41"/>
      <c r="L959" s="43"/>
    </row>
    <row r="960" spans="2:12" outlineLevel="2">
      <c r="B960" s="40">
        <f t="shared" si="29"/>
        <v>496</v>
      </c>
      <c r="C960" s="41" t="s">
        <v>175</v>
      </c>
      <c r="D960" s="41"/>
      <c r="E960" s="41"/>
      <c r="F960" s="41"/>
      <c r="G960" s="41"/>
      <c r="H960" s="41"/>
      <c r="I960" s="42"/>
      <c r="J960" s="41"/>
      <c r="K960" s="41"/>
      <c r="L960" s="43"/>
    </row>
    <row r="961" spans="2:12" outlineLevel="2">
      <c r="B961" s="40">
        <f t="shared" si="29"/>
        <v>497</v>
      </c>
      <c r="C961" s="41" t="s">
        <v>175</v>
      </c>
      <c r="D961" s="41"/>
      <c r="E961" s="41"/>
      <c r="F961" s="41"/>
      <c r="G961" s="41"/>
      <c r="H961" s="41"/>
      <c r="I961" s="42"/>
      <c r="J961" s="41"/>
      <c r="K961" s="41"/>
      <c r="L961" s="43"/>
    </row>
    <row r="962" spans="2:12" outlineLevel="2">
      <c r="B962" s="40">
        <f t="shared" si="29"/>
        <v>498</v>
      </c>
      <c r="C962" s="41" t="s">
        <v>175</v>
      </c>
      <c r="D962" s="41"/>
      <c r="E962" s="41"/>
      <c r="F962" s="41"/>
      <c r="G962" s="41"/>
      <c r="H962" s="41"/>
      <c r="I962" s="42"/>
      <c r="J962" s="41"/>
      <c r="K962" s="41"/>
      <c r="L962" s="43"/>
    </row>
    <row r="963" spans="2:12" outlineLevel="2">
      <c r="B963" s="40">
        <f t="shared" si="29"/>
        <v>499</v>
      </c>
      <c r="C963" s="41" t="s">
        <v>175</v>
      </c>
      <c r="D963" s="41"/>
      <c r="E963" s="41"/>
      <c r="F963" s="41"/>
      <c r="G963" s="41"/>
      <c r="H963" s="41"/>
      <c r="I963" s="42"/>
      <c r="J963" s="41"/>
      <c r="K963" s="41"/>
      <c r="L963" s="43"/>
    </row>
    <row r="964" spans="2:12" outlineLevel="2">
      <c r="B964" s="40">
        <f t="shared" si="29"/>
        <v>500</v>
      </c>
      <c r="C964" s="41" t="s">
        <v>175</v>
      </c>
      <c r="D964" s="41"/>
      <c r="E964" s="41"/>
      <c r="F964" s="41"/>
      <c r="G964" s="41"/>
      <c r="H964" s="41"/>
      <c r="I964" s="42"/>
      <c r="J964" s="41"/>
      <c r="K964" s="41"/>
      <c r="L964" s="43"/>
    </row>
    <row r="965" spans="2:12" outlineLevel="2">
      <c r="B965" s="40">
        <f t="shared" si="29"/>
        <v>501</v>
      </c>
      <c r="C965" s="41" t="s">
        <v>175</v>
      </c>
      <c r="D965" s="41"/>
      <c r="E965" s="41"/>
      <c r="F965" s="41"/>
      <c r="G965" s="41"/>
      <c r="H965" s="41"/>
      <c r="I965" s="42"/>
      <c r="J965" s="41"/>
      <c r="K965" s="41"/>
      <c r="L965" s="43"/>
    </row>
    <row r="966" spans="2:12" outlineLevel="2">
      <c r="B966" s="40">
        <f t="shared" si="29"/>
        <v>502</v>
      </c>
      <c r="C966" s="41" t="s">
        <v>175</v>
      </c>
      <c r="D966" s="41"/>
      <c r="E966" s="41"/>
      <c r="F966" s="41"/>
      <c r="G966" s="41"/>
      <c r="H966" s="41"/>
      <c r="I966" s="42"/>
      <c r="J966" s="41"/>
      <c r="K966" s="41"/>
      <c r="L966" s="43"/>
    </row>
    <row r="967" spans="2:12" outlineLevel="2">
      <c r="B967" s="40">
        <f t="shared" si="29"/>
        <v>503</v>
      </c>
      <c r="C967" s="41" t="s">
        <v>175</v>
      </c>
      <c r="D967" s="41"/>
      <c r="E967" s="41"/>
      <c r="F967" s="41"/>
      <c r="G967" s="41"/>
      <c r="H967" s="41"/>
      <c r="I967" s="42"/>
      <c r="J967" s="41"/>
      <c r="K967" s="41"/>
      <c r="L967" s="43"/>
    </row>
    <row r="968" spans="2:12" outlineLevel="2">
      <c r="B968" s="40">
        <f t="shared" si="29"/>
        <v>504</v>
      </c>
      <c r="C968" s="41" t="s">
        <v>175</v>
      </c>
      <c r="D968" s="41"/>
      <c r="E968" s="41"/>
      <c r="F968" s="41"/>
      <c r="G968" s="41"/>
      <c r="H968" s="41"/>
      <c r="I968" s="42"/>
      <c r="J968" s="41"/>
      <c r="K968" s="41"/>
      <c r="L968" s="43"/>
    </row>
    <row r="969" spans="2:12" outlineLevel="2">
      <c r="B969" s="40">
        <f t="shared" si="29"/>
        <v>505</v>
      </c>
      <c r="C969" s="41" t="s">
        <v>175</v>
      </c>
      <c r="D969" s="41"/>
      <c r="E969" s="41"/>
      <c r="F969" s="41"/>
      <c r="G969" s="41"/>
      <c r="H969" s="41"/>
      <c r="I969" s="42"/>
      <c r="J969" s="41"/>
      <c r="K969" s="41"/>
      <c r="L969" s="43"/>
    </row>
    <row r="970" spans="2:12" outlineLevel="2">
      <c r="B970" s="40">
        <f t="shared" si="29"/>
        <v>506</v>
      </c>
      <c r="C970" s="41" t="s">
        <v>175</v>
      </c>
      <c r="D970" s="41"/>
      <c r="E970" s="41"/>
      <c r="F970" s="41"/>
      <c r="G970" s="41"/>
      <c r="H970" s="41"/>
      <c r="I970" s="42"/>
      <c r="J970" s="41"/>
      <c r="K970" s="41"/>
      <c r="L970" s="43"/>
    </row>
    <row r="971" spans="2:12" outlineLevel="2">
      <c r="B971" s="40">
        <f t="shared" si="29"/>
        <v>507</v>
      </c>
      <c r="C971" s="41" t="s">
        <v>175</v>
      </c>
      <c r="D971" s="41"/>
      <c r="E971" s="41"/>
      <c r="F971" s="41"/>
      <c r="G971" s="41"/>
      <c r="H971" s="41"/>
      <c r="I971" s="42"/>
      <c r="J971" s="41"/>
      <c r="K971" s="41"/>
      <c r="L971" s="43"/>
    </row>
    <row r="972" spans="2:12" outlineLevel="2">
      <c r="B972" s="40">
        <f t="shared" si="29"/>
        <v>508</v>
      </c>
      <c r="C972" s="41" t="s">
        <v>175</v>
      </c>
      <c r="D972" s="41"/>
      <c r="E972" s="41"/>
      <c r="F972" s="41"/>
      <c r="G972" s="41"/>
      <c r="H972" s="41"/>
      <c r="I972" s="42"/>
      <c r="J972" s="41"/>
      <c r="K972" s="41"/>
      <c r="L972" s="43"/>
    </row>
    <row r="973" spans="2:12" outlineLevel="2">
      <c r="B973" s="40">
        <f t="shared" si="29"/>
        <v>509</v>
      </c>
      <c r="C973" s="41" t="s">
        <v>175</v>
      </c>
      <c r="D973" s="41"/>
      <c r="E973" s="41"/>
      <c r="F973" s="41"/>
      <c r="G973" s="41"/>
      <c r="H973" s="41"/>
      <c r="I973" s="42"/>
      <c r="J973" s="41"/>
      <c r="K973" s="41"/>
      <c r="L973" s="43"/>
    </row>
    <row r="974" spans="2:12" outlineLevel="2">
      <c r="B974" s="40">
        <f t="shared" si="29"/>
        <v>510</v>
      </c>
      <c r="C974" s="41" t="s">
        <v>175</v>
      </c>
      <c r="D974" s="41"/>
      <c r="E974" s="41"/>
      <c r="F974" s="41"/>
      <c r="G974" s="41"/>
      <c r="H974" s="41"/>
      <c r="I974" s="42"/>
      <c r="J974" s="41"/>
      <c r="K974" s="41"/>
      <c r="L974" s="43"/>
    </row>
    <row r="975" spans="2:12" outlineLevel="2">
      <c r="B975" s="40">
        <f t="shared" si="29"/>
        <v>511</v>
      </c>
      <c r="C975" s="41" t="s">
        <v>175</v>
      </c>
      <c r="D975" s="41"/>
      <c r="E975" s="41"/>
      <c r="F975" s="41"/>
      <c r="G975" s="41"/>
      <c r="H975" s="41"/>
      <c r="I975" s="42"/>
      <c r="J975" s="41"/>
      <c r="K975" s="41"/>
      <c r="L975" s="43"/>
    </row>
    <row r="976" spans="2:12" outlineLevel="2">
      <c r="B976" s="40">
        <f t="shared" si="29"/>
        <v>512</v>
      </c>
      <c r="C976" s="41" t="s">
        <v>175</v>
      </c>
      <c r="D976" s="41"/>
      <c r="E976" s="41"/>
      <c r="F976" s="41"/>
      <c r="G976" s="41"/>
      <c r="H976" s="41"/>
      <c r="I976" s="42"/>
      <c r="J976" s="41"/>
      <c r="K976" s="41"/>
      <c r="L976" s="43"/>
    </row>
    <row r="977" spans="2:12" outlineLevel="2">
      <c r="B977" s="40">
        <f t="shared" si="29"/>
        <v>513</v>
      </c>
      <c r="C977" s="41" t="s">
        <v>175</v>
      </c>
      <c r="D977" s="41"/>
      <c r="E977" s="41"/>
      <c r="F977" s="41"/>
      <c r="G977" s="41"/>
      <c r="H977" s="41"/>
      <c r="I977" s="42"/>
      <c r="J977" s="41"/>
      <c r="K977" s="41"/>
      <c r="L977" s="43"/>
    </row>
    <row r="978" spans="2:12" outlineLevel="2">
      <c r="B978" s="40">
        <f t="shared" si="29"/>
        <v>514</v>
      </c>
      <c r="C978" s="41" t="s">
        <v>175</v>
      </c>
      <c r="D978" s="41"/>
      <c r="E978" s="41"/>
      <c r="F978" s="41"/>
      <c r="G978" s="41"/>
      <c r="H978" s="41"/>
      <c r="I978" s="42"/>
      <c r="J978" s="41"/>
      <c r="K978" s="41"/>
      <c r="L978" s="43"/>
    </row>
    <row r="979" spans="2:12" outlineLevel="2">
      <c r="B979" s="40">
        <f t="shared" si="29"/>
        <v>515</v>
      </c>
      <c r="C979" s="41" t="s">
        <v>175</v>
      </c>
      <c r="D979" s="41"/>
      <c r="E979" s="41"/>
      <c r="F979" s="41"/>
      <c r="G979" s="41"/>
      <c r="H979" s="41"/>
      <c r="I979" s="42"/>
      <c r="J979" s="41"/>
      <c r="K979" s="41"/>
      <c r="L979" s="43"/>
    </row>
    <row r="980" spans="2:12" outlineLevel="2">
      <c r="B980" s="40">
        <f t="shared" si="29"/>
        <v>516</v>
      </c>
      <c r="C980" s="41" t="s">
        <v>175</v>
      </c>
      <c r="D980" s="41"/>
      <c r="E980" s="41"/>
      <c r="F980" s="41"/>
      <c r="G980" s="41"/>
      <c r="H980" s="41"/>
      <c r="I980" s="42"/>
      <c r="J980" s="41"/>
      <c r="K980" s="41"/>
      <c r="L980" s="43"/>
    </row>
    <row r="981" spans="2:12" outlineLevel="2">
      <c r="B981" s="40">
        <f t="shared" si="29"/>
        <v>517</v>
      </c>
      <c r="C981" s="41" t="s">
        <v>175</v>
      </c>
      <c r="D981" s="41"/>
      <c r="E981" s="41"/>
      <c r="F981" s="41"/>
      <c r="G981" s="41"/>
      <c r="H981" s="41"/>
      <c r="I981" s="42"/>
      <c r="J981" s="41"/>
      <c r="K981" s="41"/>
      <c r="L981" s="43"/>
    </row>
    <row r="982" spans="2:12" outlineLevel="2">
      <c r="B982" s="40">
        <f t="shared" si="29"/>
        <v>518</v>
      </c>
      <c r="C982" s="41" t="s">
        <v>175</v>
      </c>
      <c r="D982" s="41"/>
      <c r="E982" s="41"/>
      <c r="F982" s="41"/>
      <c r="G982" s="41"/>
      <c r="H982" s="41"/>
      <c r="I982" s="42"/>
      <c r="J982" s="41"/>
      <c r="K982" s="41"/>
      <c r="L982" s="43"/>
    </row>
    <row r="983" spans="2:12" outlineLevel="2">
      <c r="B983" s="40">
        <f t="shared" si="29"/>
        <v>519</v>
      </c>
      <c r="C983" s="41" t="s">
        <v>175</v>
      </c>
      <c r="D983" s="41"/>
      <c r="E983" s="41"/>
      <c r="F983" s="41"/>
      <c r="G983" s="41"/>
      <c r="H983" s="41"/>
      <c r="I983" s="42"/>
      <c r="J983" s="41"/>
      <c r="K983" s="41"/>
      <c r="L983" s="43"/>
    </row>
    <row r="984" spans="2:12" outlineLevel="2">
      <c r="B984" s="40">
        <f t="shared" si="29"/>
        <v>520</v>
      </c>
      <c r="C984" s="41" t="s">
        <v>175</v>
      </c>
      <c r="D984" s="41"/>
      <c r="E984" s="41"/>
      <c r="F984" s="41"/>
      <c r="G984" s="41"/>
      <c r="H984" s="41"/>
      <c r="I984" s="42"/>
      <c r="J984" s="41"/>
      <c r="K984" s="41"/>
      <c r="L984" s="43"/>
    </row>
    <row r="985" spans="2:12" outlineLevel="2">
      <c r="B985" s="40">
        <f t="shared" ref="B985" si="30">ROW(A521)</f>
        <v>521</v>
      </c>
      <c r="C985" s="41" t="s">
        <v>175</v>
      </c>
      <c r="D985" s="41"/>
      <c r="E985" s="41"/>
      <c r="F985" s="41"/>
      <c r="G985" s="41"/>
      <c r="H985" s="41"/>
      <c r="I985" s="42"/>
      <c r="J985" s="41"/>
      <c r="K985" s="41"/>
      <c r="L985" s="43"/>
    </row>
    <row r="986" spans="2:12" outlineLevel="2">
      <c r="B986" s="35">
        <f t="shared" ref="B986:B1017" si="31">(B985+1)</f>
        <v>522</v>
      </c>
      <c r="C986" s="41" t="s">
        <v>175</v>
      </c>
      <c r="D986" s="41"/>
      <c r="E986" s="41"/>
      <c r="F986" s="41"/>
      <c r="G986" s="41"/>
      <c r="H986" s="41"/>
      <c r="I986" s="42"/>
      <c r="J986" s="41"/>
      <c r="K986" s="41"/>
      <c r="L986" s="43"/>
    </row>
    <row r="987" spans="2:12" outlineLevel="2">
      <c r="B987" s="35">
        <f t="shared" si="31"/>
        <v>523</v>
      </c>
      <c r="C987" s="41" t="s">
        <v>175</v>
      </c>
      <c r="D987" s="41"/>
      <c r="E987" s="41"/>
      <c r="F987" s="41"/>
      <c r="G987" s="41"/>
      <c r="H987" s="41"/>
      <c r="I987" s="42"/>
      <c r="J987" s="41"/>
      <c r="K987" s="41"/>
      <c r="L987" s="43"/>
    </row>
    <row r="988" spans="2:12" outlineLevel="2">
      <c r="B988" s="35">
        <f t="shared" si="31"/>
        <v>524</v>
      </c>
      <c r="C988" s="41" t="s">
        <v>175</v>
      </c>
      <c r="D988" s="41"/>
      <c r="E988" s="41"/>
      <c r="F988" s="41"/>
      <c r="G988" s="41"/>
      <c r="H988" s="41"/>
      <c r="I988" s="42"/>
      <c r="J988" s="41"/>
      <c r="K988" s="41"/>
      <c r="L988" s="43"/>
    </row>
    <row r="989" spans="2:12" outlineLevel="2">
      <c r="B989" s="35">
        <f t="shared" si="31"/>
        <v>525</v>
      </c>
      <c r="C989" s="41" t="s">
        <v>175</v>
      </c>
      <c r="D989" s="41"/>
      <c r="E989" s="41"/>
      <c r="F989" s="41"/>
      <c r="G989" s="41"/>
      <c r="H989" s="41"/>
      <c r="I989" s="42"/>
      <c r="J989" s="41"/>
      <c r="K989" s="41"/>
      <c r="L989" s="43"/>
    </row>
    <row r="990" spans="2:12" outlineLevel="2">
      <c r="B990" s="35">
        <f t="shared" si="31"/>
        <v>526</v>
      </c>
      <c r="C990" s="41" t="s">
        <v>175</v>
      </c>
      <c r="D990" s="41"/>
      <c r="E990" s="41"/>
      <c r="F990" s="41"/>
      <c r="G990" s="41"/>
      <c r="H990" s="41"/>
      <c r="I990" s="42"/>
      <c r="J990" s="41"/>
      <c r="K990" s="41"/>
      <c r="L990" s="43"/>
    </row>
    <row r="991" spans="2:12" outlineLevel="2">
      <c r="B991" s="35">
        <f t="shared" si="31"/>
        <v>527</v>
      </c>
      <c r="C991" s="41" t="s">
        <v>175</v>
      </c>
      <c r="D991" s="41"/>
      <c r="E991" s="41"/>
      <c r="F991" s="41"/>
      <c r="G991" s="41"/>
      <c r="H991" s="41"/>
      <c r="I991" s="42"/>
      <c r="J991" s="41"/>
      <c r="K991" s="41"/>
      <c r="L991" s="43"/>
    </row>
    <row r="992" spans="2:12" outlineLevel="2">
      <c r="B992" s="35">
        <f t="shared" si="31"/>
        <v>528</v>
      </c>
      <c r="C992" s="41" t="s">
        <v>175</v>
      </c>
      <c r="D992" s="41"/>
      <c r="E992" s="41"/>
      <c r="F992" s="41"/>
      <c r="G992" s="41"/>
      <c r="H992" s="41"/>
      <c r="I992" s="42"/>
      <c r="J992" s="41"/>
      <c r="K992" s="41"/>
      <c r="L992" s="43"/>
    </row>
    <row r="993" spans="2:12" outlineLevel="2">
      <c r="B993" s="35">
        <f t="shared" si="31"/>
        <v>529</v>
      </c>
      <c r="C993" s="41" t="s">
        <v>175</v>
      </c>
      <c r="D993" s="41"/>
      <c r="E993" s="41"/>
      <c r="F993" s="41"/>
      <c r="G993" s="41"/>
      <c r="H993" s="41"/>
      <c r="I993" s="42"/>
      <c r="J993" s="41"/>
      <c r="K993" s="41"/>
      <c r="L993" s="43"/>
    </row>
    <row r="994" spans="2:12" outlineLevel="2">
      <c r="B994" s="35">
        <f t="shared" si="31"/>
        <v>530</v>
      </c>
      <c r="C994" s="41" t="s">
        <v>175</v>
      </c>
      <c r="D994" s="41"/>
      <c r="E994" s="41"/>
      <c r="F994" s="41"/>
      <c r="G994" s="41"/>
      <c r="H994" s="41"/>
      <c r="I994" s="42"/>
      <c r="J994" s="41"/>
      <c r="K994" s="41"/>
      <c r="L994" s="43"/>
    </row>
    <row r="995" spans="2:12" outlineLevel="2">
      <c r="B995" s="35">
        <f t="shared" si="31"/>
        <v>531</v>
      </c>
      <c r="C995" s="41" t="s">
        <v>175</v>
      </c>
      <c r="D995" s="41"/>
      <c r="E995" s="41"/>
      <c r="F995" s="41"/>
      <c r="G995" s="41"/>
      <c r="H995" s="41"/>
      <c r="I995" s="42"/>
      <c r="J995" s="41"/>
      <c r="K995" s="41"/>
      <c r="L995" s="43"/>
    </row>
    <row r="996" spans="2:12" outlineLevel="2">
      <c r="B996" s="35">
        <f t="shared" si="31"/>
        <v>532</v>
      </c>
      <c r="C996" s="41" t="s">
        <v>175</v>
      </c>
      <c r="D996" s="41"/>
      <c r="E996" s="41"/>
      <c r="F996" s="41"/>
      <c r="G996" s="41"/>
      <c r="H996" s="41"/>
      <c r="I996" s="42"/>
      <c r="J996" s="41"/>
      <c r="K996" s="41"/>
      <c r="L996" s="43"/>
    </row>
    <row r="997" spans="2:12" outlineLevel="2">
      <c r="B997" s="35">
        <f t="shared" si="31"/>
        <v>533</v>
      </c>
      <c r="C997" s="41" t="s">
        <v>175</v>
      </c>
      <c r="D997" s="41"/>
      <c r="E997" s="41"/>
      <c r="F997" s="41"/>
      <c r="G997" s="41"/>
      <c r="H997" s="41"/>
      <c r="I997" s="42"/>
      <c r="J997" s="41"/>
      <c r="K997" s="41"/>
      <c r="L997" s="43"/>
    </row>
    <row r="998" spans="2:12" outlineLevel="2">
      <c r="B998" s="35">
        <f t="shared" si="31"/>
        <v>534</v>
      </c>
      <c r="C998" s="41" t="s">
        <v>175</v>
      </c>
      <c r="D998" s="41"/>
      <c r="E998" s="41"/>
      <c r="F998" s="41"/>
      <c r="G998" s="41"/>
      <c r="H998" s="41"/>
      <c r="I998" s="42"/>
      <c r="J998" s="41"/>
      <c r="K998" s="41"/>
      <c r="L998" s="43"/>
    </row>
    <row r="999" spans="2:12" outlineLevel="2">
      <c r="B999" s="35">
        <f t="shared" si="31"/>
        <v>535</v>
      </c>
      <c r="C999" s="41" t="s">
        <v>175</v>
      </c>
      <c r="D999" s="41"/>
      <c r="E999" s="41"/>
      <c r="F999" s="41"/>
      <c r="G999" s="41"/>
      <c r="H999" s="41"/>
      <c r="I999" s="42"/>
      <c r="J999" s="41"/>
      <c r="K999" s="41"/>
      <c r="L999" s="43"/>
    </row>
    <row r="1000" spans="2:12" outlineLevel="2">
      <c r="B1000" s="35">
        <f t="shared" si="31"/>
        <v>536</v>
      </c>
      <c r="C1000" s="41" t="s">
        <v>175</v>
      </c>
      <c r="D1000" s="41"/>
      <c r="E1000" s="41"/>
      <c r="F1000" s="41"/>
      <c r="G1000" s="41"/>
      <c r="H1000" s="41"/>
      <c r="I1000" s="42"/>
      <c r="J1000" s="41"/>
      <c r="K1000" s="41"/>
      <c r="L1000" s="43"/>
    </row>
    <row r="1001" spans="2:12" outlineLevel="2">
      <c r="B1001" s="35">
        <f t="shared" si="31"/>
        <v>537</v>
      </c>
      <c r="C1001" s="41" t="s">
        <v>175</v>
      </c>
      <c r="D1001" s="41"/>
      <c r="E1001" s="41"/>
      <c r="F1001" s="41"/>
      <c r="G1001" s="41"/>
      <c r="H1001" s="41"/>
      <c r="I1001" s="42"/>
      <c r="J1001" s="41"/>
      <c r="K1001" s="41"/>
      <c r="L1001" s="43"/>
    </row>
    <row r="1002" spans="2:12" outlineLevel="2">
      <c r="B1002" s="35">
        <f t="shared" si="31"/>
        <v>538</v>
      </c>
      <c r="C1002" s="41" t="s">
        <v>175</v>
      </c>
      <c r="D1002" s="41"/>
      <c r="E1002" s="41"/>
      <c r="F1002" s="41"/>
      <c r="G1002" s="41"/>
      <c r="H1002" s="41"/>
      <c r="I1002" s="42"/>
      <c r="J1002" s="41"/>
      <c r="K1002" s="41"/>
      <c r="L1002" s="43"/>
    </row>
    <row r="1003" spans="2:12" outlineLevel="2">
      <c r="B1003" s="35">
        <f t="shared" si="31"/>
        <v>539</v>
      </c>
      <c r="C1003" s="41" t="s">
        <v>175</v>
      </c>
      <c r="D1003" s="41"/>
      <c r="E1003" s="41"/>
      <c r="F1003" s="41"/>
      <c r="G1003" s="41"/>
      <c r="H1003" s="41"/>
      <c r="I1003" s="42"/>
      <c r="J1003" s="41"/>
      <c r="K1003" s="41"/>
      <c r="L1003" s="43"/>
    </row>
    <row r="1004" spans="2:12" outlineLevel="2">
      <c r="B1004" s="35">
        <f t="shared" si="31"/>
        <v>540</v>
      </c>
      <c r="C1004" s="41" t="s">
        <v>175</v>
      </c>
      <c r="D1004" s="41"/>
      <c r="E1004" s="41"/>
      <c r="F1004" s="41"/>
      <c r="G1004" s="41"/>
      <c r="H1004" s="41"/>
      <c r="I1004" s="42"/>
      <c r="J1004" s="41"/>
      <c r="K1004" s="41"/>
      <c r="L1004" s="43"/>
    </row>
    <row r="1005" spans="2:12" outlineLevel="2">
      <c r="B1005" s="35">
        <f t="shared" si="31"/>
        <v>541</v>
      </c>
      <c r="C1005" s="41" t="s">
        <v>175</v>
      </c>
      <c r="D1005" s="41"/>
      <c r="E1005" s="41"/>
      <c r="F1005" s="41"/>
      <c r="G1005" s="41"/>
      <c r="H1005" s="41"/>
      <c r="I1005" s="42"/>
      <c r="J1005" s="41"/>
      <c r="K1005" s="41"/>
      <c r="L1005" s="43"/>
    </row>
    <row r="1006" spans="2:12" outlineLevel="2">
      <c r="B1006" s="35">
        <f t="shared" si="31"/>
        <v>542</v>
      </c>
      <c r="C1006" s="41" t="s">
        <v>175</v>
      </c>
      <c r="D1006" s="41"/>
      <c r="E1006" s="41"/>
      <c r="F1006" s="41"/>
      <c r="G1006" s="41"/>
      <c r="H1006" s="41"/>
      <c r="I1006" s="42"/>
      <c r="J1006" s="41"/>
      <c r="K1006" s="41"/>
      <c r="L1006" s="43"/>
    </row>
    <row r="1007" spans="2:12" outlineLevel="2">
      <c r="B1007" s="35">
        <f t="shared" si="31"/>
        <v>543</v>
      </c>
      <c r="C1007" s="41" t="s">
        <v>175</v>
      </c>
      <c r="D1007" s="41"/>
      <c r="E1007" s="41"/>
      <c r="F1007" s="41"/>
      <c r="G1007" s="41"/>
      <c r="H1007" s="41"/>
      <c r="I1007" s="42"/>
      <c r="J1007" s="41"/>
      <c r="K1007" s="41"/>
      <c r="L1007" s="43"/>
    </row>
    <row r="1008" spans="2:12" outlineLevel="2">
      <c r="B1008" s="35">
        <f t="shared" si="31"/>
        <v>544</v>
      </c>
      <c r="C1008" s="41" t="s">
        <v>175</v>
      </c>
      <c r="D1008" s="41"/>
      <c r="E1008" s="41"/>
      <c r="F1008" s="41"/>
      <c r="G1008" s="41"/>
      <c r="H1008" s="41"/>
      <c r="I1008" s="42"/>
      <c r="J1008" s="41"/>
      <c r="K1008" s="41"/>
      <c r="L1008" s="43"/>
    </row>
    <row r="1009" spans="2:12" outlineLevel="2">
      <c r="B1009" s="35">
        <f t="shared" si="31"/>
        <v>545</v>
      </c>
      <c r="C1009" s="41" t="s">
        <v>175</v>
      </c>
      <c r="D1009" s="41"/>
      <c r="E1009" s="41"/>
      <c r="F1009" s="41"/>
      <c r="G1009" s="41"/>
      <c r="H1009" s="41"/>
      <c r="I1009" s="42"/>
      <c r="J1009" s="41"/>
      <c r="K1009" s="41"/>
      <c r="L1009" s="43"/>
    </row>
    <row r="1010" spans="2:12" outlineLevel="2">
      <c r="B1010" s="35">
        <f t="shared" si="31"/>
        <v>546</v>
      </c>
      <c r="C1010" s="41" t="s">
        <v>175</v>
      </c>
      <c r="D1010" s="41"/>
      <c r="E1010" s="41"/>
      <c r="F1010" s="41"/>
      <c r="G1010" s="41"/>
      <c r="H1010" s="41"/>
      <c r="I1010" s="42"/>
      <c r="J1010" s="41"/>
      <c r="K1010" s="41"/>
      <c r="L1010" s="43"/>
    </row>
    <row r="1011" spans="2:12" outlineLevel="2">
      <c r="B1011" s="35">
        <f t="shared" si="31"/>
        <v>547</v>
      </c>
      <c r="C1011" s="41" t="s">
        <v>175</v>
      </c>
      <c r="D1011" s="41"/>
      <c r="E1011" s="41"/>
      <c r="F1011" s="41"/>
      <c r="G1011" s="41"/>
      <c r="H1011" s="41"/>
      <c r="I1011" s="42"/>
      <c r="J1011" s="41"/>
      <c r="K1011" s="41"/>
      <c r="L1011" s="43"/>
    </row>
    <row r="1012" spans="2:12" outlineLevel="2">
      <c r="B1012" s="35">
        <f t="shared" si="31"/>
        <v>548</v>
      </c>
      <c r="C1012" s="41" t="s">
        <v>175</v>
      </c>
      <c r="D1012" s="41"/>
      <c r="E1012" s="41"/>
      <c r="F1012" s="41"/>
      <c r="G1012" s="41"/>
      <c r="H1012" s="41"/>
      <c r="I1012" s="42"/>
      <c r="J1012" s="41"/>
      <c r="K1012" s="41"/>
      <c r="L1012" s="43"/>
    </row>
    <row r="1013" spans="2:12" outlineLevel="2">
      <c r="B1013" s="35">
        <f t="shared" si="31"/>
        <v>549</v>
      </c>
      <c r="C1013" s="41" t="s">
        <v>175</v>
      </c>
      <c r="D1013" s="41"/>
      <c r="E1013" s="41"/>
      <c r="F1013" s="41"/>
      <c r="G1013" s="41"/>
      <c r="H1013" s="41"/>
      <c r="I1013" s="42"/>
      <c r="J1013" s="41"/>
      <c r="K1013" s="41"/>
      <c r="L1013" s="43"/>
    </row>
    <row r="1014" spans="2:12" outlineLevel="2">
      <c r="B1014" s="35">
        <f t="shared" si="31"/>
        <v>550</v>
      </c>
      <c r="C1014" s="41" t="s">
        <v>175</v>
      </c>
      <c r="D1014" s="41"/>
      <c r="E1014" s="41"/>
      <c r="F1014" s="41"/>
      <c r="G1014" s="41"/>
      <c r="H1014" s="41"/>
      <c r="I1014" s="42"/>
      <c r="J1014" s="41"/>
      <c r="K1014" s="41"/>
      <c r="L1014" s="43"/>
    </row>
    <row r="1015" spans="2:12" outlineLevel="2">
      <c r="B1015" s="35">
        <f t="shared" si="31"/>
        <v>551</v>
      </c>
      <c r="C1015" s="41" t="s">
        <v>175</v>
      </c>
      <c r="D1015" s="41"/>
      <c r="E1015" s="41"/>
      <c r="F1015" s="41"/>
      <c r="G1015" s="41"/>
      <c r="H1015" s="41"/>
      <c r="I1015" s="42"/>
      <c r="J1015" s="41"/>
      <c r="K1015" s="41"/>
      <c r="L1015" s="43"/>
    </row>
    <row r="1016" spans="2:12" outlineLevel="2">
      <c r="B1016" s="35">
        <f t="shared" si="31"/>
        <v>552</v>
      </c>
      <c r="C1016" s="41" t="s">
        <v>175</v>
      </c>
      <c r="D1016" s="41"/>
      <c r="E1016" s="41"/>
      <c r="F1016" s="41"/>
      <c r="G1016" s="41"/>
      <c r="H1016" s="41"/>
      <c r="I1016" s="42"/>
      <c r="J1016" s="41"/>
      <c r="K1016" s="41"/>
      <c r="L1016" s="43"/>
    </row>
    <row r="1017" spans="2:12" outlineLevel="2">
      <c r="B1017" s="35">
        <f t="shared" si="31"/>
        <v>553</v>
      </c>
      <c r="C1017" s="41" t="s">
        <v>175</v>
      </c>
      <c r="D1017" s="41"/>
      <c r="E1017" s="41"/>
      <c r="F1017" s="41"/>
      <c r="G1017" s="41"/>
      <c r="H1017" s="41"/>
      <c r="I1017" s="42"/>
      <c r="J1017" s="41"/>
      <c r="K1017" s="41"/>
      <c r="L1017" s="43"/>
    </row>
    <row r="1018" spans="2:12" outlineLevel="2">
      <c r="B1018" s="35">
        <f t="shared" ref="B1018:B1049" si="32">(B1017+1)</f>
        <v>554</v>
      </c>
      <c r="C1018" s="41" t="s">
        <v>175</v>
      </c>
      <c r="D1018" s="41"/>
      <c r="E1018" s="41"/>
      <c r="F1018" s="41"/>
      <c r="G1018" s="41"/>
      <c r="H1018" s="41"/>
      <c r="I1018" s="42"/>
      <c r="J1018" s="41"/>
      <c r="K1018" s="41"/>
      <c r="L1018" s="43"/>
    </row>
    <row r="1019" spans="2:12" outlineLevel="2">
      <c r="B1019" s="35">
        <f t="shared" si="32"/>
        <v>555</v>
      </c>
      <c r="C1019" s="41" t="s">
        <v>175</v>
      </c>
      <c r="D1019" s="41"/>
      <c r="E1019" s="41"/>
      <c r="F1019" s="41"/>
      <c r="G1019" s="41"/>
      <c r="H1019" s="41"/>
      <c r="I1019" s="42"/>
      <c r="J1019" s="41"/>
      <c r="K1019" s="41"/>
      <c r="L1019" s="43"/>
    </row>
    <row r="1020" spans="2:12" outlineLevel="2">
      <c r="B1020" s="35">
        <f t="shared" si="32"/>
        <v>556</v>
      </c>
      <c r="C1020" s="41" t="s">
        <v>175</v>
      </c>
      <c r="D1020" s="41"/>
      <c r="E1020" s="41"/>
      <c r="F1020" s="41"/>
      <c r="G1020" s="41"/>
      <c r="H1020" s="41"/>
      <c r="I1020" s="42"/>
      <c r="J1020" s="41"/>
      <c r="K1020" s="41"/>
      <c r="L1020" s="43"/>
    </row>
    <row r="1021" spans="2:12" outlineLevel="2">
      <c r="B1021" s="35">
        <f t="shared" si="32"/>
        <v>557</v>
      </c>
      <c r="C1021" s="41" t="s">
        <v>175</v>
      </c>
      <c r="D1021" s="41"/>
      <c r="E1021" s="41"/>
      <c r="F1021" s="41"/>
      <c r="G1021" s="41"/>
      <c r="H1021" s="41"/>
      <c r="I1021" s="42"/>
      <c r="J1021" s="41"/>
      <c r="K1021" s="41"/>
      <c r="L1021" s="43"/>
    </row>
    <row r="1022" spans="2:12" outlineLevel="2">
      <c r="B1022" s="35">
        <f t="shared" si="32"/>
        <v>558</v>
      </c>
      <c r="C1022" s="41" t="s">
        <v>175</v>
      </c>
      <c r="D1022" s="41"/>
      <c r="E1022" s="41"/>
      <c r="F1022" s="41"/>
      <c r="G1022" s="41"/>
      <c r="H1022" s="41"/>
      <c r="I1022" s="42"/>
      <c r="J1022" s="41"/>
      <c r="K1022" s="41"/>
      <c r="L1022" s="43"/>
    </row>
    <row r="1023" spans="2:12" outlineLevel="2">
      <c r="B1023" s="35">
        <f t="shared" si="32"/>
        <v>559</v>
      </c>
      <c r="C1023" s="41" t="s">
        <v>175</v>
      </c>
      <c r="D1023" s="41"/>
      <c r="E1023" s="41"/>
      <c r="F1023" s="41"/>
      <c r="G1023" s="41"/>
      <c r="H1023" s="41"/>
      <c r="I1023" s="42"/>
      <c r="J1023" s="41"/>
      <c r="K1023" s="41"/>
      <c r="L1023" s="43"/>
    </row>
    <row r="1024" spans="2:12" outlineLevel="2">
      <c r="B1024" s="35">
        <f t="shared" si="32"/>
        <v>560</v>
      </c>
      <c r="C1024" s="41" t="s">
        <v>175</v>
      </c>
      <c r="D1024" s="41"/>
      <c r="E1024" s="41"/>
      <c r="F1024" s="41"/>
      <c r="G1024" s="41"/>
      <c r="H1024" s="41"/>
      <c r="I1024" s="42"/>
      <c r="J1024" s="41"/>
      <c r="K1024" s="41"/>
      <c r="L1024" s="43"/>
    </row>
    <row r="1025" spans="2:12" outlineLevel="2">
      <c r="B1025" s="35">
        <f t="shared" si="32"/>
        <v>561</v>
      </c>
      <c r="C1025" s="41" t="s">
        <v>175</v>
      </c>
      <c r="D1025" s="41"/>
      <c r="E1025" s="41"/>
      <c r="F1025" s="41"/>
      <c r="G1025" s="41"/>
      <c r="H1025" s="41"/>
      <c r="I1025" s="42"/>
      <c r="J1025" s="41"/>
      <c r="K1025" s="41"/>
      <c r="L1025" s="43"/>
    </row>
    <row r="1026" spans="2:12" outlineLevel="2">
      <c r="B1026" s="35">
        <f t="shared" si="32"/>
        <v>562</v>
      </c>
      <c r="C1026" s="41" t="s">
        <v>175</v>
      </c>
      <c r="D1026" s="41"/>
      <c r="E1026" s="41"/>
      <c r="F1026" s="41"/>
      <c r="G1026" s="41"/>
      <c r="H1026" s="41"/>
      <c r="I1026" s="42"/>
      <c r="J1026" s="41"/>
      <c r="K1026" s="41"/>
      <c r="L1026" s="43"/>
    </row>
    <row r="1027" spans="2:12" outlineLevel="2">
      <c r="B1027" s="35">
        <f t="shared" si="32"/>
        <v>563</v>
      </c>
      <c r="C1027" s="41" t="s">
        <v>175</v>
      </c>
      <c r="D1027" s="41"/>
      <c r="E1027" s="41"/>
      <c r="F1027" s="41"/>
      <c r="G1027" s="41"/>
      <c r="H1027" s="41"/>
      <c r="I1027" s="42"/>
      <c r="J1027" s="41"/>
      <c r="K1027" s="41"/>
      <c r="L1027" s="43"/>
    </row>
    <row r="1028" spans="2:12" outlineLevel="2">
      <c r="B1028" s="35">
        <f t="shared" si="32"/>
        <v>564</v>
      </c>
      <c r="C1028" s="41" t="s">
        <v>175</v>
      </c>
      <c r="D1028" s="41"/>
      <c r="E1028" s="41"/>
      <c r="F1028" s="41"/>
      <c r="G1028" s="41"/>
      <c r="H1028" s="41"/>
      <c r="I1028" s="42"/>
      <c r="J1028" s="41"/>
      <c r="K1028" s="41"/>
      <c r="L1028" s="43"/>
    </row>
    <row r="1029" spans="2:12" outlineLevel="2">
      <c r="B1029" s="35">
        <f t="shared" si="32"/>
        <v>565</v>
      </c>
      <c r="C1029" s="41" t="s">
        <v>175</v>
      </c>
      <c r="D1029" s="41"/>
      <c r="E1029" s="41"/>
      <c r="F1029" s="41"/>
      <c r="G1029" s="41"/>
      <c r="H1029" s="41"/>
      <c r="I1029" s="42"/>
      <c r="J1029" s="41"/>
      <c r="K1029" s="41"/>
      <c r="L1029" s="43"/>
    </row>
    <row r="1030" spans="2:12" outlineLevel="2">
      <c r="B1030" s="35">
        <f t="shared" si="32"/>
        <v>566</v>
      </c>
      <c r="C1030" s="41" t="s">
        <v>175</v>
      </c>
      <c r="D1030" s="41"/>
      <c r="E1030" s="41"/>
      <c r="F1030" s="41"/>
      <c r="G1030" s="41"/>
      <c r="H1030" s="41"/>
      <c r="I1030" s="42"/>
      <c r="J1030" s="41"/>
      <c r="K1030" s="41"/>
      <c r="L1030" s="43"/>
    </row>
    <row r="1031" spans="2:12" outlineLevel="2">
      <c r="B1031" s="35">
        <f t="shared" si="32"/>
        <v>567</v>
      </c>
      <c r="C1031" s="41" t="s">
        <v>175</v>
      </c>
      <c r="D1031" s="41"/>
      <c r="E1031" s="41"/>
      <c r="F1031" s="41"/>
      <c r="G1031" s="41"/>
      <c r="H1031" s="41"/>
      <c r="I1031" s="42"/>
      <c r="J1031" s="41"/>
      <c r="K1031" s="41"/>
      <c r="L1031" s="43"/>
    </row>
    <row r="1032" spans="2:12" outlineLevel="2">
      <c r="B1032" s="35">
        <f t="shared" si="32"/>
        <v>568</v>
      </c>
      <c r="C1032" s="41" t="s">
        <v>175</v>
      </c>
      <c r="D1032" s="41"/>
      <c r="E1032" s="41"/>
      <c r="F1032" s="41"/>
      <c r="G1032" s="41"/>
      <c r="H1032" s="41"/>
      <c r="I1032" s="42"/>
      <c r="J1032" s="41"/>
      <c r="K1032" s="41"/>
      <c r="L1032" s="43"/>
    </row>
    <row r="1033" spans="2:12" outlineLevel="2">
      <c r="B1033" s="35">
        <f t="shared" si="32"/>
        <v>569</v>
      </c>
      <c r="C1033" s="41" t="s">
        <v>175</v>
      </c>
      <c r="D1033" s="41"/>
      <c r="E1033" s="41"/>
      <c r="F1033" s="41"/>
      <c r="G1033" s="41"/>
      <c r="H1033" s="41"/>
      <c r="I1033" s="42"/>
      <c r="J1033" s="41"/>
      <c r="K1033" s="41"/>
      <c r="L1033" s="43"/>
    </row>
    <row r="1034" spans="2:12" outlineLevel="2">
      <c r="B1034" s="35">
        <f t="shared" si="32"/>
        <v>570</v>
      </c>
      <c r="C1034" s="41" t="s">
        <v>175</v>
      </c>
      <c r="D1034" s="41"/>
      <c r="E1034" s="41"/>
      <c r="F1034" s="41"/>
      <c r="G1034" s="41"/>
      <c r="H1034" s="41"/>
      <c r="I1034" s="42"/>
      <c r="J1034" s="41"/>
      <c r="K1034" s="41"/>
      <c r="L1034" s="43"/>
    </row>
    <row r="1035" spans="2:12" outlineLevel="2">
      <c r="B1035" s="35">
        <f t="shared" si="32"/>
        <v>571</v>
      </c>
      <c r="C1035" s="41" t="s">
        <v>175</v>
      </c>
      <c r="D1035" s="41"/>
      <c r="E1035" s="41"/>
      <c r="F1035" s="41"/>
      <c r="G1035" s="41"/>
      <c r="H1035" s="41"/>
      <c r="I1035" s="42"/>
      <c r="J1035" s="41"/>
      <c r="K1035" s="41"/>
      <c r="L1035" s="43"/>
    </row>
    <row r="1036" spans="2:12" outlineLevel="2">
      <c r="B1036" s="35">
        <f t="shared" si="32"/>
        <v>572</v>
      </c>
      <c r="C1036" s="41" t="s">
        <v>175</v>
      </c>
      <c r="D1036" s="41"/>
      <c r="E1036" s="41"/>
      <c r="F1036" s="41"/>
      <c r="G1036" s="41"/>
      <c r="H1036" s="41"/>
      <c r="I1036" s="42"/>
      <c r="J1036" s="41"/>
      <c r="K1036" s="41"/>
      <c r="L1036" s="43"/>
    </row>
    <row r="1037" spans="2:12" outlineLevel="2">
      <c r="B1037" s="35">
        <f t="shared" si="32"/>
        <v>573</v>
      </c>
      <c r="C1037" s="41" t="s">
        <v>175</v>
      </c>
      <c r="D1037" s="41"/>
      <c r="E1037" s="41"/>
      <c r="F1037" s="41"/>
      <c r="G1037" s="41"/>
      <c r="H1037" s="41"/>
      <c r="I1037" s="42"/>
      <c r="J1037" s="41"/>
      <c r="K1037" s="41"/>
      <c r="L1037" s="43"/>
    </row>
    <row r="1038" spans="2:12" outlineLevel="2">
      <c r="B1038" s="35">
        <f t="shared" si="32"/>
        <v>574</v>
      </c>
      <c r="C1038" s="41" t="s">
        <v>175</v>
      </c>
      <c r="D1038" s="41"/>
      <c r="E1038" s="41"/>
      <c r="F1038" s="41"/>
      <c r="G1038" s="41"/>
      <c r="H1038" s="41"/>
      <c r="I1038" s="42"/>
      <c r="J1038" s="41"/>
      <c r="K1038" s="41"/>
      <c r="L1038" s="43"/>
    </row>
    <row r="1039" spans="2:12" outlineLevel="2">
      <c r="B1039" s="35">
        <f t="shared" si="32"/>
        <v>575</v>
      </c>
      <c r="C1039" s="41" t="s">
        <v>175</v>
      </c>
      <c r="D1039" s="41"/>
      <c r="E1039" s="41"/>
      <c r="F1039" s="41"/>
      <c r="G1039" s="41"/>
      <c r="H1039" s="41"/>
      <c r="I1039" s="42"/>
      <c r="J1039" s="41"/>
      <c r="K1039" s="41"/>
      <c r="L1039" s="43"/>
    </row>
    <row r="1040" spans="2:12" outlineLevel="2">
      <c r="B1040" s="35">
        <f t="shared" si="32"/>
        <v>576</v>
      </c>
      <c r="C1040" s="41" t="s">
        <v>175</v>
      </c>
      <c r="D1040" s="41"/>
      <c r="E1040" s="41"/>
      <c r="F1040" s="41"/>
      <c r="G1040" s="41"/>
      <c r="H1040" s="41"/>
      <c r="I1040" s="42"/>
      <c r="J1040" s="41"/>
      <c r="K1040" s="41"/>
      <c r="L1040" s="43"/>
    </row>
    <row r="1041" spans="2:12" outlineLevel="2">
      <c r="B1041" s="35">
        <f t="shared" si="32"/>
        <v>577</v>
      </c>
      <c r="C1041" s="41" t="s">
        <v>175</v>
      </c>
      <c r="D1041" s="41"/>
      <c r="E1041" s="41"/>
      <c r="F1041" s="41"/>
      <c r="G1041" s="41"/>
      <c r="H1041" s="41"/>
      <c r="I1041" s="42"/>
      <c r="J1041" s="41"/>
      <c r="K1041" s="41"/>
      <c r="L1041" s="43"/>
    </row>
    <row r="1042" spans="2:12" outlineLevel="2">
      <c r="B1042" s="35">
        <f t="shared" si="32"/>
        <v>578</v>
      </c>
      <c r="C1042" s="41" t="s">
        <v>175</v>
      </c>
      <c r="D1042" s="41"/>
      <c r="E1042" s="41"/>
      <c r="F1042" s="41"/>
      <c r="G1042" s="41"/>
      <c r="H1042" s="41"/>
      <c r="I1042" s="42"/>
      <c r="J1042" s="41"/>
      <c r="K1042" s="41"/>
      <c r="L1042" s="43"/>
    </row>
    <row r="1043" spans="2:12" outlineLevel="2">
      <c r="B1043" s="35">
        <f t="shared" si="32"/>
        <v>579</v>
      </c>
      <c r="C1043" s="41" t="s">
        <v>175</v>
      </c>
      <c r="D1043" s="41"/>
      <c r="E1043" s="41"/>
      <c r="F1043" s="41"/>
      <c r="G1043" s="41"/>
      <c r="H1043" s="41"/>
      <c r="I1043" s="42"/>
      <c r="J1043" s="41"/>
      <c r="K1043" s="41"/>
      <c r="L1043" s="43"/>
    </row>
    <row r="1044" spans="2:12" outlineLevel="2">
      <c r="B1044" s="35">
        <f t="shared" si="32"/>
        <v>580</v>
      </c>
      <c r="C1044" s="41" t="s">
        <v>175</v>
      </c>
      <c r="D1044" s="41"/>
      <c r="E1044" s="41"/>
      <c r="F1044" s="41"/>
      <c r="G1044" s="41"/>
      <c r="H1044" s="41"/>
      <c r="I1044" s="42"/>
      <c r="J1044" s="41"/>
      <c r="K1044" s="41"/>
      <c r="L1044" s="43"/>
    </row>
    <row r="1045" spans="2:12" outlineLevel="2">
      <c r="B1045" s="35">
        <f t="shared" si="32"/>
        <v>581</v>
      </c>
      <c r="C1045" s="41" t="s">
        <v>175</v>
      </c>
      <c r="D1045" s="41"/>
      <c r="E1045" s="41"/>
      <c r="F1045" s="41"/>
      <c r="G1045" s="41"/>
      <c r="H1045" s="41"/>
      <c r="I1045" s="42"/>
      <c r="J1045" s="41"/>
      <c r="K1045" s="41"/>
      <c r="L1045" s="43"/>
    </row>
    <row r="1046" spans="2:12" outlineLevel="2">
      <c r="B1046" s="35">
        <f t="shared" si="32"/>
        <v>582</v>
      </c>
      <c r="C1046" s="41" t="s">
        <v>175</v>
      </c>
      <c r="D1046" s="41"/>
      <c r="E1046" s="41"/>
      <c r="F1046" s="41"/>
      <c r="G1046" s="41"/>
      <c r="H1046" s="41"/>
      <c r="I1046" s="42"/>
      <c r="J1046" s="41"/>
      <c r="K1046" s="41"/>
      <c r="L1046" s="43"/>
    </row>
    <row r="1047" spans="2:12" outlineLevel="2">
      <c r="B1047" s="35">
        <f t="shared" si="32"/>
        <v>583</v>
      </c>
      <c r="C1047" s="41" t="s">
        <v>175</v>
      </c>
      <c r="D1047" s="41"/>
      <c r="E1047" s="41"/>
      <c r="F1047" s="41"/>
      <c r="G1047" s="41"/>
      <c r="H1047" s="41"/>
      <c r="I1047" s="42"/>
      <c r="J1047" s="41"/>
      <c r="K1047" s="41"/>
      <c r="L1047" s="43"/>
    </row>
    <row r="1048" spans="2:12" outlineLevel="2">
      <c r="B1048" s="35">
        <f t="shared" si="32"/>
        <v>584</v>
      </c>
      <c r="C1048" s="41" t="s">
        <v>175</v>
      </c>
      <c r="D1048" s="41"/>
      <c r="E1048" s="41"/>
      <c r="F1048" s="41"/>
      <c r="G1048" s="41"/>
      <c r="H1048" s="41"/>
      <c r="I1048" s="42"/>
      <c r="J1048" s="41"/>
      <c r="K1048" s="41"/>
      <c r="L1048" s="43"/>
    </row>
    <row r="1049" spans="2:12" outlineLevel="2">
      <c r="B1049" s="35">
        <f t="shared" si="32"/>
        <v>585</v>
      </c>
      <c r="C1049" s="41" t="s">
        <v>175</v>
      </c>
      <c r="D1049" s="41"/>
      <c r="E1049" s="41"/>
      <c r="F1049" s="41"/>
      <c r="G1049" s="41"/>
      <c r="H1049" s="41"/>
      <c r="I1049" s="42"/>
      <c r="J1049" s="41"/>
      <c r="K1049" s="41"/>
      <c r="L1049" s="43"/>
    </row>
    <row r="1050" spans="2:12" outlineLevel="2">
      <c r="B1050" s="35">
        <f t="shared" ref="B1050:B1081" si="33">(B1049+1)</f>
        <v>586</v>
      </c>
      <c r="C1050" s="41" t="s">
        <v>175</v>
      </c>
      <c r="D1050" s="41"/>
      <c r="E1050" s="41"/>
      <c r="F1050" s="41"/>
      <c r="G1050" s="41"/>
      <c r="H1050" s="41"/>
      <c r="I1050" s="42"/>
      <c r="J1050" s="41"/>
      <c r="K1050" s="41"/>
      <c r="L1050" s="43"/>
    </row>
    <row r="1051" spans="2:12" outlineLevel="2">
      <c r="B1051" s="35">
        <f t="shared" si="33"/>
        <v>587</v>
      </c>
      <c r="C1051" s="41" t="s">
        <v>175</v>
      </c>
      <c r="D1051" s="41"/>
      <c r="E1051" s="41"/>
      <c r="F1051" s="41"/>
      <c r="G1051" s="41"/>
      <c r="H1051" s="41"/>
      <c r="I1051" s="42"/>
      <c r="J1051" s="41"/>
      <c r="K1051" s="41"/>
      <c r="L1051" s="43"/>
    </row>
    <row r="1052" spans="2:12" outlineLevel="2">
      <c r="B1052" s="35">
        <f t="shared" si="33"/>
        <v>588</v>
      </c>
      <c r="C1052" s="41" t="s">
        <v>175</v>
      </c>
      <c r="D1052" s="41"/>
      <c r="E1052" s="41"/>
      <c r="F1052" s="41"/>
      <c r="G1052" s="41"/>
      <c r="H1052" s="41"/>
      <c r="I1052" s="42"/>
      <c r="J1052" s="41"/>
      <c r="K1052" s="41"/>
      <c r="L1052" s="43"/>
    </row>
    <row r="1053" spans="2:12" outlineLevel="2">
      <c r="B1053" s="35">
        <f t="shared" si="33"/>
        <v>589</v>
      </c>
      <c r="C1053" s="41" t="s">
        <v>175</v>
      </c>
      <c r="D1053" s="41"/>
      <c r="E1053" s="41"/>
      <c r="F1053" s="41"/>
      <c r="G1053" s="41"/>
      <c r="H1053" s="41"/>
      <c r="I1053" s="42"/>
      <c r="J1053" s="41"/>
      <c r="K1053" s="41"/>
      <c r="L1053" s="43"/>
    </row>
    <row r="1054" spans="2:12" outlineLevel="2">
      <c r="B1054" s="35">
        <f t="shared" si="33"/>
        <v>590</v>
      </c>
      <c r="C1054" s="41" t="s">
        <v>175</v>
      </c>
      <c r="D1054" s="41"/>
      <c r="E1054" s="41"/>
      <c r="F1054" s="41"/>
      <c r="G1054" s="41"/>
      <c r="H1054" s="41"/>
      <c r="I1054" s="42"/>
      <c r="J1054" s="41"/>
      <c r="K1054" s="41"/>
      <c r="L1054" s="43"/>
    </row>
    <row r="1055" spans="2:12" outlineLevel="2">
      <c r="B1055" s="35">
        <f t="shared" si="33"/>
        <v>591</v>
      </c>
      <c r="C1055" s="41" t="s">
        <v>175</v>
      </c>
      <c r="D1055" s="41"/>
      <c r="E1055" s="41"/>
      <c r="F1055" s="41"/>
      <c r="G1055" s="41"/>
      <c r="H1055" s="41"/>
      <c r="I1055" s="42"/>
      <c r="J1055" s="41"/>
      <c r="K1055" s="41"/>
      <c r="L1055" s="43"/>
    </row>
    <row r="1056" spans="2:12" outlineLevel="2">
      <c r="B1056" s="35">
        <f t="shared" si="33"/>
        <v>592</v>
      </c>
      <c r="C1056" s="41" t="s">
        <v>175</v>
      </c>
      <c r="D1056" s="41"/>
      <c r="E1056" s="41"/>
      <c r="F1056" s="41"/>
      <c r="G1056" s="41"/>
      <c r="H1056" s="41"/>
      <c r="I1056" s="42"/>
      <c r="J1056" s="41"/>
      <c r="K1056" s="41"/>
      <c r="L1056" s="43"/>
    </row>
    <row r="1057" spans="2:12" outlineLevel="2">
      <c r="B1057" s="35">
        <f t="shared" si="33"/>
        <v>593</v>
      </c>
      <c r="C1057" s="41" t="s">
        <v>175</v>
      </c>
      <c r="D1057" s="41"/>
      <c r="E1057" s="41"/>
      <c r="F1057" s="41"/>
      <c r="G1057" s="41"/>
      <c r="H1057" s="41"/>
      <c r="I1057" s="42"/>
      <c r="J1057" s="41"/>
      <c r="K1057" s="41"/>
      <c r="L1057" s="43"/>
    </row>
    <row r="1058" spans="2:12" outlineLevel="2">
      <c r="B1058" s="35">
        <f t="shared" si="33"/>
        <v>594</v>
      </c>
      <c r="C1058" s="41" t="s">
        <v>175</v>
      </c>
      <c r="D1058" s="41"/>
      <c r="E1058" s="41"/>
      <c r="F1058" s="41"/>
      <c r="G1058" s="41"/>
      <c r="H1058" s="41"/>
      <c r="I1058" s="42"/>
      <c r="J1058" s="41"/>
      <c r="K1058" s="41"/>
      <c r="L1058" s="43"/>
    </row>
    <row r="1059" spans="2:12" outlineLevel="2">
      <c r="B1059" s="35">
        <f t="shared" si="33"/>
        <v>595</v>
      </c>
      <c r="C1059" s="41" t="s">
        <v>175</v>
      </c>
      <c r="D1059" s="41"/>
      <c r="E1059" s="41"/>
      <c r="F1059" s="41"/>
      <c r="G1059" s="41"/>
      <c r="H1059" s="41"/>
      <c r="I1059" s="42"/>
      <c r="J1059" s="41"/>
      <c r="K1059" s="41"/>
      <c r="L1059" s="43"/>
    </row>
    <row r="1060" spans="2:12" outlineLevel="2">
      <c r="B1060" s="35">
        <f t="shared" si="33"/>
        <v>596</v>
      </c>
      <c r="C1060" s="41" t="s">
        <v>175</v>
      </c>
      <c r="D1060" s="41"/>
      <c r="E1060" s="41"/>
      <c r="F1060" s="41"/>
      <c r="G1060" s="41"/>
      <c r="H1060" s="41"/>
      <c r="I1060" s="42"/>
      <c r="J1060" s="41"/>
      <c r="K1060" s="41"/>
      <c r="L1060" s="43"/>
    </row>
    <row r="1061" spans="2:12" outlineLevel="2">
      <c r="B1061" s="35">
        <f t="shared" si="33"/>
        <v>597</v>
      </c>
      <c r="C1061" s="41" t="s">
        <v>175</v>
      </c>
      <c r="D1061" s="41"/>
      <c r="E1061" s="41"/>
      <c r="F1061" s="41"/>
      <c r="G1061" s="41"/>
      <c r="H1061" s="41"/>
      <c r="I1061" s="42"/>
      <c r="J1061" s="41"/>
      <c r="K1061" s="41"/>
      <c r="L1061" s="43"/>
    </row>
    <row r="1062" spans="2:12" outlineLevel="2">
      <c r="B1062" s="35">
        <f t="shared" si="33"/>
        <v>598</v>
      </c>
      <c r="C1062" s="41" t="s">
        <v>175</v>
      </c>
      <c r="D1062" s="41"/>
      <c r="E1062" s="41"/>
      <c r="F1062" s="41"/>
      <c r="G1062" s="41"/>
      <c r="H1062" s="41"/>
      <c r="I1062" s="42"/>
      <c r="J1062" s="41"/>
      <c r="K1062" s="41"/>
      <c r="L1062" s="43"/>
    </row>
    <row r="1063" spans="2:12" outlineLevel="2">
      <c r="B1063" s="35">
        <f t="shared" si="33"/>
        <v>599</v>
      </c>
      <c r="C1063" s="41" t="s">
        <v>175</v>
      </c>
      <c r="D1063" s="41"/>
      <c r="E1063" s="41"/>
      <c r="F1063" s="41"/>
      <c r="G1063" s="41"/>
      <c r="H1063" s="41"/>
      <c r="I1063" s="42"/>
      <c r="J1063" s="41"/>
      <c r="K1063" s="41"/>
      <c r="L1063" s="43"/>
    </row>
    <row r="1064" spans="2:12" outlineLevel="2">
      <c r="B1064" s="35">
        <f t="shared" si="33"/>
        <v>600</v>
      </c>
      <c r="C1064" s="41" t="s">
        <v>175</v>
      </c>
      <c r="D1064" s="41"/>
      <c r="E1064" s="41"/>
      <c r="F1064" s="41"/>
      <c r="G1064" s="41"/>
      <c r="H1064" s="41"/>
      <c r="I1064" s="42"/>
      <c r="J1064" s="41"/>
      <c r="K1064" s="41"/>
      <c r="L1064" s="43"/>
    </row>
    <row r="1065" spans="2:12" outlineLevel="2">
      <c r="B1065" s="35">
        <f t="shared" si="33"/>
        <v>601</v>
      </c>
      <c r="C1065" s="41" t="s">
        <v>175</v>
      </c>
      <c r="D1065" s="41"/>
      <c r="E1065" s="41"/>
      <c r="F1065" s="41"/>
      <c r="G1065" s="41"/>
      <c r="H1065" s="41"/>
      <c r="I1065" s="42"/>
      <c r="J1065" s="41"/>
      <c r="K1065" s="41"/>
      <c r="L1065" s="43"/>
    </row>
    <row r="1066" spans="2:12" outlineLevel="2">
      <c r="B1066" s="35">
        <f t="shared" si="33"/>
        <v>602</v>
      </c>
      <c r="C1066" s="41" t="s">
        <v>175</v>
      </c>
      <c r="D1066" s="41"/>
      <c r="E1066" s="41"/>
      <c r="F1066" s="41"/>
      <c r="G1066" s="41"/>
      <c r="H1066" s="41"/>
      <c r="I1066" s="42"/>
      <c r="J1066" s="41"/>
      <c r="K1066" s="41"/>
      <c r="L1066" s="43"/>
    </row>
    <row r="1067" spans="2:12" outlineLevel="2">
      <c r="B1067" s="35">
        <f t="shared" si="33"/>
        <v>603</v>
      </c>
      <c r="C1067" s="41" t="s">
        <v>175</v>
      </c>
      <c r="D1067" s="41"/>
      <c r="E1067" s="41"/>
      <c r="F1067" s="41"/>
      <c r="G1067" s="41"/>
      <c r="H1067" s="41"/>
      <c r="I1067" s="42"/>
      <c r="J1067" s="41"/>
      <c r="K1067" s="41"/>
      <c r="L1067" s="43"/>
    </row>
    <row r="1068" spans="2:12" outlineLevel="2">
      <c r="B1068" s="35">
        <f t="shared" si="33"/>
        <v>604</v>
      </c>
      <c r="C1068" s="41" t="s">
        <v>175</v>
      </c>
      <c r="D1068" s="41"/>
      <c r="E1068" s="41"/>
      <c r="F1068" s="41"/>
      <c r="G1068" s="41"/>
      <c r="H1068" s="41"/>
      <c r="I1068" s="42"/>
      <c r="J1068" s="41"/>
      <c r="K1068" s="41"/>
      <c r="L1068" s="43"/>
    </row>
    <row r="1069" spans="2:12" outlineLevel="2">
      <c r="B1069" s="35">
        <f t="shared" si="33"/>
        <v>605</v>
      </c>
      <c r="C1069" s="41" t="s">
        <v>175</v>
      </c>
      <c r="D1069" s="41"/>
      <c r="E1069" s="41"/>
      <c r="F1069" s="41"/>
      <c r="G1069" s="41"/>
      <c r="H1069" s="41"/>
      <c r="I1069" s="42"/>
      <c r="J1069" s="41"/>
      <c r="K1069" s="41"/>
      <c r="L1069" s="43"/>
    </row>
    <row r="1070" spans="2:12" outlineLevel="2">
      <c r="B1070" s="35">
        <f t="shared" si="33"/>
        <v>606</v>
      </c>
      <c r="C1070" s="41" t="s">
        <v>175</v>
      </c>
      <c r="D1070" s="41"/>
      <c r="E1070" s="41"/>
      <c r="F1070" s="41"/>
      <c r="G1070" s="41"/>
      <c r="H1070" s="41"/>
      <c r="I1070" s="42"/>
      <c r="J1070" s="41"/>
      <c r="K1070" s="41"/>
      <c r="L1070" s="43"/>
    </row>
    <row r="1071" spans="2:12" outlineLevel="2">
      <c r="B1071" s="35">
        <f t="shared" si="33"/>
        <v>607</v>
      </c>
      <c r="C1071" s="41" t="s">
        <v>175</v>
      </c>
      <c r="D1071" s="41"/>
      <c r="E1071" s="41"/>
      <c r="F1071" s="41"/>
      <c r="G1071" s="41"/>
      <c r="H1071" s="41"/>
      <c r="I1071" s="42"/>
      <c r="J1071" s="41"/>
      <c r="K1071" s="41"/>
      <c r="L1071" s="43"/>
    </row>
    <row r="1072" spans="2:12" outlineLevel="2">
      <c r="B1072" s="35">
        <f t="shared" si="33"/>
        <v>608</v>
      </c>
      <c r="C1072" s="41" t="s">
        <v>175</v>
      </c>
      <c r="D1072" s="41"/>
      <c r="E1072" s="41"/>
      <c r="F1072" s="41"/>
      <c r="G1072" s="41"/>
      <c r="H1072" s="41"/>
      <c r="I1072" s="42"/>
      <c r="J1072" s="41"/>
      <c r="K1072" s="41"/>
      <c r="L1072" s="43"/>
    </row>
    <row r="1073" spans="2:12" outlineLevel="2">
      <c r="B1073" s="35">
        <f t="shared" si="33"/>
        <v>609</v>
      </c>
      <c r="C1073" s="41" t="s">
        <v>175</v>
      </c>
      <c r="D1073" s="41"/>
      <c r="E1073" s="41"/>
      <c r="F1073" s="41"/>
      <c r="G1073" s="41"/>
      <c r="H1073" s="41"/>
      <c r="I1073" s="42"/>
      <c r="J1073" s="41"/>
      <c r="K1073" s="41"/>
      <c r="L1073" s="43"/>
    </row>
    <row r="1074" spans="2:12" outlineLevel="2">
      <c r="B1074" s="35">
        <f t="shared" si="33"/>
        <v>610</v>
      </c>
      <c r="C1074" s="41" t="s">
        <v>175</v>
      </c>
      <c r="D1074" s="41"/>
      <c r="E1074" s="41"/>
      <c r="F1074" s="41"/>
      <c r="G1074" s="41"/>
      <c r="H1074" s="41"/>
      <c r="I1074" s="42"/>
      <c r="J1074" s="41"/>
      <c r="K1074" s="41"/>
      <c r="L1074" s="43"/>
    </row>
    <row r="1075" spans="2:12" outlineLevel="2">
      <c r="B1075" s="35">
        <f t="shared" si="33"/>
        <v>611</v>
      </c>
      <c r="C1075" s="41" t="s">
        <v>175</v>
      </c>
      <c r="D1075" s="41"/>
      <c r="E1075" s="41"/>
      <c r="F1075" s="41"/>
      <c r="G1075" s="41"/>
      <c r="H1075" s="41"/>
      <c r="I1075" s="42"/>
      <c r="J1075" s="41"/>
      <c r="K1075" s="41"/>
      <c r="L1075" s="43"/>
    </row>
    <row r="1076" spans="2:12" outlineLevel="2">
      <c r="B1076" s="35">
        <f t="shared" si="33"/>
        <v>612</v>
      </c>
      <c r="C1076" s="41" t="s">
        <v>175</v>
      </c>
      <c r="D1076" s="41"/>
      <c r="E1076" s="41"/>
      <c r="F1076" s="41"/>
      <c r="G1076" s="41"/>
      <c r="H1076" s="41"/>
      <c r="I1076" s="42"/>
      <c r="J1076" s="41"/>
      <c r="K1076" s="41"/>
      <c r="L1076" s="43"/>
    </row>
    <row r="1077" spans="2:12" outlineLevel="2">
      <c r="B1077" s="35">
        <f t="shared" si="33"/>
        <v>613</v>
      </c>
      <c r="C1077" s="41" t="s">
        <v>175</v>
      </c>
      <c r="D1077" s="41"/>
      <c r="E1077" s="41"/>
      <c r="F1077" s="41"/>
      <c r="G1077" s="41"/>
      <c r="H1077" s="41"/>
      <c r="I1077" s="42"/>
      <c r="J1077" s="41"/>
      <c r="K1077" s="41"/>
      <c r="L1077" s="43"/>
    </row>
    <row r="1078" spans="2:12" outlineLevel="2">
      <c r="B1078" s="35">
        <f t="shared" si="33"/>
        <v>614</v>
      </c>
      <c r="C1078" s="41" t="s">
        <v>175</v>
      </c>
      <c r="D1078" s="41"/>
      <c r="E1078" s="41"/>
      <c r="F1078" s="41"/>
      <c r="G1078" s="41"/>
      <c r="H1078" s="41"/>
      <c r="I1078" s="42"/>
      <c r="J1078" s="41"/>
      <c r="K1078" s="41"/>
      <c r="L1078" s="43"/>
    </row>
    <row r="1079" spans="2:12" outlineLevel="2">
      <c r="B1079" s="35">
        <f t="shared" si="33"/>
        <v>615</v>
      </c>
      <c r="C1079" s="41" t="s">
        <v>175</v>
      </c>
      <c r="D1079" s="41"/>
      <c r="E1079" s="41"/>
      <c r="F1079" s="41"/>
      <c r="G1079" s="41"/>
      <c r="H1079" s="41"/>
      <c r="I1079" s="42"/>
      <c r="J1079" s="41"/>
      <c r="K1079" s="41"/>
      <c r="L1079" s="43"/>
    </row>
    <row r="1080" spans="2:12" outlineLevel="2">
      <c r="B1080" s="35">
        <f t="shared" si="33"/>
        <v>616</v>
      </c>
      <c r="C1080" s="41" t="s">
        <v>175</v>
      </c>
      <c r="D1080" s="41"/>
      <c r="E1080" s="41"/>
      <c r="F1080" s="41"/>
      <c r="G1080" s="41"/>
      <c r="H1080" s="41"/>
      <c r="I1080" s="42"/>
      <c r="J1080" s="41"/>
      <c r="K1080" s="41"/>
      <c r="L1080" s="43"/>
    </row>
    <row r="1081" spans="2:12" outlineLevel="2">
      <c r="B1081" s="35">
        <f t="shared" si="33"/>
        <v>617</v>
      </c>
      <c r="C1081" s="41" t="s">
        <v>175</v>
      </c>
      <c r="D1081" s="41"/>
      <c r="E1081" s="41"/>
      <c r="F1081" s="41"/>
      <c r="G1081" s="41"/>
      <c r="H1081" s="41"/>
      <c r="I1081" s="42"/>
      <c r="J1081" s="41"/>
      <c r="K1081" s="41"/>
      <c r="L1081" s="43"/>
    </row>
    <row r="1082" spans="2:12" outlineLevel="2">
      <c r="B1082" s="35">
        <f t="shared" ref="B1082:B1113" si="34">(B1081+1)</f>
        <v>618</v>
      </c>
      <c r="C1082" s="41" t="s">
        <v>175</v>
      </c>
      <c r="D1082" s="41"/>
      <c r="E1082" s="41"/>
      <c r="F1082" s="41"/>
      <c r="G1082" s="41"/>
      <c r="H1082" s="41"/>
      <c r="I1082" s="42"/>
      <c r="J1082" s="41"/>
      <c r="K1082" s="41"/>
      <c r="L1082" s="43"/>
    </row>
    <row r="1083" spans="2:12" outlineLevel="2">
      <c r="B1083" s="35">
        <f t="shared" si="34"/>
        <v>619</v>
      </c>
      <c r="C1083" s="41" t="s">
        <v>175</v>
      </c>
      <c r="D1083" s="41"/>
      <c r="E1083" s="41"/>
      <c r="F1083" s="41"/>
      <c r="G1083" s="41"/>
      <c r="H1083" s="41"/>
      <c r="I1083" s="42"/>
      <c r="J1083" s="41"/>
      <c r="K1083" s="41"/>
      <c r="L1083" s="43"/>
    </row>
    <row r="1084" spans="2:12" outlineLevel="2">
      <c r="B1084" s="35">
        <f t="shared" si="34"/>
        <v>620</v>
      </c>
      <c r="C1084" s="41" t="s">
        <v>175</v>
      </c>
      <c r="D1084" s="41"/>
      <c r="E1084" s="41"/>
      <c r="F1084" s="41"/>
      <c r="G1084" s="41"/>
      <c r="H1084" s="41"/>
      <c r="I1084" s="42"/>
      <c r="J1084" s="41"/>
      <c r="K1084" s="41"/>
      <c r="L1084" s="43"/>
    </row>
    <row r="1085" spans="2:12" outlineLevel="2">
      <c r="B1085" s="35">
        <f t="shared" si="34"/>
        <v>621</v>
      </c>
      <c r="C1085" s="41" t="s">
        <v>175</v>
      </c>
      <c r="D1085" s="41"/>
      <c r="E1085" s="41"/>
      <c r="F1085" s="41"/>
      <c r="G1085" s="41"/>
      <c r="H1085" s="41"/>
      <c r="I1085" s="42"/>
      <c r="J1085" s="41"/>
      <c r="K1085" s="41"/>
      <c r="L1085" s="43"/>
    </row>
    <row r="1086" spans="2:12" outlineLevel="2">
      <c r="B1086" s="35">
        <f t="shared" si="34"/>
        <v>622</v>
      </c>
      <c r="C1086" s="41" t="s">
        <v>175</v>
      </c>
      <c r="D1086" s="41"/>
      <c r="E1086" s="41"/>
      <c r="F1086" s="41"/>
      <c r="G1086" s="41"/>
      <c r="H1086" s="41"/>
      <c r="I1086" s="42"/>
      <c r="J1086" s="41"/>
      <c r="K1086" s="41"/>
      <c r="L1086" s="43"/>
    </row>
    <row r="1087" spans="2:12" outlineLevel="2">
      <c r="B1087" s="35">
        <f t="shared" si="34"/>
        <v>623</v>
      </c>
      <c r="C1087" s="41" t="s">
        <v>175</v>
      </c>
      <c r="D1087" s="41"/>
      <c r="E1087" s="41"/>
      <c r="F1087" s="41"/>
      <c r="G1087" s="41"/>
      <c r="H1087" s="41"/>
      <c r="I1087" s="42"/>
      <c r="J1087" s="41"/>
      <c r="K1087" s="41"/>
      <c r="L1087" s="43"/>
    </row>
    <row r="1088" spans="2:12" outlineLevel="2">
      <c r="B1088" s="35">
        <f t="shared" si="34"/>
        <v>624</v>
      </c>
      <c r="C1088" s="41" t="s">
        <v>175</v>
      </c>
      <c r="D1088" s="41"/>
      <c r="E1088" s="41"/>
      <c r="F1088" s="41"/>
      <c r="G1088" s="41"/>
      <c r="H1088" s="41"/>
      <c r="I1088" s="42"/>
      <c r="J1088" s="41"/>
      <c r="K1088" s="41"/>
      <c r="L1088" s="43"/>
    </row>
    <row r="1089" spans="2:12" outlineLevel="2">
      <c r="B1089" s="35">
        <f t="shared" si="34"/>
        <v>625</v>
      </c>
      <c r="C1089" s="41" t="s">
        <v>175</v>
      </c>
      <c r="D1089" s="41"/>
      <c r="E1089" s="41"/>
      <c r="F1089" s="41"/>
      <c r="G1089" s="41"/>
      <c r="H1089" s="41"/>
      <c r="I1089" s="42"/>
      <c r="J1089" s="41"/>
      <c r="K1089" s="41"/>
      <c r="L1089" s="43"/>
    </row>
    <row r="1090" spans="2:12" outlineLevel="2">
      <c r="B1090" s="35">
        <f t="shared" si="34"/>
        <v>626</v>
      </c>
      <c r="C1090" s="41" t="s">
        <v>175</v>
      </c>
      <c r="D1090" s="41"/>
      <c r="E1090" s="41"/>
      <c r="F1090" s="41"/>
      <c r="G1090" s="41"/>
      <c r="H1090" s="41"/>
      <c r="I1090" s="42"/>
      <c r="J1090" s="41"/>
      <c r="K1090" s="41"/>
      <c r="L1090" s="43"/>
    </row>
    <row r="1091" spans="2:12" outlineLevel="2">
      <c r="B1091" s="35">
        <f t="shared" si="34"/>
        <v>627</v>
      </c>
      <c r="C1091" s="41" t="s">
        <v>175</v>
      </c>
      <c r="D1091" s="41"/>
      <c r="E1091" s="41"/>
      <c r="F1091" s="41"/>
      <c r="G1091" s="41"/>
      <c r="H1091" s="41"/>
      <c r="I1091" s="42"/>
      <c r="J1091" s="41"/>
      <c r="K1091" s="41"/>
      <c r="L1091" s="43"/>
    </row>
    <row r="1092" spans="2:12" outlineLevel="2">
      <c r="B1092" s="35">
        <f t="shared" si="34"/>
        <v>628</v>
      </c>
      <c r="C1092" s="41" t="s">
        <v>175</v>
      </c>
      <c r="D1092" s="41"/>
      <c r="E1092" s="41"/>
      <c r="F1092" s="41"/>
      <c r="G1092" s="41"/>
      <c r="H1092" s="41"/>
      <c r="I1092" s="42"/>
      <c r="J1092" s="41"/>
      <c r="K1092" s="41"/>
      <c r="L1092" s="43"/>
    </row>
    <row r="1093" spans="2:12" outlineLevel="2">
      <c r="B1093" s="35">
        <f t="shared" si="34"/>
        <v>629</v>
      </c>
      <c r="C1093" s="41" t="s">
        <v>175</v>
      </c>
      <c r="D1093" s="41"/>
      <c r="E1093" s="41"/>
      <c r="F1093" s="41"/>
      <c r="G1093" s="41"/>
      <c r="H1093" s="41"/>
      <c r="I1093" s="42"/>
      <c r="J1093" s="41"/>
      <c r="K1093" s="41"/>
      <c r="L1093" s="43"/>
    </row>
    <row r="1094" spans="2:12" outlineLevel="2">
      <c r="B1094" s="35">
        <f t="shared" si="34"/>
        <v>630</v>
      </c>
      <c r="C1094" s="41" t="s">
        <v>175</v>
      </c>
      <c r="D1094" s="41"/>
      <c r="E1094" s="41"/>
      <c r="F1094" s="41"/>
      <c r="G1094" s="41"/>
      <c r="H1094" s="41"/>
      <c r="I1094" s="42"/>
      <c r="J1094" s="41"/>
      <c r="K1094" s="41"/>
      <c r="L1094" s="43"/>
    </row>
    <row r="1095" spans="2:12" outlineLevel="2">
      <c r="B1095" s="35">
        <f t="shared" si="34"/>
        <v>631</v>
      </c>
      <c r="C1095" s="41" t="s">
        <v>175</v>
      </c>
      <c r="D1095" s="41"/>
      <c r="E1095" s="41"/>
      <c r="F1095" s="41"/>
      <c r="G1095" s="41"/>
      <c r="H1095" s="41"/>
      <c r="I1095" s="42"/>
      <c r="J1095" s="41"/>
      <c r="K1095" s="41"/>
      <c r="L1095" s="43"/>
    </row>
    <row r="1096" spans="2:12" outlineLevel="2">
      <c r="B1096" s="35">
        <f t="shared" si="34"/>
        <v>632</v>
      </c>
      <c r="C1096" s="41" t="s">
        <v>175</v>
      </c>
      <c r="D1096" s="41"/>
      <c r="E1096" s="41"/>
      <c r="F1096" s="41"/>
      <c r="G1096" s="41"/>
      <c r="H1096" s="41"/>
      <c r="I1096" s="42"/>
      <c r="J1096" s="41"/>
      <c r="K1096" s="41"/>
      <c r="L1096" s="43"/>
    </row>
    <row r="1097" spans="2:12" outlineLevel="2">
      <c r="B1097" s="35">
        <f t="shared" si="34"/>
        <v>633</v>
      </c>
      <c r="C1097" s="41" t="s">
        <v>175</v>
      </c>
      <c r="D1097" s="41"/>
      <c r="E1097" s="41"/>
      <c r="F1097" s="41"/>
      <c r="G1097" s="41"/>
      <c r="H1097" s="41"/>
      <c r="I1097" s="42"/>
      <c r="J1097" s="41"/>
      <c r="K1097" s="41"/>
      <c r="L1097" s="43"/>
    </row>
    <row r="1098" spans="2:12" outlineLevel="2">
      <c r="B1098" s="35">
        <f t="shared" si="34"/>
        <v>634</v>
      </c>
      <c r="C1098" s="41" t="s">
        <v>175</v>
      </c>
      <c r="D1098" s="41"/>
      <c r="E1098" s="41"/>
      <c r="F1098" s="41"/>
      <c r="G1098" s="41"/>
      <c r="H1098" s="41"/>
      <c r="I1098" s="42"/>
      <c r="J1098" s="41"/>
      <c r="K1098" s="41"/>
      <c r="L1098" s="43"/>
    </row>
    <row r="1099" spans="2:12" outlineLevel="2">
      <c r="B1099" s="35">
        <f t="shared" si="34"/>
        <v>635</v>
      </c>
      <c r="C1099" s="41" t="s">
        <v>175</v>
      </c>
      <c r="D1099" s="41"/>
      <c r="E1099" s="41"/>
      <c r="F1099" s="41"/>
      <c r="G1099" s="41"/>
      <c r="H1099" s="41"/>
      <c r="I1099" s="42"/>
      <c r="J1099" s="41"/>
      <c r="K1099" s="41"/>
      <c r="L1099" s="43"/>
    </row>
    <row r="1100" spans="2:12" outlineLevel="2">
      <c r="B1100" s="35">
        <f t="shared" si="34"/>
        <v>636</v>
      </c>
      <c r="C1100" s="41" t="s">
        <v>175</v>
      </c>
      <c r="D1100" s="41"/>
      <c r="E1100" s="41"/>
      <c r="F1100" s="41"/>
      <c r="G1100" s="41"/>
      <c r="H1100" s="41"/>
      <c r="I1100" s="42"/>
      <c r="J1100" s="41"/>
      <c r="K1100" s="41"/>
      <c r="L1100" s="43"/>
    </row>
    <row r="1101" spans="2:12" outlineLevel="2">
      <c r="B1101" s="35">
        <f t="shared" si="34"/>
        <v>637</v>
      </c>
      <c r="C1101" s="41" t="s">
        <v>175</v>
      </c>
      <c r="D1101" s="41"/>
      <c r="E1101" s="41"/>
      <c r="F1101" s="41"/>
      <c r="G1101" s="41"/>
      <c r="H1101" s="41"/>
      <c r="I1101" s="42"/>
      <c r="J1101" s="41"/>
      <c r="K1101" s="41"/>
      <c r="L1101" s="43"/>
    </row>
    <row r="1102" spans="2:12" outlineLevel="2">
      <c r="B1102" s="35">
        <f t="shared" si="34"/>
        <v>638</v>
      </c>
      <c r="C1102" s="41" t="s">
        <v>175</v>
      </c>
      <c r="D1102" s="41"/>
      <c r="E1102" s="41"/>
      <c r="F1102" s="41"/>
      <c r="G1102" s="41"/>
      <c r="H1102" s="41"/>
      <c r="I1102" s="42"/>
      <c r="J1102" s="41"/>
      <c r="K1102" s="41"/>
      <c r="L1102" s="43"/>
    </row>
    <row r="1103" spans="2:12" outlineLevel="2">
      <c r="B1103" s="35">
        <f t="shared" si="34"/>
        <v>639</v>
      </c>
      <c r="C1103" s="41" t="s">
        <v>175</v>
      </c>
      <c r="D1103" s="41"/>
      <c r="E1103" s="41"/>
      <c r="F1103" s="41"/>
      <c r="G1103" s="41"/>
      <c r="H1103" s="41"/>
      <c r="I1103" s="42"/>
      <c r="J1103" s="41"/>
      <c r="K1103" s="41"/>
      <c r="L1103" s="43"/>
    </row>
    <row r="1104" spans="2:12" outlineLevel="2">
      <c r="B1104" s="35">
        <f t="shared" si="34"/>
        <v>640</v>
      </c>
      <c r="C1104" s="41" t="s">
        <v>175</v>
      </c>
      <c r="D1104" s="41"/>
      <c r="E1104" s="41"/>
      <c r="F1104" s="41"/>
      <c r="G1104" s="41"/>
      <c r="H1104" s="41"/>
      <c r="I1104" s="42"/>
      <c r="J1104" s="41"/>
      <c r="K1104" s="41"/>
      <c r="L1104" s="43"/>
    </row>
    <row r="1105" spans="2:12" outlineLevel="2">
      <c r="B1105" s="35">
        <f t="shared" si="34"/>
        <v>641</v>
      </c>
      <c r="C1105" s="41" t="s">
        <v>175</v>
      </c>
      <c r="D1105" s="41"/>
      <c r="E1105" s="41"/>
      <c r="F1105" s="41"/>
      <c r="G1105" s="41"/>
      <c r="H1105" s="41"/>
      <c r="I1105" s="42"/>
      <c r="J1105" s="41"/>
      <c r="K1105" s="41"/>
      <c r="L1105" s="43"/>
    </row>
    <row r="1106" spans="2:12" outlineLevel="2">
      <c r="B1106" s="35">
        <f t="shared" si="34"/>
        <v>642</v>
      </c>
      <c r="C1106" s="41" t="s">
        <v>175</v>
      </c>
      <c r="D1106" s="41"/>
      <c r="E1106" s="41"/>
      <c r="F1106" s="41"/>
      <c r="G1106" s="41"/>
      <c r="H1106" s="41"/>
      <c r="I1106" s="42"/>
      <c r="J1106" s="41"/>
      <c r="K1106" s="41"/>
      <c r="L1106" s="43"/>
    </row>
    <row r="1107" spans="2:12" outlineLevel="2">
      <c r="B1107" s="35">
        <f t="shared" si="34"/>
        <v>643</v>
      </c>
      <c r="C1107" s="41" t="s">
        <v>175</v>
      </c>
      <c r="D1107" s="41"/>
      <c r="E1107" s="41"/>
      <c r="F1107" s="41"/>
      <c r="G1107" s="41"/>
      <c r="H1107" s="41"/>
      <c r="I1107" s="42"/>
      <c r="J1107" s="41"/>
      <c r="K1107" s="41"/>
      <c r="L1107" s="43"/>
    </row>
    <row r="1108" spans="2:12" outlineLevel="2">
      <c r="B1108" s="35">
        <f t="shared" si="34"/>
        <v>644</v>
      </c>
      <c r="C1108" s="41" t="s">
        <v>175</v>
      </c>
      <c r="D1108" s="41"/>
      <c r="E1108" s="41"/>
      <c r="F1108" s="41"/>
      <c r="G1108" s="41"/>
      <c r="H1108" s="41"/>
      <c r="I1108" s="42"/>
      <c r="J1108" s="41"/>
      <c r="K1108" s="41"/>
      <c r="L1108" s="43"/>
    </row>
    <row r="1109" spans="2:12" outlineLevel="2">
      <c r="B1109" s="35">
        <f t="shared" si="34"/>
        <v>645</v>
      </c>
      <c r="C1109" s="41" t="s">
        <v>175</v>
      </c>
      <c r="D1109" s="41"/>
      <c r="E1109" s="41"/>
      <c r="F1109" s="41"/>
      <c r="G1109" s="41"/>
      <c r="H1109" s="41"/>
      <c r="I1109" s="42"/>
      <c r="J1109" s="41"/>
      <c r="K1109" s="41"/>
      <c r="L1109" s="43"/>
    </row>
    <row r="1110" spans="2:12" outlineLevel="2">
      <c r="B1110" s="35">
        <f t="shared" si="34"/>
        <v>646</v>
      </c>
      <c r="C1110" s="41" t="s">
        <v>175</v>
      </c>
      <c r="D1110" s="41"/>
      <c r="E1110" s="41"/>
      <c r="F1110" s="41"/>
      <c r="G1110" s="41"/>
      <c r="H1110" s="41"/>
      <c r="I1110" s="42"/>
      <c r="J1110" s="41"/>
      <c r="K1110" s="41"/>
      <c r="L1110" s="43"/>
    </row>
    <row r="1111" spans="2:12" outlineLevel="2">
      <c r="B1111" s="35">
        <f t="shared" si="34"/>
        <v>647</v>
      </c>
      <c r="C1111" s="41" t="s">
        <v>175</v>
      </c>
      <c r="D1111" s="41"/>
      <c r="E1111" s="41"/>
      <c r="F1111" s="41"/>
      <c r="G1111" s="41"/>
      <c r="H1111" s="41"/>
      <c r="I1111" s="42"/>
      <c r="J1111" s="41"/>
      <c r="K1111" s="41"/>
      <c r="L1111" s="43"/>
    </row>
    <row r="1112" spans="2:12" outlineLevel="2">
      <c r="B1112" s="35">
        <f t="shared" si="34"/>
        <v>648</v>
      </c>
      <c r="C1112" s="41" t="s">
        <v>175</v>
      </c>
      <c r="D1112" s="41"/>
      <c r="E1112" s="41"/>
      <c r="F1112" s="41"/>
      <c r="G1112" s="41"/>
      <c r="H1112" s="41"/>
      <c r="I1112" s="42"/>
      <c r="J1112" s="41"/>
      <c r="K1112" s="41"/>
      <c r="L1112" s="43"/>
    </row>
    <row r="1113" spans="2:12" outlineLevel="2">
      <c r="B1113" s="35">
        <f t="shared" si="34"/>
        <v>649</v>
      </c>
      <c r="C1113" s="41" t="s">
        <v>175</v>
      </c>
      <c r="D1113" s="41"/>
      <c r="E1113" s="41"/>
      <c r="F1113" s="41"/>
      <c r="G1113" s="41"/>
      <c r="H1113" s="41"/>
      <c r="I1113" s="42"/>
      <c r="J1113" s="41"/>
      <c r="K1113" s="41"/>
      <c r="L1113" s="43"/>
    </row>
    <row r="1114" spans="2:12" outlineLevel="2">
      <c r="B1114" s="35">
        <f t="shared" ref="B1114:B1148" si="35">(B1113+1)</f>
        <v>650</v>
      </c>
      <c r="C1114" s="41" t="s">
        <v>175</v>
      </c>
      <c r="D1114" s="41"/>
      <c r="E1114" s="41"/>
      <c r="F1114" s="41"/>
      <c r="G1114" s="41"/>
      <c r="H1114" s="41"/>
      <c r="I1114" s="42"/>
      <c r="J1114" s="41"/>
      <c r="K1114" s="41"/>
      <c r="L1114" s="43"/>
    </row>
    <row r="1115" spans="2:12" outlineLevel="2">
      <c r="B1115" s="35">
        <f t="shared" si="35"/>
        <v>651</v>
      </c>
      <c r="C1115" s="41" t="s">
        <v>175</v>
      </c>
      <c r="D1115" s="41"/>
      <c r="E1115" s="41"/>
      <c r="F1115" s="41"/>
      <c r="G1115" s="41"/>
      <c r="H1115" s="41"/>
      <c r="I1115" s="42"/>
      <c r="J1115" s="41"/>
      <c r="K1115" s="41"/>
      <c r="L1115" s="43"/>
    </row>
    <row r="1116" spans="2:12" outlineLevel="2">
      <c r="B1116" s="35">
        <f t="shared" si="35"/>
        <v>652</v>
      </c>
      <c r="C1116" s="41" t="s">
        <v>175</v>
      </c>
      <c r="D1116" s="41"/>
      <c r="E1116" s="41"/>
      <c r="F1116" s="41"/>
      <c r="G1116" s="41"/>
      <c r="H1116" s="41"/>
      <c r="I1116" s="42"/>
      <c r="J1116" s="41"/>
      <c r="K1116" s="41"/>
      <c r="L1116" s="43"/>
    </row>
    <row r="1117" spans="2:12" outlineLevel="2">
      <c r="B1117" s="35">
        <f t="shared" si="35"/>
        <v>653</v>
      </c>
      <c r="C1117" s="41" t="s">
        <v>175</v>
      </c>
      <c r="D1117" s="41"/>
      <c r="E1117" s="41"/>
      <c r="F1117" s="41"/>
      <c r="G1117" s="41"/>
      <c r="H1117" s="41"/>
      <c r="I1117" s="42"/>
      <c r="J1117" s="41"/>
      <c r="K1117" s="41"/>
      <c r="L1117" s="43"/>
    </row>
    <row r="1118" spans="2:12" outlineLevel="2">
      <c r="B1118" s="35">
        <f t="shared" si="35"/>
        <v>654</v>
      </c>
      <c r="C1118" s="41" t="s">
        <v>175</v>
      </c>
      <c r="D1118" s="41"/>
      <c r="E1118" s="41"/>
      <c r="F1118" s="41"/>
      <c r="G1118" s="41"/>
      <c r="H1118" s="41"/>
      <c r="I1118" s="42"/>
      <c r="J1118" s="41"/>
      <c r="K1118" s="41"/>
      <c r="L1118" s="43"/>
    </row>
    <row r="1119" spans="2:12" outlineLevel="2">
      <c r="B1119" s="35">
        <f t="shared" si="35"/>
        <v>655</v>
      </c>
      <c r="C1119" s="41" t="s">
        <v>175</v>
      </c>
      <c r="D1119" s="41"/>
      <c r="E1119" s="41"/>
      <c r="F1119" s="41"/>
      <c r="G1119" s="41"/>
      <c r="H1119" s="41"/>
      <c r="I1119" s="42"/>
      <c r="J1119" s="41"/>
      <c r="K1119" s="41"/>
      <c r="L1119" s="43"/>
    </row>
    <row r="1120" spans="2:12" outlineLevel="2">
      <c r="B1120" s="35">
        <f t="shared" si="35"/>
        <v>656</v>
      </c>
      <c r="C1120" s="41" t="s">
        <v>175</v>
      </c>
      <c r="D1120" s="41"/>
      <c r="E1120" s="41"/>
      <c r="F1120" s="41"/>
      <c r="G1120" s="41"/>
      <c r="H1120" s="41"/>
      <c r="I1120" s="42"/>
      <c r="J1120" s="41"/>
      <c r="K1120" s="41"/>
      <c r="L1120" s="43"/>
    </row>
    <row r="1121" spans="2:12" outlineLevel="2">
      <c r="B1121" s="35">
        <f t="shared" si="35"/>
        <v>657</v>
      </c>
      <c r="C1121" s="41" t="s">
        <v>175</v>
      </c>
      <c r="D1121" s="41"/>
      <c r="E1121" s="41"/>
      <c r="F1121" s="41"/>
      <c r="G1121" s="41"/>
      <c r="H1121" s="41"/>
      <c r="I1121" s="42"/>
      <c r="J1121" s="41"/>
      <c r="K1121" s="41"/>
      <c r="L1121" s="43"/>
    </row>
    <row r="1122" spans="2:12" outlineLevel="2">
      <c r="B1122" s="35">
        <f t="shared" si="35"/>
        <v>658</v>
      </c>
      <c r="C1122" s="41" t="s">
        <v>175</v>
      </c>
      <c r="D1122" s="41"/>
      <c r="E1122" s="41"/>
      <c r="F1122" s="41"/>
      <c r="G1122" s="41"/>
      <c r="H1122" s="41"/>
      <c r="I1122" s="42"/>
      <c r="J1122" s="41"/>
      <c r="K1122" s="41"/>
      <c r="L1122" s="43"/>
    </row>
    <row r="1123" spans="2:12" outlineLevel="2">
      <c r="B1123" s="35">
        <f t="shared" si="35"/>
        <v>659</v>
      </c>
      <c r="C1123" s="41" t="s">
        <v>175</v>
      </c>
      <c r="D1123" s="41"/>
      <c r="E1123" s="41"/>
      <c r="F1123" s="41"/>
      <c r="G1123" s="41"/>
      <c r="H1123" s="41"/>
      <c r="I1123" s="42"/>
      <c r="J1123" s="41"/>
      <c r="K1123" s="41"/>
      <c r="L1123" s="43"/>
    </row>
    <row r="1124" spans="2:12" outlineLevel="2">
      <c r="B1124" s="35">
        <f t="shared" si="35"/>
        <v>660</v>
      </c>
      <c r="C1124" s="41" t="s">
        <v>175</v>
      </c>
      <c r="D1124" s="41"/>
      <c r="E1124" s="41"/>
      <c r="F1124" s="41"/>
      <c r="G1124" s="41"/>
      <c r="H1124" s="41"/>
      <c r="I1124" s="42"/>
      <c r="J1124" s="41"/>
      <c r="K1124" s="41"/>
      <c r="L1124" s="43"/>
    </row>
    <row r="1125" spans="2:12" outlineLevel="2">
      <c r="B1125" s="35">
        <f t="shared" si="35"/>
        <v>661</v>
      </c>
      <c r="C1125" s="41" t="s">
        <v>175</v>
      </c>
      <c r="D1125" s="41"/>
      <c r="E1125" s="41"/>
      <c r="F1125" s="41"/>
      <c r="G1125" s="41"/>
      <c r="H1125" s="41"/>
      <c r="I1125" s="42"/>
      <c r="J1125" s="41"/>
      <c r="K1125" s="41"/>
      <c r="L1125" s="43"/>
    </row>
    <row r="1126" spans="2:12" outlineLevel="2">
      <c r="B1126" s="35">
        <f t="shared" si="35"/>
        <v>662</v>
      </c>
      <c r="C1126" s="41" t="s">
        <v>175</v>
      </c>
      <c r="D1126" s="41"/>
      <c r="E1126" s="41"/>
      <c r="F1126" s="41"/>
      <c r="G1126" s="41"/>
      <c r="H1126" s="41"/>
      <c r="I1126" s="42"/>
      <c r="J1126" s="41"/>
      <c r="K1126" s="41"/>
      <c r="L1126" s="43"/>
    </row>
    <row r="1127" spans="2:12" outlineLevel="2">
      <c r="B1127" s="35">
        <f t="shared" si="35"/>
        <v>663</v>
      </c>
      <c r="C1127" s="41" t="s">
        <v>175</v>
      </c>
      <c r="D1127" s="41"/>
      <c r="E1127" s="41"/>
      <c r="F1127" s="41"/>
      <c r="G1127" s="41"/>
      <c r="H1127" s="41"/>
      <c r="I1127" s="42"/>
      <c r="J1127" s="41"/>
      <c r="K1127" s="41"/>
      <c r="L1127" s="43"/>
    </row>
    <row r="1128" spans="2:12" outlineLevel="2">
      <c r="B1128" s="35">
        <f t="shared" si="35"/>
        <v>664</v>
      </c>
      <c r="C1128" s="41" t="s">
        <v>175</v>
      </c>
      <c r="D1128" s="41"/>
      <c r="E1128" s="41"/>
      <c r="F1128" s="41"/>
      <c r="G1128" s="41"/>
      <c r="H1128" s="41"/>
      <c r="I1128" s="42"/>
      <c r="J1128" s="41"/>
      <c r="K1128" s="41"/>
      <c r="L1128" s="43"/>
    </row>
    <row r="1129" spans="2:12" outlineLevel="2">
      <c r="B1129" s="35">
        <f t="shared" si="35"/>
        <v>665</v>
      </c>
      <c r="C1129" s="41" t="s">
        <v>175</v>
      </c>
      <c r="D1129" s="41"/>
      <c r="E1129" s="41"/>
      <c r="F1129" s="41"/>
      <c r="G1129" s="41"/>
      <c r="H1129" s="41"/>
      <c r="I1129" s="42"/>
      <c r="J1129" s="41"/>
      <c r="K1129" s="41"/>
      <c r="L1129" s="43"/>
    </row>
    <row r="1130" spans="2:12" outlineLevel="2">
      <c r="B1130" s="35">
        <f t="shared" si="35"/>
        <v>666</v>
      </c>
      <c r="C1130" s="41" t="s">
        <v>175</v>
      </c>
      <c r="D1130" s="41"/>
      <c r="E1130" s="41"/>
      <c r="F1130" s="41"/>
      <c r="G1130" s="41"/>
      <c r="H1130" s="41"/>
      <c r="I1130" s="42"/>
      <c r="J1130" s="41"/>
      <c r="K1130" s="41"/>
      <c r="L1130" s="43"/>
    </row>
    <row r="1131" spans="2:12" outlineLevel="2">
      <c r="B1131" s="35">
        <f t="shared" si="35"/>
        <v>667</v>
      </c>
      <c r="C1131" s="41" t="s">
        <v>175</v>
      </c>
      <c r="D1131" s="41"/>
      <c r="E1131" s="41"/>
      <c r="F1131" s="41"/>
      <c r="G1131" s="41"/>
      <c r="H1131" s="41"/>
      <c r="I1131" s="42"/>
      <c r="J1131" s="41"/>
      <c r="K1131" s="41"/>
      <c r="L1131" s="43"/>
    </row>
    <row r="1132" spans="2:12" outlineLevel="2">
      <c r="B1132" s="35">
        <f t="shared" si="35"/>
        <v>668</v>
      </c>
      <c r="C1132" s="41" t="s">
        <v>175</v>
      </c>
      <c r="D1132" s="41"/>
      <c r="E1132" s="41"/>
      <c r="F1132" s="41"/>
      <c r="G1132" s="41"/>
      <c r="H1132" s="41"/>
      <c r="I1132" s="42"/>
      <c r="J1132" s="41"/>
      <c r="K1132" s="41"/>
      <c r="L1132" s="43"/>
    </row>
    <row r="1133" spans="2:12" outlineLevel="2">
      <c r="B1133" s="35">
        <f t="shared" si="35"/>
        <v>669</v>
      </c>
      <c r="C1133" s="41" t="s">
        <v>175</v>
      </c>
      <c r="D1133" s="41"/>
      <c r="E1133" s="41"/>
      <c r="F1133" s="41"/>
      <c r="G1133" s="41"/>
      <c r="H1133" s="41"/>
      <c r="I1133" s="42"/>
      <c r="J1133" s="41"/>
      <c r="K1133" s="41"/>
      <c r="L1133" s="43"/>
    </row>
    <row r="1134" spans="2:12" outlineLevel="2">
      <c r="B1134" s="35">
        <f t="shared" si="35"/>
        <v>670</v>
      </c>
      <c r="C1134" s="41" t="s">
        <v>175</v>
      </c>
      <c r="D1134" s="41"/>
      <c r="E1134" s="41"/>
      <c r="F1134" s="41"/>
      <c r="G1134" s="41"/>
      <c r="H1134" s="41"/>
      <c r="I1134" s="42"/>
      <c r="J1134" s="41"/>
      <c r="K1134" s="41"/>
      <c r="L1134" s="43"/>
    </row>
    <row r="1135" spans="2:12" outlineLevel="2">
      <c r="B1135" s="35">
        <f t="shared" si="35"/>
        <v>671</v>
      </c>
      <c r="C1135" s="41" t="s">
        <v>175</v>
      </c>
      <c r="D1135" s="41"/>
      <c r="E1135" s="41"/>
      <c r="F1135" s="41"/>
      <c r="G1135" s="41"/>
      <c r="H1135" s="41"/>
      <c r="I1135" s="42"/>
      <c r="J1135" s="41"/>
      <c r="K1135" s="41"/>
      <c r="L1135" s="43"/>
    </row>
    <row r="1136" spans="2:12" outlineLevel="2">
      <c r="B1136" s="35">
        <f t="shared" si="35"/>
        <v>672</v>
      </c>
      <c r="C1136" s="41" t="s">
        <v>175</v>
      </c>
      <c r="D1136" s="41"/>
      <c r="E1136" s="41"/>
      <c r="F1136" s="41"/>
      <c r="G1136" s="41"/>
      <c r="H1136" s="41"/>
      <c r="I1136" s="42"/>
      <c r="J1136" s="41"/>
      <c r="K1136" s="41"/>
      <c r="L1136" s="43"/>
    </row>
    <row r="1137" spans="2:12" outlineLevel="2">
      <c r="B1137" s="35">
        <f t="shared" si="35"/>
        <v>673</v>
      </c>
      <c r="C1137" s="41" t="s">
        <v>175</v>
      </c>
      <c r="D1137" s="41"/>
      <c r="E1137" s="41"/>
      <c r="F1137" s="41"/>
      <c r="G1137" s="41"/>
      <c r="H1137" s="41"/>
      <c r="I1137" s="42"/>
      <c r="J1137" s="41"/>
      <c r="K1137" s="41"/>
      <c r="L1137" s="43"/>
    </row>
    <row r="1138" spans="2:12" outlineLevel="2">
      <c r="B1138" s="35">
        <f t="shared" si="35"/>
        <v>674</v>
      </c>
      <c r="C1138" s="41" t="s">
        <v>175</v>
      </c>
      <c r="D1138" s="41"/>
      <c r="E1138" s="41"/>
      <c r="F1138" s="41"/>
      <c r="G1138" s="41"/>
      <c r="H1138" s="41"/>
      <c r="I1138" s="42"/>
      <c r="J1138" s="41"/>
      <c r="K1138" s="41"/>
      <c r="L1138" s="43"/>
    </row>
    <row r="1139" spans="2:12" outlineLevel="2">
      <c r="B1139" s="35">
        <f t="shared" si="35"/>
        <v>675</v>
      </c>
      <c r="C1139" s="41" t="s">
        <v>175</v>
      </c>
      <c r="D1139" s="41"/>
      <c r="E1139" s="41"/>
      <c r="F1139" s="41"/>
      <c r="G1139" s="41"/>
      <c r="H1139" s="41"/>
      <c r="I1139" s="42"/>
      <c r="J1139" s="41"/>
      <c r="K1139" s="41"/>
      <c r="L1139" s="43"/>
    </row>
    <row r="1140" spans="2:12" outlineLevel="2">
      <c r="B1140" s="35">
        <f t="shared" si="35"/>
        <v>676</v>
      </c>
      <c r="C1140" s="41" t="s">
        <v>175</v>
      </c>
      <c r="D1140" s="41"/>
      <c r="E1140" s="41"/>
      <c r="F1140" s="41"/>
      <c r="G1140" s="41"/>
      <c r="H1140" s="41"/>
      <c r="I1140" s="42"/>
      <c r="J1140" s="41"/>
      <c r="K1140" s="41"/>
      <c r="L1140" s="43"/>
    </row>
    <row r="1141" spans="2:12" outlineLevel="2">
      <c r="B1141" s="35">
        <f t="shared" si="35"/>
        <v>677</v>
      </c>
      <c r="C1141" s="41" t="s">
        <v>175</v>
      </c>
      <c r="D1141" s="41"/>
      <c r="E1141" s="41"/>
      <c r="F1141" s="41"/>
      <c r="G1141" s="41"/>
      <c r="H1141" s="41"/>
      <c r="I1141" s="42"/>
      <c r="J1141" s="41"/>
      <c r="K1141" s="41"/>
      <c r="L1141" s="43"/>
    </row>
    <row r="1142" spans="2:12" outlineLevel="2">
      <c r="B1142" s="35">
        <f t="shared" si="35"/>
        <v>678</v>
      </c>
      <c r="C1142" s="41" t="s">
        <v>175</v>
      </c>
      <c r="D1142" s="41"/>
      <c r="E1142" s="41"/>
      <c r="F1142" s="41"/>
      <c r="G1142" s="41"/>
      <c r="H1142" s="41"/>
      <c r="I1142" s="42"/>
      <c r="J1142" s="41"/>
      <c r="K1142" s="41"/>
      <c r="L1142" s="43"/>
    </row>
    <row r="1143" spans="2:12" outlineLevel="2">
      <c r="B1143" s="35">
        <f t="shared" si="35"/>
        <v>679</v>
      </c>
      <c r="C1143" s="41" t="s">
        <v>175</v>
      </c>
      <c r="D1143" s="41"/>
      <c r="E1143" s="41"/>
      <c r="F1143" s="41"/>
      <c r="G1143" s="41"/>
      <c r="H1143" s="41"/>
      <c r="I1143" s="42"/>
      <c r="J1143" s="41"/>
      <c r="K1143" s="41"/>
      <c r="L1143" s="43"/>
    </row>
    <row r="1144" spans="2:12" outlineLevel="2">
      <c r="B1144" s="35">
        <f t="shared" si="35"/>
        <v>680</v>
      </c>
      <c r="C1144" s="41" t="s">
        <v>175</v>
      </c>
      <c r="D1144" s="41"/>
      <c r="E1144" s="41"/>
      <c r="F1144" s="41"/>
      <c r="G1144" s="41"/>
      <c r="H1144" s="41"/>
      <c r="I1144" s="42"/>
      <c r="J1144" s="41"/>
      <c r="K1144" s="41"/>
      <c r="L1144" s="43"/>
    </row>
    <row r="1145" spans="2:12" outlineLevel="2">
      <c r="B1145" s="35">
        <f t="shared" si="35"/>
        <v>681</v>
      </c>
      <c r="C1145" s="41" t="s">
        <v>175</v>
      </c>
      <c r="D1145" s="41"/>
      <c r="E1145" s="41"/>
      <c r="F1145" s="41"/>
      <c r="G1145" s="41"/>
      <c r="H1145" s="41"/>
      <c r="I1145" s="42"/>
      <c r="J1145" s="41"/>
      <c r="K1145" s="41"/>
      <c r="L1145" s="43"/>
    </row>
    <row r="1146" spans="2:12" outlineLevel="2">
      <c r="B1146" s="35">
        <f t="shared" si="35"/>
        <v>682</v>
      </c>
      <c r="C1146" s="41" t="s">
        <v>175</v>
      </c>
      <c r="D1146" s="41"/>
      <c r="E1146" s="41"/>
      <c r="F1146" s="41"/>
      <c r="G1146" s="41"/>
      <c r="H1146" s="41"/>
      <c r="I1146" s="42"/>
      <c r="J1146" s="41"/>
      <c r="K1146" s="41"/>
      <c r="L1146" s="43"/>
    </row>
    <row r="1147" spans="2:12" outlineLevel="2">
      <c r="B1147" s="35">
        <f t="shared" si="35"/>
        <v>683</v>
      </c>
      <c r="C1147" s="41" t="s">
        <v>175</v>
      </c>
      <c r="D1147" s="41"/>
      <c r="E1147" s="41"/>
      <c r="F1147" s="41"/>
      <c r="G1147" s="41"/>
      <c r="H1147" s="41"/>
      <c r="I1147" s="42"/>
      <c r="J1147" s="41"/>
      <c r="K1147" s="41"/>
      <c r="L1147" s="43"/>
    </row>
    <row r="1148" spans="2:12" outlineLevel="2">
      <c r="B1148" s="35">
        <f t="shared" si="35"/>
        <v>684</v>
      </c>
      <c r="C1148" s="41" t="s">
        <v>175</v>
      </c>
      <c r="D1148" s="41"/>
      <c r="E1148" s="41"/>
      <c r="F1148" s="41"/>
      <c r="G1148" s="41"/>
      <c r="H1148" s="41"/>
      <c r="I1148" s="42"/>
      <c r="J1148" s="41"/>
      <c r="K1148" s="41"/>
      <c r="L1148" s="43"/>
    </row>
    <row r="1149" spans="2:12" outlineLevel="1">
      <c r="B1149" s="60" t="s">
        <v>296</v>
      </c>
      <c r="C1149" s="41">
        <f>SUBTOTAL(3,C921:C1148)</f>
        <v>228</v>
      </c>
      <c r="D1149" s="41"/>
      <c r="E1149" s="41"/>
      <c r="F1149" s="41"/>
      <c r="G1149" s="41"/>
      <c r="H1149" s="41"/>
      <c r="I1149" s="42"/>
      <c r="J1149" s="41"/>
      <c r="K1149" s="41"/>
      <c r="L1149" s="43"/>
    </row>
    <row r="1150" spans="2:12" outlineLevel="2">
      <c r="B1150" s="35">
        <f>(B1148+1)</f>
        <v>685</v>
      </c>
      <c r="C1150" s="41" t="s">
        <v>69</v>
      </c>
      <c r="D1150" s="41"/>
      <c r="E1150" s="41"/>
      <c r="F1150" s="41"/>
      <c r="G1150" s="41"/>
      <c r="H1150" s="41"/>
      <c r="I1150" s="42"/>
      <c r="J1150" s="41"/>
      <c r="K1150" s="41"/>
      <c r="L1150" s="43"/>
    </row>
    <row r="1151" spans="2:12" outlineLevel="2">
      <c r="B1151" s="35">
        <f t="shared" ref="B1151:B1214" si="36">(B1150+1)</f>
        <v>686</v>
      </c>
      <c r="C1151" s="41" t="s">
        <v>69</v>
      </c>
      <c r="D1151" s="41"/>
      <c r="E1151" s="41"/>
      <c r="F1151" s="41"/>
      <c r="G1151" s="41"/>
      <c r="H1151" s="41"/>
      <c r="I1151" s="42"/>
      <c r="J1151" s="41"/>
      <c r="K1151" s="41"/>
      <c r="L1151" s="43"/>
    </row>
    <row r="1152" spans="2:12" outlineLevel="2">
      <c r="B1152" s="35">
        <f t="shared" si="36"/>
        <v>687</v>
      </c>
      <c r="C1152" s="41" t="s">
        <v>69</v>
      </c>
      <c r="D1152" s="41"/>
      <c r="E1152" s="41"/>
      <c r="F1152" s="41"/>
      <c r="G1152" s="41"/>
      <c r="H1152" s="41"/>
      <c r="I1152" s="42"/>
      <c r="J1152" s="41"/>
      <c r="K1152" s="41"/>
      <c r="L1152" s="43"/>
    </row>
    <row r="1153" spans="2:12" outlineLevel="2">
      <c r="B1153" s="35">
        <f t="shared" si="36"/>
        <v>688</v>
      </c>
      <c r="C1153" s="41" t="s">
        <v>69</v>
      </c>
      <c r="D1153" s="41"/>
      <c r="E1153" s="41"/>
      <c r="F1153" s="41"/>
      <c r="G1153" s="41"/>
      <c r="H1153" s="41"/>
      <c r="I1153" s="42"/>
      <c r="J1153" s="41"/>
      <c r="K1153" s="41"/>
      <c r="L1153" s="43"/>
    </row>
    <row r="1154" spans="2:12" outlineLevel="2">
      <c r="B1154" s="35">
        <f t="shared" si="36"/>
        <v>689</v>
      </c>
      <c r="C1154" s="41" t="s">
        <v>69</v>
      </c>
      <c r="D1154" s="41"/>
      <c r="E1154" s="41"/>
      <c r="F1154" s="41"/>
      <c r="G1154" s="41"/>
      <c r="H1154" s="41"/>
      <c r="I1154" s="42"/>
      <c r="J1154" s="41"/>
      <c r="K1154" s="41"/>
      <c r="L1154" s="43"/>
    </row>
    <row r="1155" spans="2:12" outlineLevel="2">
      <c r="B1155" s="35">
        <f t="shared" si="36"/>
        <v>690</v>
      </c>
      <c r="C1155" s="41" t="s">
        <v>69</v>
      </c>
      <c r="D1155" s="41"/>
      <c r="E1155" s="41"/>
      <c r="F1155" s="41"/>
      <c r="G1155" s="41"/>
      <c r="H1155" s="41"/>
      <c r="I1155" s="42"/>
      <c r="J1155" s="41"/>
      <c r="K1155" s="41"/>
      <c r="L1155" s="43"/>
    </row>
    <row r="1156" spans="2:12" outlineLevel="2">
      <c r="B1156" s="35">
        <f t="shared" si="36"/>
        <v>691</v>
      </c>
      <c r="C1156" s="41" t="s">
        <v>69</v>
      </c>
      <c r="D1156" s="41"/>
      <c r="E1156" s="41"/>
      <c r="F1156" s="41"/>
      <c r="G1156" s="41"/>
      <c r="H1156" s="41"/>
      <c r="I1156" s="42"/>
      <c r="J1156" s="41"/>
      <c r="K1156" s="41"/>
      <c r="L1156" s="43"/>
    </row>
    <row r="1157" spans="2:12" outlineLevel="2">
      <c r="B1157" s="35">
        <f t="shared" si="36"/>
        <v>692</v>
      </c>
      <c r="C1157" s="41" t="s">
        <v>69</v>
      </c>
      <c r="D1157" s="41"/>
      <c r="E1157" s="41"/>
      <c r="F1157" s="41"/>
      <c r="G1157" s="41"/>
      <c r="H1157" s="41"/>
      <c r="I1157" s="42"/>
      <c r="J1157" s="41"/>
      <c r="K1157" s="41"/>
      <c r="L1157" s="43"/>
    </row>
    <row r="1158" spans="2:12" outlineLevel="2">
      <c r="B1158" s="35">
        <f t="shared" si="36"/>
        <v>693</v>
      </c>
      <c r="C1158" s="41" t="s">
        <v>69</v>
      </c>
      <c r="D1158" s="41"/>
      <c r="E1158" s="41"/>
      <c r="F1158" s="41"/>
      <c r="G1158" s="41"/>
      <c r="H1158" s="41"/>
      <c r="I1158" s="42"/>
      <c r="J1158" s="41"/>
      <c r="K1158" s="41"/>
      <c r="L1158" s="43"/>
    </row>
    <row r="1159" spans="2:12" outlineLevel="2">
      <c r="B1159" s="35">
        <f t="shared" si="36"/>
        <v>694</v>
      </c>
      <c r="C1159" s="41" t="s">
        <v>69</v>
      </c>
      <c r="D1159" s="41"/>
      <c r="E1159" s="41"/>
      <c r="F1159" s="41"/>
      <c r="G1159" s="41"/>
      <c r="H1159" s="41"/>
      <c r="I1159" s="42"/>
      <c r="J1159" s="41"/>
      <c r="K1159" s="41"/>
      <c r="L1159" s="43"/>
    </row>
    <row r="1160" spans="2:12" outlineLevel="2">
      <c r="B1160" s="35">
        <f t="shared" si="36"/>
        <v>695</v>
      </c>
      <c r="C1160" s="41" t="s">
        <v>69</v>
      </c>
      <c r="D1160" s="41"/>
      <c r="E1160" s="41"/>
      <c r="F1160" s="41"/>
      <c r="G1160" s="41"/>
      <c r="H1160" s="41"/>
      <c r="I1160" s="42"/>
      <c r="J1160" s="41"/>
      <c r="K1160" s="41"/>
      <c r="L1160" s="43"/>
    </row>
    <row r="1161" spans="2:12" outlineLevel="2">
      <c r="B1161" s="35">
        <f t="shared" si="36"/>
        <v>696</v>
      </c>
      <c r="C1161" s="41" t="s">
        <v>69</v>
      </c>
      <c r="D1161" s="41"/>
      <c r="E1161" s="41"/>
      <c r="F1161" s="41"/>
      <c r="G1161" s="41"/>
      <c r="H1161" s="41"/>
      <c r="I1161" s="42"/>
      <c r="J1161" s="41"/>
      <c r="K1161" s="41"/>
      <c r="L1161" s="43"/>
    </row>
    <row r="1162" spans="2:12" outlineLevel="2">
      <c r="B1162" s="35">
        <f t="shared" si="36"/>
        <v>697</v>
      </c>
      <c r="C1162" s="41" t="s">
        <v>69</v>
      </c>
      <c r="D1162" s="41"/>
      <c r="E1162" s="41"/>
      <c r="F1162" s="41"/>
      <c r="G1162" s="41"/>
      <c r="H1162" s="41"/>
      <c r="I1162" s="42"/>
      <c r="J1162" s="41"/>
      <c r="K1162" s="41"/>
      <c r="L1162" s="43"/>
    </row>
    <row r="1163" spans="2:12" outlineLevel="2">
      <c r="B1163" s="35">
        <f t="shared" si="36"/>
        <v>698</v>
      </c>
      <c r="C1163" s="41" t="s">
        <v>69</v>
      </c>
      <c r="D1163" s="41"/>
      <c r="E1163" s="41"/>
      <c r="F1163" s="41"/>
      <c r="G1163" s="41"/>
      <c r="H1163" s="41"/>
      <c r="I1163" s="42"/>
      <c r="J1163" s="41"/>
      <c r="K1163" s="41"/>
      <c r="L1163" s="43"/>
    </row>
    <row r="1164" spans="2:12" outlineLevel="2">
      <c r="B1164" s="35">
        <f t="shared" si="36"/>
        <v>699</v>
      </c>
      <c r="C1164" s="41" t="s">
        <v>69</v>
      </c>
      <c r="D1164" s="41"/>
      <c r="E1164" s="41"/>
      <c r="F1164" s="41"/>
      <c r="G1164" s="41"/>
      <c r="H1164" s="41"/>
      <c r="I1164" s="42"/>
      <c r="J1164" s="41"/>
      <c r="K1164" s="41"/>
      <c r="L1164" s="43"/>
    </row>
    <row r="1165" spans="2:12" outlineLevel="2">
      <c r="B1165" s="35">
        <f t="shared" si="36"/>
        <v>700</v>
      </c>
      <c r="C1165" s="41" t="s">
        <v>69</v>
      </c>
      <c r="D1165" s="41"/>
      <c r="E1165" s="41"/>
      <c r="F1165" s="41"/>
      <c r="G1165" s="41"/>
      <c r="H1165" s="41"/>
      <c r="I1165" s="42"/>
      <c r="J1165" s="41"/>
      <c r="K1165" s="41"/>
      <c r="L1165" s="43"/>
    </row>
    <row r="1166" spans="2:12" outlineLevel="2">
      <c r="B1166" s="35">
        <f t="shared" si="36"/>
        <v>701</v>
      </c>
      <c r="C1166" s="41" t="s">
        <v>69</v>
      </c>
      <c r="D1166" s="41"/>
      <c r="E1166" s="41"/>
      <c r="F1166" s="41"/>
      <c r="G1166" s="41"/>
      <c r="H1166" s="41"/>
      <c r="I1166" s="42"/>
      <c r="J1166" s="41"/>
      <c r="K1166" s="41"/>
      <c r="L1166" s="43"/>
    </row>
    <row r="1167" spans="2:12" outlineLevel="2">
      <c r="B1167" s="35">
        <f t="shared" si="36"/>
        <v>702</v>
      </c>
      <c r="C1167" s="41" t="s">
        <v>69</v>
      </c>
      <c r="D1167" s="41"/>
      <c r="E1167" s="41"/>
      <c r="F1167" s="41"/>
      <c r="G1167" s="41"/>
      <c r="H1167" s="41"/>
      <c r="I1167" s="42"/>
      <c r="J1167" s="41"/>
      <c r="K1167" s="41"/>
      <c r="L1167" s="43"/>
    </row>
    <row r="1168" spans="2:12" outlineLevel="2">
      <c r="B1168" s="35">
        <f t="shared" si="36"/>
        <v>703</v>
      </c>
      <c r="C1168" s="41" t="s">
        <v>69</v>
      </c>
      <c r="D1168" s="41"/>
      <c r="E1168" s="41"/>
      <c r="F1168" s="41"/>
      <c r="G1168" s="41"/>
      <c r="H1168" s="41"/>
      <c r="I1168" s="42"/>
      <c r="J1168" s="41"/>
      <c r="K1168" s="41"/>
      <c r="L1168" s="43"/>
    </row>
    <row r="1169" spans="2:12" outlineLevel="2">
      <c r="B1169" s="35">
        <f t="shared" si="36"/>
        <v>704</v>
      </c>
      <c r="C1169" s="41" t="s">
        <v>69</v>
      </c>
      <c r="D1169" s="41"/>
      <c r="E1169" s="41"/>
      <c r="F1169" s="41"/>
      <c r="G1169" s="41"/>
      <c r="H1169" s="41"/>
      <c r="I1169" s="42"/>
      <c r="J1169" s="41"/>
      <c r="K1169" s="41"/>
      <c r="L1169" s="43"/>
    </row>
    <row r="1170" spans="2:12" outlineLevel="2">
      <c r="B1170" s="35">
        <f t="shared" si="36"/>
        <v>705</v>
      </c>
      <c r="C1170" s="41" t="s">
        <v>69</v>
      </c>
      <c r="D1170" s="41"/>
      <c r="E1170" s="41"/>
      <c r="F1170" s="41"/>
      <c r="G1170" s="41"/>
      <c r="H1170" s="41"/>
      <c r="I1170" s="42"/>
      <c r="J1170" s="41"/>
      <c r="K1170" s="41"/>
      <c r="L1170" s="43"/>
    </row>
    <row r="1171" spans="2:12" outlineLevel="2">
      <c r="B1171" s="35">
        <f t="shared" si="36"/>
        <v>706</v>
      </c>
      <c r="C1171" s="41" t="s">
        <v>69</v>
      </c>
      <c r="D1171" s="41"/>
      <c r="E1171" s="41"/>
      <c r="F1171" s="41"/>
      <c r="G1171" s="41"/>
      <c r="H1171" s="41"/>
      <c r="I1171" s="42"/>
      <c r="J1171" s="41"/>
      <c r="K1171" s="41"/>
      <c r="L1171" s="43"/>
    </row>
    <row r="1172" spans="2:12" outlineLevel="2">
      <c r="B1172" s="35">
        <f t="shared" si="36"/>
        <v>707</v>
      </c>
      <c r="C1172" s="41" t="s">
        <v>69</v>
      </c>
      <c r="D1172" s="41"/>
      <c r="E1172" s="41"/>
      <c r="F1172" s="41"/>
      <c r="G1172" s="41"/>
      <c r="H1172" s="41"/>
      <c r="I1172" s="42"/>
      <c r="J1172" s="41"/>
      <c r="K1172" s="41"/>
      <c r="L1172" s="43"/>
    </row>
    <row r="1173" spans="2:12" outlineLevel="2">
      <c r="B1173" s="35">
        <f t="shared" si="36"/>
        <v>708</v>
      </c>
      <c r="C1173" s="41" t="s">
        <v>69</v>
      </c>
      <c r="D1173" s="41"/>
      <c r="E1173" s="41"/>
      <c r="F1173" s="41"/>
      <c r="G1173" s="41"/>
      <c r="H1173" s="41"/>
      <c r="I1173" s="42"/>
      <c r="J1173" s="41"/>
      <c r="K1173" s="41"/>
      <c r="L1173" s="43"/>
    </row>
    <row r="1174" spans="2:12" outlineLevel="2">
      <c r="B1174" s="35">
        <f t="shared" si="36"/>
        <v>709</v>
      </c>
      <c r="C1174" s="41" t="s">
        <v>69</v>
      </c>
      <c r="D1174" s="41"/>
      <c r="E1174" s="41"/>
      <c r="F1174" s="41"/>
      <c r="G1174" s="41"/>
      <c r="H1174" s="41"/>
      <c r="I1174" s="42"/>
      <c r="J1174" s="41"/>
      <c r="K1174" s="41"/>
      <c r="L1174" s="43"/>
    </row>
    <row r="1175" spans="2:12" outlineLevel="2">
      <c r="B1175" s="35">
        <f t="shared" si="36"/>
        <v>710</v>
      </c>
      <c r="C1175" s="41" t="s">
        <v>69</v>
      </c>
      <c r="D1175" s="41"/>
      <c r="E1175" s="41"/>
      <c r="F1175" s="41"/>
      <c r="G1175" s="41"/>
      <c r="H1175" s="41"/>
      <c r="I1175" s="42"/>
      <c r="J1175" s="41"/>
      <c r="K1175" s="41"/>
      <c r="L1175" s="43"/>
    </row>
    <row r="1176" spans="2:12" outlineLevel="2">
      <c r="B1176" s="35">
        <f t="shared" si="36"/>
        <v>711</v>
      </c>
      <c r="C1176" s="41" t="s">
        <v>69</v>
      </c>
      <c r="D1176" s="41"/>
      <c r="E1176" s="41"/>
      <c r="F1176" s="41"/>
      <c r="G1176" s="41"/>
      <c r="H1176" s="41"/>
      <c r="I1176" s="42"/>
      <c r="J1176" s="41"/>
      <c r="K1176" s="41"/>
      <c r="L1176" s="43"/>
    </row>
    <row r="1177" spans="2:12" outlineLevel="2">
      <c r="B1177" s="35">
        <f t="shared" si="36"/>
        <v>712</v>
      </c>
      <c r="C1177" s="41" t="s">
        <v>69</v>
      </c>
      <c r="D1177" s="41"/>
      <c r="E1177" s="41"/>
      <c r="F1177" s="41"/>
      <c r="G1177" s="41"/>
      <c r="H1177" s="41"/>
      <c r="I1177" s="42"/>
      <c r="J1177" s="41"/>
      <c r="K1177" s="41"/>
      <c r="L1177" s="43"/>
    </row>
    <row r="1178" spans="2:12" outlineLevel="2">
      <c r="B1178" s="35">
        <f t="shared" si="36"/>
        <v>713</v>
      </c>
      <c r="C1178" s="41" t="s">
        <v>69</v>
      </c>
      <c r="D1178" s="41"/>
      <c r="E1178" s="41"/>
      <c r="F1178" s="41"/>
      <c r="G1178" s="41"/>
      <c r="H1178" s="41"/>
      <c r="I1178" s="42"/>
      <c r="J1178" s="41"/>
      <c r="K1178" s="41"/>
      <c r="L1178" s="43"/>
    </row>
    <row r="1179" spans="2:12" outlineLevel="2">
      <c r="B1179" s="35">
        <f t="shared" si="36"/>
        <v>714</v>
      </c>
      <c r="C1179" s="41" t="s">
        <v>69</v>
      </c>
      <c r="D1179" s="41"/>
      <c r="E1179" s="41"/>
      <c r="F1179" s="41"/>
      <c r="G1179" s="41"/>
      <c r="H1179" s="41"/>
      <c r="I1179" s="42"/>
      <c r="J1179" s="41"/>
      <c r="K1179" s="41"/>
      <c r="L1179" s="43"/>
    </row>
    <row r="1180" spans="2:12" outlineLevel="2">
      <c r="B1180" s="35">
        <f t="shared" si="36"/>
        <v>715</v>
      </c>
      <c r="C1180" s="41" t="s">
        <v>69</v>
      </c>
      <c r="D1180" s="41"/>
      <c r="E1180" s="41"/>
      <c r="F1180" s="41"/>
      <c r="G1180" s="41"/>
      <c r="H1180" s="41"/>
      <c r="I1180" s="42"/>
      <c r="J1180" s="41"/>
      <c r="K1180" s="41"/>
      <c r="L1180" s="43"/>
    </row>
    <row r="1181" spans="2:12" outlineLevel="2">
      <c r="B1181" s="35">
        <f t="shared" si="36"/>
        <v>716</v>
      </c>
      <c r="C1181" s="41" t="s">
        <v>69</v>
      </c>
      <c r="D1181" s="41"/>
      <c r="E1181" s="41"/>
      <c r="F1181" s="41"/>
      <c r="G1181" s="41"/>
      <c r="H1181" s="41"/>
      <c r="I1181" s="42"/>
      <c r="J1181" s="41"/>
      <c r="K1181" s="41"/>
      <c r="L1181" s="43"/>
    </row>
    <row r="1182" spans="2:12" outlineLevel="2">
      <c r="B1182" s="35">
        <f t="shared" si="36"/>
        <v>717</v>
      </c>
      <c r="C1182" s="41" t="s">
        <v>69</v>
      </c>
      <c r="D1182" s="41"/>
      <c r="E1182" s="41"/>
      <c r="F1182" s="41"/>
      <c r="G1182" s="41"/>
      <c r="H1182" s="41"/>
      <c r="I1182" s="42"/>
      <c r="J1182" s="41"/>
      <c r="K1182" s="41"/>
      <c r="L1182" s="43"/>
    </row>
    <row r="1183" spans="2:12" outlineLevel="2">
      <c r="B1183" s="35">
        <f t="shared" si="36"/>
        <v>718</v>
      </c>
      <c r="C1183" s="41" t="s">
        <v>69</v>
      </c>
      <c r="D1183" s="41"/>
      <c r="E1183" s="41"/>
      <c r="F1183" s="41"/>
      <c r="G1183" s="41"/>
      <c r="H1183" s="41"/>
      <c r="I1183" s="42"/>
      <c r="J1183" s="41"/>
      <c r="K1183" s="41"/>
      <c r="L1183" s="43"/>
    </row>
    <row r="1184" spans="2:12" outlineLevel="2">
      <c r="B1184" s="35">
        <f t="shared" si="36"/>
        <v>719</v>
      </c>
      <c r="C1184" s="41" t="s">
        <v>69</v>
      </c>
      <c r="D1184" s="41"/>
      <c r="E1184" s="41"/>
      <c r="F1184" s="41"/>
      <c r="G1184" s="41"/>
      <c r="H1184" s="41"/>
      <c r="I1184" s="42"/>
      <c r="J1184" s="41"/>
      <c r="K1184" s="41"/>
      <c r="L1184" s="43"/>
    </row>
    <row r="1185" spans="2:12" outlineLevel="2">
      <c r="B1185" s="35">
        <f t="shared" si="36"/>
        <v>720</v>
      </c>
      <c r="C1185" s="41" t="s">
        <v>69</v>
      </c>
      <c r="D1185" s="41"/>
      <c r="E1185" s="41"/>
      <c r="F1185" s="41"/>
      <c r="G1185" s="41"/>
      <c r="H1185" s="41"/>
      <c r="I1185" s="42"/>
      <c r="J1185" s="41"/>
      <c r="K1185" s="41"/>
      <c r="L1185" s="43"/>
    </row>
    <row r="1186" spans="2:12" outlineLevel="2">
      <c r="B1186" s="35">
        <f t="shared" si="36"/>
        <v>721</v>
      </c>
      <c r="C1186" s="41" t="s">
        <v>69</v>
      </c>
      <c r="D1186" s="41"/>
      <c r="E1186" s="41"/>
      <c r="F1186" s="41"/>
      <c r="G1186" s="41"/>
      <c r="H1186" s="41"/>
      <c r="I1186" s="42"/>
      <c r="J1186" s="41"/>
      <c r="K1186" s="41"/>
      <c r="L1186" s="43"/>
    </row>
    <row r="1187" spans="2:12" outlineLevel="2">
      <c r="B1187" s="35">
        <f t="shared" si="36"/>
        <v>722</v>
      </c>
      <c r="C1187" s="41" t="s">
        <v>69</v>
      </c>
      <c r="D1187" s="41"/>
      <c r="E1187" s="41"/>
      <c r="F1187" s="41"/>
      <c r="G1187" s="41"/>
      <c r="H1187" s="41"/>
      <c r="I1187" s="42"/>
      <c r="J1187" s="41"/>
      <c r="K1187" s="41"/>
      <c r="L1187" s="43"/>
    </row>
    <row r="1188" spans="2:12" outlineLevel="2">
      <c r="B1188" s="35">
        <f t="shared" si="36"/>
        <v>723</v>
      </c>
      <c r="C1188" s="41" t="s">
        <v>69</v>
      </c>
      <c r="D1188" s="41"/>
      <c r="E1188" s="41"/>
      <c r="F1188" s="41"/>
      <c r="G1188" s="41"/>
      <c r="H1188" s="41"/>
      <c r="I1188" s="42"/>
      <c r="J1188" s="41"/>
      <c r="K1188" s="41"/>
      <c r="L1188" s="43"/>
    </row>
    <row r="1189" spans="2:12" outlineLevel="2">
      <c r="B1189" s="35">
        <f t="shared" si="36"/>
        <v>724</v>
      </c>
      <c r="C1189" s="41" t="s">
        <v>69</v>
      </c>
      <c r="D1189" s="41"/>
      <c r="E1189" s="41"/>
      <c r="F1189" s="41"/>
      <c r="G1189" s="41"/>
      <c r="H1189" s="41"/>
      <c r="I1189" s="42"/>
      <c r="J1189" s="41"/>
      <c r="K1189" s="41"/>
      <c r="L1189" s="43"/>
    </row>
    <row r="1190" spans="2:12" outlineLevel="2">
      <c r="B1190" s="35">
        <f t="shared" si="36"/>
        <v>725</v>
      </c>
      <c r="C1190" s="41" t="s">
        <v>69</v>
      </c>
      <c r="D1190" s="41"/>
      <c r="E1190" s="41"/>
      <c r="F1190" s="41"/>
      <c r="G1190" s="41"/>
      <c r="H1190" s="41"/>
      <c r="I1190" s="42"/>
      <c r="J1190" s="41"/>
      <c r="K1190" s="41"/>
      <c r="L1190" s="43"/>
    </row>
    <row r="1191" spans="2:12" outlineLevel="2">
      <c r="B1191" s="35">
        <f t="shared" si="36"/>
        <v>726</v>
      </c>
      <c r="C1191" s="41" t="s">
        <v>69</v>
      </c>
      <c r="D1191" s="41"/>
      <c r="E1191" s="41"/>
      <c r="F1191" s="41"/>
      <c r="G1191" s="41"/>
      <c r="H1191" s="41"/>
      <c r="I1191" s="42"/>
      <c r="J1191" s="41"/>
      <c r="K1191" s="41"/>
      <c r="L1191" s="43"/>
    </row>
    <row r="1192" spans="2:12" outlineLevel="2">
      <c r="B1192" s="35">
        <f t="shared" si="36"/>
        <v>727</v>
      </c>
      <c r="C1192" s="41" t="s">
        <v>69</v>
      </c>
      <c r="D1192" s="41"/>
      <c r="E1192" s="41"/>
      <c r="F1192" s="41"/>
      <c r="G1192" s="41"/>
      <c r="H1192" s="41"/>
      <c r="I1192" s="42"/>
      <c r="J1192" s="41"/>
      <c r="K1192" s="41"/>
      <c r="L1192" s="43"/>
    </row>
    <row r="1193" spans="2:12" outlineLevel="2">
      <c r="B1193" s="35">
        <f t="shared" si="36"/>
        <v>728</v>
      </c>
      <c r="C1193" s="41" t="s">
        <v>69</v>
      </c>
      <c r="D1193" s="41"/>
      <c r="E1193" s="41"/>
      <c r="F1193" s="41"/>
      <c r="G1193" s="41"/>
      <c r="H1193" s="41"/>
      <c r="I1193" s="42"/>
      <c r="J1193" s="41"/>
      <c r="K1193" s="41"/>
      <c r="L1193" s="43"/>
    </row>
    <row r="1194" spans="2:12" outlineLevel="2">
      <c r="B1194" s="35">
        <f t="shared" si="36"/>
        <v>729</v>
      </c>
      <c r="C1194" s="41" t="s">
        <v>69</v>
      </c>
      <c r="D1194" s="41"/>
      <c r="E1194" s="41"/>
      <c r="F1194" s="41"/>
      <c r="G1194" s="41"/>
      <c r="H1194" s="41"/>
      <c r="I1194" s="42"/>
      <c r="J1194" s="41"/>
      <c r="K1194" s="41"/>
      <c r="L1194" s="43"/>
    </row>
    <row r="1195" spans="2:12" outlineLevel="2">
      <c r="B1195" s="35">
        <f t="shared" si="36"/>
        <v>730</v>
      </c>
      <c r="C1195" s="41" t="s">
        <v>69</v>
      </c>
      <c r="D1195" s="41"/>
      <c r="E1195" s="41"/>
      <c r="F1195" s="41"/>
      <c r="G1195" s="41"/>
      <c r="H1195" s="41"/>
      <c r="I1195" s="42"/>
      <c r="J1195" s="41"/>
      <c r="K1195" s="41"/>
      <c r="L1195" s="43"/>
    </row>
    <row r="1196" spans="2:12" outlineLevel="2">
      <c r="B1196" s="35">
        <f t="shared" si="36"/>
        <v>731</v>
      </c>
      <c r="C1196" s="41" t="s">
        <v>69</v>
      </c>
      <c r="D1196" s="41"/>
      <c r="E1196" s="41"/>
      <c r="F1196" s="41"/>
      <c r="G1196" s="41"/>
      <c r="H1196" s="41"/>
      <c r="I1196" s="42"/>
      <c r="J1196" s="41"/>
      <c r="K1196" s="41"/>
      <c r="L1196" s="43"/>
    </row>
    <row r="1197" spans="2:12" outlineLevel="2">
      <c r="B1197" s="35">
        <f t="shared" si="36"/>
        <v>732</v>
      </c>
      <c r="C1197" s="41" t="s">
        <v>69</v>
      </c>
      <c r="D1197" s="41"/>
      <c r="E1197" s="41"/>
      <c r="F1197" s="41"/>
      <c r="G1197" s="41"/>
      <c r="H1197" s="41"/>
      <c r="I1197" s="42"/>
      <c r="J1197" s="41"/>
      <c r="K1197" s="41"/>
      <c r="L1197" s="43"/>
    </row>
    <row r="1198" spans="2:12" outlineLevel="2">
      <c r="B1198" s="35">
        <f t="shared" si="36"/>
        <v>733</v>
      </c>
      <c r="C1198" s="41" t="s">
        <v>69</v>
      </c>
      <c r="D1198" s="41"/>
      <c r="E1198" s="41"/>
      <c r="F1198" s="41"/>
      <c r="G1198" s="41"/>
      <c r="H1198" s="41"/>
      <c r="I1198" s="42"/>
      <c r="J1198" s="41"/>
      <c r="K1198" s="41"/>
      <c r="L1198" s="43"/>
    </row>
    <row r="1199" spans="2:12" outlineLevel="2">
      <c r="B1199" s="35">
        <f t="shared" si="36"/>
        <v>734</v>
      </c>
      <c r="C1199" s="41" t="s">
        <v>69</v>
      </c>
      <c r="D1199" s="41"/>
      <c r="E1199" s="41"/>
      <c r="F1199" s="41"/>
      <c r="G1199" s="41"/>
      <c r="H1199" s="41"/>
      <c r="I1199" s="42"/>
      <c r="J1199" s="41"/>
      <c r="K1199" s="41"/>
      <c r="L1199" s="43"/>
    </row>
    <row r="1200" spans="2:12" outlineLevel="2">
      <c r="B1200" s="35">
        <f t="shared" si="36"/>
        <v>735</v>
      </c>
      <c r="C1200" s="41" t="s">
        <v>69</v>
      </c>
      <c r="D1200" s="41"/>
      <c r="E1200" s="41"/>
      <c r="F1200" s="41"/>
      <c r="G1200" s="41"/>
      <c r="H1200" s="41"/>
      <c r="I1200" s="42"/>
      <c r="J1200" s="41"/>
      <c r="K1200" s="41"/>
      <c r="L1200" s="43"/>
    </row>
    <row r="1201" spans="2:12" outlineLevel="2">
      <c r="B1201" s="35">
        <f t="shared" si="36"/>
        <v>736</v>
      </c>
      <c r="C1201" s="41" t="s">
        <v>69</v>
      </c>
      <c r="D1201" s="41"/>
      <c r="E1201" s="41"/>
      <c r="F1201" s="41"/>
      <c r="G1201" s="41"/>
      <c r="H1201" s="41"/>
      <c r="I1201" s="42"/>
      <c r="J1201" s="41"/>
      <c r="K1201" s="41"/>
      <c r="L1201" s="43"/>
    </row>
    <row r="1202" spans="2:12" outlineLevel="2">
      <c r="B1202" s="35">
        <f t="shared" si="36"/>
        <v>737</v>
      </c>
      <c r="C1202" s="41" t="s">
        <v>69</v>
      </c>
      <c r="D1202" s="41"/>
      <c r="E1202" s="41"/>
      <c r="F1202" s="41"/>
      <c r="G1202" s="41"/>
      <c r="H1202" s="41"/>
      <c r="I1202" s="42"/>
      <c r="J1202" s="41"/>
      <c r="K1202" s="41"/>
      <c r="L1202" s="43"/>
    </row>
    <row r="1203" spans="2:12" outlineLevel="2">
      <c r="B1203" s="35">
        <f t="shared" si="36"/>
        <v>738</v>
      </c>
      <c r="C1203" s="41" t="s">
        <v>69</v>
      </c>
      <c r="D1203" s="41"/>
      <c r="E1203" s="41"/>
      <c r="F1203" s="41"/>
      <c r="G1203" s="41"/>
      <c r="H1203" s="41"/>
      <c r="I1203" s="42"/>
      <c r="J1203" s="41"/>
      <c r="K1203" s="41"/>
      <c r="L1203" s="43"/>
    </row>
    <row r="1204" spans="2:12" outlineLevel="2">
      <c r="B1204" s="35">
        <f t="shared" si="36"/>
        <v>739</v>
      </c>
      <c r="C1204" s="41" t="s">
        <v>69</v>
      </c>
      <c r="D1204" s="41"/>
      <c r="E1204" s="41"/>
      <c r="F1204" s="41"/>
      <c r="G1204" s="41"/>
      <c r="H1204" s="41"/>
      <c r="I1204" s="42"/>
      <c r="J1204" s="41"/>
      <c r="K1204" s="41"/>
      <c r="L1204" s="43"/>
    </row>
    <row r="1205" spans="2:12" outlineLevel="2">
      <c r="B1205" s="35">
        <f t="shared" si="36"/>
        <v>740</v>
      </c>
      <c r="C1205" s="41" t="s">
        <v>69</v>
      </c>
      <c r="D1205" s="41"/>
      <c r="E1205" s="41"/>
      <c r="F1205" s="41"/>
      <c r="G1205" s="41"/>
      <c r="H1205" s="41"/>
      <c r="I1205" s="42"/>
      <c r="J1205" s="41"/>
      <c r="K1205" s="41"/>
      <c r="L1205" s="43"/>
    </row>
    <row r="1206" spans="2:12" outlineLevel="2">
      <c r="B1206" s="35">
        <f t="shared" si="36"/>
        <v>741</v>
      </c>
      <c r="C1206" s="41" t="s">
        <v>69</v>
      </c>
      <c r="D1206" s="41"/>
      <c r="E1206" s="41"/>
      <c r="F1206" s="41"/>
      <c r="G1206" s="41"/>
      <c r="H1206" s="41"/>
      <c r="I1206" s="42"/>
      <c r="J1206" s="41"/>
      <c r="K1206" s="41"/>
      <c r="L1206" s="43"/>
    </row>
    <row r="1207" spans="2:12" outlineLevel="2">
      <c r="B1207" s="35">
        <f t="shared" si="36"/>
        <v>742</v>
      </c>
      <c r="C1207" s="41" t="s">
        <v>69</v>
      </c>
      <c r="D1207" s="41"/>
      <c r="E1207" s="41"/>
      <c r="F1207" s="41"/>
      <c r="G1207" s="41"/>
      <c r="H1207" s="41"/>
      <c r="I1207" s="42"/>
      <c r="J1207" s="41"/>
      <c r="K1207" s="41"/>
      <c r="L1207" s="43"/>
    </row>
    <row r="1208" spans="2:12" outlineLevel="2">
      <c r="B1208" s="35">
        <f t="shared" si="36"/>
        <v>743</v>
      </c>
      <c r="C1208" s="41" t="s">
        <v>69</v>
      </c>
      <c r="D1208" s="41"/>
      <c r="E1208" s="41"/>
      <c r="F1208" s="41"/>
      <c r="G1208" s="41"/>
      <c r="H1208" s="41"/>
      <c r="I1208" s="42"/>
      <c r="J1208" s="41"/>
      <c r="K1208" s="41"/>
      <c r="L1208" s="43"/>
    </row>
    <row r="1209" spans="2:12" outlineLevel="2">
      <c r="B1209" s="35">
        <f t="shared" si="36"/>
        <v>744</v>
      </c>
      <c r="C1209" s="41" t="s">
        <v>69</v>
      </c>
      <c r="D1209" s="41"/>
      <c r="E1209" s="41"/>
      <c r="F1209" s="41"/>
      <c r="G1209" s="41"/>
      <c r="H1209" s="41"/>
      <c r="I1209" s="42"/>
      <c r="J1209" s="41"/>
      <c r="K1209" s="41"/>
      <c r="L1209" s="43"/>
    </row>
    <row r="1210" spans="2:12" outlineLevel="2">
      <c r="B1210" s="35">
        <f t="shared" si="36"/>
        <v>745</v>
      </c>
      <c r="C1210" s="41" t="s">
        <v>69</v>
      </c>
      <c r="D1210" s="41"/>
      <c r="E1210" s="41"/>
      <c r="F1210" s="41"/>
      <c r="G1210" s="41"/>
      <c r="H1210" s="41"/>
      <c r="I1210" s="42"/>
      <c r="J1210" s="41"/>
      <c r="K1210" s="41"/>
      <c r="L1210" s="43"/>
    </row>
    <row r="1211" spans="2:12" outlineLevel="2">
      <c r="B1211" s="35">
        <f t="shared" si="36"/>
        <v>746</v>
      </c>
      <c r="C1211" s="41" t="s">
        <v>69</v>
      </c>
      <c r="D1211" s="41"/>
      <c r="E1211" s="41"/>
      <c r="F1211" s="41"/>
      <c r="G1211" s="41"/>
      <c r="H1211" s="41"/>
      <c r="I1211" s="42"/>
      <c r="J1211" s="41"/>
      <c r="K1211" s="41"/>
      <c r="L1211" s="43"/>
    </row>
    <row r="1212" spans="2:12" outlineLevel="2">
      <c r="B1212" s="35">
        <f t="shared" si="36"/>
        <v>747</v>
      </c>
      <c r="C1212" s="41" t="s">
        <v>69</v>
      </c>
      <c r="D1212" s="41"/>
      <c r="E1212" s="41"/>
      <c r="F1212" s="41"/>
      <c r="G1212" s="41"/>
      <c r="H1212" s="41"/>
      <c r="I1212" s="42"/>
      <c r="J1212" s="41"/>
      <c r="K1212" s="41"/>
      <c r="L1212" s="43"/>
    </row>
    <row r="1213" spans="2:12" outlineLevel="2">
      <c r="B1213" s="35">
        <f t="shared" si="36"/>
        <v>748</v>
      </c>
      <c r="C1213" s="41" t="s">
        <v>69</v>
      </c>
      <c r="D1213" s="41"/>
      <c r="E1213" s="41"/>
      <c r="F1213" s="41"/>
      <c r="G1213" s="41"/>
      <c r="H1213" s="41"/>
      <c r="I1213" s="42"/>
      <c r="J1213" s="41"/>
      <c r="K1213" s="41"/>
      <c r="L1213" s="43"/>
    </row>
    <row r="1214" spans="2:12" outlineLevel="2">
      <c r="B1214" s="35">
        <f t="shared" si="36"/>
        <v>749</v>
      </c>
      <c r="C1214" s="41" t="s">
        <v>69</v>
      </c>
      <c r="D1214" s="41"/>
      <c r="E1214" s="41"/>
      <c r="F1214" s="41"/>
      <c r="G1214" s="41"/>
      <c r="H1214" s="41"/>
      <c r="I1214" s="42"/>
      <c r="J1214" s="41"/>
      <c r="K1214" s="41"/>
      <c r="L1214" s="43"/>
    </row>
    <row r="1215" spans="2:12" outlineLevel="2">
      <c r="B1215" s="35">
        <f t="shared" ref="B1215:B1278" si="37">(B1214+1)</f>
        <v>750</v>
      </c>
      <c r="C1215" s="41" t="s">
        <v>69</v>
      </c>
      <c r="D1215" s="41"/>
      <c r="E1215" s="41"/>
      <c r="F1215" s="41"/>
      <c r="G1215" s="41"/>
      <c r="H1215" s="41"/>
      <c r="I1215" s="42"/>
      <c r="J1215" s="41"/>
      <c r="K1215" s="41"/>
      <c r="L1215" s="43"/>
    </row>
    <row r="1216" spans="2:12" outlineLevel="2">
      <c r="B1216" s="35">
        <f t="shared" si="37"/>
        <v>751</v>
      </c>
      <c r="C1216" s="41" t="s">
        <v>69</v>
      </c>
      <c r="D1216" s="41"/>
      <c r="E1216" s="41"/>
      <c r="F1216" s="41"/>
      <c r="G1216" s="41"/>
      <c r="H1216" s="41"/>
      <c r="I1216" s="42"/>
      <c r="J1216" s="41"/>
      <c r="K1216" s="41"/>
      <c r="L1216" s="43"/>
    </row>
    <row r="1217" spans="2:12" outlineLevel="2">
      <c r="B1217" s="35">
        <f t="shared" si="37"/>
        <v>752</v>
      </c>
      <c r="C1217" s="41" t="s">
        <v>69</v>
      </c>
      <c r="D1217" s="41"/>
      <c r="E1217" s="41"/>
      <c r="F1217" s="41"/>
      <c r="G1217" s="41"/>
      <c r="H1217" s="41"/>
      <c r="I1217" s="42"/>
      <c r="J1217" s="41"/>
      <c r="K1217" s="41"/>
      <c r="L1217" s="43"/>
    </row>
    <row r="1218" spans="2:12" outlineLevel="2">
      <c r="B1218" s="35">
        <f t="shared" si="37"/>
        <v>753</v>
      </c>
      <c r="C1218" s="41" t="s">
        <v>69</v>
      </c>
      <c r="D1218" s="41"/>
      <c r="E1218" s="41"/>
      <c r="F1218" s="41"/>
      <c r="G1218" s="41"/>
      <c r="H1218" s="41"/>
      <c r="I1218" s="42"/>
      <c r="J1218" s="41"/>
      <c r="K1218" s="41"/>
      <c r="L1218" s="43"/>
    </row>
    <row r="1219" spans="2:12" outlineLevel="2">
      <c r="B1219" s="35">
        <f t="shared" si="37"/>
        <v>754</v>
      </c>
      <c r="C1219" s="41" t="s">
        <v>69</v>
      </c>
      <c r="D1219" s="41"/>
      <c r="E1219" s="41"/>
      <c r="F1219" s="41"/>
      <c r="G1219" s="41"/>
      <c r="H1219" s="41"/>
      <c r="I1219" s="42"/>
      <c r="J1219" s="41"/>
      <c r="K1219" s="41"/>
      <c r="L1219" s="43"/>
    </row>
    <row r="1220" spans="2:12" outlineLevel="2">
      <c r="B1220" s="35">
        <f t="shared" si="37"/>
        <v>755</v>
      </c>
      <c r="C1220" s="41" t="s">
        <v>69</v>
      </c>
      <c r="D1220" s="41"/>
      <c r="E1220" s="41"/>
      <c r="F1220" s="41"/>
      <c r="G1220" s="41"/>
      <c r="H1220" s="41"/>
      <c r="I1220" s="42"/>
      <c r="J1220" s="41"/>
      <c r="K1220" s="41"/>
      <c r="L1220" s="43"/>
    </row>
    <row r="1221" spans="2:12" outlineLevel="2">
      <c r="B1221" s="35">
        <f t="shared" si="37"/>
        <v>756</v>
      </c>
      <c r="C1221" s="41" t="s">
        <v>69</v>
      </c>
      <c r="D1221" s="41"/>
      <c r="E1221" s="41"/>
      <c r="F1221" s="41"/>
      <c r="G1221" s="41"/>
      <c r="H1221" s="41"/>
      <c r="I1221" s="42"/>
      <c r="J1221" s="41"/>
      <c r="K1221" s="41"/>
      <c r="L1221" s="43"/>
    </row>
    <row r="1222" spans="2:12" outlineLevel="2">
      <c r="B1222" s="35">
        <f t="shared" si="37"/>
        <v>757</v>
      </c>
      <c r="C1222" s="41" t="s">
        <v>69</v>
      </c>
      <c r="D1222" s="41"/>
      <c r="E1222" s="41"/>
      <c r="F1222" s="41"/>
      <c r="G1222" s="41"/>
      <c r="H1222" s="41"/>
      <c r="I1222" s="42"/>
      <c r="J1222" s="41"/>
      <c r="K1222" s="41"/>
      <c r="L1222" s="43"/>
    </row>
    <row r="1223" spans="2:12" outlineLevel="2">
      <c r="B1223" s="35">
        <f t="shared" si="37"/>
        <v>758</v>
      </c>
      <c r="C1223" s="41" t="s">
        <v>69</v>
      </c>
      <c r="D1223" s="41"/>
      <c r="E1223" s="41"/>
      <c r="F1223" s="41"/>
      <c r="G1223" s="41"/>
      <c r="H1223" s="41"/>
      <c r="I1223" s="42"/>
      <c r="J1223" s="41"/>
      <c r="K1223" s="41"/>
      <c r="L1223" s="43"/>
    </row>
    <row r="1224" spans="2:12" outlineLevel="2">
      <c r="B1224" s="35">
        <f t="shared" si="37"/>
        <v>759</v>
      </c>
      <c r="C1224" s="41" t="s">
        <v>69</v>
      </c>
      <c r="D1224" s="41"/>
      <c r="E1224" s="41"/>
      <c r="F1224" s="41"/>
      <c r="G1224" s="41"/>
      <c r="H1224" s="41"/>
      <c r="I1224" s="42"/>
      <c r="J1224" s="41"/>
      <c r="K1224" s="41"/>
      <c r="L1224" s="43"/>
    </row>
    <row r="1225" spans="2:12" outlineLevel="2">
      <c r="B1225" s="35">
        <f t="shared" si="37"/>
        <v>760</v>
      </c>
      <c r="C1225" s="41" t="s">
        <v>69</v>
      </c>
      <c r="D1225" s="41"/>
      <c r="E1225" s="41"/>
      <c r="F1225" s="41"/>
      <c r="G1225" s="41"/>
      <c r="H1225" s="41"/>
      <c r="I1225" s="42"/>
      <c r="J1225" s="41"/>
      <c r="K1225" s="41"/>
      <c r="L1225" s="43"/>
    </row>
    <row r="1226" spans="2:12" outlineLevel="2">
      <c r="B1226" s="35">
        <f t="shared" si="37"/>
        <v>761</v>
      </c>
      <c r="C1226" s="41" t="s">
        <v>69</v>
      </c>
      <c r="D1226" s="41"/>
      <c r="E1226" s="41"/>
      <c r="F1226" s="41"/>
      <c r="G1226" s="41"/>
      <c r="H1226" s="41"/>
      <c r="I1226" s="42"/>
      <c r="J1226" s="41"/>
      <c r="K1226" s="41"/>
      <c r="L1226" s="43"/>
    </row>
    <row r="1227" spans="2:12" outlineLevel="2">
      <c r="B1227" s="35">
        <f t="shared" si="37"/>
        <v>762</v>
      </c>
      <c r="C1227" s="41" t="s">
        <v>69</v>
      </c>
      <c r="D1227" s="41"/>
      <c r="E1227" s="41"/>
      <c r="F1227" s="41"/>
      <c r="G1227" s="41"/>
      <c r="H1227" s="41"/>
      <c r="I1227" s="42"/>
      <c r="J1227" s="41"/>
      <c r="K1227" s="41"/>
      <c r="L1227" s="43"/>
    </row>
    <row r="1228" spans="2:12" outlineLevel="2">
      <c r="B1228" s="35">
        <f t="shared" si="37"/>
        <v>763</v>
      </c>
      <c r="C1228" s="41" t="s">
        <v>69</v>
      </c>
      <c r="D1228" s="41"/>
      <c r="E1228" s="41"/>
      <c r="F1228" s="41"/>
      <c r="G1228" s="41"/>
      <c r="H1228" s="41"/>
      <c r="I1228" s="42"/>
      <c r="J1228" s="41"/>
      <c r="K1228" s="41"/>
      <c r="L1228" s="43"/>
    </row>
    <row r="1229" spans="2:12" outlineLevel="2">
      <c r="B1229" s="35">
        <f t="shared" si="37"/>
        <v>764</v>
      </c>
      <c r="C1229" s="41" t="s">
        <v>69</v>
      </c>
      <c r="D1229" s="41"/>
      <c r="E1229" s="41"/>
      <c r="F1229" s="41"/>
      <c r="G1229" s="41"/>
      <c r="H1229" s="41"/>
      <c r="I1229" s="42"/>
      <c r="J1229" s="41"/>
      <c r="K1229" s="41"/>
      <c r="L1229" s="43"/>
    </row>
    <row r="1230" spans="2:12" outlineLevel="2">
      <c r="B1230" s="35">
        <f t="shared" si="37"/>
        <v>765</v>
      </c>
      <c r="C1230" s="41" t="s">
        <v>69</v>
      </c>
      <c r="D1230" s="41"/>
      <c r="E1230" s="41"/>
      <c r="F1230" s="41"/>
      <c r="G1230" s="41"/>
      <c r="H1230" s="41"/>
      <c r="I1230" s="42"/>
      <c r="J1230" s="41"/>
      <c r="K1230" s="41"/>
      <c r="L1230" s="43"/>
    </row>
    <row r="1231" spans="2:12" outlineLevel="2">
      <c r="B1231" s="35">
        <f t="shared" si="37"/>
        <v>766</v>
      </c>
      <c r="C1231" s="41" t="s">
        <v>69</v>
      </c>
      <c r="D1231" s="41"/>
      <c r="E1231" s="41"/>
      <c r="F1231" s="41"/>
      <c r="G1231" s="41"/>
      <c r="H1231" s="41"/>
      <c r="I1231" s="42"/>
      <c r="J1231" s="41"/>
      <c r="K1231" s="41"/>
      <c r="L1231" s="43"/>
    </row>
    <row r="1232" spans="2:12" outlineLevel="2">
      <c r="B1232" s="35">
        <f t="shared" si="37"/>
        <v>767</v>
      </c>
      <c r="C1232" s="41" t="s">
        <v>69</v>
      </c>
      <c r="D1232" s="41"/>
      <c r="E1232" s="41"/>
      <c r="F1232" s="41"/>
      <c r="G1232" s="41"/>
      <c r="H1232" s="41"/>
      <c r="I1232" s="42"/>
      <c r="J1232" s="41"/>
      <c r="K1232" s="41"/>
      <c r="L1232" s="43"/>
    </row>
    <row r="1233" spans="2:12" outlineLevel="2">
      <c r="B1233" s="35">
        <f t="shared" si="37"/>
        <v>768</v>
      </c>
      <c r="C1233" s="41" t="s">
        <v>69</v>
      </c>
      <c r="D1233" s="41"/>
      <c r="E1233" s="41"/>
      <c r="F1233" s="41"/>
      <c r="G1233" s="41"/>
      <c r="H1233" s="41"/>
      <c r="I1233" s="42"/>
      <c r="J1233" s="41"/>
      <c r="K1233" s="41"/>
      <c r="L1233" s="43"/>
    </row>
    <row r="1234" spans="2:12" outlineLevel="2">
      <c r="B1234" s="35">
        <f t="shared" si="37"/>
        <v>769</v>
      </c>
      <c r="C1234" s="41" t="s">
        <v>69</v>
      </c>
      <c r="D1234" s="41"/>
      <c r="E1234" s="41"/>
      <c r="F1234" s="41"/>
      <c r="G1234" s="41"/>
      <c r="H1234" s="41"/>
      <c r="I1234" s="42"/>
      <c r="J1234" s="41"/>
      <c r="K1234" s="41"/>
      <c r="L1234" s="43"/>
    </row>
    <row r="1235" spans="2:12" outlineLevel="2">
      <c r="B1235" s="35">
        <f t="shared" si="37"/>
        <v>770</v>
      </c>
      <c r="C1235" s="41" t="s">
        <v>69</v>
      </c>
      <c r="D1235" s="41"/>
      <c r="E1235" s="41"/>
      <c r="F1235" s="41"/>
      <c r="G1235" s="41"/>
      <c r="H1235" s="41"/>
      <c r="I1235" s="42"/>
      <c r="J1235" s="41"/>
      <c r="K1235" s="41"/>
      <c r="L1235" s="43"/>
    </row>
    <row r="1236" spans="2:12" outlineLevel="2">
      <c r="B1236" s="35">
        <f t="shared" si="37"/>
        <v>771</v>
      </c>
      <c r="C1236" s="41" t="s">
        <v>69</v>
      </c>
      <c r="D1236" s="41"/>
      <c r="E1236" s="41"/>
      <c r="F1236" s="41"/>
      <c r="G1236" s="41"/>
      <c r="H1236" s="41"/>
      <c r="I1236" s="42"/>
      <c r="J1236" s="41"/>
      <c r="K1236" s="41"/>
      <c r="L1236" s="43"/>
    </row>
    <row r="1237" spans="2:12" outlineLevel="2">
      <c r="B1237" s="35">
        <f t="shared" si="37"/>
        <v>772</v>
      </c>
      <c r="C1237" s="41" t="s">
        <v>69</v>
      </c>
      <c r="D1237" s="41"/>
      <c r="E1237" s="41"/>
      <c r="F1237" s="41"/>
      <c r="G1237" s="41"/>
      <c r="H1237" s="41"/>
      <c r="I1237" s="42"/>
      <c r="J1237" s="41"/>
      <c r="K1237" s="41"/>
      <c r="L1237" s="43"/>
    </row>
    <row r="1238" spans="2:12" outlineLevel="2">
      <c r="B1238" s="35">
        <f t="shared" si="37"/>
        <v>773</v>
      </c>
      <c r="C1238" s="41" t="s">
        <v>69</v>
      </c>
      <c r="D1238" s="41"/>
      <c r="E1238" s="41"/>
      <c r="F1238" s="41"/>
      <c r="G1238" s="41"/>
      <c r="H1238" s="41"/>
      <c r="I1238" s="42"/>
      <c r="J1238" s="41"/>
      <c r="K1238" s="41"/>
      <c r="L1238" s="43"/>
    </row>
    <row r="1239" spans="2:12" outlineLevel="2">
      <c r="B1239" s="35">
        <f t="shared" si="37"/>
        <v>774</v>
      </c>
      <c r="C1239" s="41" t="s">
        <v>69</v>
      </c>
      <c r="D1239" s="41"/>
      <c r="E1239" s="41"/>
      <c r="F1239" s="41"/>
      <c r="G1239" s="41"/>
      <c r="H1239" s="41"/>
      <c r="I1239" s="42"/>
      <c r="J1239" s="41"/>
      <c r="K1239" s="41"/>
      <c r="L1239" s="43"/>
    </row>
    <row r="1240" spans="2:12" outlineLevel="2">
      <c r="B1240" s="35">
        <f t="shared" si="37"/>
        <v>775</v>
      </c>
      <c r="C1240" s="41" t="s">
        <v>69</v>
      </c>
      <c r="D1240" s="41"/>
      <c r="E1240" s="41"/>
      <c r="F1240" s="41"/>
      <c r="G1240" s="41"/>
      <c r="H1240" s="41"/>
      <c r="I1240" s="42"/>
      <c r="J1240" s="41"/>
      <c r="K1240" s="41"/>
      <c r="L1240" s="43"/>
    </row>
    <row r="1241" spans="2:12" outlineLevel="2">
      <c r="B1241" s="35">
        <f t="shared" si="37"/>
        <v>776</v>
      </c>
      <c r="C1241" s="41" t="s">
        <v>69</v>
      </c>
      <c r="D1241" s="41"/>
      <c r="E1241" s="41"/>
      <c r="F1241" s="41"/>
      <c r="G1241" s="41"/>
      <c r="H1241" s="41"/>
      <c r="I1241" s="42"/>
      <c r="J1241" s="41"/>
      <c r="K1241" s="41"/>
      <c r="L1241" s="43"/>
    </row>
    <row r="1242" spans="2:12" outlineLevel="2">
      <c r="B1242" s="35">
        <f t="shared" si="37"/>
        <v>777</v>
      </c>
      <c r="C1242" s="41" t="s">
        <v>69</v>
      </c>
      <c r="D1242" s="41"/>
      <c r="E1242" s="41"/>
      <c r="F1242" s="41"/>
      <c r="G1242" s="41"/>
      <c r="H1242" s="41"/>
      <c r="I1242" s="42"/>
      <c r="J1242" s="41"/>
      <c r="K1242" s="41"/>
      <c r="L1242" s="43"/>
    </row>
    <row r="1243" spans="2:12" outlineLevel="2">
      <c r="B1243" s="35">
        <f t="shared" si="37"/>
        <v>778</v>
      </c>
      <c r="C1243" s="41" t="s">
        <v>69</v>
      </c>
      <c r="D1243" s="41"/>
      <c r="E1243" s="41"/>
      <c r="F1243" s="41"/>
      <c r="G1243" s="41"/>
      <c r="H1243" s="41"/>
      <c r="I1243" s="42"/>
      <c r="J1243" s="41"/>
      <c r="K1243" s="41"/>
      <c r="L1243" s="43"/>
    </row>
    <row r="1244" spans="2:12" outlineLevel="2">
      <c r="B1244" s="35">
        <f t="shared" si="37"/>
        <v>779</v>
      </c>
      <c r="C1244" s="41" t="s">
        <v>69</v>
      </c>
      <c r="D1244" s="41"/>
      <c r="E1244" s="41"/>
      <c r="F1244" s="41"/>
      <c r="G1244" s="41"/>
      <c r="H1244" s="41"/>
      <c r="I1244" s="42"/>
      <c r="J1244" s="41"/>
      <c r="K1244" s="41"/>
      <c r="L1244" s="43"/>
    </row>
    <row r="1245" spans="2:12" outlineLevel="2">
      <c r="B1245" s="35">
        <f t="shared" si="37"/>
        <v>780</v>
      </c>
      <c r="C1245" s="41" t="s">
        <v>69</v>
      </c>
      <c r="D1245" s="41"/>
      <c r="E1245" s="41"/>
      <c r="F1245" s="41"/>
      <c r="G1245" s="41"/>
      <c r="H1245" s="41"/>
      <c r="I1245" s="42"/>
      <c r="J1245" s="41"/>
      <c r="K1245" s="41"/>
      <c r="L1245" s="43"/>
    </row>
    <row r="1246" spans="2:12" outlineLevel="2">
      <c r="B1246" s="35">
        <f t="shared" si="37"/>
        <v>781</v>
      </c>
      <c r="C1246" s="41" t="s">
        <v>69</v>
      </c>
      <c r="D1246" s="41"/>
      <c r="E1246" s="41"/>
      <c r="F1246" s="41"/>
      <c r="G1246" s="41"/>
      <c r="H1246" s="41"/>
      <c r="I1246" s="42"/>
      <c r="J1246" s="41"/>
      <c r="K1246" s="41"/>
      <c r="L1246" s="43"/>
    </row>
    <row r="1247" spans="2:12" outlineLevel="2">
      <c r="B1247" s="35">
        <f t="shared" si="37"/>
        <v>782</v>
      </c>
      <c r="C1247" s="41" t="s">
        <v>69</v>
      </c>
      <c r="D1247" s="41"/>
      <c r="E1247" s="41"/>
      <c r="F1247" s="41"/>
      <c r="G1247" s="41"/>
      <c r="H1247" s="41"/>
      <c r="I1247" s="42"/>
      <c r="J1247" s="41"/>
      <c r="K1247" s="41"/>
      <c r="L1247" s="43"/>
    </row>
    <row r="1248" spans="2:12" outlineLevel="2">
      <c r="B1248" s="35">
        <f t="shared" si="37"/>
        <v>783</v>
      </c>
      <c r="C1248" s="41" t="s">
        <v>69</v>
      </c>
      <c r="D1248" s="41"/>
      <c r="E1248" s="41"/>
      <c r="F1248" s="41"/>
      <c r="G1248" s="41"/>
      <c r="H1248" s="41"/>
      <c r="I1248" s="42"/>
      <c r="J1248" s="41"/>
      <c r="K1248" s="41"/>
      <c r="L1248" s="43"/>
    </row>
    <row r="1249" spans="2:12" outlineLevel="2">
      <c r="B1249" s="35">
        <f t="shared" si="37"/>
        <v>784</v>
      </c>
      <c r="C1249" s="41" t="s">
        <v>69</v>
      </c>
      <c r="D1249" s="41"/>
      <c r="E1249" s="41"/>
      <c r="F1249" s="41"/>
      <c r="G1249" s="41"/>
      <c r="H1249" s="41"/>
      <c r="I1249" s="42"/>
      <c r="J1249" s="41"/>
      <c r="K1249" s="41"/>
      <c r="L1249" s="43"/>
    </row>
    <row r="1250" spans="2:12" outlineLevel="2">
      <c r="B1250" s="35">
        <f t="shared" si="37"/>
        <v>785</v>
      </c>
      <c r="C1250" s="41" t="s">
        <v>69</v>
      </c>
      <c r="D1250" s="41"/>
      <c r="E1250" s="41"/>
      <c r="F1250" s="41"/>
      <c r="G1250" s="41"/>
      <c r="H1250" s="41"/>
      <c r="I1250" s="42"/>
      <c r="J1250" s="41"/>
      <c r="K1250" s="41"/>
      <c r="L1250" s="43"/>
    </row>
    <row r="1251" spans="2:12" outlineLevel="2">
      <c r="B1251" s="35">
        <f t="shared" si="37"/>
        <v>786</v>
      </c>
      <c r="C1251" s="41" t="s">
        <v>69</v>
      </c>
      <c r="D1251" s="41"/>
      <c r="E1251" s="41"/>
      <c r="F1251" s="41"/>
      <c r="G1251" s="41"/>
      <c r="H1251" s="41"/>
      <c r="I1251" s="42"/>
      <c r="J1251" s="41"/>
      <c r="K1251" s="41"/>
      <c r="L1251" s="43"/>
    </row>
    <row r="1252" spans="2:12" outlineLevel="2">
      <c r="B1252" s="35">
        <f t="shared" si="37"/>
        <v>787</v>
      </c>
      <c r="C1252" s="41" t="s">
        <v>69</v>
      </c>
      <c r="D1252" s="41"/>
      <c r="E1252" s="41"/>
      <c r="F1252" s="41"/>
      <c r="G1252" s="41"/>
      <c r="H1252" s="41"/>
      <c r="I1252" s="42"/>
      <c r="J1252" s="41"/>
      <c r="K1252" s="41"/>
      <c r="L1252" s="43"/>
    </row>
    <row r="1253" spans="2:12" outlineLevel="2">
      <c r="B1253" s="35">
        <f t="shared" si="37"/>
        <v>788</v>
      </c>
      <c r="C1253" s="41" t="s">
        <v>69</v>
      </c>
      <c r="D1253" s="41"/>
      <c r="E1253" s="41"/>
      <c r="F1253" s="41"/>
      <c r="G1253" s="41"/>
      <c r="H1253" s="41"/>
      <c r="I1253" s="42"/>
      <c r="J1253" s="41"/>
      <c r="K1253" s="41"/>
      <c r="L1253" s="43"/>
    </row>
    <row r="1254" spans="2:12" outlineLevel="2">
      <c r="B1254" s="35">
        <f t="shared" si="37"/>
        <v>789</v>
      </c>
      <c r="C1254" s="41" t="s">
        <v>69</v>
      </c>
      <c r="D1254" s="41"/>
      <c r="E1254" s="41"/>
      <c r="F1254" s="41"/>
      <c r="G1254" s="41"/>
      <c r="H1254" s="41"/>
      <c r="I1254" s="42"/>
      <c r="J1254" s="41"/>
      <c r="K1254" s="41"/>
      <c r="L1254" s="43"/>
    </row>
    <row r="1255" spans="2:12" outlineLevel="2">
      <c r="B1255" s="35">
        <f t="shared" si="37"/>
        <v>790</v>
      </c>
      <c r="C1255" s="41" t="s">
        <v>69</v>
      </c>
      <c r="D1255" s="41"/>
      <c r="E1255" s="41"/>
      <c r="F1255" s="41"/>
      <c r="G1255" s="41"/>
      <c r="H1255" s="41"/>
      <c r="I1255" s="42"/>
      <c r="J1255" s="41"/>
      <c r="K1255" s="41"/>
      <c r="L1255" s="43"/>
    </row>
    <row r="1256" spans="2:12" outlineLevel="2">
      <c r="B1256" s="35">
        <f t="shared" si="37"/>
        <v>791</v>
      </c>
      <c r="C1256" s="41" t="s">
        <v>69</v>
      </c>
      <c r="D1256" s="41"/>
      <c r="E1256" s="41"/>
      <c r="F1256" s="41"/>
      <c r="G1256" s="41"/>
      <c r="H1256" s="41"/>
      <c r="I1256" s="42"/>
      <c r="J1256" s="41"/>
      <c r="K1256" s="41"/>
      <c r="L1256" s="43"/>
    </row>
    <row r="1257" spans="2:12" outlineLevel="2">
      <c r="B1257" s="35">
        <f t="shared" si="37"/>
        <v>792</v>
      </c>
      <c r="C1257" s="41" t="s">
        <v>69</v>
      </c>
      <c r="D1257" s="41"/>
      <c r="E1257" s="41"/>
      <c r="F1257" s="41"/>
      <c r="G1257" s="41"/>
      <c r="H1257" s="41"/>
      <c r="I1257" s="42"/>
      <c r="J1257" s="41"/>
      <c r="K1257" s="41"/>
      <c r="L1257" s="43"/>
    </row>
    <row r="1258" spans="2:12" outlineLevel="2">
      <c r="B1258" s="35">
        <f t="shared" si="37"/>
        <v>793</v>
      </c>
      <c r="C1258" s="41" t="s">
        <v>69</v>
      </c>
      <c r="D1258" s="41"/>
      <c r="E1258" s="41"/>
      <c r="F1258" s="41"/>
      <c r="G1258" s="41"/>
      <c r="H1258" s="41"/>
      <c r="I1258" s="42"/>
      <c r="J1258" s="41"/>
      <c r="K1258" s="41"/>
      <c r="L1258" s="43"/>
    </row>
    <row r="1259" spans="2:12" outlineLevel="2">
      <c r="B1259" s="35">
        <f t="shared" si="37"/>
        <v>794</v>
      </c>
      <c r="C1259" s="41" t="s">
        <v>69</v>
      </c>
      <c r="D1259" s="41"/>
      <c r="E1259" s="41"/>
      <c r="F1259" s="41"/>
      <c r="G1259" s="41"/>
      <c r="H1259" s="41"/>
      <c r="I1259" s="42"/>
      <c r="J1259" s="41"/>
      <c r="K1259" s="41"/>
      <c r="L1259" s="43"/>
    </row>
    <row r="1260" spans="2:12" outlineLevel="2">
      <c r="B1260" s="35">
        <f t="shared" si="37"/>
        <v>795</v>
      </c>
      <c r="C1260" s="41" t="s">
        <v>69</v>
      </c>
      <c r="D1260" s="41"/>
      <c r="E1260" s="41"/>
      <c r="F1260" s="41"/>
      <c r="G1260" s="41"/>
      <c r="H1260" s="41"/>
      <c r="I1260" s="42"/>
      <c r="J1260" s="41"/>
      <c r="K1260" s="41"/>
      <c r="L1260" s="43"/>
    </row>
    <row r="1261" spans="2:12" outlineLevel="2">
      <c r="B1261" s="35">
        <f t="shared" si="37"/>
        <v>796</v>
      </c>
      <c r="C1261" s="41" t="s">
        <v>69</v>
      </c>
      <c r="D1261" s="41"/>
      <c r="E1261" s="41"/>
      <c r="F1261" s="41"/>
      <c r="G1261" s="41"/>
      <c r="H1261" s="41"/>
      <c r="I1261" s="42"/>
      <c r="J1261" s="41"/>
      <c r="K1261" s="41"/>
      <c r="L1261" s="43"/>
    </row>
    <row r="1262" spans="2:12" outlineLevel="2">
      <c r="B1262" s="35">
        <f t="shared" si="37"/>
        <v>797</v>
      </c>
      <c r="C1262" s="41" t="s">
        <v>69</v>
      </c>
      <c r="D1262" s="41"/>
      <c r="E1262" s="41"/>
      <c r="F1262" s="41"/>
      <c r="G1262" s="41"/>
      <c r="H1262" s="41"/>
      <c r="I1262" s="42"/>
      <c r="J1262" s="41"/>
      <c r="K1262" s="41"/>
      <c r="L1262" s="43"/>
    </row>
    <row r="1263" spans="2:12" outlineLevel="2">
      <c r="B1263" s="35">
        <f t="shared" si="37"/>
        <v>798</v>
      </c>
      <c r="C1263" s="41" t="s">
        <v>69</v>
      </c>
      <c r="D1263" s="41"/>
      <c r="E1263" s="41"/>
      <c r="F1263" s="41"/>
      <c r="G1263" s="41"/>
      <c r="H1263" s="41"/>
      <c r="I1263" s="42"/>
      <c r="J1263" s="41"/>
      <c r="K1263" s="41"/>
      <c r="L1263" s="43"/>
    </row>
    <row r="1264" spans="2:12" outlineLevel="2">
      <c r="B1264" s="35">
        <f t="shared" si="37"/>
        <v>799</v>
      </c>
      <c r="C1264" s="41" t="s">
        <v>69</v>
      </c>
      <c r="D1264" s="41"/>
      <c r="E1264" s="41"/>
      <c r="F1264" s="41"/>
      <c r="G1264" s="41"/>
      <c r="H1264" s="41"/>
      <c r="I1264" s="42"/>
      <c r="J1264" s="41"/>
      <c r="K1264" s="41"/>
      <c r="L1264" s="43"/>
    </row>
    <row r="1265" spans="2:12" outlineLevel="2">
      <c r="B1265" s="35">
        <f t="shared" si="37"/>
        <v>800</v>
      </c>
      <c r="C1265" s="41" t="s">
        <v>69</v>
      </c>
      <c r="D1265" s="41"/>
      <c r="E1265" s="41"/>
      <c r="F1265" s="41"/>
      <c r="G1265" s="41"/>
      <c r="H1265" s="41"/>
      <c r="I1265" s="42"/>
      <c r="J1265" s="41"/>
      <c r="K1265" s="41"/>
      <c r="L1265" s="43"/>
    </row>
    <row r="1266" spans="2:12" outlineLevel="2">
      <c r="B1266" s="35">
        <f t="shared" si="37"/>
        <v>801</v>
      </c>
      <c r="C1266" s="41" t="s">
        <v>69</v>
      </c>
      <c r="D1266" s="41"/>
      <c r="E1266" s="41"/>
      <c r="F1266" s="41"/>
      <c r="G1266" s="41"/>
      <c r="H1266" s="41"/>
      <c r="I1266" s="42"/>
      <c r="J1266" s="41"/>
      <c r="K1266" s="41"/>
      <c r="L1266" s="43"/>
    </row>
    <row r="1267" spans="2:12" outlineLevel="2">
      <c r="B1267" s="35">
        <f t="shared" si="37"/>
        <v>802</v>
      </c>
      <c r="C1267" s="41" t="s">
        <v>69</v>
      </c>
      <c r="D1267" s="41"/>
      <c r="E1267" s="41"/>
      <c r="F1267" s="41"/>
      <c r="G1267" s="41"/>
      <c r="H1267" s="41"/>
      <c r="I1267" s="42"/>
      <c r="J1267" s="41"/>
      <c r="K1267" s="41"/>
      <c r="L1267" s="43"/>
    </row>
    <row r="1268" spans="2:12" outlineLevel="2">
      <c r="B1268" s="35">
        <f t="shared" si="37"/>
        <v>803</v>
      </c>
      <c r="C1268" s="41" t="s">
        <v>69</v>
      </c>
      <c r="D1268" s="41"/>
      <c r="E1268" s="41"/>
      <c r="F1268" s="41"/>
      <c r="G1268" s="41"/>
      <c r="H1268" s="41"/>
      <c r="I1268" s="42"/>
      <c r="J1268" s="41"/>
      <c r="K1268" s="41"/>
      <c r="L1268" s="43"/>
    </row>
    <row r="1269" spans="2:12" outlineLevel="2">
      <c r="B1269" s="35">
        <f t="shared" si="37"/>
        <v>804</v>
      </c>
      <c r="C1269" s="41" t="s">
        <v>69</v>
      </c>
      <c r="D1269" s="41"/>
      <c r="E1269" s="41"/>
      <c r="F1269" s="41"/>
      <c r="G1269" s="41"/>
      <c r="H1269" s="41"/>
      <c r="I1269" s="42"/>
      <c r="J1269" s="41"/>
      <c r="K1269" s="41"/>
      <c r="L1269" s="43"/>
    </row>
    <row r="1270" spans="2:12" outlineLevel="2">
      <c r="B1270" s="35">
        <f t="shared" si="37"/>
        <v>805</v>
      </c>
      <c r="C1270" s="41" t="s">
        <v>69</v>
      </c>
      <c r="D1270" s="41"/>
      <c r="E1270" s="41"/>
      <c r="F1270" s="41"/>
      <c r="G1270" s="41"/>
      <c r="H1270" s="41"/>
      <c r="I1270" s="42"/>
      <c r="J1270" s="41"/>
      <c r="K1270" s="41"/>
      <c r="L1270" s="43"/>
    </row>
    <row r="1271" spans="2:12" outlineLevel="2">
      <c r="B1271" s="35">
        <f t="shared" si="37"/>
        <v>806</v>
      </c>
      <c r="C1271" s="41" t="s">
        <v>69</v>
      </c>
      <c r="D1271" s="41"/>
      <c r="E1271" s="41"/>
      <c r="F1271" s="41"/>
      <c r="G1271" s="41"/>
      <c r="H1271" s="41"/>
      <c r="I1271" s="42"/>
      <c r="J1271" s="41"/>
      <c r="K1271" s="41"/>
      <c r="L1271" s="43"/>
    </row>
    <row r="1272" spans="2:12" outlineLevel="2">
      <c r="B1272" s="35">
        <f t="shared" si="37"/>
        <v>807</v>
      </c>
      <c r="C1272" s="41" t="s">
        <v>69</v>
      </c>
      <c r="D1272" s="41"/>
      <c r="E1272" s="41"/>
      <c r="F1272" s="41"/>
      <c r="G1272" s="41"/>
      <c r="H1272" s="41"/>
      <c r="I1272" s="42"/>
      <c r="J1272" s="41"/>
      <c r="K1272" s="41"/>
      <c r="L1272" s="43"/>
    </row>
    <row r="1273" spans="2:12" outlineLevel="2">
      <c r="B1273" s="35">
        <f t="shared" si="37"/>
        <v>808</v>
      </c>
      <c r="C1273" s="41" t="s">
        <v>69</v>
      </c>
      <c r="D1273" s="41"/>
      <c r="E1273" s="41"/>
      <c r="F1273" s="41"/>
      <c r="G1273" s="41"/>
      <c r="H1273" s="41"/>
      <c r="I1273" s="42"/>
      <c r="J1273" s="41"/>
      <c r="K1273" s="41"/>
      <c r="L1273" s="43"/>
    </row>
    <row r="1274" spans="2:12" outlineLevel="2">
      <c r="B1274" s="35">
        <f t="shared" si="37"/>
        <v>809</v>
      </c>
      <c r="C1274" s="41" t="s">
        <v>69</v>
      </c>
      <c r="D1274" s="41"/>
      <c r="E1274" s="41"/>
      <c r="F1274" s="41"/>
      <c r="G1274" s="41"/>
      <c r="H1274" s="41"/>
      <c r="I1274" s="42"/>
      <c r="J1274" s="41"/>
      <c r="K1274" s="41"/>
      <c r="L1274" s="43"/>
    </row>
    <row r="1275" spans="2:12" outlineLevel="2">
      <c r="B1275" s="35">
        <f t="shared" si="37"/>
        <v>810</v>
      </c>
      <c r="C1275" s="41" t="s">
        <v>69</v>
      </c>
      <c r="D1275" s="41"/>
      <c r="E1275" s="41"/>
      <c r="F1275" s="41"/>
      <c r="G1275" s="41"/>
      <c r="H1275" s="41"/>
      <c r="I1275" s="42"/>
      <c r="J1275" s="41"/>
      <c r="K1275" s="41"/>
      <c r="L1275" s="43"/>
    </row>
    <row r="1276" spans="2:12" outlineLevel="2">
      <c r="B1276" s="35">
        <f t="shared" si="37"/>
        <v>811</v>
      </c>
      <c r="C1276" s="41" t="s">
        <v>69</v>
      </c>
      <c r="D1276" s="41"/>
      <c r="E1276" s="41"/>
      <c r="F1276" s="41"/>
      <c r="G1276" s="41"/>
      <c r="H1276" s="41"/>
      <c r="I1276" s="42"/>
      <c r="J1276" s="41"/>
      <c r="K1276" s="41"/>
      <c r="L1276" s="43"/>
    </row>
    <row r="1277" spans="2:12" outlineLevel="2">
      <c r="B1277" s="35">
        <f t="shared" si="37"/>
        <v>812</v>
      </c>
      <c r="C1277" s="41" t="s">
        <v>69</v>
      </c>
      <c r="D1277" s="41"/>
      <c r="E1277" s="41"/>
      <c r="F1277" s="41"/>
      <c r="G1277" s="41"/>
      <c r="H1277" s="41"/>
      <c r="I1277" s="42"/>
      <c r="J1277" s="41"/>
      <c r="K1277" s="41"/>
      <c r="L1277" s="43"/>
    </row>
    <row r="1278" spans="2:12" outlineLevel="2">
      <c r="B1278" s="35">
        <f t="shared" si="37"/>
        <v>813</v>
      </c>
      <c r="C1278" s="41" t="s">
        <v>69</v>
      </c>
      <c r="D1278" s="41"/>
      <c r="E1278" s="41"/>
      <c r="F1278" s="41"/>
      <c r="G1278" s="41"/>
      <c r="H1278" s="41"/>
      <c r="I1278" s="42"/>
      <c r="J1278" s="41"/>
      <c r="K1278" s="41"/>
      <c r="L1278" s="43"/>
    </row>
    <row r="1279" spans="2:12" outlineLevel="2">
      <c r="B1279" s="35">
        <f t="shared" ref="B1279:B1342" si="38">(B1278+1)</f>
        <v>814</v>
      </c>
      <c r="C1279" s="41" t="s">
        <v>69</v>
      </c>
      <c r="D1279" s="41"/>
      <c r="E1279" s="41"/>
      <c r="F1279" s="41"/>
      <c r="G1279" s="41"/>
      <c r="H1279" s="41"/>
      <c r="I1279" s="42"/>
      <c r="J1279" s="41"/>
      <c r="K1279" s="41"/>
      <c r="L1279" s="43"/>
    </row>
    <row r="1280" spans="2:12" outlineLevel="2">
      <c r="B1280" s="35">
        <f t="shared" si="38"/>
        <v>815</v>
      </c>
      <c r="C1280" s="41" t="s">
        <v>69</v>
      </c>
      <c r="D1280" s="41"/>
      <c r="E1280" s="41"/>
      <c r="F1280" s="41"/>
      <c r="G1280" s="41"/>
      <c r="H1280" s="41"/>
      <c r="I1280" s="42"/>
      <c r="J1280" s="41"/>
      <c r="K1280" s="41"/>
      <c r="L1280" s="43"/>
    </row>
    <row r="1281" spans="2:12" outlineLevel="2">
      <c r="B1281" s="35">
        <f t="shared" si="38"/>
        <v>816</v>
      </c>
      <c r="C1281" s="41" t="s">
        <v>69</v>
      </c>
      <c r="D1281" s="41"/>
      <c r="E1281" s="41"/>
      <c r="F1281" s="41"/>
      <c r="G1281" s="41"/>
      <c r="H1281" s="41"/>
      <c r="I1281" s="42"/>
      <c r="J1281" s="41"/>
      <c r="K1281" s="41"/>
      <c r="L1281" s="43"/>
    </row>
    <row r="1282" spans="2:12" outlineLevel="2">
      <c r="B1282" s="35">
        <f t="shared" si="38"/>
        <v>817</v>
      </c>
      <c r="C1282" s="41" t="s">
        <v>69</v>
      </c>
      <c r="D1282" s="41"/>
      <c r="E1282" s="41"/>
      <c r="F1282" s="41"/>
      <c r="G1282" s="41"/>
      <c r="H1282" s="41"/>
      <c r="I1282" s="42"/>
      <c r="J1282" s="41"/>
      <c r="K1282" s="41"/>
      <c r="L1282" s="43"/>
    </row>
    <row r="1283" spans="2:12" outlineLevel="2">
      <c r="B1283" s="35">
        <f t="shared" si="38"/>
        <v>818</v>
      </c>
      <c r="C1283" s="41" t="s">
        <v>69</v>
      </c>
      <c r="D1283" s="41"/>
      <c r="E1283" s="41"/>
      <c r="F1283" s="41"/>
      <c r="G1283" s="41"/>
      <c r="H1283" s="41"/>
      <c r="I1283" s="42"/>
      <c r="J1283" s="41"/>
      <c r="K1283" s="41"/>
      <c r="L1283" s="43"/>
    </row>
    <row r="1284" spans="2:12" outlineLevel="2">
      <c r="B1284" s="35">
        <f t="shared" si="38"/>
        <v>819</v>
      </c>
      <c r="C1284" s="41" t="s">
        <v>69</v>
      </c>
      <c r="D1284" s="41"/>
      <c r="E1284" s="41"/>
      <c r="F1284" s="41"/>
      <c r="G1284" s="41"/>
      <c r="H1284" s="41"/>
      <c r="I1284" s="42"/>
      <c r="J1284" s="41"/>
      <c r="K1284" s="41"/>
      <c r="L1284" s="43"/>
    </row>
    <row r="1285" spans="2:12" outlineLevel="2">
      <c r="B1285" s="35">
        <f t="shared" si="38"/>
        <v>820</v>
      </c>
      <c r="C1285" s="41" t="s">
        <v>69</v>
      </c>
      <c r="D1285" s="41"/>
      <c r="E1285" s="41"/>
      <c r="F1285" s="41"/>
      <c r="G1285" s="41"/>
      <c r="H1285" s="41"/>
      <c r="I1285" s="42"/>
      <c r="J1285" s="41"/>
      <c r="K1285" s="41"/>
      <c r="L1285" s="43"/>
    </row>
    <row r="1286" spans="2:12" outlineLevel="2">
      <c r="B1286" s="35">
        <f t="shared" si="38"/>
        <v>821</v>
      </c>
      <c r="C1286" s="41" t="s">
        <v>69</v>
      </c>
      <c r="D1286" s="41"/>
      <c r="E1286" s="41"/>
      <c r="F1286" s="41"/>
      <c r="G1286" s="41"/>
      <c r="H1286" s="41"/>
      <c r="I1286" s="42"/>
      <c r="J1286" s="41"/>
      <c r="K1286" s="41"/>
      <c r="L1286" s="43"/>
    </row>
    <row r="1287" spans="2:12" outlineLevel="2">
      <c r="B1287" s="35">
        <f t="shared" si="38"/>
        <v>822</v>
      </c>
      <c r="C1287" s="41" t="s">
        <v>69</v>
      </c>
      <c r="D1287" s="41"/>
      <c r="E1287" s="41"/>
      <c r="F1287" s="41"/>
      <c r="G1287" s="41"/>
      <c r="H1287" s="41"/>
      <c r="I1287" s="42"/>
      <c r="J1287" s="41"/>
      <c r="K1287" s="41"/>
      <c r="L1287" s="43"/>
    </row>
    <row r="1288" spans="2:12" outlineLevel="2">
      <c r="B1288" s="35">
        <f t="shared" si="38"/>
        <v>823</v>
      </c>
      <c r="C1288" s="41" t="s">
        <v>69</v>
      </c>
      <c r="D1288" s="41"/>
      <c r="E1288" s="41"/>
      <c r="F1288" s="41"/>
      <c r="G1288" s="41"/>
      <c r="H1288" s="41"/>
      <c r="I1288" s="42"/>
      <c r="J1288" s="41"/>
      <c r="K1288" s="41"/>
      <c r="L1288" s="43"/>
    </row>
    <row r="1289" spans="2:12" outlineLevel="2">
      <c r="B1289" s="35">
        <f t="shared" si="38"/>
        <v>824</v>
      </c>
      <c r="C1289" s="41" t="s">
        <v>69</v>
      </c>
      <c r="D1289" s="41"/>
      <c r="E1289" s="41"/>
      <c r="F1289" s="41"/>
      <c r="G1289" s="41"/>
      <c r="H1289" s="41"/>
      <c r="I1289" s="42"/>
      <c r="J1289" s="41"/>
      <c r="K1289" s="41"/>
      <c r="L1289" s="43"/>
    </row>
    <row r="1290" spans="2:12" outlineLevel="2">
      <c r="B1290" s="35">
        <f t="shared" si="38"/>
        <v>825</v>
      </c>
      <c r="C1290" s="41" t="s">
        <v>69</v>
      </c>
      <c r="D1290" s="41"/>
      <c r="E1290" s="41"/>
      <c r="F1290" s="41"/>
      <c r="G1290" s="41"/>
      <c r="H1290" s="41"/>
      <c r="I1290" s="42"/>
      <c r="J1290" s="41"/>
      <c r="K1290" s="41"/>
      <c r="L1290" s="43"/>
    </row>
    <row r="1291" spans="2:12" outlineLevel="2">
      <c r="B1291" s="35">
        <f t="shared" si="38"/>
        <v>826</v>
      </c>
      <c r="C1291" s="41" t="s">
        <v>69</v>
      </c>
      <c r="D1291" s="41"/>
      <c r="E1291" s="41"/>
      <c r="F1291" s="41"/>
      <c r="G1291" s="41"/>
      <c r="H1291" s="41"/>
      <c r="I1291" s="42"/>
      <c r="J1291" s="41"/>
      <c r="K1291" s="41"/>
      <c r="L1291" s="43"/>
    </row>
    <row r="1292" spans="2:12" outlineLevel="2">
      <c r="B1292" s="35">
        <f t="shared" si="38"/>
        <v>827</v>
      </c>
      <c r="C1292" s="41" t="s">
        <v>69</v>
      </c>
      <c r="D1292" s="41"/>
      <c r="E1292" s="41"/>
      <c r="F1292" s="41"/>
      <c r="G1292" s="41"/>
      <c r="H1292" s="41"/>
      <c r="I1292" s="42"/>
      <c r="J1292" s="41"/>
      <c r="K1292" s="41"/>
      <c r="L1292" s="43"/>
    </row>
    <row r="1293" spans="2:12" outlineLevel="2">
      <c r="B1293" s="35">
        <f t="shared" si="38"/>
        <v>828</v>
      </c>
      <c r="C1293" s="41" t="s">
        <v>69</v>
      </c>
      <c r="D1293" s="41"/>
      <c r="E1293" s="41"/>
      <c r="F1293" s="41"/>
      <c r="G1293" s="41"/>
      <c r="H1293" s="41"/>
      <c r="I1293" s="42"/>
      <c r="J1293" s="41"/>
      <c r="K1293" s="41"/>
      <c r="L1293" s="43"/>
    </row>
    <row r="1294" spans="2:12" outlineLevel="2">
      <c r="B1294" s="35">
        <f t="shared" si="38"/>
        <v>829</v>
      </c>
      <c r="C1294" s="41" t="s">
        <v>69</v>
      </c>
      <c r="D1294" s="41"/>
      <c r="E1294" s="41"/>
      <c r="F1294" s="41"/>
      <c r="G1294" s="41"/>
      <c r="H1294" s="41"/>
      <c r="I1294" s="42"/>
      <c r="J1294" s="41"/>
      <c r="K1294" s="41"/>
      <c r="L1294" s="43"/>
    </row>
    <row r="1295" spans="2:12" outlineLevel="2">
      <c r="B1295" s="35">
        <f t="shared" si="38"/>
        <v>830</v>
      </c>
      <c r="C1295" s="41" t="s">
        <v>69</v>
      </c>
      <c r="D1295" s="41"/>
      <c r="E1295" s="41"/>
      <c r="F1295" s="41"/>
      <c r="G1295" s="41"/>
      <c r="H1295" s="41"/>
      <c r="I1295" s="42"/>
      <c r="J1295" s="41"/>
      <c r="K1295" s="41"/>
      <c r="L1295" s="43"/>
    </row>
    <row r="1296" spans="2:12" outlineLevel="2">
      <c r="B1296" s="35">
        <f t="shared" si="38"/>
        <v>831</v>
      </c>
      <c r="C1296" s="41" t="s">
        <v>69</v>
      </c>
      <c r="D1296" s="41"/>
      <c r="E1296" s="41"/>
      <c r="F1296" s="41"/>
      <c r="G1296" s="41"/>
      <c r="H1296" s="41"/>
      <c r="I1296" s="42"/>
      <c r="J1296" s="41"/>
      <c r="K1296" s="41"/>
      <c r="L1296" s="43"/>
    </row>
    <row r="1297" spans="2:12" outlineLevel="2">
      <c r="B1297" s="35">
        <f t="shared" si="38"/>
        <v>832</v>
      </c>
      <c r="C1297" s="41" t="s">
        <v>69</v>
      </c>
      <c r="D1297" s="41"/>
      <c r="E1297" s="41"/>
      <c r="F1297" s="41"/>
      <c r="G1297" s="41"/>
      <c r="H1297" s="41"/>
      <c r="I1297" s="42"/>
      <c r="J1297" s="41"/>
      <c r="K1297" s="41"/>
      <c r="L1297" s="43"/>
    </row>
    <row r="1298" spans="2:12" outlineLevel="2">
      <c r="B1298" s="35">
        <f t="shared" si="38"/>
        <v>833</v>
      </c>
      <c r="C1298" s="41" t="s">
        <v>69</v>
      </c>
      <c r="D1298" s="41"/>
      <c r="E1298" s="41"/>
      <c r="F1298" s="41"/>
      <c r="G1298" s="41"/>
      <c r="H1298" s="41"/>
      <c r="I1298" s="42"/>
      <c r="J1298" s="41"/>
      <c r="K1298" s="41"/>
      <c r="L1298" s="43"/>
    </row>
    <row r="1299" spans="2:12" outlineLevel="2">
      <c r="B1299" s="35">
        <f t="shared" si="38"/>
        <v>834</v>
      </c>
      <c r="C1299" s="41" t="s">
        <v>69</v>
      </c>
      <c r="D1299" s="41"/>
      <c r="E1299" s="41"/>
      <c r="F1299" s="41"/>
      <c r="G1299" s="41"/>
      <c r="H1299" s="41"/>
      <c r="I1299" s="42"/>
      <c r="J1299" s="41"/>
      <c r="K1299" s="41"/>
      <c r="L1299" s="43"/>
    </row>
    <row r="1300" spans="2:12" outlineLevel="2">
      <c r="B1300" s="35">
        <f t="shared" si="38"/>
        <v>835</v>
      </c>
      <c r="C1300" s="41" t="s">
        <v>69</v>
      </c>
      <c r="D1300" s="41"/>
      <c r="E1300" s="41"/>
      <c r="F1300" s="41"/>
      <c r="G1300" s="41"/>
      <c r="H1300" s="41"/>
      <c r="I1300" s="42"/>
      <c r="J1300" s="41"/>
      <c r="K1300" s="41"/>
      <c r="L1300" s="43"/>
    </row>
    <row r="1301" spans="2:12" outlineLevel="2">
      <c r="B1301" s="35">
        <f t="shared" si="38"/>
        <v>836</v>
      </c>
      <c r="C1301" s="41" t="s">
        <v>69</v>
      </c>
      <c r="D1301" s="41"/>
      <c r="E1301" s="41"/>
      <c r="F1301" s="41"/>
      <c r="G1301" s="41"/>
      <c r="H1301" s="41"/>
      <c r="I1301" s="42"/>
      <c r="J1301" s="41"/>
      <c r="K1301" s="41"/>
      <c r="L1301" s="43"/>
    </row>
    <row r="1302" spans="2:12" outlineLevel="2">
      <c r="B1302" s="35">
        <f t="shared" si="38"/>
        <v>837</v>
      </c>
      <c r="C1302" s="41" t="s">
        <v>69</v>
      </c>
      <c r="D1302" s="41"/>
      <c r="E1302" s="41"/>
      <c r="F1302" s="41"/>
      <c r="G1302" s="41"/>
      <c r="H1302" s="41"/>
      <c r="I1302" s="42"/>
      <c r="J1302" s="41"/>
      <c r="K1302" s="41"/>
      <c r="L1302" s="43"/>
    </row>
    <row r="1303" spans="2:12" outlineLevel="2">
      <c r="B1303" s="35">
        <f t="shared" si="38"/>
        <v>838</v>
      </c>
      <c r="C1303" s="41" t="s">
        <v>69</v>
      </c>
      <c r="D1303" s="41"/>
      <c r="E1303" s="41"/>
      <c r="F1303" s="41"/>
      <c r="G1303" s="41"/>
      <c r="H1303" s="41"/>
      <c r="I1303" s="42"/>
      <c r="J1303" s="41"/>
      <c r="K1303" s="41"/>
      <c r="L1303" s="43"/>
    </row>
    <row r="1304" spans="2:12" outlineLevel="2">
      <c r="B1304" s="35">
        <f t="shared" si="38"/>
        <v>839</v>
      </c>
      <c r="C1304" s="41" t="s">
        <v>69</v>
      </c>
      <c r="D1304" s="41"/>
      <c r="E1304" s="41"/>
      <c r="F1304" s="41"/>
      <c r="G1304" s="41"/>
      <c r="H1304" s="41"/>
      <c r="I1304" s="42"/>
      <c r="J1304" s="41"/>
      <c r="K1304" s="41"/>
      <c r="L1304" s="43"/>
    </row>
    <row r="1305" spans="2:12" outlineLevel="2">
      <c r="B1305" s="35">
        <f t="shared" si="38"/>
        <v>840</v>
      </c>
      <c r="C1305" s="41" t="s">
        <v>69</v>
      </c>
      <c r="D1305" s="41"/>
      <c r="E1305" s="41"/>
      <c r="F1305" s="41"/>
      <c r="G1305" s="41"/>
      <c r="H1305" s="41"/>
      <c r="I1305" s="42"/>
      <c r="J1305" s="41"/>
      <c r="K1305" s="41"/>
      <c r="L1305" s="43"/>
    </row>
    <row r="1306" spans="2:12" outlineLevel="2">
      <c r="B1306" s="35">
        <f t="shared" si="38"/>
        <v>841</v>
      </c>
      <c r="C1306" s="41" t="s">
        <v>69</v>
      </c>
      <c r="D1306" s="41"/>
      <c r="E1306" s="41"/>
      <c r="F1306" s="41"/>
      <c r="G1306" s="41"/>
      <c r="H1306" s="41"/>
      <c r="I1306" s="42"/>
      <c r="J1306" s="41"/>
      <c r="K1306" s="41"/>
      <c r="L1306" s="43"/>
    </row>
    <row r="1307" spans="2:12" outlineLevel="2">
      <c r="B1307" s="35">
        <f t="shared" si="38"/>
        <v>842</v>
      </c>
      <c r="C1307" s="41" t="s">
        <v>69</v>
      </c>
      <c r="D1307" s="41"/>
      <c r="E1307" s="41"/>
      <c r="F1307" s="41"/>
      <c r="G1307" s="41"/>
      <c r="H1307" s="41"/>
      <c r="I1307" s="42"/>
      <c r="J1307" s="41"/>
      <c r="K1307" s="41"/>
      <c r="L1307" s="43"/>
    </row>
    <row r="1308" spans="2:12" outlineLevel="2">
      <c r="B1308" s="35">
        <f t="shared" si="38"/>
        <v>843</v>
      </c>
      <c r="C1308" s="41" t="s">
        <v>69</v>
      </c>
      <c r="D1308" s="41"/>
      <c r="E1308" s="41"/>
      <c r="F1308" s="41"/>
      <c r="G1308" s="41"/>
      <c r="H1308" s="41"/>
      <c r="I1308" s="42"/>
      <c r="J1308" s="41"/>
      <c r="K1308" s="41"/>
      <c r="L1308" s="43"/>
    </row>
    <row r="1309" spans="2:12" outlineLevel="2">
      <c r="B1309" s="35">
        <f t="shared" si="38"/>
        <v>844</v>
      </c>
      <c r="C1309" s="41" t="s">
        <v>69</v>
      </c>
      <c r="D1309" s="41"/>
      <c r="E1309" s="41"/>
      <c r="F1309" s="41"/>
      <c r="G1309" s="41"/>
      <c r="H1309" s="41"/>
      <c r="I1309" s="42"/>
      <c r="J1309" s="41"/>
      <c r="K1309" s="41"/>
      <c r="L1309" s="43"/>
    </row>
    <row r="1310" spans="2:12" outlineLevel="2">
      <c r="B1310" s="35">
        <f t="shared" si="38"/>
        <v>845</v>
      </c>
      <c r="C1310" s="41" t="s">
        <v>69</v>
      </c>
      <c r="D1310" s="41"/>
      <c r="E1310" s="41"/>
      <c r="F1310" s="41"/>
      <c r="G1310" s="41"/>
      <c r="H1310" s="41"/>
      <c r="I1310" s="42"/>
      <c r="J1310" s="41"/>
      <c r="K1310" s="41"/>
      <c r="L1310" s="43"/>
    </row>
    <row r="1311" spans="2:12" outlineLevel="2">
      <c r="B1311" s="35">
        <f t="shared" si="38"/>
        <v>846</v>
      </c>
      <c r="C1311" s="41" t="s">
        <v>69</v>
      </c>
      <c r="D1311" s="41"/>
      <c r="E1311" s="41"/>
      <c r="F1311" s="41"/>
      <c r="G1311" s="41"/>
      <c r="H1311" s="41"/>
      <c r="I1311" s="42"/>
      <c r="J1311" s="41"/>
      <c r="K1311" s="41"/>
      <c r="L1311" s="43"/>
    </row>
    <row r="1312" spans="2:12" outlineLevel="2">
      <c r="B1312" s="35">
        <f t="shared" si="38"/>
        <v>847</v>
      </c>
      <c r="C1312" s="41" t="s">
        <v>69</v>
      </c>
      <c r="D1312" s="41"/>
      <c r="E1312" s="41"/>
      <c r="F1312" s="41"/>
      <c r="G1312" s="41"/>
      <c r="H1312" s="41"/>
      <c r="I1312" s="42"/>
      <c r="J1312" s="41"/>
      <c r="K1312" s="41"/>
      <c r="L1312" s="43"/>
    </row>
    <row r="1313" spans="2:12" outlineLevel="2">
      <c r="B1313" s="35">
        <f t="shared" si="38"/>
        <v>848</v>
      </c>
      <c r="C1313" s="41" t="s">
        <v>69</v>
      </c>
      <c r="D1313" s="41"/>
      <c r="E1313" s="41"/>
      <c r="F1313" s="41"/>
      <c r="G1313" s="41"/>
      <c r="H1313" s="41"/>
      <c r="I1313" s="42"/>
      <c r="J1313" s="41"/>
      <c r="K1313" s="41"/>
      <c r="L1313" s="43"/>
    </row>
    <row r="1314" spans="2:12" outlineLevel="2">
      <c r="B1314" s="35">
        <f t="shared" si="38"/>
        <v>849</v>
      </c>
      <c r="C1314" s="41" t="s">
        <v>69</v>
      </c>
      <c r="D1314" s="41"/>
      <c r="E1314" s="41"/>
      <c r="F1314" s="41"/>
      <c r="G1314" s="41"/>
      <c r="H1314" s="41"/>
      <c r="I1314" s="42"/>
      <c r="J1314" s="41"/>
      <c r="K1314" s="41"/>
      <c r="L1314" s="43"/>
    </row>
    <row r="1315" spans="2:12" outlineLevel="2">
      <c r="B1315" s="35">
        <f t="shared" si="38"/>
        <v>850</v>
      </c>
      <c r="C1315" s="41" t="s">
        <v>69</v>
      </c>
      <c r="D1315" s="41"/>
      <c r="E1315" s="41"/>
      <c r="F1315" s="41"/>
      <c r="G1315" s="41"/>
      <c r="H1315" s="41"/>
      <c r="I1315" s="42"/>
      <c r="J1315" s="41"/>
      <c r="K1315" s="41"/>
      <c r="L1315" s="43"/>
    </row>
    <row r="1316" spans="2:12" outlineLevel="2">
      <c r="B1316" s="35">
        <f t="shared" si="38"/>
        <v>851</v>
      </c>
      <c r="C1316" s="41" t="s">
        <v>69</v>
      </c>
      <c r="D1316" s="41"/>
      <c r="E1316" s="41"/>
      <c r="F1316" s="41"/>
      <c r="G1316" s="41"/>
      <c r="H1316" s="41"/>
      <c r="I1316" s="42"/>
      <c r="J1316" s="41"/>
      <c r="K1316" s="41"/>
      <c r="L1316" s="43"/>
    </row>
    <row r="1317" spans="2:12" outlineLevel="2">
      <c r="B1317" s="35">
        <f t="shared" si="38"/>
        <v>852</v>
      </c>
      <c r="C1317" s="41" t="s">
        <v>69</v>
      </c>
      <c r="D1317" s="41"/>
      <c r="E1317" s="41"/>
      <c r="F1317" s="41"/>
      <c r="G1317" s="41"/>
      <c r="H1317" s="41"/>
      <c r="I1317" s="42"/>
      <c r="J1317" s="41"/>
      <c r="K1317" s="41"/>
      <c r="L1317" s="43"/>
    </row>
    <row r="1318" spans="2:12" outlineLevel="2">
      <c r="B1318" s="35">
        <f t="shared" si="38"/>
        <v>853</v>
      </c>
      <c r="C1318" s="41" t="s">
        <v>69</v>
      </c>
      <c r="D1318" s="41"/>
      <c r="E1318" s="41"/>
      <c r="F1318" s="41"/>
      <c r="G1318" s="41"/>
      <c r="H1318" s="41"/>
      <c r="I1318" s="42"/>
      <c r="J1318" s="41"/>
      <c r="K1318" s="41"/>
      <c r="L1318" s="43"/>
    </row>
    <row r="1319" spans="2:12" outlineLevel="2">
      <c r="B1319" s="35">
        <f t="shared" si="38"/>
        <v>854</v>
      </c>
      <c r="C1319" s="41" t="s">
        <v>69</v>
      </c>
      <c r="D1319" s="41"/>
      <c r="E1319" s="41"/>
      <c r="F1319" s="41"/>
      <c r="G1319" s="41"/>
      <c r="H1319" s="41"/>
      <c r="I1319" s="42"/>
      <c r="J1319" s="41"/>
      <c r="K1319" s="41"/>
      <c r="L1319" s="43"/>
    </row>
    <row r="1320" spans="2:12" outlineLevel="2">
      <c r="B1320" s="35">
        <f t="shared" si="38"/>
        <v>855</v>
      </c>
      <c r="C1320" s="41" t="s">
        <v>69</v>
      </c>
      <c r="D1320" s="41"/>
      <c r="E1320" s="41"/>
      <c r="F1320" s="41"/>
      <c r="G1320" s="41"/>
      <c r="H1320" s="41"/>
      <c r="I1320" s="42"/>
      <c r="J1320" s="41"/>
      <c r="K1320" s="41"/>
      <c r="L1320" s="43"/>
    </row>
    <row r="1321" spans="2:12" outlineLevel="2">
      <c r="B1321" s="35">
        <f t="shared" si="38"/>
        <v>856</v>
      </c>
      <c r="C1321" s="41" t="s">
        <v>69</v>
      </c>
      <c r="D1321" s="41"/>
      <c r="E1321" s="41"/>
      <c r="F1321" s="41"/>
      <c r="G1321" s="41"/>
      <c r="H1321" s="41"/>
      <c r="I1321" s="42"/>
      <c r="J1321" s="41"/>
      <c r="K1321" s="41"/>
      <c r="L1321" s="43"/>
    </row>
    <row r="1322" spans="2:12" outlineLevel="2">
      <c r="B1322" s="35">
        <f t="shared" si="38"/>
        <v>857</v>
      </c>
      <c r="C1322" s="41" t="s">
        <v>69</v>
      </c>
      <c r="D1322" s="41"/>
      <c r="E1322" s="41"/>
      <c r="F1322" s="41"/>
      <c r="G1322" s="41"/>
      <c r="H1322" s="41"/>
      <c r="I1322" s="42"/>
      <c r="J1322" s="41"/>
      <c r="K1322" s="41"/>
      <c r="L1322" s="43"/>
    </row>
    <row r="1323" spans="2:12" outlineLevel="2">
      <c r="B1323" s="35">
        <f t="shared" si="38"/>
        <v>858</v>
      </c>
      <c r="C1323" s="41" t="s">
        <v>69</v>
      </c>
      <c r="D1323" s="41"/>
      <c r="E1323" s="41"/>
      <c r="F1323" s="41"/>
      <c r="G1323" s="41"/>
      <c r="H1323" s="41"/>
      <c r="I1323" s="42"/>
      <c r="J1323" s="41"/>
      <c r="K1323" s="41"/>
      <c r="L1323" s="43"/>
    </row>
    <row r="1324" spans="2:12" outlineLevel="2">
      <c r="B1324" s="35">
        <f t="shared" si="38"/>
        <v>859</v>
      </c>
      <c r="C1324" s="41" t="s">
        <v>69</v>
      </c>
      <c r="D1324" s="41"/>
      <c r="E1324" s="41"/>
      <c r="F1324" s="41"/>
      <c r="G1324" s="41"/>
      <c r="H1324" s="41"/>
      <c r="I1324" s="42"/>
      <c r="J1324" s="41"/>
      <c r="K1324" s="41"/>
      <c r="L1324" s="43"/>
    </row>
    <row r="1325" spans="2:12" outlineLevel="2">
      <c r="B1325" s="35">
        <f t="shared" si="38"/>
        <v>860</v>
      </c>
      <c r="C1325" s="41" t="s">
        <v>69</v>
      </c>
      <c r="D1325" s="41"/>
      <c r="E1325" s="41"/>
      <c r="F1325" s="41"/>
      <c r="G1325" s="41"/>
      <c r="H1325" s="41"/>
      <c r="I1325" s="42"/>
      <c r="J1325" s="41"/>
      <c r="K1325" s="41"/>
      <c r="L1325" s="43"/>
    </row>
    <row r="1326" spans="2:12" outlineLevel="2">
      <c r="B1326" s="35">
        <f t="shared" si="38"/>
        <v>861</v>
      </c>
      <c r="C1326" s="41" t="s">
        <v>69</v>
      </c>
      <c r="D1326" s="41"/>
      <c r="E1326" s="41"/>
      <c r="F1326" s="41"/>
      <c r="G1326" s="41"/>
      <c r="H1326" s="41"/>
      <c r="I1326" s="42"/>
      <c r="J1326" s="41"/>
      <c r="K1326" s="41"/>
      <c r="L1326" s="43"/>
    </row>
    <row r="1327" spans="2:12" outlineLevel="2">
      <c r="B1327" s="35">
        <f t="shared" si="38"/>
        <v>862</v>
      </c>
      <c r="C1327" s="41" t="s">
        <v>69</v>
      </c>
      <c r="D1327" s="41"/>
      <c r="E1327" s="41"/>
      <c r="F1327" s="41"/>
      <c r="G1327" s="41"/>
      <c r="H1327" s="41"/>
      <c r="I1327" s="42"/>
      <c r="J1327" s="41"/>
      <c r="K1327" s="41"/>
      <c r="L1327" s="43"/>
    </row>
    <row r="1328" spans="2:12" outlineLevel="2">
      <c r="B1328" s="35">
        <f t="shared" si="38"/>
        <v>863</v>
      </c>
      <c r="C1328" s="41" t="s">
        <v>69</v>
      </c>
      <c r="D1328" s="41"/>
      <c r="E1328" s="41"/>
      <c r="F1328" s="41"/>
      <c r="G1328" s="41"/>
      <c r="H1328" s="41"/>
      <c r="I1328" s="42"/>
      <c r="J1328" s="41"/>
      <c r="K1328" s="41"/>
      <c r="L1328" s="43"/>
    </row>
    <row r="1329" spans="2:12" outlineLevel="2">
      <c r="B1329" s="35">
        <f t="shared" si="38"/>
        <v>864</v>
      </c>
      <c r="C1329" s="41" t="s">
        <v>69</v>
      </c>
      <c r="D1329" s="41"/>
      <c r="E1329" s="41"/>
      <c r="F1329" s="41"/>
      <c r="G1329" s="41"/>
      <c r="H1329" s="41"/>
      <c r="I1329" s="42"/>
      <c r="J1329" s="41"/>
      <c r="K1329" s="41"/>
      <c r="L1329" s="43"/>
    </row>
    <row r="1330" spans="2:12" outlineLevel="2">
      <c r="B1330" s="35">
        <f t="shared" si="38"/>
        <v>865</v>
      </c>
      <c r="C1330" s="41" t="s">
        <v>69</v>
      </c>
      <c r="D1330" s="41"/>
      <c r="E1330" s="41"/>
      <c r="F1330" s="41"/>
      <c r="G1330" s="41"/>
      <c r="H1330" s="41"/>
      <c r="I1330" s="42"/>
      <c r="J1330" s="41"/>
      <c r="K1330" s="41"/>
      <c r="L1330" s="43"/>
    </row>
    <row r="1331" spans="2:12" outlineLevel="2">
      <c r="B1331" s="35">
        <f t="shared" si="38"/>
        <v>866</v>
      </c>
      <c r="C1331" s="41" t="s">
        <v>69</v>
      </c>
      <c r="D1331" s="41"/>
      <c r="E1331" s="41"/>
      <c r="F1331" s="41"/>
      <c r="G1331" s="41"/>
      <c r="H1331" s="41"/>
      <c r="I1331" s="42"/>
      <c r="J1331" s="41"/>
      <c r="K1331" s="41"/>
      <c r="L1331" s="43"/>
    </row>
    <row r="1332" spans="2:12" outlineLevel="2">
      <c r="B1332" s="35">
        <f t="shared" si="38"/>
        <v>867</v>
      </c>
      <c r="C1332" s="41" t="s">
        <v>69</v>
      </c>
      <c r="D1332" s="41"/>
      <c r="E1332" s="41"/>
      <c r="F1332" s="41"/>
      <c r="G1332" s="41"/>
      <c r="H1332" s="41"/>
      <c r="I1332" s="42"/>
      <c r="J1332" s="41"/>
      <c r="K1332" s="41"/>
      <c r="L1332" s="43"/>
    </row>
    <row r="1333" spans="2:12" outlineLevel="2">
      <c r="B1333" s="35">
        <f t="shared" si="38"/>
        <v>868</v>
      </c>
      <c r="C1333" s="41" t="s">
        <v>69</v>
      </c>
      <c r="D1333" s="41"/>
      <c r="E1333" s="41"/>
      <c r="F1333" s="41"/>
      <c r="G1333" s="41"/>
      <c r="H1333" s="41"/>
      <c r="I1333" s="42"/>
      <c r="J1333" s="41"/>
      <c r="K1333" s="41"/>
      <c r="L1333" s="43"/>
    </row>
    <row r="1334" spans="2:12" outlineLevel="2">
      <c r="B1334" s="35">
        <f t="shared" si="38"/>
        <v>869</v>
      </c>
      <c r="C1334" s="41" t="s">
        <v>69</v>
      </c>
      <c r="D1334" s="41"/>
      <c r="E1334" s="41"/>
      <c r="F1334" s="41"/>
      <c r="G1334" s="41"/>
      <c r="H1334" s="41"/>
      <c r="I1334" s="42"/>
      <c r="J1334" s="41"/>
      <c r="K1334" s="41"/>
      <c r="L1334" s="43"/>
    </row>
    <row r="1335" spans="2:12" outlineLevel="2">
      <c r="B1335" s="35">
        <f t="shared" si="38"/>
        <v>870</v>
      </c>
      <c r="C1335" s="41" t="s">
        <v>69</v>
      </c>
      <c r="D1335" s="41"/>
      <c r="E1335" s="41"/>
      <c r="F1335" s="41"/>
      <c r="G1335" s="41"/>
      <c r="H1335" s="41"/>
      <c r="I1335" s="42"/>
      <c r="J1335" s="41"/>
      <c r="K1335" s="41"/>
      <c r="L1335" s="43"/>
    </row>
    <row r="1336" spans="2:12" outlineLevel="2">
      <c r="B1336" s="35">
        <f t="shared" si="38"/>
        <v>871</v>
      </c>
      <c r="C1336" s="41" t="s">
        <v>69</v>
      </c>
      <c r="D1336" s="41"/>
      <c r="E1336" s="41"/>
      <c r="F1336" s="41"/>
      <c r="G1336" s="41"/>
      <c r="H1336" s="41"/>
      <c r="I1336" s="42"/>
      <c r="J1336" s="41"/>
      <c r="K1336" s="41"/>
      <c r="L1336" s="43"/>
    </row>
    <row r="1337" spans="2:12" outlineLevel="2">
      <c r="B1337" s="35">
        <f t="shared" si="38"/>
        <v>872</v>
      </c>
      <c r="C1337" s="41" t="s">
        <v>69</v>
      </c>
      <c r="D1337" s="41"/>
      <c r="E1337" s="41"/>
      <c r="F1337" s="41"/>
      <c r="G1337" s="41"/>
      <c r="H1337" s="41"/>
      <c r="I1337" s="42"/>
      <c r="J1337" s="41"/>
      <c r="K1337" s="41"/>
      <c r="L1337" s="43"/>
    </row>
    <row r="1338" spans="2:12" outlineLevel="2">
      <c r="B1338" s="35">
        <f t="shared" si="38"/>
        <v>873</v>
      </c>
      <c r="C1338" s="41" t="s">
        <v>69</v>
      </c>
      <c r="D1338" s="41"/>
      <c r="E1338" s="41"/>
      <c r="F1338" s="41"/>
      <c r="G1338" s="41"/>
      <c r="H1338" s="41"/>
      <c r="I1338" s="42"/>
      <c r="J1338" s="41"/>
      <c r="K1338" s="41"/>
      <c r="L1338" s="43"/>
    </row>
    <row r="1339" spans="2:12" outlineLevel="2">
      <c r="B1339" s="35">
        <f t="shared" si="38"/>
        <v>874</v>
      </c>
      <c r="C1339" s="41" t="s">
        <v>69</v>
      </c>
      <c r="D1339" s="41"/>
      <c r="E1339" s="41"/>
      <c r="F1339" s="41"/>
      <c r="G1339" s="41"/>
      <c r="H1339" s="41"/>
      <c r="I1339" s="42"/>
      <c r="J1339" s="41"/>
      <c r="K1339" s="41"/>
      <c r="L1339" s="43"/>
    </row>
    <row r="1340" spans="2:12" outlineLevel="2">
      <c r="B1340" s="35">
        <f t="shared" si="38"/>
        <v>875</v>
      </c>
      <c r="C1340" s="41" t="s">
        <v>69</v>
      </c>
      <c r="D1340" s="41"/>
      <c r="E1340" s="41"/>
      <c r="F1340" s="41"/>
      <c r="G1340" s="41"/>
      <c r="H1340" s="41"/>
      <c r="I1340" s="42"/>
      <c r="J1340" s="41"/>
      <c r="K1340" s="41"/>
      <c r="L1340" s="43"/>
    </row>
    <row r="1341" spans="2:12" outlineLevel="2">
      <c r="B1341" s="35">
        <f t="shared" si="38"/>
        <v>876</v>
      </c>
      <c r="C1341" s="41" t="s">
        <v>69</v>
      </c>
      <c r="D1341" s="41"/>
      <c r="E1341" s="41"/>
      <c r="F1341" s="41"/>
      <c r="G1341" s="41"/>
      <c r="H1341" s="41"/>
      <c r="I1341" s="42"/>
      <c r="J1341" s="41"/>
      <c r="K1341" s="41"/>
      <c r="L1341" s="43"/>
    </row>
    <row r="1342" spans="2:12" outlineLevel="2">
      <c r="B1342" s="35">
        <f t="shared" si="38"/>
        <v>877</v>
      </c>
      <c r="C1342" s="41" t="s">
        <v>69</v>
      </c>
      <c r="D1342" s="41"/>
      <c r="E1342" s="41"/>
      <c r="F1342" s="41"/>
      <c r="G1342" s="41"/>
      <c r="H1342" s="41"/>
      <c r="I1342" s="42"/>
      <c r="J1342" s="41"/>
      <c r="K1342" s="41"/>
      <c r="L1342" s="43"/>
    </row>
    <row r="1343" spans="2:12" outlineLevel="2">
      <c r="B1343" s="35">
        <f t="shared" ref="B1343:B1362" si="39">(B1342+1)</f>
        <v>878</v>
      </c>
      <c r="C1343" s="41" t="s">
        <v>69</v>
      </c>
      <c r="D1343" s="41"/>
      <c r="E1343" s="41"/>
      <c r="F1343" s="41"/>
      <c r="G1343" s="41"/>
      <c r="H1343" s="41"/>
      <c r="I1343" s="42"/>
      <c r="J1343" s="41"/>
      <c r="K1343" s="41"/>
      <c r="L1343" s="43"/>
    </row>
    <row r="1344" spans="2:12" outlineLevel="2">
      <c r="B1344" s="35">
        <f t="shared" si="39"/>
        <v>879</v>
      </c>
      <c r="C1344" s="41" t="s">
        <v>69</v>
      </c>
      <c r="D1344" s="41"/>
      <c r="E1344" s="41"/>
      <c r="F1344" s="41"/>
      <c r="G1344" s="41"/>
      <c r="H1344" s="41"/>
      <c r="I1344" s="42"/>
      <c r="J1344" s="41"/>
      <c r="K1344" s="41"/>
      <c r="L1344" s="43"/>
    </row>
    <row r="1345" spans="2:12" outlineLevel="2">
      <c r="B1345" s="35">
        <f t="shared" si="39"/>
        <v>880</v>
      </c>
      <c r="C1345" s="41" t="s">
        <v>69</v>
      </c>
      <c r="D1345" s="41"/>
      <c r="E1345" s="41"/>
      <c r="F1345" s="41"/>
      <c r="G1345" s="41"/>
      <c r="H1345" s="41"/>
      <c r="I1345" s="42"/>
      <c r="J1345" s="41"/>
      <c r="K1345" s="41"/>
      <c r="L1345" s="43"/>
    </row>
    <row r="1346" spans="2:12" outlineLevel="2">
      <c r="B1346" s="35">
        <f t="shared" si="39"/>
        <v>881</v>
      </c>
      <c r="C1346" s="41" t="s">
        <v>69</v>
      </c>
      <c r="D1346" s="41"/>
      <c r="E1346" s="41"/>
      <c r="F1346" s="41"/>
      <c r="G1346" s="41"/>
      <c r="H1346" s="41"/>
      <c r="I1346" s="42"/>
      <c r="J1346" s="41"/>
      <c r="K1346" s="41"/>
      <c r="L1346" s="43"/>
    </row>
    <row r="1347" spans="2:12" outlineLevel="2">
      <c r="B1347" s="35">
        <f t="shared" si="39"/>
        <v>882</v>
      </c>
      <c r="C1347" s="41" t="s">
        <v>69</v>
      </c>
      <c r="D1347" s="41"/>
      <c r="E1347" s="41"/>
      <c r="F1347" s="41"/>
      <c r="G1347" s="41"/>
      <c r="H1347" s="41"/>
      <c r="I1347" s="42"/>
      <c r="J1347" s="41"/>
      <c r="K1347" s="41"/>
      <c r="L1347" s="43"/>
    </row>
    <row r="1348" spans="2:12" outlineLevel="2">
      <c r="B1348" s="35">
        <f t="shared" si="39"/>
        <v>883</v>
      </c>
      <c r="C1348" s="41" t="s">
        <v>69</v>
      </c>
      <c r="D1348" s="41"/>
      <c r="E1348" s="41"/>
      <c r="F1348" s="41"/>
      <c r="G1348" s="41"/>
      <c r="H1348" s="41"/>
      <c r="I1348" s="42"/>
      <c r="J1348" s="41"/>
      <c r="K1348" s="41"/>
      <c r="L1348" s="43"/>
    </row>
    <row r="1349" spans="2:12" outlineLevel="2">
      <c r="B1349" s="35">
        <f t="shared" si="39"/>
        <v>884</v>
      </c>
      <c r="C1349" s="41" t="s">
        <v>69</v>
      </c>
      <c r="D1349" s="41"/>
      <c r="E1349" s="41"/>
      <c r="F1349" s="41"/>
      <c r="G1349" s="41"/>
      <c r="H1349" s="41"/>
      <c r="I1349" s="42"/>
      <c r="J1349" s="41"/>
      <c r="K1349" s="41"/>
      <c r="L1349" s="43"/>
    </row>
    <row r="1350" spans="2:12" outlineLevel="2">
      <c r="B1350" s="35">
        <f t="shared" si="39"/>
        <v>885</v>
      </c>
      <c r="C1350" s="41" t="s">
        <v>69</v>
      </c>
      <c r="D1350" s="41"/>
      <c r="E1350" s="41"/>
      <c r="F1350" s="41"/>
      <c r="G1350" s="41"/>
      <c r="H1350" s="41"/>
      <c r="I1350" s="42"/>
      <c r="J1350" s="41"/>
      <c r="K1350" s="41"/>
      <c r="L1350" s="43"/>
    </row>
    <row r="1351" spans="2:12" outlineLevel="2">
      <c r="B1351" s="35">
        <f t="shared" si="39"/>
        <v>886</v>
      </c>
      <c r="C1351" s="41" t="s">
        <v>69</v>
      </c>
      <c r="D1351" s="41"/>
      <c r="E1351" s="41"/>
      <c r="F1351" s="41"/>
      <c r="G1351" s="41"/>
      <c r="H1351" s="41"/>
      <c r="I1351" s="42"/>
      <c r="J1351" s="41"/>
      <c r="K1351" s="41"/>
      <c r="L1351" s="43"/>
    </row>
    <row r="1352" spans="2:12" outlineLevel="2">
      <c r="B1352" s="35">
        <f t="shared" si="39"/>
        <v>887</v>
      </c>
      <c r="C1352" s="41" t="s">
        <v>69</v>
      </c>
      <c r="D1352" s="41"/>
      <c r="E1352" s="41"/>
      <c r="F1352" s="41"/>
      <c r="G1352" s="41"/>
      <c r="H1352" s="41"/>
      <c r="I1352" s="42"/>
      <c r="J1352" s="41"/>
      <c r="K1352" s="41"/>
      <c r="L1352" s="43"/>
    </row>
    <row r="1353" spans="2:12" outlineLevel="2">
      <c r="B1353" s="35">
        <f t="shared" si="39"/>
        <v>888</v>
      </c>
      <c r="C1353" s="41" t="s">
        <v>69</v>
      </c>
      <c r="D1353" s="41"/>
      <c r="E1353" s="41"/>
      <c r="F1353" s="41"/>
      <c r="G1353" s="41"/>
      <c r="H1353" s="41"/>
      <c r="I1353" s="42"/>
      <c r="J1353" s="41"/>
      <c r="K1353" s="41"/>
      <c r="L1353" s="43"/>
    </row>
    <row r="1354" spans="2:12" outlineLevel="2">
      <c r="B1354" s="35">
        <f t="shared" si="39"/>
        <v>889</v>
      </c>
      <c r="C1354" s="41" t="s">
        <v>69</v>
      </c>
      <c r="D1354" s="41"/>
      <c r="E1354" s="41"/>
      <c r="F1354" s="41"/>
      <c r="G1354" s="41"/>
      <c r="H1354" s="41"/>
      <c r="I1354" s="42"/>
      <c r="J1354" s="41"/>
      <c r="K1354" s="41"/>
      <c r="L1354" s="43"/>
    </row>
    <row r="1355" spans="2:12" outlineLevel="2">
      <c r="B1355" s="35">
        <f t="shared" si="39"/>
        <v>890</v>
      </c>
      <c r="C1355" s="41" t="s">
        <v>69</v>
      </c>
      <c r="D1355" s="41"/>
      <c r="E1355" s="41"/>
      <c r="F1355" s="41"/>
      <c r="G1355" s="41"/>
      <c r="H1355" s="41"/>
      <c r="I1355" s="42"/>
      <c r="J1355" s="41"/>
      <c r="K1355" s="41"/>
      <c r="L1355" s="43"/>
    </row>
    <row r="1356" spans="2:12" outlineLevel="2">
      <c r="B1356" s="35">
        <f t="shared" si="39"/>
        <v>891</v>
      </c>
      <c r="C1356" s="41" t="s">
        <v>69</v>
      </c>
      <c r="D1356" s="41"/>
      <c r="E1356" s="41"/>
      <c r="F1356" s="41"/>
      <c r="G1356" s="41"/>
      <c r="H1356" s="41"/>
      <c r="I1356" s="42"/>
      <c r="J1356" s="41"/>
      <c r="K1356" s="41"/>
      <c r="L1356" s="43"/>
    </row>
    <row r="1357" spans="2:12" outlineLevel="2">
      <c r="B1357" s="35">
        <f t="shared" si="39"/>
        <v>892</v>
      </c>
      <c r="C1357" s="41" t="s">
        <v>69</v>
      </c>
      <c r="D1357" s="41"/>
      <c r="E1357" s="41"/>
      <c r="F1357" s="41"/>
      <c r="G1357" s="41"/>
      <c r="H1357" s="41"/>
      <c r="I1357" s="42"/>
      <c r="J1357" s="41"/>
      <c r="K1357" s="41"/>
      <c r="L1357" s="43"/>
    </row>
    <row r="1358" spans="2:12" outlineLevel="2">
      <c r="B1358" s="35">
        <f t="shared" si="39"/>
        <v>893</v>
      </c>
      <c r="C1358" s="41" t="s">
        <v>69</v>
      </c>
      <c r="D1358" s="41"/>
      <c r="E1358" s="41"/>
      <c r="F1358" s="41"/>
      <c r="G1358" s="41"/>
      <c r="H1358" s="41"/>
      <c r="I1358" s="42"/>
      <c r="J1358" s="41"/>
      <c r="K1358" s="41"/>
      <c r="L1358" s="43"/>
    </row>
    <row r="1359" spans="2:12" outlineLevel="2">
      <c r="B1359" s="35">
        <f t="shared" si="39"/>
        <v>894</v>
      </c>
      <c r="C1359" s="41" t="s">
        <v>69</v>
      </c>
      <c r="D1359" s="41"/>
      <c r="E1359" s="41"/>
      <c r="F1359" s="41"/>
      <c r="G1359" s="41"/>
      <c r="H1359" s="41"/>
      <c r="I1359" s="42"/>
      <c r="J1359" s="41"/>
      <c r="K1359" s="41"/>
      <c r="L1359" s="43"/>
    </row>
    <row r="1360" spans="2:12" outlineLevel="2">
      <c r="B1360" s="35">
        <f t="shared" si="39"/>
        <v>895</v>
      </c>
      <c r="C1360" s="41" t="s">
        <v>69</v>
      </c>
      <c r="D1360" s="41"/>
      <c r="E1360" s="41"/>
      <c r="F1360" s="41"/>
      <c r="G1360" s="41"/>
      <c r="H1360" s="41"/>
      <c r="I1360" s="42"/>
      <c r="J1360" s="41"/>
      <c r="K1360" s="41"/>
      <c r="L1360" s="43"/>
    </row>
    <row r="1361" spans="2:12" outlineLevel="2">
      <c r="B1361" s="35">
        <f t="shared" si="39"/>
        <v>896</v>
      </c>
      <c r="C1361" s="41" t="s">
        <v>69</v>
      </c>
      <c r="D1361" s="41"/>
      <c r="E1361" s="41"/>
      <c r="F1361" s="41"/>
      <c r="G1361" s="41"/>
      <c r="H1361" s="41"/>
      <c r="I1361" s="42"/>
      <c r="J1361" s="41"/>
      <c r="K1361" s="41"/>
      <c r="L1361" s="43"/>
    </row>
    <row r="1362" spans="2:12" outlineLevel="2">
      <c r="B1362" s="35">
        <f t="shared" si="39"/>
        <v>897</v>
      </c>
      <c r="C1362" s="41" t="s">
        <v>69</v>
      </c>
      <c r="D1362" s="41"/>
      <c r="E1362" s="41"/>
      <c r="F1362" s="41"/>
      <c r="G1362" s="41"/>
      <c r="H1362" s="41"/>
      <c r="I1362" s="42"/>
      <c r="J1362" s="41"/>
      <c r="K1362" s="41"/>
      <c r="L1362" s="43"/>
    </row>
    <row r="1363" spans="2:12" outlineLevel="2">
      <c r="B1363" s="35">
        <f t="shared" ref="B1363" si="40">(B1362+1)</f>
        <v>898</v>
      </c>
      <c r="C1363" s="41" t="s">
        <v>69</v>
      </c>
      <c r="D1363" s="41"/>
      <c r="E1363" s="41"/>
      <c r="F1363" s="41"/>
      <c r="G1363" s="41"/>
      <c r="H1363" s="41"/>
      <c r="I1363" s="42"/>
      <c r="J1363" s="41"/>
      <c r="K1363" s="41"/>
      <c r="L1363" s="43"/>
    </row>
    <row r="1364" spans="2:12" outlineLevel="2">
      <c r="B1364" s="35">
        <f t="shared" ref="B1364:B1376" si="41">(B1363+1)</f>
        <v>899</v>
      </c>
      <c r="C1364" s="41" t="s">
        <v>69</v>
      </c>
      <c r="D1364" s="41"/>
      <c r="E1364" s="41"/>
      <c r="F1364" s="41"/>
      <c r="G1364" s="41"/>
      <c r="H1364" s="41"/>
      <c r="I1364" s="42"/>
      <c r="J1364" s="41"/>
      <c r="K1364" s="41"/>
      <c r="L1364" s="43"/>
    </row>
    <row r="1365" spans="2:12" outlineLevel="2">
      <c r="B1365" s="35">
        <f t="shared" si="41"/>
        <v>900</v>
      </c>
      <c r="C1365" s="41" t="s">
        <v>69</v>
      </c>
      <c r="D1365" s="41"/>
      <c r="E1365" s="41"/>
      <c r="F1365" s="41"/>
      <c r="G1365" s="41"/>
      <c r="H1365" s="41"/>
      <c r="I1365" s="42"/>
      <c r="J1365" s="41"/>
      <c r="K1365" s="41"/>
      <c r="L1365" s="43"/>
    </row>
    <row r="1366" spans="2:12" outlineLevel="2">
      <c r="B1366" s="35">
        <f t="shared" si="41"/>
        <v>901</v>
      </c>
      <c r="C1366" s="41" t="s">
        <v>69</v>
      </c>
      <c r="D1366" s="41"/>
      <c r="E1366" s="41"/>
      <c r="F1366" s="41"/>
      <c r="G1366" s="41"/>
      <c r="H1366" s="41"/>
      <c r="I1366" s="42"/>
      <c r="J1366" s="41"/>
      <c r="K1366" s="41"/>
      <c r="L1366" s="43"/>
    </row>
    <row r="1367" spans="2:12" outlineLevel="2">
      <c r="B1367" s="35">
        <f t="shared" si="41"/>
        <v>902</v>
      </c>
      <c r="C1367" s="41" t="s">
        <v>69</v>
      </c>
      <c r="D1367" s="41"/>
      <c r="E1367" s="41"/>
      <c r="F1367" s="41"/>
      <c r="G1367" s="41"/>
      <c r="H1367" s="41"/>
      <c r="I1367" s="42"/>
      <c r="J1367" s="41"/>
      <c r="K1367" s="41"/>
      <c r="L1367" s="43"/>
    </row>
    <row r="1368" spans="2:12" outlineLevel="2">
      <c r="B1368" s="35">
        <f t="shared" si="41"/>
        <v>903</v>
      </c>
      <c r="C1368" s="41" t="s">
        <v>69</v>
      </c>
      <c r="D1368" s="41"/>
      <c r="E1368" s="41"/>
      <c r="F1368" s="41"/>
      <c r="G1368" s="41"/>
      <c r="H1368" s="41"/>
      <c r="I1368" s="42"/>
      <c r="J1368" s="41"/>
      <c r="K1368" s="41"/>
      <c r="L1368" s="43"/>
    </row>
    <row r="1369" spans="2:12" outlineLevel="2">
      <c r="B1369" s="35">
        <f t="shared" si="41"/>
        <v>904</v>
      </c>
      <c r="C1369" s="41" t="s">
        <v>69</v>
      </c>
      <c r="D1369" s="41"/>
      <c r="E1369" s="41"/>
      <c r="F1369" s="41"/>
      <c r="G1369" s="41"/>
      <c r="H1369" s="41"/>
      <c r="I1369" s="42"/>
      <c r="J1369" s="41"/>
      <c r="K1369" s="41"/>
      <c r="L1369" s="43"/>
    </row>
    <row r="1370" spans="2:12" outlineLevel="2">
      <c r="B1370" s="35">
        <f t="shared" si="41"/>
        <v>905</v>
      </c>
      <c r="C1370" s="41" t="s">
        <v>69</v>
      </c>
      <c r="D1370" s="41"/>
      <c r="E1370" s="41"/>
      <c r="F1370" s="41"/>
      <c r="G1370" s="41"/>
      <c r="H1370" s="41"/>
      <c r="I1370" s="42"/>
      <c r="J1370" s="41"/>
      <c r="K1370" s="41"/>
      <c r="L1370" s="43"/>
    </row>
    <row r="1371" spans="2:12" outlineLevel="2">
      <c r="B1371" s="35">
        <f t="shared" si="41"/>
        <v>906</v>
      </c>
      <c r="C1371" s="41" t="s">
        <v>69</v>
      </c>
      <c r="D1371" s="41"/>
      <c r="E1371" s="41"/>
      <c r="F1371" s="41"/>
      <c r="G1371" s="41"/>
      <c r="H1371" s="41"/>
      <c r="I1371" s="42"/>
      <c r="J1371" s="41"/>
      <c r="K1371" s="41"/>
      <c r="L1371" s="43"/>
    </row>
    <row r="1372" spans="2:12" outlineLevel="2">
      <c r="B1372" s="35">
        <f t="shared" si="41"/>
        <v>907</v>
      </c>
      <c r="C1372" s="41" t="s">
        <v>69</v>
      </c>
      <c r="D1372" s="41"/>
      <c r="E1372" s="41"/>
      <c r="F1372" s="41"/>
      <c r="G1372" s="41"/>
      <c r="H1372" s="41"/>
      <c r="I1372" s="42"/>
      <c r="J1372" s="41"/>
      <c r="K1372" s="41"/>
      <c r="L1372" s="43"/>
    </row>
    <row r="1373" spans="2:12" outlineLevel="2">
      <c r="B1373" s="35">
        <f t="shared" si="41"/>
        <v>908</v>
      </c>
      <c r="C1373" s="41" t="s">
        <v>69</v>
      </c>
      <c r="D1373" s="41"/>
      <c r="E1373" s="41"/>
      <c r="F1373" s="41"/>
      <c r="G1373" s="41"/>
      <c r="H1373" s="41"/>
      <c r="I1373" s="42"/>
      <c r="J1373" s="41"/>
      <c r="K1373" s="41"/>
      <c r="L1373" s="43"/>
    </row>
    <row r="1374" spans="2:12" outlineLevel="2">
      <c r="B1374" s="35">
        <f t="shared" si="41"/>
        <v>909</v>
      </c>
      <c r="C1374" s="41" t="s">
        <v>69</v>
      </c>
      <c r="D1374" s="41"/>
      <c r="E1374" s="41"/>
      <c r="F1374" s="41"/>
      <c r="G1374" s="41"/>
      <c r="H1374" s="41"/>
      <c r="I1374" s="42"/>
      <c r="J1374" s="41"/>
      <c r="K1374" s="41"/>
      <c r="L1374" s="43"/>
    </row>
    <row r="1375" spans="2:12" outlineLevel="2">
      <c r="B1375" s="35">
        <f t="shared" si="41"/>
        <v>910</v>
      </c>
      <c r="C1375" s="41" t="s">
        <v>69</v>
      </c>
      <c r="D1375" s="41"/>
      <c r="E1375" s="41"/>
      <c r="F1375" s="41"/>
      <c r="G1375" s="41"/>
      <c r="H1375" s="41"/>
      <c r="I1375" s="42"/>
      <c r="J1375" s="41"/>
      <c r="K1375" s="41"/>
      <c r="L1375" s="43"/>
    </row>
    <row r="1376" spans="2:12" outlineLevel="2">
      <c r="B1376" s="35">
        <f t="shared" si="41"/>
        <v>911</v>
      </c>
      <c r="C1376" s="41" t="s">
        <v>69</v>
      </c>
      <c r="D1376" s="41"/>
      <c r="E1376" s="41"/>
      <c r="F1376" s="41"/>
      <c r="G1376" s="41"/>
      <c r="H1376" s="41"/>
      <c r="I1376" s="42"/>
      <c r="J1376" s="41"/>
      <c r="K1376" s="41"/>
      <c r="L1376" s="43"/>
    </row>
    <row r="1377" spans="2:12" outlineLevel="2">
      <c r="B1377" s="35">
        <f t="shared" ref="B1377" si="42">(B1376+1)</f>
        <v>912</v>
      </c>
      <c r="C1377" s="41" t="s">
        <v>69</v>
      </c>
      <c r="D1377" s="41"/>
      <c r="E1377" s="41"/>
      <c r="F1377" s="41"/>
      <c r="G1377" s="41"/>
      <c r="H1377" s="41"/>
      <c r="I1377" s="42"/>
      <c r="J1377" s="41"/>
      <c r="K1377" s="41"/>
      <c r="L1377" s="43"/>
    </row>
    <row r="1378" spans="2:12" outlineLevel="1">
      <c r="B1378" s="64" t="s">
        <v>314</v>
      </c>
      <c r="C1378" s="61">
        <f>SUBTOTAL(3,C1150:C1377)</f>
        <v>228</v>
      </c>
      <c r="D1378" s="61"/>
      <c r="E1378" s="61"/>
      <c r="F1378" s="61"/>
      <c r="G1378" s="61"/>
      <c r="H1378" s="61"/>
      <c r="I1378" s="62"/>
      <c r="J1378" s="61"/>
      <c r="K1378" s="61"/>
      <c r="L1378" s="63"/>
    </row>
    <row r="1379" spans="2:12" ht="15.75" thickBot="1">
      <c r="B1379" s="64" t="s">
        <v>315</v>
      </c>
      <c r="C1379" s="61">
        <f>SUBTOTAL(3,C463:C1377)</f>
        <v>912</v>
      </c>
      <c r="D1379" s="61"/>
      <c r="E1379" s="61"/>
      <c r="F1379" s="61"/>
      <c r="G1379" s="61"/>
      <c r="H1379" s="61"/>
      <c r="I1379" s="62"/>
      <c r="J1379" s="61"/>
      <c r="K1379" s="61"/>
      <c r="L1379" s="63"/>
    </row>
    <row r="1380" spans="2:12" ht="15.75" thickBot="1">
      <c r="B1380" s="320" t="s">
        <v>59</v>
      </c>
      <c r="C1380" s="321"/>
      <c r="D1380" s="321"/>
      <c r="E1380" s="321"/>
      <c r="F1380" s="321"/>
      <c r="G1380" s="321"/>
      <c r="H1380" s="321"/>
      <c r="I1380" s="321"/>
      <c r="J1380" s="321"/>
      <c r="K1380" s="321"/>
      <c r="L1380" s="322"/>
    </row>
    <row r="1381" spans="2:12" ht="15.75" thickBot="1">
      <c r="B1381" s="26" t="s">
        <v>49</v>
      </c>
      <c r="C1381" s="27" t="s">
        <v>60</v>
      </c>
      <c r="D1381" s="27" t="s">
        <v>62</v>
      </c>
      <c r="E1381" s="27" t="s">
        <v>63</v>
      </c>
      <c r="F1381" s="27" t="s">
        <v>64</v>
      </c>
      <c r="G1381" s="27" t="s">
        <v>65</v>
      </c>
      <c r="H1381" s="27" t="s">
        <v>66</v>
      </c>
      <c r="I1381" s="27" t="s">
        <v>67</v>
      </c>
      <c r="J1381" s="27" t="s">
        <v>6</v>
      </c>
      <c r="K1381" s="27" t="s">
        <v>7</v>
      </c>
      <c r="L1381" s="28" t="s">
        <v>68</v>
      </c>
    </row>
    <row r="1382" spans="2:12">
      <c r="B1382" s="46" t="s">
        <v>8</v>
      </c>
      <c r="C1382" s="41">
        <f>COUNTIFS(B463:B1377,"&gt;"&amp;0,C463:C1377,"="&amp;B1382)</f>
        <v>228</v>
      </c>
      <c r="D1382" s="41">
        <f>COUNTIFS(B463:B1377,"&gt;="&amp;1,C463:C1377,B1382,K463:K1377,"&gt;="&amp;0,K463:K1377,"&lt;"&amp;50)</f>
        <v>0</v>
      </c>
      <c r="E1382" s="41">
        <f>COUNTIFS(B463:B1377,"&gt;="&amp;1,C463:C1377,B1382,K463:K1377,"&gt;="&amp;50,K463:K1377,"&lt;"&amp;500)</f>
        <v>0</v>
      </c>
      <c r="F1382" s="41">
        <f>COUNTIFS(B463:B1377,"&gt;="&amp;1,C463:C1377,B1382,K463:K1377,"&gt;="&amp;500)</f>
        <v>0</v>
      </c>
      <c r="G1382" s="41">
        <f>COUNTIFS(B463:B1377,"&gt;="&amp;1,C463:C1377,B1382,K463:K1377,"&gt;="&amp;0,I463:I1377,"&gt;"&amp;DATE(2021,1,1))</f>
        <v>0</v>
      </c>
      <c r="H1382" s="47" t="str">
        <f>IF(G1382=0,"-",(SUM(E1382,F1382)/G1382))</f>
        <v>-</v>
      </c>
      <c r="I1382" s="41">
        <f>IF((COUNTIFS(B463:B1377,"&gt;="&amp;1,C463:C1377,"="&amp;B1382))&gt;228,228,(COUNTIFS(B463:B1377,"&gt;="&amp;1,C463:C1377,"="&amp;B1382)))</f>
        <v>228</v>
      </c>
      <c r="J1382" s="47">
        <f>IF(I1382=0,"-",(COUNTIFS(C463:C1377,"="&amp;B1382,I463:I1377,"&lt;="&amp;DATE(2024,12,31),K463:K1377,"&gt;="&amp;0)/I1382))</f>
        <v>0</v>
      </c>
      <c r="K1382" s="47">
        <f>IF(I1382=0,"-",IF(J1382=1,"-",(COUNTIFS(B463:B1377,"&gt;"&amp;0,C463:C1377,"="&amp;B1382,I463:I1377,"&gt;"&amp;DATE(2024,12,31),K463:K1377,"&gt;="&amp;0)/(I1382-COUNTIFS(B463:B1377,"&gt;"&amp;0,C463:C1377,"="&amp;B1382,I463:I1377,"&lt;="&amp;DATE(2024,12,31),K463:K1377,"&gt;="&amp;0)))))</f>
        <v>0</v>
      </c>
      <c r="L1382" s="48">
        <f>IF(I1382=0,"-",G1382/I1382)</f>
        <v>0</v>
      </c>
    </row>
    <row r="1383" spans="2:12">
      <c r="B1383" s="7" t="s">
        <v>9</v>
      </c>
      <c r="C1383" s="1">
        <f>COUNTIFS(B463:B1377,"&gt;"&amp;0,C463:C1377,"="&amp;B1383)</f>
        <v>228</v>
      </c>
      <c r="D1383" s="1">
        <f>COUNTIFS(B463:B1377,"&gt;="&amp;1,C463:C1377,B1383,K463:K1377,"&gt;="&amp;0,K463:K1377,"&lt;"&amp;50)</f>
        <v>0</v>
      </c>
      <c r="E1383" s="1">
        <f>COUNTIFS(B463:B1377,"&gt;="&amp;1,C463:C1377,B1383,K463:K1377,"&gt;="&amp;50,K463:K1377,"&lt;"&amp;500)</f>
        <v>0</v>
      </c>
      <c r="F1383" s="1">
        <f>COUNTIFS(B463:B1377,"&gt;="&amp;1,C463:C1377,B1383,K463:K1377,"&gt;="&amp;500)</f>
        <v>0</v>
      </c>
      <c r="G1383" s="1">
        <f>COUNTIFS(B463:B1377,"&gt;="&amp;1,C463:C1377,B1383,K463:K1377,"&gt;="&amp;0,I463:I1377,"&gt;"&amp;DATE(2021,1,1))</f>
        <v>0</v>
      </c>
      <c r="H1383" s="44" t="str">
        <f t="shared" ref="H1383:H1386" si="43">IF(G1383=0,"-",(SUM(E1383,F1383)/G1383))</f>
        <v>-</v>
      </c>
      <c r="I1383" s="1">
        <f>IF((COUNTIFS(B463:B1377,"&gt;="&amp;1,C463:C1377,"="&amp;B1383))&gt;228,228,(COUNTIFS(B463:B1377,"&gt;="&amp;1,C463:C1377,"="&amp;B1383)))</f>
        <v>228</v>
      </c>
      <c r="J1383" s="44">
        <f>IF(I1383=0,"-",(COUNTIFS(C463:C1377,"="&amp;B1383,I463:I1377,"&lt;="&amp;DATE(2024,12,31),K463:K1377,"&gt;="&amp;0)/I1383))</f>
        <v>0</v>
      </c>
      <c r="K1383" s="47">
        <f>IF(I1383=0,"-",IF(J1383=1,"-",(COUNTIFS(B463:B1377,"&gt;"&amp;0,C463:C1377,"="&amp;B1383,I463:I1377,"&gt;"&amp;DATE(2024,12,31),K463:K1377,"&gt;="&amp;0)/(I1383-COUNTIFS(B463:B1377,"&gt;"&amp;0,C463:C1377,"="&amp;B1383,I463:I1377,"&lt;="&amp;DATE(2024,12,31),K463:K1377,"&gt;="&amp;0)))))</f>
        <v>0</v>
      </c>
      <c r="L1383" s="45">
        <f t="shared" ref="L1383:L1386" si="44">IF(I1383=0,"-",G1383/I1383)</f>
        <v>0</v>
      </c>
    </row>
    <row r="1384" spans="2:12">
      <c r="B1384" s="7" t="s">
        <v>175</v>
      </c>
      <c r="C1384" s="1">
        <f>COUNTIFS(B463:B1377,"&gt;"&amp;0,C463:C1377,"="&amp;B1384)</f>
        <v>228</v>
      </c>
      <c r="D1384" s="1">
        <f>COUNTIFS(B463:B1377,"&gt;="&amp;1,C463:C1377,B1384,K463:K1377,"&gt;="&amp;0,K463:K1377,"&lt;"&amp;50)</f>
        <v>0</v>
      </c>
      <c r="E1384" s="1">
        <f>COUNTIFS(B463:B1377,"&gt;="&amp;1,C463:C1377,B1384,K463:K1377,"&gt;="&amp;50,K463:K1377,"&lt;"&amp;500)</f>
        <v>0</v>
      </c>
      <c r="F1384" s="1">
        <f>COUNTIFS(B463:B1377,"&gt;="&amp;1,C463:C1377,B1384,K463:K1377,"&gt;="&amp;500)</f>
        <v>0</v>
      </c>
      <c r="G1384" s="1">
        <f>COUNTIFS(B463:B1377,"&gt;="&amp;1,C463:C1377,B1384,K463:K1377,"&gt;="&amp;0,I463:I1377,"&gt;"&amp;DATE(2021,1,1))</f>
        <v>0</v>
      </c>
      <c r="H1384" s="44" t="str">
        <f t="shared" si="43"/>
        <v>-</v>
      </c>
      <c r="I1384" s="1">
        <f>IF((COUNTIFS(B463:B1377,"&gt;="&amp;1,C463:C1377,"="&amp;B1384))&gt;228,228,(COUNTIFS(B463:B1377,"&gt;="&amp;1,C463:C1377,"="&amp;B1384)))</f>
        <v>228</v>
      </c>
      <c r="J1384" s="44">
        <f>IF(I1384=0,"-",(COUNTIFS(C463:C1377,"="&amp;B1384,I463:I1377,"&lt;="&amp;DATE(2024,12,31),K463:K1377,"&gt;="&amp;0)/I1384))</f>
        <v>0</v>
      </c>
      <c r="K1384" s="47">
        <f>IF(I1384=0,"-",IF(J1384=1,"-",(COUNTIFS(B463:B1377,"&gt;"&amp;0,C463:C1377,"="&amp;B1384,I463:I1377,"&gt;"&amp;DATE(2024,12,31),K463:K1377,"&gt;="&amp;0)/(I1384-COUNTIFS(B463:B1377,"&gt;"&amp;0,C463:C1377,"="&amp;B1384,I463:I1377,"&lt;="&amp;DATE(2024,12,31),K463:K1377,"&gt;="&amp;0)))))</f>
        <v>0</v>
      </c>
      <c r="L1384" s="45">
        <f t="shared" si="44"/>
        <v>0</v>
      </c>
    </row>
    <row r="1385" spans="2:12">
      <c r="B1385" s="7" t="s">
        <v>69</v>
      </c>
      <c r="C1385" s="1">
        <f>COUNTIFS(B463:B1377,"&gt;"&amp;0,C463:C1377,"="&amp;B1385)</f>
        <v>228</v>
      </c>
      <c r="D1385" s="1">
        <f>COUNTIFS(B463:B1377,"&gt;="&amp;1,C463:C1377,B1385,K463:K1377,"&gt;="&amp;0,K463:K1377,"&lt;"&amp;50)</f>
        <v>0</v>
      </c>
      <c r="E1385" s="1">
        <f>COUNTIFS(B463:B1377,"&gt;="&amp;1,C463:C1377,B1385,K463:K1377,"&gt;="&amp;50,K463:K1377,"&lt;"&amp;500)</f>
        <v>0</v>
      </c>
      <c r="F1385" s="1">
        <f>COUNTIFS(B463:B1377,"&gt;="&amp;1,C463:C1377,B1385,K463:K1377,"&gt;="&amp;500)</f>
        <v>0</v>
      </c>
      <c r="G1385" s="1">
        <f>COUNTIFS(B463:B1377,"&gt;="&amp;1,C463:C1377,B1385,K463:K1377,"&gt;="&amp;0,I463:I1377,"&gt;"&amp;DATE(2021,1,1))</f>
        <v>0</v>
      </c>
      <c r="H1385" s="44" t="str">
        <f t="shared" si="43"/>
        <v>-</v>
      </c>
      <c r="I1385" s="1">
        <f>IF((COUNTIFS(B463:B1377,"&gt;="&amp;1,C463:C1377,"="&amp;B1385))&gt;228,228,(COUNTIFS(B463:B1377,"&gt;="&amp;1,C463:C1377,"="&amp;B1385)))</f>
        <v>228</v>
      </c>
      <c r="J1385" s="44">
        <f>IF(I1385=0,"-",(COUNTIFS(C463:C1377,"="&amp;B1385,I463:I1377,"&lt;="&amp;DATE(2024,12,31),K463:K1377,"&gt;="&amp;0)/I1385))</f>
        <v>0</v>
      </c>
      <c r="K1385" s="47">
        <f>IF(I1385=0,"-",IF(J1385=1,"-",(COUNTIFS(B463:B1377,"&gt;"&amp;0,C463:C1377,"="&amp;B1385,I463:I1377,"&gt;"&amp;DATE(2024,12,31),K463:K1377,"&gt;="&amp;0)/(I1385-COUNTIFS(B463:B1377,"&gt;"&amp;0,C463:C1377,"="&amp;B1385,I463:I1377,"&lt;="&amp;DATE(2024,12,31),K463:K1377,"&gt;="&amp;0)))))</f>
        <v>0</v>
      </c>
      <c r="L1385" s="45">
        <f t="shared" si="44"/>
        <v>0</v>
      </c>
    </row>
    <row r="1386" spans="2:12" ht="15.75" thickBot="1">
      <c r="B1386" s="49" t="s">
        <v>59</v>
      </c>
      <c r="C1386" s="50">
        <f>SUM(C1382:C1385)</f>
        <v>912</v>
      </c>
      <c r="D1386" s="50">
        <f>SUM(D1382:D1385)</f>
        <v>0</v>
      </c>
      <c r="E1386" s="50">
        <f>SUM(E1382:E1385)</f>
        <v>0</v>
      </c>
      <c r="F1386" s="50">
        <f>SUM(F1382:F1385)</f>
        <v>0</v>
      </c>
      <c r="G1386" s="50">
        <f>SUM(G1382:G1385)</f>
        <v>0</v>
      </c>
      <c r="H1386" s="51" t="str">
        <f t="shared" si="43"/>
        <v>-</v>
      </c>
      <c r="I1386" s="50">
        <f>SUM(I1382:I1385)</f>
        <v>912</v>
      </c>
      <c r="J1386" s="51">
        <f>IF(I1386=0,"-",(COUNTIFS(I463:I1377,"&lt;="&amp;DATE(2024,12,31),K463:K1377,"&gt;="&amp;0)/I1386))</f>
        <v>0</v>
      </c>
      <c r="K1386" s="51">
        <f>IF(I1386=0,"-",IF(J1386=1,"-",(COUNTIFS(B463:B1377,"&gt;"&amp;0,I463:I1377,"&gt;"&amp;DATE(2024,12,31),K463:K1377,"&gt;="&amp;0)/(I1386-COUNTIFS(B463:B1377,"&gt;"&amp;0,I463:I1377,"&lt;="&amp;DATE(2024,12,31),K463:K1377,"&gt;="&amp;0)))))</f>
        <v>0</v>
      </c>
      <c r="L1386" s="52">
        <f t="shared" si="44"/>
        <v>0</v>
      </c>
    </row>
  </sheetData>
  <mergeCells count="13">
    <mergeCell ref="B461:L461"/>
    <mergeCell ref="B1380:L1380"/>
    <mergeCell ref="B81:L81"/>
    <mergeCell ref="B89:L89"/>
    <mergeCell ref="B343:L343"/>
    <mergeCell ref="B351:L351"/>
    <mergeCell ref="B453:L453"/>
    <mergeCell ref="B57:L57"/>
    <mergeCell ref="B1:L2"/>
    <mergeCell ref="B4:L4"/>
    <mergeCell ref="B9:L9"/>
    <mergeCell ref="B17:L17"/>
    <mergeCell ref="B49:L49"/>
  </mergeCells>
  <dataValidations count="4">
    <dataValidation type="list" allowBlank="1" showInputMessage="1" showErrorMessage="1" promptTitle="Selecionar a Sub-Família" sqref="C8:D8 C452 C342 C80 C48" xr:uid="{6D953502-9ECA-4BDD-8842-2A8AA520DE7E}">
      <formula1>"Até 1988, Após 1988, Sem Info"</formula1>
    </dataValidation>
    <dataValidation type="list" allowBlank="1" showInputMessage="1" showErrorMessage="1" error="Dado Inserido errado" promptTitle="Selecionar a Sub-Família" sqref="C6:D7 C353:C451 C19:C47 C59:C79 C91:C341" xr:uid="{55721188-BEF2-49FC-A31C-80207C4594CB}">
      <formula1>$B$11:$B$13</formula1>
    </dataValidation>
    <dataValidation type="list" allowBlank="1" showInputMessage="1" showErrorMessage="1" sqref="J59:J80 J91:J342" xr:uid="{AC25DC83-4770-4CCE-8D56-0D0E95BD751D}">
      <formula1>"Cromatográfico,Colométrico"</formula1>
    </dataValidation>
    <dataValidation type="list" allowBlank="1" showInputMessage="1" showErrorMessage="1" sqref="C463:C690 C1150:C1377 C921:C1148 C692:C919" xr:uid="{A2AD1418-249B-4FB6-A404-7F05D4B07A4C}">
      <formula1>$B$1382:$B$1385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CD923-543E-4E87-84BA-9DCF4D9200DD}">
  <dimension ref="B1:L1386"/>
  <sheetViews>
    <sheetView showGridLines="0" topLeftCell="A460" workbookViewId="0">
      <pane ySplit="3" topLeftCell="A768" activePane="bottomLeft" state="frozen"/>
      <selection pane="bottomLeft" activeCell="A463" sqref="A463"/>
    </sheetView>
  </sheetViews>
  <sheetFormatPr defaultRowHeight="15" outlineLevelRow="2"/>
  <cols>
    <col min="2" max="2" width="8.140625" customWidth="1"/>
    <col min="3" max="3" width="12.7109375" customWidth="1"/>
    <col min="4" max="5" width="18.42578125" bestFit="1" customWidth="1"/>
    <col min="6" max="6" width="17.5703125" customWidth="1"/>
    <col min="7" max="8" width="17.7109375" bestFit="1" customWidth="1"/>
    <col min="9" max="9" width="17" bestFit="1" customWidth="1"/>
    <col min="10" max="10" width="14.7109375" bestFit="1" customWidth="1"/>
    <col min="11" max="11" width="11.85546875" bestFit="1" customWidth="1"/>
    <col min="12" max="12" width="19.5703125" bestFit="1" customWidth="1"/>
    <col min="13" max="13" width="17.28515625" bestFit="1" customWidth="1"/>
  </cols>
  <sheetData>
    <row r="1" spans="2:12">
      <c r="B1" s="310" t="s">
        <v>47</v>
      </c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2:12" ht="19.5" customHeight="1" thickBot="1">
      <c r="B2" s="347"/>
      <c r="C2" s="348"/>
      <c r="D2" s="348"/>
      <c r="E2" s="348"/>
      <c r="F2" s="348"/>
      <c r="G2" s="348"/>
      <c r="H2" s="348"/>
      <c r="I2" s="348"/>
      <c r="J2" s="348"/>
      <c r="K2" s="348"/>
      <c r="L2" s="349"/>
    </row>
    <row r="3" spans="2:12" ht="19.5" customHeight="1" thickBot="1"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ht="32.25" customHeight="1" thickBot="1">
      <c r="B4" s="320" t="str">
        <f>_xlfn.CONCAT("Transformadores de Rede Subterrânea",TEXT(IF(SUM(I11:I13)=0," ",(SUM(G11:G13)/SUM(I11:I13))), " 0,00%"))</f>
        <v xml:space="preserve">Transformadores de Rede Subterrânea </v>
      </c>
      <c r="C4" s="321"/>
      <c r="D4" s="321"/>
      <c r="E4" s="321"/>
      <c r="F4" s="321"/>
      <c r="G4" s="321"/>
      <c r="H4" s="321"/>
      <c r="I4" s="321"/>
      <c r="J4" s="321"/>
      <c r="K4" s="321"/>
      <c r="L4" s="322"/>
    </row>
    <row r="5" spans="2:12" ht="24" hidden="1" customHeight="1" outlineLevel="1" thickBot="1">
      <c r="B5" s="26" t="s">
        <v>48</v>
      </c>
      <c r="C5" s="27" t="s">
        <v>49</v>
      </c>
      <c r="D5" s="27" t="s">
        <v>50</v>
      </c>
      <c r="E5" s="27" t="s">
        <v>51</v>
      </c>
      <c r="F5" s="27" t="s">
        <v>52</v>
      </c>
      <c r="G5" s="27" t="s">
        <v>53</v>
      </c>
      <c r="H5" s="27" t="s">
        <v>54</v>
      </c>
      <c r="I5" s="27" t="s">
        <v>55</v>
      </c>
      <c r="J5" s="27" t="s">
        <v>56</v>
      </c>
      <c r="K5" s="27" t="s">
        <v>57</v>
      </c>
      <c r="L5" s="28" t="s">
        <v>58</v>
      </c>
    </row>
    <row r="6" spans="2:12" ht="15.75" hidden="1" outlineLevel="1" thickBot="1">
      <c r="B6" s="40" t="str">
        <f>IF(C6="","",ROW($A$1))</f>
        <v/>
      </c>
      <c r="C6" s="41"/>
      <c r="D6" s="41"/>
      <c r="E6" s="41"/>
      <c r="F6" s="41"/>
      <c r="G6" s="41"/>
      <c r="H6" s="41"/>
      <c r="I6" s="42"/>
      <c r="J6" s="41"/>
      <c r="K6" s="41"/>
      <c r="L6" s="43"/>
    </row>
    <row r="7" spans="2:12" ht="15.75" hidden="1" outlineLevel="1" thickBot="1">
      <c r="B7" s="35" t="str">
        <f>IF(B6="","",(B6+1))</f>
        <v/>
      </c>
      <c r="C7" s="1"/>
      <c r="D7" s="1"/>
      <c r="E7" s="1"/>
      <c r="F7" s="1"/>
      <c r="G7" s="1"/>
      <c r="H7" s="1"/>
      <c r="I7" s="36"/>
      <c r="J7" s="1"/>
      <c r="K7" s="1"/>
      <c r="L7" s="2"/>
    </row>
    <row r="8" spans="2:12" ht="15.75" hidden="1" outlineLevel="1" thickBot="1">
      <c r="B8" s="37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2:12" ht="26.25" customHeight="1" collapsed="1" thickBot="1">
      <c r="B9" s="320" t="s">
        <v>59</v>
      </c>
      <c r="C9" s="321"/>
      <c r="D9" s="321"/>
      <c r="E9" s="321"/>
      <c r="F9" s="321"/>
      <c r="G9" s="321"/>
      <c r="H9" s="321"/>
      <c r="I9" s="321"/>
      <c r="J9" s="321"/>
      <c r="K9" s="321"/>
      <c r="L9" s="322"/>
    </row>
    <row r="10" spans="2:12" ht="24" customHeight="1" thickBot="1">
      <c r="B10" s="26" t="s">
        <v>49</v>
      </c>
      <c r="C10" s="27" t="s">
        <v>60</v>
      </c>
      <c r="D10" s="27" t="s">
        <v>62</v>
      </c>
      <c r="E10" s="27" t="s">
        <v>63</v>
      </c>
      <c r="F10" s="27" t="s">
        <v>64</v>
      </c>
      <c r="G10" s="27" t="s">
        <v>65</v>
      </c>
      <c r="H10" s="27" t="s">
        <v>66</v>
      </c>
      <c r="I10" s="27" t="s">
        <v>67</v>
      </c>
      <c r="J10" s="27" t="s">
        <v>6</v>
      </c>
      <c r="K10" s="27" t="s">
        <v>7</v>
      </c>
      <c r="L10" s="28" t="s">
        <v>68</v>
      </c>
    </row>
    <row r="11" spans="2:12">
      <c r="B11" s="46" t="s">
        <v>8</v>
      </c>
      <c r="C11" s="41">
        <f>COUNTIFS(B6:B8,"&gt;"&amp;0,C6:C8,"="&amp;B11)</f>
        <v>0</v>
      </c>
      <c r="D11" s="41">
        <f>COUNTIFS(B6:B8,"&gt;="&amp;1,C6:C8,B11,K6:K8,"&gt;="&amp;0,K6:K8,"&lt;"&amp;50)</f>
        <v>0</v>
      </c>
      <c r="E11" s="41">
        <f>COUNTIFS(B6:B8,"&gt;="&amp;1,C6:C8,B11,K6:K8,"&gt;="&amp;50,K6:K8,"&lt;"&amp;500)</f>
        <v>0</v>
      </c>
      <c r="F11" s="41">
        <f>COUNTIFS(B6:B8,"&gt;="&amp;1,C6:C8,B11,K6:K8,"&gt;="&amp;500)</f>
        <v>0</v>
      </c>
      <c r="G11" s="41">
        <f>COUNTIFS(B6:B8,"&gt;="&amp;1,C6:C8,B11,K6:K8,"&gt;="&amp;0,I6:I8,"&gt;"&amp;DATE(2021,1,1))</f>
        <v>0</v>
      </c>
      <c r="H11" s="47" t="str">
        <f>IF(G11=0,"-",(SUM(E11,F11)/G11))</f>
        <v>-</v>
      </c>
      <c r="I11" s="41">
        <f>IF((COUNTIFS(B6:B8,"&gt;="&amp;1,C6:C8,"="&amp;B11))&gt;228,228,(COUNTIFS(B6:B8,"&gt;="&amp;1,C6:C8,"="&amp;B11)))</f>
        <v>0</v>
      </c>
      <c r="J11" s="47" t="str">
        <f>IF(I11=0,"-",(COUNTIFS(C6:C8,"="&amp;B11,I6:I8,"&lt;="&amp;DATE(2024,12,31),K6:K8,"&gt;="&amp;0)/I11))</f>
        <v>-</v>
      </c>
      <c r="K11" s="47" t="str">
        <f>IF(I11=0,"-",IF(J11=1,"-",(COUNTIFS(B6:B8,"&gt;"&amp;0,C6:C8,"="&amp;B11,I6:I8,"&gt;"&amp;DATE(2024,12,31),K6:K8,"&gt;="&amp;0)/(I11-COUNTIFS(B6:B8,"&gt;"&amp;0,C6:C8,"="&amp;B11,I6:I8,"&lt;="&amp;DATE(2024,12,31),K6:K8,"&gt;="&amp;0)))))</f>
        <v>-</v>
      </c>
      <c r="L11" s="48" t="str">
        <f>IF(I11=0,"-",G11/I11)</f>
        <v>-</v>
      </c>
    </row>
    <row r="12" spans="2:12">
      <c r="B12" s="7" t="s">
        <v>9</v>
      </c>
      <c r="C12" s="1">
        <f>COUNTIFS(B6:B8,"&gt;"&amp;0,C6:C8,"="&amp;B12)</f>
        <v>0</v>
      </c>
      <c r="D12" s="1">
        <f>COUNTIFS(B6:B8,"&gt;="&amp;1,C6:C8,B12,K6:K8,"&gt;="&amp;0,K6:K8,"&lt;"&amp;50)</f>
        <v>0</v>
      </c>
      <c r="E12" s="1">
        <f>COUNTIFS(B6:B8,"&gt;="&amp;1,C6:C8,B12,K6:K8,"&gt;="&amp;50,K6:K8,"&lt;"&amp;500)</f>
        <v>0</v>
      </c>
      <c r="F12" s="1">
        <f>COUNTIFS(B6:B8,"&gt;="&amp;1,C6:C8,B12,K6:K8,"&gt;="&amp;500)</f>
        <v>0</v>
      </c>
      <c r="G12" s="1">
        <f>COUNTIFS(B6:B8,"&gt;="&amp;1,C6:C8,B12,K6:K8,"&gt;="&amp;0,I6:I8,"&gt;"&amp;DATE(2021,1,1))</f>
        <v>0</v>
      </c>
      <c r="H12" s="44" t="str">
        <f t="shared" ref="H12:H14" si="0">IF(G12=0,"-",(SUM(E12,F12)/G12))</f>
        <v>-</v>
      </c>
      <c r="I12" s="1">
        <f>IF((COUNTIFS(B6:B8,"&gt;="&amp;1,C6:C8,"="&amp;B12))&gt;228,228,(COUNTIFS(B6:B8,"&gt;="&amp;1,C6:C8,"="&amp;B12)))</f>
        <v>0</v>
      </c>
      <c r="J12" s="44" t="str">
        <f>IF(I12=0,"-",(COUNTIFS(C6:C8,"="&amp;B12,I6:I8,"&lt;="&amp;DATE(2024,12,31),K6:K8,"&gt;="&amp;0)/I12))</f>
        <v>-</v>
      </c>
      <c r="K12" s="47" t="str">
        <f>IF(I12=0,"-",IF(J12=1,"-",(COUNTIFS(B6:B8,"&gt;"&amp;0,C6:C8,"="&amp;B12,I6:I8,"&gt;"&amp;DATE(2024,12,31),K6:K8,"&gt;="&amp;0)/(I12-COUNTIFS(B6:B8,"&gt;"&amp;0,C6:C8,"="&amp;B12,I6:I8,"&lt;="&amp;DATE(2024,12,31),K6:K8,"&gt;="&amp;0)))))</f>
        <v>-</v>
      </c>
      <c r="L12" s="45" t="str">
        <f t="shared" ref="L12:L14" si="1">IF(I12=0,"-",G12/I12)</f>
        <v>-</v>
      </c>
    </row>
    <row r="13" spans="2:12">
      <c r="B13" s="7" t="s">
        <v>69</v>
      </c>
      <c r="C13" s="1">
        <f>COUNTIFS(B6:B8,"&gt;"&amp;0,C6:C8,"="&amp;B13)</f>
        <v>0</v>
      </c>
      <c r="D13" s="1">
        <f>COUNTIFS(B6:B8,"&gt;="&amp;1,C6:C8,B13,K6:K8,"&gt;="&amp;0,K6:K8,"&lt;"&amp;50)</f>
        <v>0</v>
      </c>
      <c r="E13" s="1">
        <f>COUNTIFS(B6:B8,"&gt;="&amp;1,C6:C8,B13,K6:K8,"&gt;="&amp;50,K6:K8,"&lt;"&amp;500)</f>
        <v>0</v>
      </c>
      <c r="F13" s="1">
        <f>COUNTIFS(B6:B7,"&gt;="&amp;1,C6:C7,B13,K6:K7,"&gt;="&amp;500)</f>
        <v>0</v>
      </c>
      <c r="G13" s="1">
        <f>COUNTIFS(B6:B8,"&gt;="&amp;1,C6:C8,B13,K6:K8,"&gt;="&amp;0,I6:I8,"&gt;"&amp;DATE(2021,1,1))</f>
        <v>0</v>
      </c>
      <c r="H13" s="44" t="str">
        <f t="shared" si="0"/>
        <v>-</v>
      </c>
      <c r="I13" s="1">
        <f>IF((COUNTIFS(B6:B7,"&gt;="&amp;1,C6:C7,"="&amp;B13))&gt;228,228,(COUNTIFS(B6:B7,"&gt;="&amp;1,C6:C7,"="&amp;B13)))</f>
        <v>0</v>
      </c>
      <c r="J13" s="44" t="str">
        <f>IF(I13=0,"-",(COUNTIFS(C6:C8,"="&amp;B13,I6:I8,"&lt;="&amp;DATE(2024,12,31),K6:K8,"&gt;="&amp;0)/I13))</f>
        <v>-</v>
      </c>
      <c r="K13" s="47" t="str">
        <f>IF(I13=0,"-",IF(J13=1,"-",(COUNTIFS(B6:B8,"&gt;"&amp;0,C6:C8,"="&amp;B13,I6:I8,"&gt;"&amp;DATE(2024,12,31),K6:K8,"&gt;="&amp;0)/(I13-COUNTIFS(B6:B8,"&gt;"&amp;0,C6:C8,"="&amp;B13,I6:I8,"&lt;="&amp;DATE(2024,12,31),K6:K8,"&gt;="&amp;0)))))</f>
        <v>-</v>
      </c>
      <c r="L13" s="45" t="str">
        <f t="shared" si="1"/>
        <v>-</v>
      </c>
    </row>
    <row r="14" spans="2:12" ht="23.25" customHeight="1" thickBot="1">
      <c r="B14" s="49" t="s">
        <v>59</v>
      </c>
      <c r="C14" s="50">
        <f>SUM(C11:C13)</f>
        <v>0</v>
      </c>
      <c r="D14" s="50">
        <f>SUM(D11:D13)</f>
        <v>0</v>
      </c>
      <c r="E14" s="50">
        <f>SUM(E11:E13)</f>
        <v>0</v>
      </c>
      <c r="F14" s="50">
        <f>SUM(F11:F13)</f>
        <v>0</v>
      </c>
      <c r="G14" s="50">
        <f>SUM(G11:G13)</f>
        <v>0</v>
      </c>
      <c r="H14" s="51" t="str">
        <f t="shared" si="0"/>
        <v>-</v>
      </c>
      <c r="I14" s="50">
        <f>SUM(I11:I13)</f>
        <v>0</v>
      </c>
      <c r="J14" s="51" t="str">
        <f>IF(I14=0,"-",(COUNTIFS(I6:I8,"&lt;="&amp;DATE(2024,12,31),K6:K8,"&gt;="&amp;0)/I14))</f>
        <v>-</v>
      </c>
      <c r="K14" s="51" t="str">
        <f>IF(I14=0,"-",IF(J14=1,"-",(COUNTIFS(B6:B8,"&gt;"&amp;0,I6:I8,"&gt;"&amp;DATE(2024,12,31),K6:K8,"&gt;="&amp;0)/(I14-COUNTIFS(B6:B8,"&gt;"&amp;0,I6:I8,"&lt;="&amp;DATE(2024,12,31),K6:K8,"&gt;="&amp;0)))))</f>
        <v>-</v>
      </c>
      <c r="L14" s="52" t="str">
        <f t="shared" si="1"/>
        <v>-</v>
      </c>
    </row>
    <row r="16" spans="2:12" ht="15.75" thickBot="1"/>
    <row r="17" spans="2:12" ht="32.25" customHeight="1" thickBot="1">
      <c r="B17" s="320" t="str">
        <f>_xlfn.CONCAT("Disjuntores com extinção de arco OMI (PVO e GVO)",TEXT(IF(SUM(I51:I53)=0," ",(SUM(G51:G53)/SUM(I51:I53))), " 0,00%"))</f>
        <v>Disjuntores com extinção de arco OMI (PVO e GVO) 82,76%</v>
      </c>
      <c r="C17" s="321"/>
      <c r="D17" s="321"/>
      <c r="E17" s="321"/>
      <c r="F17" s="321"/>
      <c r="G17" s="321"/>
      <c r="H17" s="321"/>
      <c r="I17" s="321"/>
      <c r="J17" s="321"/>
      <c r="K17" s="321"/>
      <c r="L17" s="322"/>
    </row>
    <row r="18" spans="2:12" ht="24" hidden="1" customHeight="1" outlineLevel="1" thickBot="1">
      <c r="B18" s="26" t="s">
        <v>48</v>
      </c>
      <c r="C18" s="27" t="s">
        <v>49</v>
      </c>
      <c r="D18" s="27" t="s">
        <v>50</v>
      </c>
      <c r="E18" s="27" t="s">
        <v>51</v>
      </c>
      <c r="F18" s="27" t="s">
        <v>52</v>
      </c>
      <c r="G18" s="27" t="s">
        <v>53</v>
      </c>
      <c r="H18" s="27" t="s">
        <v>54</v>
      </c>
      <c r="I18" s="27" t="s">
        <v>55</v>
      </c>
      <c r="J18" s="27" t="s">
        <v>56</v>
      </c>
      <c r="K18" s="27" t="s">
        <v>57</v>
      </c>
      <c r="L18" s="28" t="s">
        <v>58</v>
      </c>
    </row>
    <row r="19" spans="2:12" hidden="1" outlineLevel="1">
      <c r="B19" s="46">
        <f>IF(C19="","",ROW($A$1))</f>
        <v>1</v>
      </c>
      <c r="C19" s="41" t="s">
        <v>8</v>
      </c>
      <c r="D19" s="41" t="s">
        <v>340</v>
      </c>
      <c r="E19" s="41">
        <v>230</v>
      </c>
      <c r="F19" s="41"/>
      <c r="G19" s="41"/>
      <c r="H19" s="41"/>
      <c r="I19" s="42">
        <v>45506</v>
      </c>
      <c r="J19" s="41" t="s">
        <v>341</v>
      </c>
      <c r="K19" s="41">
        <v>0</v>
      </c>
      <c r="L19" s="43"/>
    </row>
    <row r="20" spans="2:12" hidden="1" outlineLevel="1">
      <c r="B20" s="46">
        <f>IF(C20="","",B19+1)</f>
        <v>2</v>
      </c>
      <c r="C20" s="41" t="s">
        <v>9</v>
      </c>
      <c r="D20" s="41" t="s">
        <v>342</v>
      </c>
      <c r="E20" s="41" t="s">
        <v>343</v>
      </c>
      <c r="F20" s="41"/>
      <c r="G20" s="41"/>
      <c r="H20" s="41"/>
      <c r="I20" s="42">
        <v>45241</v>
      </c>
      <c r="J20" s="41" t="s">
        <v>344</v>
      </c>
      <c r="K20" s="41">
        <v>15.9</v>
      </c>
      <c r="L20" s="43"/>
    </row>
    <row r="21" spans="2:12" hidden="1" outlineLevel="1">
      <c r="B21" s="46">
        <f t="shared" ref="B21:B48" si="2">IF(C21="","",B20+1)</f>
        <v>3</v>
      </c>
      <c r="C21" s="41" t="s">
        <v>8</v>
      </c>
      <c r="D21" s="41" t="s">
        <v>345</v>
      </c>
      <c r="E21" s="41" t="s">
        <v>346</v>
      </c>
      <c r="F21" s="41"/>
      <c r="G21" s="41"/>
      <c r="H21" s="41"/>
      <c r="I21" s="42">
        <v>45241</v>
      </c>
      <c r="J21" s="41" t="s">
        <v>341</v>
      </c>
      <c r="K21" s="41">
        <v>100</v>
      </c>
      <c r="L21" s="43"/>
    </row>
    <row r="22" spans="2:12" hidden="1" outlineLevel="1">
      <c r="B22" s="46">
        <f t="shared" si="2"/>
        <v>4</v>
      </c>
      <c r="C22" s="41" t="s">
        <v>9</v>
      </c>
      <c r="D22" s="41" t="s">
        <v>345</v>
      </c>
      <c r="E22" s="41" t="s">
        <v>347</v>
      </c>
      <c r="F22" s="41"/>
      <c r="G22" s="41"/>
      <c r="H22" s="41"/>
      <c r="I22" s="42">
        <v>45241</v>
      </c>
      <c r="J22" s="41" t="s">
        <v>344</v>
      </c>
      <c r="K22" s="41">
        <v>33.5</v>
      </c>
      <c r="L22" s="43"/>
    </row>
    <row r="23" spans="2:12" hidden="1" outlineLevel="1">
      <c r="B23" s="46">
        <f t="shared" si="2"/>
        <v>5</v>
      </c>
      <c r="C23" s="41" t="s">
        <v>9</v>
      </c>
      <c r="D23" s="41" t="s">
        <v>345</v>
      </c>
      <c r="E23" s="41" t="s">
        <v>348</v>
      </c>
      <c r="F23" s="41"/>
      <c r="G23" s="41">
        <v>1996</v>
      </c>
      <c r="H23" s="41"/>
      <c r="I23" s="42">
        <v>45241</v>
      </c>
      <c r="J23" s="41" t="s">
        <v>344</v>
      </c>
      <c r="K23" s="41">
        <v>22.8</v>
      </c>
      <c r="L23" s="43"/>
    </row>
    <row r="24" spans="2:12" hidden="1" outlineLevel="1">
      <c r="B24" s="46">
        <f t="shared" si="2"/>
        <v>6</v>
      </c>
      <c r="C24" s="41" t="s">
        <v>9</v>
      </c>
      <c r="D24" s="41" t="s">
        <v>345</v>
      </c>
      <c r="E24" s="41" t="s">
        <v>349</v>
      </c>
      <c r="F24" s="41"/>
      <c r="G24" s="41"/>
      <c r="H24" s="41"/>
      <c r="I24" s="42">
        <v>45280</v>
      </c>
      <c r="J24" s="41" t="s">
        <v>344</v>
      </c>
      <c r="K24" s="41">
        <v>22.6</v>
      </c>
      <c r="L24" s="43"/>
    </row>
    <row r="25" spans="2:12" hidden="1" outlineLevel="1">
      <c r="B25" s="46">
        <f t="shared" si="2"/>
        <v>7</v>
      </c>
      <c r="C25" s="41" t="s">
        <v>8</v>
      </c>
      <c r="D25" s="41" t="s">
        <v>345</v>
      </c>
      <c r="E25" s="41" t="s">
        <v>350</v>
      </c>
      <c r="F25" s="41"/>
      <c r="G25" s="41"/>
      <c r="H25" s="41"/>
      <c r="I25" s="42">
        <v>46011</v>
      </c>
      <c r="J25" s="41" t="s">
        <v>341</v>
      </c>
      <c r="K25" s="41">
        <v>0</v>
      </c>
      <c r="L25" s="43"/>
    </row>
    <row r="26" spans="2:12" hidden="1" outlineLevel="1">
      <c r="B26" s="46">
        <f t="shared" si="2"/>
        <v>8</v>
      </c>
      <c r="C26" s="41" t="s">
        <v>8</v>
      </c>
      <c r="D26" s="41" t="s">
        <v>351</v>
      </c>
      <c r="E26" s="41">
        <v>1033</v>
      </c>
      <c r="F26" s="41"/>
      <c r="G26" s="41"/>
      <c r="H26" s="41"/>
      <c r="I26" s="42">
        <v>45378</v>
      </c>
      <c r="J26" s="41" t="s">
        <v>344</v>
      </c>
      <c r="K26" s="41">
        <v>38.9</v>
      </c>
      <c r="L26" s="43"/>
    </row>
    <row r="27" spans="2:12" hidden="1" outlineLevel="1">
      <c r="B27" s="46">
        <f t="shared" si="2"/>
        <v>9</v>
      </c>
      <c r="C27" s="41" t="s">
        <v>8</v>
      </c>
      <c r="D27" s="41" t="s">
        <v>340</v>
      </c>
      <c r="E27" s="41" t="s">
        <v>352</v>
      </c>
      <c r="F27" s="41"/>
      <c r="G27" s="41">
        <v>1980</v>
      </c>
      <c r="H27" s="41"/>
      <c r="I27" s="42">
        <v>45386</v>
      </c>
      <c r="J27" s="41" t="s">
        <v>344</v>
      </c>
      <c r="K27" s="41">
        <v>30.2</v>
      </c>
      <c r="L27" s="43"/>
    </row>
    <row r="28" spans="2:12" hidden="1" outlineLevel="1">
      <c r="B28" s="46">
        <f t="shared" si="2"/>
        <v>10</v>
      </c>
      <c r="C28" s="41" t="s">
        <v>8</v>
      </c>
      <c r="D28" s="41" t="s">
        <v>340</v>
      </c>
      <c r="E28" s="41" t="s">
        <v>353</v>
      </c>
      <c r="F28" s="41"/>
      <c r="G28" s="41">
        <v>1980</v>
      </c>
      <c r="H28" s="41"/>
      <c r="I28" s="42">
        <v>45386</v>
      </c>
      <c r="J28" s="41" t="s">
        <v>344</v>
      </c>
      <c r="K28" s="41">
        <v>24.9</v>
      </c>
      <c r="L28" s="43"/>
    </row>
    <row r="29" spans="2:12" hidden="1" outlineLevel="1">
      <c r="B29" s="46">
        <f t="shared" si="2"/>
        <v>11</v>
      </c>
      <c r="C29" s="41" t="s">
        <v>8</v>
      </c>
      <c r="D29" s="41" t="s">
        <v>340</v>
      </c>
      <c r="E29" s="41" t="s">
        <v>354</v>
      </c>
      <c r="F29" s="41"/>
      <c r="G29" s="41">
        <v>1988</v>
      </c>
      <c r="H29" s="41"/>
      <c r="I29" s="42">
        <v>45386</v>
      </c>
      <c r="J29" s="41" t="s">
        <v>344</v>
      </c>
      <c r="K29" s="41">
        <v>36.799999999999997</v>
      </c>
      <c r="L29" s="43"/>
    </row>
    <row r="30" spans="2:12" hidden="1" outlineLevel="1">
      <c r="B30" s="46">
        <f t="shared" si="2"/>
        <v>12</v>
      </c>
      <c r="C30" s="41" t="s">
        <v>8</v>
      </c>
      <c r="D30" s="41" t="s">
        <v>340</v>
      </c>
      <c r="E30" s="41" t="s">
        <v>355</v>
      </c>
      <c r="F30" s="41"/>
      <c r="G30" s="41">
        <v>1981</v>
      </c>
      <c r="H30" s="41"/>
      <c r="I30" s="42">
        <v>45393</v>
      </c>
      <c r="J30" s="41" t="s">
        <v>344</v>
      </c>
      <c r="K30" s="41">
        <v>21.8</v>
      </c>
      <c r="L30" s="43"/>
    </row>
    <row r="31" spans="2:12" hidden="1" outlineLevel="1">
      <c r="B31" s="46">
        <f t="shared" si="2"/>
        <v>13</v>
      </c>
      <c r="C31" s="41" t="s">
        <v>8</v>
      </c>
      <c r="D31" s="41" t="s">
        <v>340</v>
      </c>
      <c r="E31" s="41">
        <v>224722</v>
      </c>
      <c r="F31" s="41"/>
      <c r="G31" s="41"/>
      <c r="H31" s="41"/>
      <c r="I31" s="42">
        <v>45734</v>
      </c>
      <c r="J31" s="41" t="s">
        <v>344</v>
      </c>
      <c r="K31" s="41">
        <v>23</v>
      </c>
      <c r="L31" s="43"/>
    </row>
    <row r="32" spans="2:12" hidden="1" outlineLevel="1">
      <c r="B32" s="46">
        <f t="shared" si="2"/>
        <v>14</v>
      </c>
      <c r="C32" s="41" t="s">
        <v>8</v>
      </c>
      <c r="D32" s="41" t="s">
        <v>340</v>
      </c>
      <c r="E32" s="41">
        <v>227</v>
      </c>
      <c r="F32" s="41"/>
      <c r="G32" s="41"/>
      <c r="H32" s="41"/>
      <c r="I32" s="42">
        <v>45464</v>
      </c>
      <c r="J32" s="41" t="s">
        <v>344</v>
      </c>
      <c r="K32" s="41">
        <v>19.2</v>
      </c>
      <c r="L32" s="43"/>
    </row>
    <row r="33" spans="2:12" hidden="1" outlineLevel="1">
      <c r="B33" s="46">
        <f t="shared" si="2"/>
        <v>15</v>
      </c>
      <c r="C33" s="41" t="s">
        <v>8</v>
      </c>
      <c r="D33" s="41" t="s">
        <v>345</v>
      </c>
      <c r="E33" s="41">
        <v>3939</v>
      </c>
      <c r="F33" s="41"/>
      <c r="G33" s="41">
        <v>1970</v>
      </c>
      <c r="H33" s="41"/>
      <c r="I33" s="42">
        <v>45487</v>
      </c>
      <c r="J33" s="41" t="s">
        <v>344</v>
      </c>
      <c r="K33" s="41">
        <v>15.3</v>
      </c>
      <c r="L33" s="43"/>
    </row>
    <row r="34" spans="2:12" hidden="1" outlineLevel="1">
      <c r="B34" s="46">
        <f t="shared" si="2"/>
        <v>16</v>
      </c>
      <c r="C34" s="41" t="s">
        <v>8</v>
      </c>
      <c r="D34" s="41" t="s">
        <v>340</v>
      </c>
      <c r="E34" s="41" t="s">
        <v>356</v>
      </c>
      <c r="F34" s="41"/>
      <c r="G34" s="41">
        <v>1980</v>
      </c>
      <c r="H34" s="41"/>
      <c r="I34" s="42">
        <v>45386</v>
      </c>
      <c r="J34" s="41" t="s">
        <v>344</v>
      </c>
      <c r="K34" s="41">
        <v>31.7</v>
      </c>
      <c r="L34" s="43"/>
    </row>
    <row r="35" spans="2:12" hidden="1" outlineLevel="1">
      <c r="B35" s="46">
        <f t="shared" si="2"/>
        <v>17</v>
      </c>
      <c r="C35" s="41" t="s">
        <v>8</v>
      </c>
      <c r="D35" s="41" t="s">
        <v>340</v>
      </c>
      <c r="E35" s="41" t="s">
        <v>357</v>
      </c>
      <c r="F35" s="41"/>
      <c r="G35" s="41">
        <v>1975</v>
      </c>
      <c r="H35" s="41"/>
      <c r="I35" s="42">
        <v>45386</v>
      </c>
      <c r="J35" s="41" t="s">
        <v>344</v>
      </c>
      <c r="K35" s="41">
        <v>30.6</v>
      </c>
      <c r="L35" s="43"/>
    </row>
    <row r="36" spans="2:12" hidden="1" outlineLevel="1">
      <c r="B36" s="46">
        <f t="shared" si="2"/>
        <v>18</v>
      </c>
      <c r="C36" s="41" t="s">
        <v>8</v>
      </c>
      <c r="D36" s="41" t="s">
        <v>340</v>
      </c>
      <c r="E36" s="41" t="s">
        <v>358</v>
      </c>
      <c r="F36" s="41"/>
      <c r="G36" s="41">
        <v>1975</v>
      </c>
      <c r="H36" s="41"/>
      <c r="I36" s="42">
        <v>45386</v>
      </c>
      <c r="J36" s="41" t="s">
        <v>344</v>
      </c>
      <c r="K36" s="41">
        <v>28.6</v>
      </c>
      <c r="L36" s="43"/>
    </row>
    <row r="37" spans="2:12" hidden="1" outlineLevel="1">
      <c r="B37" s="46">
        <f t="shared" si="2"/>
        <v>19</v>
      </c>
      <c r="C37" s="41" t="s">
        <v>8</v>
      </c>
      <c r="D37" s="41" t="s">
        <v>340</v>
      </c>
      <c r="E37" s="41" t="s">
        <v>359</v>
      </c>
      <c r="F37" s="41"/>
      <c r="G37" s="41">
        <v>1975</v>
      </c>
      <c r="H37" s="41"/>
      <c r="I37" s="42">
        <v>45386</v>
      </c>
      <c r="J37" s="41" t="s">
        <v>344</v>
      </c>
      <c r="K37" s="41">
        <v>33.200000000000003</v>
      </c>
      <c r="L37" s="43"/>
    </row>
    <row r="38" spans="2:12" hidden="1" outlineLevel="1">
      <c r="B38" s="46">
        <f t="shared" si="2"/>
        <v>20</v>
      </c>
      <c r="C38" s="41" t="s">
        <v>8</v>
      </c>
      <c r="D38" s="41" t="s">
        <v>340</v>
      </c>
      <c r="E38" s="41" t="s">
        <v>360</v>
      </c>
      <c r="F38" s="41"/>
      <c r="G38" s="41">
        <v>1978</v>
      </c>
      <c r="H38" s="41"/>
      <c r="I38" s="42">
        <v>45734</v>
      </c>
      <c r="J38" s="41" t="s">
        <v>344</v>
      </c>
      <c r="K38" s="41">
        <v>30.9</v>
      </c>
      <c r="L38" s="43"/>
    </row>
    <row r="39" spans="2:12" hidden="1" outlineLevel="1">
      <c r="B39" s="46">
        <f t="shared" si="2"/>
        <v>21</v>
      </c>
      <c r="C39" s="41" t="s">
        <v>9</v>
      </c>
      <c r="D39" s="41" t="s">
        <v>340</v>
      </c>
      <c r="E39" s="41" t="s">
        <v>361</v>
      </c>
      <c r="F39" s="41"/>
      <c r="G39" s="41">
        <v>1989</v>
      </c>
      <c r="H39" s="41"/>
      <c r="I39" s="42">
        <v>45497</v>
      </c>
      <c r="J39" s="41" t="s">
        <v>344</v>
      </c>
      <c r="K39" s="41">
        <v>26</v>
      </c>
      <c r="L39" s="43"/>
    </row>
    <row r="40" spans="2:12" hidden="1" outlineLevel="1">
      <c r="B40" s="46">
        <f t="shared" si="2"/>
        <v>22</v>
      </c>
      <c r="C40" s="41" t="s">
        <v>9</v>
      </c>
      <c r="D40" s="41" t="s">
        <v>345</v>
      </c>
      <c r="E40" s="41" t="s">
        <v>362</v>
      </c>
      <c r="F40" s="41"/>
      <c r="G40" s="41">
        <v>1993</v>
      </c>
      <c r="H40" s="41"/>
      <c r="I40" s="42">
        <v>45280</v>
      </c>
      <c r="J40" s="41" t="s">
        <v>344</v>
      </c>
      <c r="K40" s="41">
        <v>30.2</v>
      </c>
      <c r="L40" s="43"/>
    </row>
    <row r="41" spans="2:12" hidden="1" outlineLevel="1">
      <c r="B41" s="46">
        <f t="shared" si="2"/>
        <v>23</v>
      </c>
      <c r="C41" s="41" t="s">
        <v>9</v>
      </c>
      <c r="D41" s="41" t="s">
        <v>345</v>
      </c>
      <c r="E41" s="41" t="s">
        <v>363</v>
      </c>
      <c r="F41" s="41"/>
      <c r="G41" s="41">
        <v>1989</v>
      </c>
      <c r="H41" s="41"/>
      <c r="I41" s="42">
        <v>45378</v>
      </c>
      <c r="J41" s="41" t="s">
        <v>344</v>
      </c>
      <c r="K41" s="41">
        <v>0</v>
      </c>
      <c r="L41" s="43"/>
    </row>
    <row r="42" spans="2:12" hidden="1" outlineLevel="1">
      <c r="B42" s="46">
        <f t="shared" si="2"/>
        <v>24</v>
      </c>
      <c r="C42" s="41" t="s">
        <v>9</v>
      </c>
      <c r="D42" s="41" t="s">
        <v>345</v>
      </c>
      <c r="E42" s="41" t="s">
        <v>364</v>
      </c>
      <c r="F42" s="41"/>
      <c r="G42" s="41">
        <v>1993</v>
      </c>
      <c r="H42" s="41"/>
      <c r="I42" s="42">
        <v>45365</v>
      </c>
      <c r="J42" s="41" t="s">
        <v>344</v>
      </c>
      <c r="K42" s="41">
        <v>22</v>
      </c>
      <c r="L42" s="43"/>
    </row>
    <row r="43" spans="2:12" hidden="1" outlineLevel="1">
      <c r="B43" s="46">
        <f t="shared" si="2"/>
        <v>25</v>
      </c>
      <c r="C43" s="41" t="s">
        <v>9</v>
      </c>
      <c r="D43" s="41"/>
      <c r="E43" s="41"/>
      <c r="F43" s="41"/>
      <c r="G43" s="41"/>
      <c r="H43" s="41"/>
      <c r="I43" s="42"/>
      <c r="J43" s="41"/>
      <c r="K43" s="41"/>
      <c r="L43" s="43"/>
    </row>
    <row r="44" spans="2:12" hidden="1" outlineLevel="1">
      <c r="B44" s="46">
        <f t="shared" si="2"/>
        <v>26</v>
      </c>
      <c r="C44" s="41" t="s">
        <v>9</v>
      </c>
      <c r="D44" s="41"/>
      <c r="E44" s="41"/>
      <c r="F44" s="41"/>
      <c r="G44" s="41"/>
      <c r="H44" s="41"/>
      <c r="I44" s="42"/>
      <c r="J44" s="41"/>
      <c r="K44" s="41"/>
      <c r="L44" s="43"/>
    </row>
    <row r="45" spans="2:12" hidden="1" outlineLevel="1">
      <c r="B45" s="46">
        <f t="shared" si="2"/>
        <v>27</v>
      </c>
      <c r="C45" s="41" t="s">
        <v>9</v>
      </c>
      <c r="D45" s="41"/>
      <c r="E45" s="41"/>
      <c r="F45" s="41"/>
      <c r="G45" s="41"/>
      <c r="H45" s="41"/>
      <c r="I45" s="42"/>
      <c r="J45" s="41"/>
      <c r="K45" s="41"/>
      <c r="L45" s="43"/>
    </row>
    <row r="46" spans="2:12" hidden="1" outlineLevel="1">
      <c r="B46" s="46">
        <f t="shared" si="2"/>
        <v>28</v>
      </c>
      <c r="C46" s="41" t="s">
        <v>9</v>
      </c>
      <c r="D46" s="41"/>
      <c r="E46" s="41"/>
      <c r="F46" s="41"/>
      <c r="G46" s="41"/>
      <c r="H46" s="41"/>
      <c r="I46" s="42"/>
      <c r="J46" s="41"/>
      <c r="K46" s="41"/>
      <c r="L46" s="43"/>
    </row>
    <row r="47" spans="2:12" hidden="1" outlineLevel="1">
      <c r="B47" s="46">
        <f t="shared" si="2"/>
        <v>29</v>
      </c>
      <c r="C47" s="1" t="s">
        <v>9</v>
      </c>
      <c r="D47" s="1"/>
      <c r="E47" s="1"/>
      <c r="F47" s="1"/>
      <c r="G47" s="1"/>
      <c r="H47" s="1"/>
      <c r="I47" s="36"/>
      <c r="J47" s="1"/>
      <c r="K47" s="1"/>
      <c r="L47" s="2"/>
    </row>
    <row r="48" spans="2:12" ht="15.75" hidden="1" outlineLevel="1" thickBot="1">
      <c r="B48" s="56" t="str">
        <f t="shared" si="2"/>
        <v/>
      </c>
      <c r="C48" s="38"/>
      <c r="D48" s="38"/>
      <c r="E48" s="38"/>
      <c r="F48" s="38"/>
      <c r="G48" s="38"/>
      <c r="H48" s="38"/>
      <c r="I48" s="38"/>
      <c r="J48" s="38"/>
      <c r="K48" s="38"/>
      <c r="L48" s="39"/>
    </row>
    <row r="49" spans="2:12" ht="24" customHeight="1" collapsed="1" thickBot="1">
      <c r="B49" s="320" t="s">
        <v>59</v>
      </c>
      <c r="C49" s="321"/>
      <c r="D49" s="321"/>
      <c r="E49" s="321"/>
      <c r="F49" s="321"/>
      <c r="G49" s="321"/>
      <c r="H49" s="321"/>
      <c r="I49" s="321"/>
      <c r="J49" s="321"/>
      <c r="K49" s="321"/>
      <c r="L49" s="322"/>
    </row>
    <row r="50" spans="2:12" ht="24" customHeight="1" thickBot="1">
      <c r="B50" s="26" t="s">
        <v>49</v>
      </c>
      <c r="C50" s="27" t="s">
        <v>60</v>
      </c>
      <c r="D50" s="27" t="s">
        <v>62</v>
      </c>
      <c r="E50" s="27" t="s">
        <v>63</v>
      </c>
      <c r="F50" s="27" t="s">
        <v>64</v>
      </c>
      <c r="G50" s="27" t="s">
        <v>65</v>
      </c>
      <c r="H50" s="27" t="s">
        <v>66</v>
      </c>
      <c r="I50" s="27" t="s">
        <v>67</v>
      </c>
      <c r="J50" s="27" t="s">
        <v>6</v>
      </c>
      <c r="K50" s="27" t="s">
        <v>7</v>
      </c>
      <c r="L50" s="28" t="s">
        <v>68</v>
      </c>
    </row>
    <row r="51" spans="2:12">
      <c r="B51" s="46" t="s">
        <v>8</v>
      </c>
      <c r="C51" s="41">
        <f>COUNTIFS(B19:B48,"&gt;"&amp;0,C19:C48,"="&amp;B51)</f>
        <v>16</v>
      </c>
      <c r="D51" s="41">
        <f>COUNTIFS(B19:B48,"&gt;="&amp;1,C19:C48,B51,K19:K48,"&gt;="&amp;0,K19:K48,"&lt;"&amp;50)</f>
        <v>15</v>
      </c>
      <c r="E51" s="41">
        <f>COUNTIFS(B19:B48,"&gt;="&amp;1,C19:C48,B51,K19:K48,"&gt;="&amp;50,K19:K48,"&lt;"&amp;500)</f>
        <v>1</v>
      </c>
      <c r="F51" s="41">
        <f>COUNTIFS(B19:B48,"&gt;="&amp;1,C19:C48,B51,K19:K48,"&gt;="&amp;500)</f>
        <v>0</v>
      </c>
      <c r="G51" s="41">
        <f>COUNTIFS(B19:B48,"&gt;="&amp;1,C19:C48,B51,K19:K48,"&gt;="&amp;0,I19:I48,"&gt;"&amp;DATE(2021,1,1))</f>
        <v>16</v>
      </c>
      <c r="H51" s="47">
        <f>IF(G51=0,"-",(SUM(E51,F51)/G51))</f>
        <v>6.25E-2</v>
      </c>
      <c r="I51" s="41">
        <f>IF((COUNTIFS(B19:B48,"&gt;="&amp;1,C19:C48,"="&amp;B51))&gt;228,228,(COUNTIFS(B19:B48,"&gt;="&amp;1,C19:C48,"="&amp;B51)))</f>
        <v>16</v>
      </c>
      <c r="J51" s="47">
        <f>IF(I51=0,"-",(COUNTIFS(C19:C48,"="&amp;B51,I19:I48,"&lt;="&amp;DATE(2024,12,31),K19:K48,"&gt;="&amp;0)/I51))</f>
        <v>0.8125</v>
      </c>
      <c r="K51" s="47">
        <f>IF(I51=0,"-",IF(J51=1,"-",(COUNTIFS(B19:B48,"&gt;"&amp;0,C19:C48,"="&amp;B51,I19:I48,"&gt;"&amp;DATE(2024,12,31),K19:K48,"&gt;="&amp;0)/(I51-COUNTIFS(B19:B48,"&gt;"&amp;0,C19:C48,"="&amp;B51,I19:I48,"&lt;="&amp;DATE(2024,12,31),K19:K48,"&gt;="&amp;0)))))</f>
        <v>1</v>
      </c>
      <c r="L51" s="48">
        <f>IF(I51=0,"-",G51/I51)</f>
        <v>1</v>
      </c>
    </row>
    <row r="52" spans="2:12">
      <c r="B52" s="7" t="s">
        <v>9</v>
      </c>
      <c r="C52" s="1">
        <f>COUNTIFS(B19:B48,"&gt;"&amp;0,C19:C48,"="&amp;B52)</f>
        <v>13</v>
      </c>
      <c r="D52" s="1">
        <f>COUNTIFS(B19:B48,"&gt;="&amp;1,C19:C48,B52,K19:K48,"&gt;="&amp;0,K19:K48,"&lt;"&amp;50)</f>
        <v>8</v>
      </c>
      <c r="E52" s="1">
        <f>COUNTIFS(B19:B48,"&gt;="&amp;1,C19:C48,B52,K19:K48,"&gt;="&amp;50,K19:K48,"&lt;"&amp;500)</f>
        <v>0</v>
      </c>
      <c r="F52" s="1">
        <f>COUNTIFS(B19:B48,"&gt;="&amp;1,C19:C48,B52,K19:K48,"&gt;="&amp;500)</f>
        <v>0</v>
      </c>
      <c r="G52" s="1">
        <f>COUNTIFS(B19:B48,"&gt;="&amp;1,C19:C48,B52,K19:K48,"&gt;="&amp;0,I19:I48,"&gt;"&amp;DATE(2021,1,1))</f>
        <v>8</v>
      </c>
      <c r="H52" s="44">
        <f t="shared" ref="H52:H54" si="3">IF(G52=0,"-",(SUM(E52,F52)/G52))</f>
        <v>0</v>
      </c>
      <c r="I52" s="1">
        <f>IF((COUNTIFS(B19:B48,"&gt;="&amp;1,C19:C48,"="&amp;B52))&gt;228,228,(COUNTIFS(B19:B48,"&gt;="&amp;1,C19:C48,"="&amp;B52)))</f>
        <v>13</v>
      </c>
      <c r="J52" s="44">
        <f>IF(I52=0,"-",(COUNTIFS(C19:C48,"="&amp;B52,I19:I48,"&lt;="&amp;DATE(2024,12,31),K19:K48,"&gt;="&amp;0)/I52))</f>
        <v>0.61538461538461542</v>
      </c>
      <c r="K52" s="47">
        <f>IF(I52=0,"-",IF(J52=1,"-",(COUNTIFS(B19:B48,"&gt;"&amp;0,C19:C48,"="&amp;B52,I19:I48,"&gt;"&amp;DATE(2024,12,31),K19:K48,"&gt;="&amp;0)/(I52-COUNTIFS(B19:B48,"&gt;"&amp;0,C19:C48,"="&amp;B52,I19:I48,"&lt;="&amp;DATE(2024,12,31),K19:K48,"&gt;="&amp;0)))))</f>
        <v>0</v>
      </c>
      <c r="L52" s="45">
        <f t="shared" ref="L52:L54" si="4">IF(I52=0,"-",G52/I52)</f>
        <v>0.61538461538461542</v>
      </c>
    </row>
    <row r="53" spans="2:12">
      <c r="B53" s="7" t="s">
        <v>69</v>
      </c>
      <c r="C53" s="1">
        <f>COUNTIFS(B19:B48,"&gt;"&amp;0,C19:C48,"="&amp;B53)</f>
        <v>0</v>
      </c>
      <c r="D53" s="1">
        <f>COUNTIFS(B19:B48,"&gt;="&amp;1,C19:C48,B53,K19:K48,"&gt;="&amp;0,K19:K48,"&lt;"&amp;50)</f>
        <v>0</v>
      </c>
      <c r="E53" s="1">
        <f>COUNTIFS(B19:B48,"&gt;="&amp;1,C19:C48,B53,K19:K48,"&gt;="&amp;50,K19:K48,"&lt;"&amp;500)</f>
        <v>0</v>
      </c>
      <c r="F53" s="1">
        <f>COUNTIFS(B19:B47,"&gt;="&amp;1,C19:C47,B53,K19:K47,"&gt;="&amp;500)</f>
        <v>0</v>
      </c>
      <c r="G53" s="1">
        <f>COUNTIFS(B19:B48,"&gt;="&amp;1,C19:C48,B53,K19:K48,"&gt;="&amp;0,I19:I48,"&gt;"&amp;DATE(2021,1,1))</f>
        <v>0</v>
      </c>
      <c r="H53" s="44" t="str">
        <f t="shared" si="3"/>
        <v>-</v>
      </c>
      <c r="I53" s="1">
        <f>IF((COUNTIFS(B19:B47,"&gt;="&amp;1,C19:C47,"="&amp;B53))&gt;228,228,(COUNTIFS(B19:B47,"&gt;="&amp;1,C19:C47,"="&amp;B53)))</f>
        <v>0</v>
      </c>
      <c r="J53" s="44" t="str">
        <f>IF(I53=0,"-",(COUNTIFS(C19:C48,"="&amp;B53,I19:I48,"&lt;="&amp;DATE(2024,12,31),K19:K48,"&gt;="&amp;0)/I53))</f>
        <v>-</v>
      </c>
      <c r="K53" s="47" t="str">
        <f>IF(I53=0,"-",IF(J53=1,"-",(COUNTIFS(B19:B48,"&gt;"&amp;0,C19:C48,"="&amp;B53,I19:I48,"&gt;"&amp;DATE(2024,12,31),K19:K48,"&gt;="&amp;0)/(I53-COUNTIFS(B19:B48,"&gt;"&amp;0,C19:C48,"="&amp;B53,I19:I48,"&lt;="&amp;DATE(2024,12,31),K19:K48,"&gt;="&amp;0)))))</f>
        <v>-</v>
      </c>
      <c r="L53" s="45" t="str">
        <f t="shared" si="4"/>
        <v>-</v>
      </c>
    </row>
    <row r="54" spans="2:12" ht="24" customHeight="1" thickBot="1">
      <c r="B54" s="49" t="s">
        <v>59</v>
      </c>
      <c r="C54" s="50">
        <f>SUM(C51:C53)</f>
        <v>29</v>
      </c>
      <c r="D54" s="50">
        <f>SUM(D51:D53)</f>
        <v>23</v>
      </c>
      <c r="E54" s="50">
        <f>SUM(E51:E53)</f>
        <v>1</v>
      </c>
      <c r="F54" s="50">
        <f>SUM(F51:F53)</f>
        <v>0</v>
      </c>
      <c r="G54" s="50">
        <f>SUM(G51:G53)</f>
        <v>24</v>
      </c>
      <c r="H54" s="51">
        <f t="shared" si="3"/>
        <v>4.1666666666666664E-2</v>
      </c>
      <c r="I54" s="50">
        <f>SUM(I51:I53)</f>
        <v>29</v>
      </c>
      <c r="J54" s="51">
        <f>IF(I54=0,"-",(COUNTIFS(I19:I48,"&lt;="&amp;DATE(2024,12,31),K19:K48,"&gt;="&amp;0)/I54))</f>
        <v>0.72413793103448276</v>
      </c>
      <c r="K54" s="51">
        <f>IF(I54=0,"-",IF(J54=1,"-",(COUNTIFS(B19:B48,"&gt;"&amp;0,I19:I48,"&gt;"&amp;DATE(2024,12,31),K19:K48,"&gt;="&amp;0)/(I54-COUNTIFS(B19:B48,"&gt;"&amp;0,I19:I48,"&lt;="&amp;DATE(2024,12,31),K19:K48,"&gt;="&amp;0)))))</f>
        <v>0.375</v>
      </c>
      <c r="L54" s="52">
        <f t="shared" si="4"/>
        <v>0.82758620689655171</v>
      </c>
    </row>
    <row r="56" spans="2:12" ht="15.75" thickBot="1"/>
    <row r="57" spans="2:12" ht="32.25" customHeight="1" thickBot="1">
      <c r="B57" s="320" t="str">
        <f>_xlfn.CONCAT("Religadores",TEXT(IF(SUM(I83:I85)=0," ",(SUM(G83:G85)/SUM(I83:I85))), " 0,00%"))</f>
        <v>Religadores 0,00%</v>
      </c>
      <c r="C57" s="321"/>
      <c r="D57" s="321"/>
      <c r="E57" s="321"/>
      <c r="F57" s="321"/>
      <c r="G57" s="321"/>
      <c r="H57" s="321"/>
      <c r="I57" s="321"/>
      <c r="J57" s="321"/>
      <c r="K57" s="321"/>
      <c r="L57" s="322"/>
    </row>
    <row r="58" spans="2:12" ht="24" customHeight="1" outlineLevel="1" thickBot="1">
      <c r="B58" s="26" t="s">
        <v>48</v>
      </c>
      <c r="C58" s="27" t="s">
        <v>49</v>
      </c>
      <c r="D58" s="27" t="s">
        <v>50</v>
      </c>
      <c r="E58" s="27" t="s">
        <v>51</v>
      </c>
      <c r="F58" s="27" t="s">
        <v>52</v>
      </c>
      <c r="G58" s="27" t="s">
        <v>53</v>
      </c>
      <c r="H58" s="27" t="s">
        <v>54</v>
      </c>
      <c r="I58" s="27" t="s">
        <v>55</v>
      </c>
      <c r="J58" s="27" t="s">
        <v>56</v>
      </c>
      <c r="K58" s="27" t="s">
        <v>57</v>
      </c>
      <c r="L58" s="28" t="s">
        <v>58</v>
      </c>
    </row>
    <row r="59" spans="2:12" outlineLevel="1">
      <c r="B59" s="46">
        <f>IF(C59="","",ROW($A$1))</f>
        <v>1</v>
      </c>
      <c r="C59" s="41" t="s">
        <v>9</v>
      </c>
      <c r="D59" s="41" t="s">
        <v>365</v>
      </c>
      <c r="E59" s="41"/>
      <c r="F59" s="41"/>
      <c r="G59" s="41"/>
      <c r="H59" s="41"/>
      <c r="I59" s="42"/>
      <c r="J59" s="41"/>
      <c r="K59" s="41"/>
      <c r="L59" s="43"/>
    </row>
    <row r="60" spans="2:12" outlineLevel="1">
      <c r="B60" s="7">
        <f>IF(C60="","",(B59+1))</f>
        <v>2</v>
      </c>
      <c r="C60" s="1" t="s">
        <v>9</v>
      </c>
      <c r="D60" s="41" t="s">
        <v>365</v>
      </c>
      <c r="E60" s="1"/>
      <c r="F60" s="1"/>
      <c r="G60" s="1"/>
      <c r="H60" s="1"/>
      <c r="I60" s="36"/>
      <c r="J60" s="1"/>
      <c r="K60" s="1"/>
      <c r="L60" s="2"/>
    </row>
    <row r="61" spans="2:12" outlineLevel="1">
      <c r="B61" s="7">
        <f t="shared" ref="B61:B80" si="5">IF(C61="","",(B60+1))</f>
        <v>3</v>
      </c>
      <c r="C61" s="53" t="s">
        <v>9</v>
      </c>
      <c r="D61" s="41" t="s">
        <v>365</v>
      </c>
      <c r="E61" s="53"/>
      <c r="F61" s="53"/>
      <c r="G61" s="53"/>
      <c r="H61" s="53"/>
      <c r="I61" s="54"/>
      <c r="J61" s="53"/>
      <c r="K61" s="53"/>
      <c r="L61" s="55"/>
    </row>
    <row r="62" spans="2:12" outlineLevel="1">
      <c r="B62" s="7">
        <f t="shared" si="5"/>
        <v>4</v>
      </c>
      <c r="C62" s="53" t="s">
        <v>9</v>
      </c>
      <c r="D62" s="41" t="s">
        <v>365</v>
      </c>
      <c r="E62" s="53"/>
      <c r="F62" s="53"/>
      <c r="G62" s="53"/>
      <c r="H62" s="53"/>
      <c r="I62" s="54"/>
      <c r="J62" s="53"/>
      <c r="K62" s="53"/>
      <c r="L62" s="55"/>
    </row>
    <row r="63" spans="2:12" outlineLevel="1">
      <c r="B63" s="7">
        <f t="shared" si="5"/>
        <v>5</v>
      </c>
      <c r="C63" s="53" t="s">
        <v>9</v>
      </c>
      <c r="D63" s="41" t="s">
        <v>365</v>
      </c>
      <c r="E63" s="53"/>
      <c r="F63" s="53"/>
      <c r="G63" s="53"/>
      <c r="H63" s="53"/>
      <c r="I63" s="54"/>
      <c r="J63" s="53"/>
      <c r="K63" s="53"/>
      <c r="L63" s="55"/>
    </row>
    <row r="64" spans="2:12" outlineLevel="1">
      <c r="B64" s="7">
        <f t="shared" si="5"/>
        <v>6</v>
      </c>
      <c r="C64" s="53" t="s">
        <v>9</v>
      </c>
      <c r="D64" s="41" t="s">
        <v>365</v>
      </c>
      <c r="E64" s="53"/>
      <c r="F64" s="53"/>
      <c r="G64" s="53"/>
      <c r="H64" s="53"/>
      <c r="I64" s="54"/>
      <c r="J64" s="53"/>
      <c r="K64" s="53"/>
      <c r="L64" s="55"/>
    </row>
    <row r="65" spans="2:12" outlineLevel="1">
      <c r="B65" s="7">
        <f t="shared" si="5"/>
        <v>7</v>
      </c>
      <c r="C65" s="53" t="s">
        <v>9</v>
      </c>
      <c r="D65" s="41" t="s">
        <v>365</v>
      </c>
      <c r="E65" s="53"/>
      <c r="F65" s="53"/>
      <c r="G65" s="53"/>
      <c r="H65" s="53"/>
      <c r="I65" s="54"/>
      <c r="J65" s="53"/>
      <c r="K65" s="53"/>
      <c r="L65" s="55"/>
    </row>
    <row r="66" spans="2:12" outlineLevel="1">
      <c r="B66" s="7">
        <f t="shared" si="5"/>
        <v>8</v>
      </c>
      <c r="C66" s="53" t="s">
        <v>9</v>
      </c>
      <c r="D66" s="41" t="s">
        <v>365</v>
      </c>
      <c r="E66" s="53"/>
      <c r="F66" s="53"/>
      <c r="G66" s="53"/>
      <c r="H66" s="53"/>
      <c r="I66" s="54"/>
      <c r="J66" s="53"/>
      <c r="K66" s="53"/>
      <c r="L66" s="55"/>
    </row>
    <row r="67" spans="2:12" outlineLevel="1">
      <c r="B67" s="7">
        <f t="shared" si="5"/>
        <v>9</v>
      </c>
      <c r="C67" s="53" t="s">
        <v>9</v>
      </c>
      <c r="D67" s="41" t="s">
        <v>365</v>
      </c>
      <c r="E67" s="53"/>
      <c r="F67" s="53"/>
      <c r="G67" s="53"/>
      <c r="H67" s="53"/>
      <c r="I67" s="54"/>
      <c r="J67" s="53"/>
      <c r="K67" s="53"/>
      <c r="L67" s="55"/>
    </row>
    <row r="68" spans="2:12" outlineLevel="1">
      <c r="B68" s="7">
        <f t="shared" si="5"/>
        <v>10</v>
      </c>
      <c r="C68" s="53" t="s">
        <v>9</v>
      </c>
      <c r="D68" s="41" t="s">
        <v>365</v>
      </c>
      <c r="E68" s="53"/>
      <c r="F68" s="53"/>
      <c r="G68" s="53"/>
      <c r="H68" s="53"/>
      <c r="I68" s="54"/>
      <c r="J68" s="53"/>
      <c r="K68" s="53"/>
      <c r="L68" s="55"/>
    </row>
    <row r="69" spans="2:12" outlineLevel="1">
      <c r="B69" s="7">
        <f t="shared" si="5"/>
        <v>11</v>
      </c>
      <c r="C69" s="53" t="s">
        <v>9</v>
      </c>
      <c r="D69" s="41" t="s">
        <v>365</v>
      </c>
      <c r="E69" s="53"/>
      <c r="F69" s="53"/>
      <c r="G69" s="53"/>
      <c r="H69" s="53"/>
      <c r="I69" s="54"/>
      <c r="J69" s="53"/>
      <c r="K69" s="53"/>
      <c r="L69" s="55"/>
    </row>
    <row r="70" spans="2:12" outlineLevel="1">
      <c r="B70" s="7">
        <f t="shared" si="5"/>
        <v>12</v>
      </c>
      <c r="C70" s="53" t="s">
        <v>9</v>
      </c>
      <c r="D70" s="41" t="s">
        <v>365</v>
      </c>
      <c r="E70" s="53"/>
      <c r="F70" s="53"/>
      <c r="G70" s="53"/>
      <c r="H70" s="53"/>
      <c r="I70" s="54"/>
      <c r="J70" s="53"/>
      <c r="K70" s="53"/>
      <c r="L70" s="55"/>
    </row>
    <row r="71" spans="2:12" outlineLevel="1">
      <c r="B71" s="7">
        <f t="shared" si="5"/>
        <v>13</v>
      </c>
      <c r="C71" s="53" t="s">
        <v>9</v>
      </c>
      <c r="D71" s="41" t="s">
        <v>365</v>
      </c>
      <c r="E71" s="53"/>
      <c r="F71" s="53"/>
      <c r="G71" s="53"/>
      <c r="H71" s="53"/>
      <c r="I71" s="54"/>
      <c r="J71" s="53"/>
      <c r="K71" s="53"/>
      <c r="L71" s="55"/>
    </row>
    <row r="72" spans="2:12" outlineLevel="1">
      <c r="B72" s="7">
        <f t="shared" si="5"/>
        <v>14</v>
      </c>
      <c r="C72" s="53" t="s">
        <v>9</v>
      </c>
      <c r="D72" s="41" t="s">
        <v>365</v>
      </c>
      <c r="E72" s="53"/>
      <c r="F72" s="53"/>
      <c r="G72" s="53"/>
      <c r="H72" s="53"/>
      <c r="I72" s="54"/>
      <c r="J72" s="53"/>
      <c r="K72" s="53"/>
      <c r="L72" s="55"/>
    </row>
    <row r="73" spans="2:12" outlineLevel="1">
      <c r="B73" s="7">
        <f t="shared" si="5"/>
        <v>15</v>
      </c>
      <c r="C73" s="53" t="s">
        <v>9</v>
      </c>
      <c r="D73" s="41" t="s">
        <v>365</v>
      </c>
      <c r="E73" s="53"/>
      <c r="F73" s="53"/>
      <c r="G73" s="53"/>
      <c r="H73" s="53"/>
      <c r="I73" s="54"/>
      <c r="J73" s="53"/>
      <c r="K73" s="53"/>
      <c r="L73" s="55"/>
    </row>
    <row r="74" spans="2:12" outlineLevel="1">
      <c r="B74" s="7">
        <f t="shared" si="5"/>
        <v>16</v>
      </c>
      <c r="C74" s="53" t="s">
        <v>9</v>
      </c>
      <c r="D74" s="41" t="s">
        <v>365</v>
      </c>
      <c r="E74" s="53"/>
      <c r="F74" s="53"/>
      <c r="G74" s="53"/>
      <c r="H74" s="53"/>
      <c r="I74" s="54"/>
      <c r="J74" s="53"/>
      <c r="K74" s="53"/>
      <c r="L74" s="55"/>
    </row>
    <row r="75" spans="2:12" outlineLevel="1">
      <c r="B75" s="7">
        <f>IF(C75="","",(B74+1))</f>
        <v>17</v>
      </c>
      <c r="C75" s="53" t="s">
        <v>9</v>
      </c>
      <c r="D75" s="41" t="s">
        <v>365</v>
      </c>
      <c r="E75" s="53"/>
      <c r="F75" s="53"/>
      <c r="G75" s="53"/>
      <c r="H75" s="53"/>
      <c r="I75" s="54"/>
      <c r="J75" s="53"/>
      <c r="K75" s="53"/>
      <c r="L75" s="55"/>
    </row>
    <row r="76" spans="2:12" outlineLevel="1">
      <c r="B76" s="7">
        <f>IF(C76="","",(B75+1))</f>
        <v>18</v>
      </c>
      <c r="C76" s="53" t="s">
        <v>9</v>
      </c>
      <c r="D76" s="41" t="s">
        <v>365</v>
      </c>
      <c r="E76" s="53"/>
      <c r="F76" s="53"/>
      <c r="G76" s="53"/>
      <c r="H76" s="53"/>
      <c r="I76" s="54"/>
      <c r="J76" s="53"/>
      <c r="K76" s="53"/>
      <c r="L76" s="55"/>
    </row>
    <row r="77" spans="2:12" outlineLevel="1">
      <c r="B77" s="7" t="str">
        <f t="shared" si="5"/>
        <v/>
      </c>
      <c r="C77" s="53"/>
      <c r="D77" s="53"/>
      <c r="E77" s="53"/>
      <c r="F77" s="53"/>
      <c r="G77" s="53"/>
      <c r="H77" s="53"/>
      <c r="I77" s="54"/>
      <c r="J77" s="53"/>
      <c r="K77" s="53"/>
      <c r="L77" s="55"/>
    </row>
    <row r="78" spans="2:12" outlineLevel="1">
      <c r="B78" s="7" t="str">
        <f t="shared" si="5"/>
        <v/>
      </c>
      <c r="C78" s="53"/>
      <c r="D78" s="53"/>
      <c r="E78" s="53"/>
      <c r="F78" s="53"/>
      <c r="G78" s="53"/>
      <c r="H78" s="53"/>
      <c r="I78" s="54"/>
      <c r="J78" s="53"/>
      <c r="K78" s="53"/>
      <c r="L78" s="55"/>
    </row>
    <row r="79" spans="2:12" outlineLevel="1">
      <c r="B79" s="7" t="str">
        <f t="shared" si="5"/>
        <v/>
      </c>
      <c r="C79" s="53"/>
      <c r="D79" s="53"/>
      <c r="E79" s="53"/>
      <c r="F79" s="53"/>
      <c r="G79" s="53"/>
      <c r="H79" s="53"/>
      <c r="I79" s="54"/>
      <c r="J79" s="53"/>
      <c r="K79" s="53"/>
      <c r="L79" s="55"/>
    </row>
    <row r="80" spans="2:12" ht="15.75" outlineLevel="1" thickBot="1">
      <c r="B80" s="56" t="str">
        <f t="shared" si="5"/>
        <v/>
      </c>
      <c r="C80" s="38"/>
      <c r="D80" s="38"/>
      <c r="E80" s="38"/>
      <c r="F80" s="38"/>
      <c r="G80" s="38"/>
      <c r="H80" s="38"/>
      <c r="I80" s="57"/>
      <c r="J80" s="38"/>
      <c r="K80" s="38"/>
      <c r="L80" s="39"/>
    </row>
    <row r="81" spans="2:12" ht="24" customHeight="1" thickBot="1">
      <c r="B81" s="320" t="s">
        <v>59</v>
      </c>
      <c r="C81" s="321"/>
      <c r="D81" s="321"/>
      <c r="E81" s="321"/>
      <c r="F81" s="321"/>
      <c r="G81" s="321"/>
      <c r="H81" s="321"/>
      <c r="I81" s="321"/>
      <c r="J81" s="321"/>
      <c r="K81" s="321"/>
      <c r="L81" s="322"/>
    </row>
    <row r="82" spans="2:12" ht="24" customHeight="1" thickBot="1">
      <c r="B82" s="26" t="s">
        <v>49</v>
      </c>
      <c r="C82" s="27" t="s">
        <v>60</v>
      </c>
      <c r="D82" s="27" t="s">
        <v>62</v>
      </c>
      <c r="E82" s="27" t="s">
        <v>63</v>
      </c>
      <c r="F82" s="27" t="s">
        <v>64</v>
      </c>
      <c r="G82" s="27" t="s">
        <v>65</v>
      </c>
      <c r="H82" s="27" t="s">
        <v>66</v>
      </c>
      <c r="I82" s="27" t="s">
        <v>67</v>
      </c>
      <c r="J82" s="27" t="s">
        <v>6</v>
      </c>
      <c r="K82" s="27" t="s">
        <v>7</v>
      </c>
      <c r="L82" s="28" t="s">
        <v>68</v>
      </c>
    </row>
    <row r="83" spans="2:12">
      <c r="B83" s="46" t="s">
        <v>8</v>
      </c>
      <c r="C83" s="41">
        <f>COUNTIFS(B59:B80,"&gt;"&amp;0,C59:C80,"="&amp;B83)</f>
        <v>0</v>
      </c>
      <c r="D83" s="41">
        <f>COUNTIFS(B59:B80,"&gt;="&amp;1,C59:C80,B83,K59:K80,"&gt;="&amp;0,K59:K80,"&lt;"&amp;50)</f>
        <v>0</v>
      </c>
      <c r="E83" s="41">
        <f>COUNTIFS(B59:B80,"&gt;="&amp;1,C59:C80,B83,K59:K80,"&gt;="&amp;50,K59:K80,"&lt;"&amp;500)</f>
        <v>0</v>
      </c>
      <c r="F83" s="41">
        <f>COUNTIFS(B59:B80,"&gt;="&amp;1,C59:C80,B83,K59:K80,"&gt;="&amp;500)</f>
        <v>0</v>
      </c>
      <c r="G83" s="41">
        <f>COUNTIFS(B59:B80,"&gt;="&amp;1,C59:C80,B83,K59:K80,"&gt;="&amp;0,I59:I80,"&gt;"&amp;DATE(2021,1,1))</f>
        <v>0</v>
      </c>
      <c r="H83" s="47" t="str">
        <f>IF(G83=0,"-",(SUM(E83,F83)/G83))</f>
        <v>-</v>
      </c>
      <c r="I83" s="41">
        <f>IF((COUNTIFS(B59:B80,"&gt;="&amp;1,C59:C80,"="&amp;B83))&gt;228,228,(COUNTIFS(B59:B80,"&gt;="&amp;1,C59:C80,"="&amp;B83)))</f>
        <v>0</v>
      </c>
      <c r="J83" s="47" t="str">
        <f>IF(I83=0,"-",(COUNTIFS(C59:C80,"="&amp;B83,I59:I80,"&lt;="&amp;DATE(2024,12,31),K59:K80,"&gt;="&amp;0)/I83))</f>
        <v>-</v>
      </c>
      <c r="K83" s="47" t="str">
        <f>IF(I83=0,"-",IF(J83=1,"-",(COUNTIFS(B59:B80,"&gt;"&amp;0,C59:C80,"="&amp;B83,I59:I80,"&gt;"&amp;DATE(2024,12,31),K59:K80,"&gt;="&amp;0)/(I83-COUNTIFS(B59:B80,"&gt;"&amp;0,C59:C80,"="&amp;B83,I59:I80,"&lt;="&amp;DATE(2024,12,31),K59:K80,"&gt;="&amp;0)))))</f>
        <v>-</v>
      </c>
      <c r="L83" s="48" t="str">
        <f>IF(I83=0,"-",G83/I83)</f>
        <v>-</v>
      </c>
    </row>
    <row r="84" spans="2:12">
      <c r="B84" s="7" t="s">
        <v>9</v>
      </c>
      <c r="C84" s="1">
        <f>COUNTIFS(B59:B80,"&gt;"&amp;0,C59:C80,"="&amp;B84)</f>
        <v>18</v>
      </c>
      <c r="D84" s="1">
        <f>COUNTIFS(B59:B80,"&gt;="&amp;1,C59:C80,B84,K59:K80,"&gt;="&amp;0,K59:K80,"&lt;"&amp;50)</f>
        <v>0</v>
      </c>
      <c r="E84" s="1">
        <f>COUNTIFS(B59:B80,"&gt;="&amp;1,C59:C80,B84,K59:K80,"&gt;="&amp;50,K59:K80,"&lt;"&amp;500)</f>
        <v>0</v>
      </c>
      <c r="F84" s="1">
        <f>COUNTIFS(B59:B80,"&gt;="&amp;1,C59:C80,B84,K59:K80,"&gt;="&amp;500)</f>
        <v>0</v>
      </c>
      <c r="G84" s="1">
        <f>COUNTIFS(B59:B80,"&gt;="&amp;1,C59:C80,B84,K59:K80,"&gt;="&amp;0,I59:I80,"&gt;"&amp;DATE(2021,1,1))</f>
        <v>0</v>
      </c>
      <c r="H84" s="44" t="str">
        <f t="shared" ref="H84:H86" si="6">IF(G84=0,"-",(SUM(E84,F84)/G84))</f>
        <v>-</v>
      </c>
      <c r="I84" s="1">
        <f>IF((COUNTIFS(B59:B80,"&gt;="&amp;1,C59:C80,"="&amp;B84))&gt;228,228,(COUNTIFS(B59:B80,"&gt;="&amp;1,C59:C80,"="&amp;B84)))</f>
        <v>18</v>
      </c>
      <c r="J84" s="44">
        <f>IF(I84=0,"-",(COUNTIFS(C59:C80,"="&amp;B84,I59:I80,"&lt;="&amp;DATE(2024,12,31),K59:K80,"&gt;="&amp;0)/I84))</f>
        <v>0</v>
      </c>
      <c r="K84" s="47">
        <f>IF(I84=0,"-",IF(J84=1,"-",(COUNTIFS(B59:B80,"&gt;"&amp;0,C59:C80,"="&amp;B84,I59:I80,"&gt;"&amp;DATE(2024,12,31),K59:K80,"&gt;="&amp;0)/(I84-COUNTIFS(B59:B80,"&gt;"&amp;0,C59:C80,"="&amp;B84,I59:I80,"&lt;="&amp;DATE(2024,12,31),K59:K80,"&gt;="&amp;0)))))</f>
        <v>0</v>
      </c>
      <c r="L84" s="45">
        <f t="shared" ref="L84:L86" si="7">IF(I84=0,"-",G84/I84)</f>
        <v>0</v>
      </c>
    </row>
    <row r="85" spans="2:12">
      <c r="B85" s="7" t="s">
        <v>69</v>
      </c>
      <c r="C85" s="1">
        <f>COUNTIFS(B59:B80,"&gt;"&amp;0,C59:C80,"="&amp;B85)</f>
        <v>0</v>
      </c>
      <c r="D85" s="1">
        <f>COUNTIFS(B59:B80,"&gt;="&amp;1,C59:C80,B85,K59:K80,"&gt;="&amp;0,K59:K80,"&lt;"&amp;50)</f>
        <v>0</v>
      </c>
      <c r="E85" s="1">
        <f>COUNTIFS(B59:B80,"&gt;="&amp;1,C59:C80,B85,K59:K80,"&gt;="&amp;50,K59:K80,"&lt;"&amp;500)</f>
        <v>0</v>
      </c>
      <c r="F85" s="1">
        <f>COUNTIFS(B59:B60,"&gt;="&amp;1,C59:C60,B85,K59:K60,"&gt;="&amp;500)</f>
        <v>0</v>
      </c>
      <c r="G85" s="1">
        <f>COUNTIFS(B59:B80,"&gt;="&amp;1,C59:C80,B85,K59:K80,"&gt;="&amp;0,I59:I80,"&gt;"&amp;DATE(2021,1,1))</f>
        <v>0</v>
      </c>
      <c r="H85" s="44" t="str">
        <f t="shared" si="6"/>
        <v>-</v>
      </c>
      <c r="I85" s="1">
        <f>IF((COUNTIFS(B59:B60,"&gt;="&amp;1,C59:C60,"="&amp;B85))&gt;228,228,(COUNTIFS(B59:B60,"&gt;="&amp;1,C59:C60,"="&amp;B85)))</f>
        <v>0</v>
      </c>
      <c r="J85" s="44" t="str">
        <f>IF(I85=0,"-",(COUNTIFS(C59:C80,"="&amp;B85,I59:I80,"&lt;="&amp;DATE(2024,12,31),K59:K80,"&gt;="&amp;0)/I85))</f>
        <v>-</v>
      </c>
      <c r="K85" s="47" t="str">
        <f>IF(I85=0,"-",IF(J85=1,"-",(COUNTIFS(B59:B80,"&gt;"&amp;0,C59:C80,"="&amp;B85,I59:I80,"&gt;"&amp;DATE(2024,12,31),K59:K80,"&gt;="&amp;0)/(I85-COUNTIFS(B59:B80,"&gt;"&amp;0,C59:C80,"="&amp;B85,I59:I80,"&lt;="&amp;DATE(2024,12,31),K59:K80,"&gt;="&amp;0)))))</f>
        <v>-</v>
      </c>
      <c r="L85" s="45" t="str">
        <f t="shared" si="7"/>
        <v>-</v>
      </c>
    </row>
    <row r="86" spans="2:12" ht="24" customHeight="1" thickBot="1">
      <c r="B86" s="49" t="s">
        <v>59</v>
      </c>
      <c r="C86" s="50">
        <f>SUM(C83:C85)</f>
        <v>18</v>
      </c>
      <c r="D86" s="50">
        <f>SUM(D83:D85)</f>
        <v>0</v>
      </c>
      <c r="E86" s="50">
        <f>SUM(E83:E85)</f>
        <v>0</v>
      </c>
      <c r="F86" s="50">
        <f>SUM(F83:F85)</f>
        <v>0</v>
      </c>
      <c r="G86" s="50">
        <f>SUM(G83:G85)</f>
        <v>0</v>
      </c>
      <c r="H86" s="51" t="str">
        <f t="shared" si="6"/>
        <v>-</v>
      </c>
      <c r="I86" s="50">
        <f>SUM(I83:I85)</f>
        <v>18</v>
      </c>
      <c r="J86" s="51">
        <f>IF(I86=0,"-",(COUNTIFS(I59:I80,"&lt;="&amp;DATE(2024,12,31),K59:K80,"&gt;="&amp;0)/I86))</f>
        <v>0</v>
      </c>
      <c r="K86" s="51">
        <f>IF(I86=0,"-",IF(J86=1,"-",(COUNTIFS(B59:B80,"&gt;"&amp;0,I59:I80,"&gt;"&amp;DATE(2024,12,31),K59:K80,"&gt;="&amp;0)/(I86-COUNTIFS(B59:B80,"&gt;"&amp;0,I59:I80,"&lt;="&amp;DATE(2024,12,31),K59:K80,"&gt;="&amp;0)))))</f>
        <v>0</v>
      </c>
      <c r="L86" s="52">
        <f t="shared" si="7"/>
        <v>0</v>
      </c>
    </row>
    <row r="88" spans="2:12" ht="15.75" thickBot="1"/>
    <row r="89" spans="2:12" ht="32.25" customHeight="1" thickBot="1">
      <c r="B89" s="320" t="str">
        <f>_xlfn.CONCAT("Reguladores de Tensão",TEXT(IF(SUM(I345:I347)=0," ",(SUM(G345:G347)/SUM(I345:I347))), " 0,00%"))</f>
        <v>Reguladores de Tensão 9,40%</v>
      </c>
      <c r="C89" s="321"/>
      <c r="D89" s="321"/>
      <c r="E89" s="321"/>
      <c r="F89" s="321"/>
      <c r="G89" s="321"/>
      <c r="H89" s="321"/>
      <c r="I89" s="321"/>
      <c r="J89" s="321"/>
      <c r="K89" s="321"/>
      <c r="L89" s="322"/>
    </row>
    <row r="90" spans="2:12" ht="24" hidden="1" customHeight="1" outlineLevel="1" thickBot="1">
      <c r="B90" s="26" t="s">
        <v>48</v>
      </c>
      <c r="C90" s="27" t="s">
        <v>49</v>
      </c>
      <c r="D90" s="27" t="s">
        <v>50</v>
      </c>
      <c r="E90" s="27" t="s">
        <v>51</v>
      </c>
      <c r="F90" s="27" t="s">
        <v>52</v>
      </c>
      <c r="G90" s="27" t="s">
        <v>53</v>
      </c>
      <c r="H90" s="27" t="s">
        <v>54</v>
      </c>
      <c r="I90" s="27" t="s">
        <v>55</v>
      </c>
      <c r="J90" s="27" t="s">
        <v>56</v>
      </c>
      <c r="K90" s="27" t="s">
        <v>57</v>
      </c>
      <c r="L90" s="28" t="s">
        <v>58</v>
      </c>
    </row>
    <row r="91" spans="2:12" ht="15.75" hidden="1" outlineLevel="1" thickBot="1">
      <c r="B91" s="46">
        <f>IF(C91="","",ROW($A$1))</f>
        <v>1</v>
      </c>
      <c r="C91" s="41" t="s">
        <v>69</v>
      </c>
      <c r="D91" s="41"/>
      <c r="E91" s="41"/>
      <c r="F91" s="41"/>
      <c r="G91" s="41"/>
      <c r="H91" s="41"/>
      <c r="I91" s="42"/>
      <c r="J91" s="41"/>
      <c r="K91" s="41"/>
      <c r="L91" s="43"/>
    </row>
    <row r="92" spans="2:12" ht="15.75" hidden="1" outlineLevel="1" thickBot="1">
      <c r="B92" s="7">
        <f>IF(C92="","",(B91+1))</f>
        <v>2</v>
      </c>
      <c r="C92" s="41" t="s">
        <v>8</v>
      </c>
      <c r="D92" s="41" t="s">
        <v>366</v>
      </c>
      <c r="E92" s="41" t="s">
        <v>367</v>
      </c>
      <c r="F92" s="41"/>
      <c r="G92" s="41">
        <v>1988</v>
      </c>
      <c r="H92" s="41"/>
      <c r="I92" s="42">
        <v>45484</v>
      </c>
      <c r="J92" s="41" t="s">
        <v>176</v>
      </c>
      <c r="K92" s="41">
        <v>48.5</v>
      </c>
      <c r="L92" s="43"/>
    </row>
    <row r="93" spans="2:12" ht="15.75" hidden="1" outlineLevel="1" thickBot="1">
      <c r="B93" s="7">
        <f t="shared" ref="B93:B156" si="8">IF(C93="","",(B92+1))</f>
        <v>3</v>
      </c>
      <c r="C93" s="41" t="s">
        <v>8</v>
      </c>
      <c r="D93" s="41" t="s">
        <v>366</v>
      </c>
      <c r="E93" s="41" t="s">
        <v>368</v>
      </c>
      <c r="F93" s="41"/>
      <c r="G93" s="41">
        <v>1988</v>
      </c>
      <c r="H93" s="41"/>
      <c r="I93" s="42">
        <v>45505</v>
      </c>
      <c r="J93" s="41" t="s">
        <v>369</v>
      </c>
      <c r="K93" s="41">
        <v>0</v>
      </c>
      <c r="L93" s="43"/>
    </row>
    <row r="94" spans="2:12" ht="15.75" hidden="1" outlineLevel="1" thickBot="1">
      <c r="B94" s="7">
        <f t="shared" si="8"/>
        <v>4</v>
      </c>
      <c r="C94" s="41" t="s">
        <v>8</v>
      </c>
      <c r="D94" s="41" t="s">
        <v>366</v>
      </c>
      <c r="E94" s="41" t="s">
        <v>370</v>
      </c>
      <c r="F94" s="41"/>
      <c r="G94" s="41">
        <v>1988</v>
      </c>
      <c r="H94" s="41"/>
      <c r="I94" s="42">
        <v>45484</v>
      </c>
      <c r="J94" s="41" t="s">
        <v>176</v>
      </c>
      <c r="K94" s="41">
        <v>48.5</v>
      </c>
      <c r="L94" s="43"/>
    </row>
    <row r="95" spans="2:12" ht="15.75" hidden="1" outlineLevel="1" thickBot="1">
      <c r="B95" s="7">
        <f t="shared" si="8"/>
        <v>5</v>
      </c>
      <c r="C95" s="41" t="s">
        <v>8</v>
      </c>
      <c r="D95" s="41" t="s">
        <v>366</v>
      </c>
      <c r="E95" s="41" t="s">
        <v>371</v>
      </c>
      <c r="F95" s="41"/>
      <c r="G95" s="41">
        <v>1985</v>
      </c>
      <c r="H95" s="41"/>
      <c r="I95" s="42">
        <v>44952</v>
      </c>
      <c r="J95" s="41" t="s">
        <v>176</v>
      </c>
      <c r="K95" s="41">
        <v>28.5</v>
      </c>
      <c r="L95" s="43"/>
    </row>
    <row r="96" spans="2:12" ht="15.75" hidden="1" outlineLevel="1" thickBot="1">
      <c r="B96" s="7">
        <f t="shared" si="8"/>
        <v>6</v>
      </c>
      <c r="C96" s="41" t="s">
        <v>8</v>
      </c>
      <c r="D96" s="41" t="s">
        <v>366</v>
      </c>
      <c r="E96" s="41" t="s">
        <v>372</v>
      </c>
      <c r="F96" s="41"/>
      <c r="G96" s="41">
        <v>1988</v>
      </c>
      <c r="H96" s="41"/>
      <c r="I96" s="42">
        <v>45806</v>
      </c>
      <c r="J96" s="41" t="s">
        <v>176</v>
      </c>
      <c r="K96" s="41">
        <v>26.1</v>
      </c>
      <c r="L96" s="43"/>
    </row>
    <row r="97" spans="2:12" ht="15.75" hidden="1" outlineLevel="1" thickBot="1">
      <c r="B97" s="7">
        <f t="shared" si="8"/>
        <v>7</v>
      </c>
      <c r="C97" s="41" t="s">
        <v>9</v>
      </c>
      <c r="D97" s="41" t="s">
        <v>366</v>
      </c>
      <c r="E97" s="41" t="s">
        <v>373</v>
      </c>
      <c r="F97" s="41"/>
      <c r="G97" s="41">
        <v>2013</v>
      </c>
      <c r="H97" s="41"/>
      <c r="I97" s="42">
        <v>45552</v>
      </c>
      <c r="J97" s="41" t="s">
        <v>176</v>
      </c>
      <c r="K97" s="41">
        <v>46.2</v>
      </c>
      <c r="L97" s="43"/>
    </row>
    <row r="98" spans="2:12" ht="15.75" hidden="1" outlineLevel="1" thickBot="1">
      <c r="B98" s="7">
        <f t="shared" si="8"/>
        <v>8</v>
      </c>
      <c r="C98" s="41" t="s">
        <v>9</v>
      </c>
      <c r="D98" s="41" t="s">
        <v>366</v>
      </c>
      <c r="E98" s="58" t="s">
        <v>374</v>
      </c>
      <c r="F98" s="41"/>
      <c r="G98" s="41">
        <v>2013</v>
      </c>
      <c r="H98" s="41"/>
      <c r="I98" s="42">
        <v>45552</v>
      </c>
      <c r="J98" s="41" t="s">
        <v>176</v>
      </c>
      <c r="K98" s="41">
        <v>51.1</v>
      </c>
      <c r="L98" s="43"/>
    </row>
    <row r="99" spans="2:12" ht="15.75" hidden="1" outlineLevel="1" thickBot="1">
      <c r="B99" s="7">
        <f t="shared" si="8"/>
        <v>9</v>
      </c>
      <c r="C99" s="41" t="s">
        <v>9</v>
      </c>
      <c r="D99" s="41" t="s">
        <v>366</v>
      </c>
      <c r="E99" s="58" t="s">
        <v>375</v>
      </c>
      <c r="F99" s="41"/>
      <c r="G99" s="41">
        <v>2012</v>
      </c>
      <c r="H99" s="41"/>
      <c r="I99" s="42">
        <v>45496</v>
      </c>
      <c r="J99" s="41" t="s">
        <v>176</v>
      </c>
      <c r="K99" s="41">
        <v>0</v>
      </c>
      <c r="L99" s="43"/>
    </row>
    <row r="100" spans="2:12" ht="15.75" hidden="1" outlineLevel="1" thickBot="1">
      <c r="B100" s="7">
        <f t="shared" si="8"/>
        <v>10</v>
      </c>
      <c r="C100" s="41" t="s">
        <v>9</v>
      </c>
      <c r="D100" s="41" t="s">
        <v>366</v>
      </c>
      <c r="E100" s="58" t="s">
        <v>376</v>
      </c>
      <c r="F100" s="41"/>
      <c r="G100" s="41">
        <v>2014</v>
      </c>
      <c r="H100" s="41"/>
      <c r="I100" s="42">
        <v>45337</v>
      </c>
      <c r="J100" s="41" t="s">
        <v>176</v>
      </c>
      <c r="K100" s="41">
        <v>0</v>
      </c>
      <c r="L100" s="43"/>
    </row>
    <row r="101" spans="2:12" ht="15.75" hidden="1" outlineLevel="1" thickBot="1">
      <c r="B101" s="7">
        <f t="shared" si="8"/>
        <v>11</v>
      </c>
      <c r="C101" s="41" t="s">
        <v>9</v>
      </c>
      <c r="D101" s="41" t="s">
        <v>366</v>
      </c>
      <c r="E101" s="41" t="s">
        <v>377</v>
      </c>
      <c r="F101" s="41"/>
      <c r="G101" s="41">
        <v>2014</v>
      </c>
      <c r="H101" s="41"/>
      <c r="I101" s="42">
        <v>45337</v>
      </c>
      <c r="J101" s="41" t="s">
        <v>176</v>
      </c>
      <c r="K101" s="41">
        <v>0</v>
      </c>
      <c r="L101" s="43"/>
    </row>
    <row r="102" spans="2:12" ht="15.75" hidden="1" outlineLevel="1" thickBot="1">
      <c r="B102" s="7">
        <f t="shared" si="8"/>
        <v>12</v>
      </c>
      <c r="C102" s="41" t="s">
        <v>9</v>
      </c>
      <c r="D102" s="41" t="s">
        <v>366</v>
      </c>
      <c r="E102" s="41" t="s">
        <v>378</v>
      </c>
      <c r="F102" s="41"/>
      <c r="G102" s="41">
        <v>2014</v>
      </c>
      <c r="H102" s="41"/>
      <c r="I102" s="42">
        <v>45337</v>
      </c>
      <c r="J102" s="41" t="s">
        <v>176</v>
      </c>
      <c r="K102" s="41">
        <v>0</v>
      </c>
      <c r="L102" s="43"/>
    </row>
    <row r="103" spans="2:12" ht="15.75" hidden="1" outlineLevel="1" thickBot="1">
      <c r="B103" s="7">
        <f t="shared" si="8"/>
        <v>13</v>
      </c>
      <c r="C103" s="41" t="s">
        <v>9</v>
      </c>
      <c r="D103" s="41" t="s">
        <v>366</v>
      </c>
      <c r="E103" s="41" t="s">
        <v>379</v>
      </c>
      <c r="F103" s="41"/>
      <c r="G103" s="41">
        <v>2018</v>
      </c>
      <c r="H103" s="41"/>
      <c r="I103" s="42">
        <v>45392</v>
      </c>
      <c r="J103" s="41" t="s">
        <v>176</v>
      </c>
      <c r="K103" s="41">
        <v>39</v>
      </c>
      <c r="L103" s="43"/>
    </row>
    <row r="104" spans="2:12" ht="15.75" hidden="1" outlineLevel="1" thickBot="1">
      <c r="B104" s="7">
        <f t="shared" si="8"/>
        <v>14</v>
      </c>
      <c r="C104" s="41" t="s">
        <v>9</v>
      </c>
      <c r="D104" s="41" t="s">
        <v>366</v>
      </c>
      <c r="E104" s="41" t="s">
        <v>380</v>
      </c>
      <c r="F104" s="41"/>
      <c r="G104" s="41">
        <v>2015</v>
      </c>
      <c r="H104" s="41"/>
      <c r="I104" s="42">
        <v>45482</v>
      </c>
      <c r="J104" s="41" t="s">
        <v>176</v>
      </c>
      <c r="K104" s="41">
        <v>0</v>
      </c>
      <c r="L104" s="43"/>
    </row>
    <row r="105" spans="2:12" ht="15.75" hidden="1" outlineLevel="1" thickBot="1">
      <c r="B105" s="7">
        <f t="shared" si="8"/>
        <v>15</v>
      </c>
      <c r="C105" s="41" t="s">
        <v>9</v>
      </c>
      <c r="D105" s="41" t="s">
        <v>366</v>
      </c>
      <c r="E105" s="41" t="s">
        <v>381</v>
      </c>
      <c r="F105" s="41"/>
      <c r="G105" s="41">
        <v>2015</v>
      </c>
      <c r="H105" s="41"/>
      <c r="I105" s="42">
        <v>45727</v>
      </c>
      <c r="J105" s="41" t="s">
        <v>176</v>
      </c>
      <c r="K105" s="41">
        <v>0</v>
      </c>
      <c r="L105" s="43"/>
    </row>
    <row r="106" spans="2:12" ht="15.75" hidden="1" outlineLevel="1" thickBot="1">
      <c r="B106" s="7">
        <f t="shared" si="8"/>
        <v>16</v>
      </c>
      <c r="C106" s="41" t="s">
        <v>9</v>
      </c>
      <c r="D106" s="41" t="s">
        <v>366</v>
      </c>
      <c r="E106" s="41" t="s">
        <v>382</v>
      </c>
      <c r="F106" s="41"/>
      <c r="G106" s="41">
        <v>2015</v>
      </c>
      <c r="H106" s="41"/>
      <c r="I106" s="42">
        <v>45482</v>
      </c>
      <c r="J106" s="41" t="s">
        <v>176</v>
      </c>
      <c r="K106" s="41">
        <v>0</v>
      </c>
      <c r="L106" s="43"/>
    </row>
    <row r="107" spans="2:12" ht="15.75" hidden="1" outlineLevel="1" thickBot="1">
      <c r="B107" s="7">
        <f t="shared" si="8"/>
        <v>17</v>
      </c>
      <c r="C107" s="41" t="s">
        <v>9</v>
      </c>
      <c r="D107" s="41" t="s">
        <v>366</v>
      </c>
      <c r="E107" s="58" t="s">
        <v>383</v>
      </c>
      <c r="F107" s="41"/>
      <c r="G107" s="41">
        <v>2015</v>
      </c>
      <c r="H107" s="41"/>
      <c r="I107" s="42">
        <v>45727</v>
      </c>
      <c r="J107" s="41" t="s">
        <v>176</v>
      </c>
      <c r="K107" s="41">
        <v>0</v>
      </c>
      <c r="L107" s="43"/>
    </row>
    <row r="108" spans="2:12" ht="15.75" hidden="1" outlineLevel="1" thickBot="1">
      <c r="B108" s="7">
        <f t="shared" si="8"/>
        <v>18</v>
      </c>
      <c r="C108" s="41" t="s">
        <v>9</v>
      </c>
      <c r="D108" s="41" t="s">
        <v>366</v>
      </c>
      <c r="E108" s="41" t="s">
        <v>384</v>
      </c>
      <c r="F108" s="41"/>
      <c r="G108" s="41">
        <v>2015</v>
      </c>
      <c r="H108" s="41"/>
      <c r="I108" s="42">
        <v>45482</v>
      </c>
      <c r="J108" s="41" t="s">
        <v>176</v>
      </c>
      <c r="K108" s="41">
        <v>0</v>
      </c>
      <c r="L108" s="43"/>
    </row>
    <row r="109" spans="2:12" ht="15.75" hidden="1" outlineLevel="1" thickBot="1">
      <c r="B109" s="7">
        <f t="shared" si="8"/>
        <v>19</v>
      </c>
      <c r="C109" s="41" t="s">
        <v>9</v>
      </c>
      <c r="D109" s="41" t="s">
        <v>366</v>
      </c>
      <c r="E109" s="41" t="s">
        <v>385</v>
      </c>
      <c r="F109" s="41"/>
      <c r="G109" s="41">
        <v>2007</v>
      </c>
      <c r="H109" s="41"/>
      <c r="I109" s="42">
        <v>45601</v>
      </c>
      <c r="J109" s="41" t="s">
        <v>176</v>
      </c>
      <c r="K109" s="41">
        <v>0</v>
      </c>
      <c r="L109" s="43"/>
    </row>
    <row r="110" spans="2:12" ht="15.75" hidden="1" outlineLevel="1" thickBot="1">
      <c r="B110" s="7">
        <f t="shared" si="8"/>
        <v>20</v>
      </c>
      <c r="C110" s="41" t="s">
        <v>9</v>
      </c>
      <c r="D110" s="41" t="s">
        <v>366</v>
      </c>
      <c r="E110" s="41" t="s">
        <v>386</v>
      </c>
      <c r="F110" s="41"/>
      <c r="G110" s="41">
        <v>2007</v>
      </c>
      <c r="H110" s="41"/>
      <c r="I110" s="42">
        <v>45601</v>
      </c>
      <c r="J110" s="41" t="s">
        <v>176</v>
      </c>
      <c r="K110" s="41">
        <v>0</v>
      </c>
      <c r="L110" s="43"/>
    </row>
    <row r="111" spans="2:12" ht="15.75" hidden="1" outlineLevel="1" thickBot="1">
      <c r="B111" s="7">
        <f t="shared" si="8"/>
        <v>21</v>
      </c>
      <c r="C111" s="41" t="s">
        <v>9</v>
      </c>
      <c r="D111" s="41" t="s">
        <v>366</v>
      </c>
      <c r="E111" s="41" t="s">
        <v>387</v>
      </c>
      <c r="F111" s="41"/>
      <c r="G111" s="41">
        <v>2007</v>
      </c>
      <c r="H111" s="41"/>
      <c r="I111" s="42">
        <v>45601</v>
      </c>
      <c r="J111" s="41" t="s">
        <v>176</v>
      </c>
      <c r="K111" s="41">
        <v>0</v>
      </c>
      <c r="L111" s="43"/>
    </row>
    <row r="112" spans="2:12" ht="15.75" hidden="1" outlineLevel="1" thickBot="1">
      <c r="B112" s="7">
        <f t="shared" si="8"/>
        <v>22</v>
      </c>
      <c r="C112" s="41" t="s">
        <v>9</v>
      </c>
      <c r="D112" s="41" t="s">
        <v>366</v>
      </c>
      <c r="E112" s="41" t="s">
        <v>388</v>
      </c>
      <c r="F112" s="41"/>
      <c r="G112" s="41">
        <v>2016</v>
      </c>
      <c r="H112" s="41"/>
      <c r="I112" s="42">
        <v>45363</v>
      </c>
      <c r="J112" s="41" t="s">
        <v>176</v>
      </c>
      <c r="K112" s="41">
        <v>0</v>
      </c>
      <c r="L112" s="43"/>
    </row>
    <row r="113" spans="2:12" ht="15.75" hidden="1" outlineLevel="1" thickBot="1">
      <c r="B113" s="7">
        <f t="shared" si="8"/>
        <v>23</v>
      </c>
      <c r="C113" s="41" t="s">
        <v>9</v>
      </c>
      <c r="D113" s="41" t="s">
        <v>366</v>
      </c>
      <c r="E113" s="41" t="s">
        <v>389</v>
      </c>
      <c r="F113" s="41"/>
      <c r="G113" s="41">
        <v>2016</v>
      </c>
      <c r="H113" s="41"/>
      <c r="I113" s="42">
        <v>45440</v>
      </c>
      <c r="J113" s="41" t="s">
        <v>176</v>
      </c>
      <c r="K113" s="41">
        <v>17.3</v>
      </c>
      <c r="L113" s="43"/>
    </row>
    <row r="114" spans="2:12" ht="15.75" hidden="1" outlineLevel="1" thickBot="1">
      <c r="B114" s="7">
        <f t="shared" si="8"/>
        <v>24</v>
      </c>
      <c r="C114" s="41" t="s">
        <v>9</v>
      </c>
      <c r="D114" s="41"/>
      <c r="E114" s="41"/>
      <c r="F114" s="41"/>
      <c r="G114" s="41"/>
      <c r="H114" s="41"/>
      <c r="I114" s="42"/>
      <c r="J114" s="41"/>
      <c r="K114" s="41"/>
      <c r="L114" s="43"/>
    </row>
    <row r="115" spans="2:12" ht="15.75" hidden="1" outlineLevel="1" thickBot="1">
      <c r="B115" s="7">
        <f t="shared" si="8"/>
        <v>25</v>
      </c>
      <c r="C115" s="41" t="s">
        <v>9</v>
      </c>
      <c r="D115" s="41"/>
      <c r="E115" s="41"/>
      <c r="F115" s="41"/>
      <c r="G115" s="41"/>
      <c r="H115" s="41"/>
      <c r="I115" s="42"/>
      <c r="J115" s="41"/>
      <c r="K115" s="41"/>
      <c r="L115" s="43"/>
    </row>
    <row r="116" spans="2:12" ht="15.75" hidden="1" outlineLevel="1" thickBot="1">
      <c r="B116" s="7">
        <f t="shared" si="8"/>
        <v>26</v>
      </c>
      <c r="C116" s="41" t="s">
        <v>9</v>
      </c>
      <c r="D116" s="41"/>
      <c r="E116" s="41"/>
      <c r="F116" s="41"/>
      <c r="G116" s="41"/>
      <c r="H116" s="41"/>
      <c r="I116" s="42"/>
      <c r="J116" s="41"/>
      <c r="K116" s="41"/>
      <c r="L116" s="43"/>
    </row>
    <row r="117" spans="2:12" ht="15.75" hidden="1" outlineLevel="1" thickBot="1">
      <c r="B117" s="7">
        <f t="shared" si="8"/>
        <v>27</v>
      </c>
      <c r="C117" s="41" t="s">
        <v>9</v>
      </c>
      <c r="D117" s="41"/>
      <c r="E117" s="41"/>
      <c r="F117" s="41"/>
      <c r="G117" s="41"/>
      <c r="H117" s="41"/>
      <c r="I117" s="42"/>
      <c r="J117" s="41"/>
      <c r="K117" s="41"/>
      <c r="L117" s="43"/>
    </row>
    <row r="118" spans="2:12" ht="15.75" hidden="1" outlineLevel="1" thickBot="1">
      <c r="B118" s="7">
        <f t="shared" si="8"/>
        <v>28</v>
      </c>
      <c r="C118" s="41" t="s">
        <v>9</v>
      </c>
      <c r="D118" s="41"/>
      <c r="E118" s="41"/>
      <c r="F118" s="41"/>
      <c r="G118" s="41"/>
      <c r="H118" s="41"/>
      <c r="I118" s="42"/>
      <c r="J118" s="41"/>
      <c r="K118" s="41"/>
      <c r="L118" s="43"/>
    </row>
    <row r="119" spans="2:12" ht="15.75" hidden="1" outlineLevel="1" thickBot="1">
      <c r="B119" s="7">
        <f t="shared" si="8"/>
        <v>29</v>
      </c>
      <c r="C119" s="41" t="s">
        <v>9</v>
      </c>
      <c r="D119" s="41"/>
      <c r="E119" s="41"/>
      <c r="F119" s="41"/>
      <c r="G119" s="41"/>
      <c r="H119" s="41"/>
      <c r="I119" s="42"/>
      <c r="J119" s="41"/>
      <c r="K119" s="41"/>
      <c r="L119" s="43"/>
    </row>
    <row r="120" spans="2:12" ht="15.75" hidden="1" outlineLevel="1" thickBot="1">
      <c r="B120" s="7">
        <f t="shared" si="8"/>
        <v>30</v>
      </c>
      <c r="C120" s="41" t="s">
        <v>9</v>
      </c>
      <c r="D120" s="41"/>
      <c r="E120" s="41"/>
      <c r="F120" s="41"/>
      <c r="G120" s="41"/>
      <c r="H120" s="41"/>
      <c r="I120" s="42"/>
      <c r="J120" s="41"/>
      <c r="K120" s="41"/>
      <c r="L120" s="43"/>
    </row>
    <row r="121" spans="2:12" ht="15.75" hidden="1" outlineLevel="1" thickBot="1">
      <c r="B121" s="7">
        <f t="shared" si="8"/>
        <v>31</v>
      </c>
      <c r="C121" s="41" t="s">
        <v>9</v>
      </c>
      <c r="D121" s="41"/>
      <c r="E121" s="41"/>
      <c r="F121" s="41"/>
      <c r="G121" s="41"/>
      <c r="H121" s="41"/>
      <c r="I121" s="42"/>
      <c r="J121" s="41"/>
      <c r="K121" s="41"/>
      <c r="L121" s="43"/>
    </row>
    <row r="122" spans="2:12" ht="15.75" hidden="1" outlineLevel="1" thickBot="1">
      <c r="B122" s="7">
        <f t="shared" si="8"/>
        <v>32</v>
      </c>
      <c r="C122" s="41" t="s">
        <v>9</v>
      </c>
      <c r="D122" s="41"/>
      <c r="E122" s="41"/>
      <c r="F122" s="41"/>
      <c r="G122" s="41"/>
      <c r="H122" s="41"/>
      <c r="I122" s="42"/>
      <c r="J122" s="41"/>
      <c r="K122" s="41"/>
      <c r="L122" s="43"/>
    </row>
    <row r="123" spans="2:12" ht="15.75" hidden="1" outlineLevel="1" thickBot="1">
      <c r="B123" s="7">
        <f t="shared" si="8"/>
        <v>33</v>
      </c>
      <c r="C123" s="41" t="s">
        <v>9</v>
      </c>
      <c r="D123" s="41"/>
      <c r="E123" s="41"/>
      <c r="F123" s="41"/>
      <c r="G123" s="41"/>
      <c r="H123" s="41"/>
      <c r="I123" s="42"/>
      <c r="J123" s="41"/>
      <c r="K123" s="41"/>
      <c r="L123" s="43"/>
    </row>
    <row r="124" spans="2:12" ht="15.75" hidden="1" outlineLevel="1" thickBot="1">
      <c r="B124" s="7">
        <f t="shared" si="8"/>
        <v>34</v>
      </c>
      <c r="C124" s="41" t="s">
        <v>9</v>
      </c>
      <c r="D124" s="41"/>
      <c r="E124" s="41"/>
      <c r="F124" s="41"/>
      <c r="G124" s="41"/>
      <c r="H124" s="41"/>
      <c r="I124" s="42"/>
      <c r="J124" s="41"/>
      <c r="K124" s="41"/>
      <c r="L124" s="43"/>
    </row>
    <row r="125" spans="2:12" ht="15.75" hidden="1" outlineLevel="1" thickBot="1">
      <c r="B125" s="7">
        <f t="shared" si="8"/>
        <v>35</v>
      </c>
      <c r="C125" s="41" t="s">
        <v>9</v>
      </c>
      <c r="D125" s="41"/>
      <c r="E125" s="41"/>
      <c r="F125" s="41"/>
      <c r="G125" s="41"/>
      <c r="H125" s="41"/>
      <c r="I125" s="42"/>
      <c r="J125" s="41"/>
      <c r="K125" s="41"/>
      <c r="L125" s="43"/>
    </row>
    <row r="126" spans="2:12" ht="15.75" hidden="1" outlineLevel="1" thickBot="1">
      <c r="B126" s="7">
        <f t="shared" si="8"/>
        <v>36</v>
      </c>
      <c r="C126" s="41" t="s">
        <v>9</v>
      </c>
      <c r="D126" s="41"/>
      <c r="E126" s="41"/>
      <c r="F126" s="41"/>
      <c r="G126" s="41"/>
      <c r="H126" s="41"/>
      <c r="I126" s="42"/>
      <c r="J126" s="41"/>
      <c r="K126" s="41"/>
      <c r="L126" s="43"/>
    </row>
    <row r="127" spans="2:12" ht="15.75" hidden="1" outlineLevel="1" thickBot="1">
      <c r="B127" s="7">
        <f t="shared" si="8"/>
        <v>37</v>
      </c>
      <c r="C127" s="41" t="s">
        <v>9</v>
      </c>
      <c r="D127" s="41"/>
      <c r="E127" s="58"/>
      <c r="F127" s="41"/>
      <c r="G127" s="41"/>
      <c r="H127" s="41"/>
      <c r="I127" s="42"/>
      <c r="J127" s="41"/>
      <c r="K127" s="41"/>
      <c r="L127" s="43"/>
    </row>
    <row r="128" spans="2:12" ht="15.75" hidden="1" outlineLevel="1" thickBot="1">
      <c r="B128" s="7">
        <f t="shared" si="8"/>
        <v>38</v>
      </c>
      <c r="C128" s="41" t="s">
        <v>9</v>
      </c>
      <c r="D128" s="41"/>
      <c r="E128" s="58"/>
      <c r="F128" s="41"/>
      <c r="G128" s="41"/>
      <c r="H128" s="41"/>
      <c r="I128" s="42"/>
      <c r="J128" s="41"/>
      <c r="K128" s="41"/>
      <c r="L128" s="43"/>
    </row>
    <row r="129" spans="2:12" ht="15.75" hidden="1" outlineLevel="1" thickBot="1">
      <c r="B129" s="7">
        <f t="shared" si="8"/>
        <v>39</v>
      </c>
      <c r="C129" s="41" t="s">
        <v>9</v>
      </c>
      <c r="D129" s="41"/>
      <c r="E129" s="41"/>
      <c r="F129" s="41"/>
      <c r="G129" s="41"/>
      <c r="H129" s="41"/>
      <c r="I129" s="42"/>
      <c r="J129" s="41"/>
      <c r="K129" s="41"/>
      <c r="L129" s="43"/>
    </row>
    <row r="130" spans="2:12" ht="15.75" hidden="1" outlineLevel="1" thickBot="1">
      <c r="B130" s="7">
        <f t="shared" si="8"/>
        <v>40</v>
      </c>
      <c r="C130" s="41" t="s">
        <v>9</v>
      </c>
      <c r="D130" s="41"/>
      <c r="E130" s="41"/>
      <c r="F130" s="41"/>
      <c r="G130" s="41"/>
      <c r="H130" s="41"/>
      <c r="I130" s="42"/>
      <c r="J130" s="41"/>
      <c r="K130" s="41"/>
      <c r="L130" s="43"/>
    </row>
    <row r="131" spans="2:12" ht="15.75" hidden="1" outlineLevel="1" thickBot="1">
      <c r="B131" s="7">
        <f t="shared" si="8"/>
        <v>41</v>
      </c>
      <c r="C131" s="41" t="s">
        <v>9</v>
      </c>
      <c r="D131" s="41"/>
      <c r="E131" s="41"/>
      <c r="F131" s="41"/>
      <c r="G131" s="41"/>
      <c r="H131" s="41"/>
      <c r="I131" s="42"/>
      <c r="J131" s="41"/>
      <c r="K131" s="41"/>
      <c r="L131" s="43"/>
    </row>
    <row r="132" spans="2:12" ht="15.75" hidden="1" outlineLevel="1" thickBot="1">
      <c r="B132" s="7">
        <f t="shared" si="8"/>
        <v>42</v>
      </c>
      <c r="C132" s="41" t="s">
        <v>9</v>
      </c>
      <c r="D132" s="41"/>
      <c r="E132" s="41"/>
      <c r="F132" s="41"/>
      <c r="G132" s="41"/>
      <c r="H132" s="41"/>
      <c r="I132" s="42"/>
      <c r="J132" s="41"/>
      <c r="K132" s="41"/>
      <c r="L132" s="43"/>
    </row>
    <row r="133" spans="2:12" ht="15.75" hidden="1" outlineLevel="1" thickBot="1">
      <c r="B133" s="7">
        <f t="shared" si="8"/>
        <v>43</v>
      </c>
      <c r="C133" s="41" t="s">
        <v>9</v>
      </c>
      <c r="D133" s="41"/>
      <c r="E133" s="41"/>
      <c r="F133" s="41"/>
      <c r="G133" s="41"/>
      <c r="H133" s="41"/>
      <c r="I133" s="42"/>
      <c r="J133" s="41"/>
      <c r="K133" s="41"/>
      <c r="L133" s="43"/>
    </row>
    <row r="134" spans="2:12" ht="15.75" hidden="1" outlineLevel="1" thickBot="1">
      <c r="B134" s="7">
        <f t="shared" si="8"/>
        <v>44</v>
      </c>
      <c r="C134" s="41" t="s">
        <v>9</v>
      </c>
      <c r="D134" s="41"/>
      <c r="E134" s="41"/>
      <c r="F134" s="41"/>
      <c r="G134" s="41"/>
      <c r="H134" s="41"/>
      <c r="I134" s="42"/>
      <c r="J134" s="41"/>
      <c r="K134" s="41"/>
      <c r="L134" s="43"/>
    </row>
    <row r="135" spans="2:12" ht="15.75" hidden="1" outlineLevel="1" thickBot="1">
      <c r="B135" s="7">
        <f t="shared" si="8"/>
        <v>45</v>
      </c>
      <c r="C135" s="41" t="s">
        <v>9</v>
      </c>
      <c r="D135" s="41"/>
      <c r="E135" s="41"/>
      <c r="F135" s="41"/>
      <c r="G135" s="41"/>
      <c r="H135" s="41"/>
      <c r="I135" s="42"/>
      <c r="J135" s="41"/>
      <c r="K135" s="41"/>
      <c r="L135" s="43"/>
    </row>
    <row r="136" spans="2:12" ht="15.75" hidden="1" outlineLevel="1" thickBot="1">
      <c r="B136" s="7">
        <f t="shared" si="8"/>
        <v>46</v>
      </c>
      <c r="C136" s="41" t="s">
        <v>9</v>
      </c>
      <c r="D136" s="41"/>
      <c r="E136" s="41"/>
      <c r="F136" s="41"/>
      <c r="G136" s="41"/>
      <c r="H136" s="41"/>
      <c r="I136" s="42"/>
      <c r="J136" s="41"/>
      <c r="K136" s="41"/>
      <c r="L136" s="43"/>
    </row>
    <row r="137" spans="2:12" ht="15.75" hidden="1" outlineLevel="1" thickBot="1">
      <c r="B137" s="7">
        <f t="shared" si="8"/>
        <v>47</v>
      </c>
      <c r="C137" s="41" t="s">
        <v>9</v>
      </c>
      <c r="D137" s="41"/>
      <c r="E137" s="41"/>
      <c r="F137" s="41"/>
      <c r="G137" s="41"/>
      <c r="H137" s="41"/>
      <c r="I137" s="42"/>
      <c r="J137" s="41"/>
      <c r="K137" s="41"/>
      <c r="L137" s="43"/>
    </row>
    <row r="138" spans="2:12" ht="15.75" hidden="1" outlineLevel="1" thickBot="1">
      <c r="B138" s="7">
        <f t="shared" si="8"/>
        <v>48</v>
      </c>
      <c r="C138" s="41" t="s">
        <v>9</v>
      </c>
      <c r="D138" s="41"/>
      <c r="E138" s="41"/>
      <c r="F138" s="41"/>
      <c r="G138" s="41"/>
      <c r="H138" s="41"/>
      <c r="I138" s="42"/>
      <c r="J138" s="41"/>
      <c r="K138" s="41"/>
      <c r="L138" s="43"/>
    </row>
    <row r="139" spans="2:12" ht="15.75" hidden="1" outlineLevel="1" thickBot="1">
      <c r="B139" s="7">
        <f t="shared" si="8"/>
        <v>49</v>
      </c>
      <c r="C139" s="41" t="s">
        <v>9</v>
      </c>
      <c r="D139" s="41"/>
      <c r="E139" s="41"/>
      <c r="F139" s="41"/>
      <c r="G139" s="41"/>
      <c r="H139" s="41"/>
      <c r="I139" s="42"/>
      <c r="J139" s="41"/>
      <c r="K139" s="41"/>
      <c r="L139" s="43"/>
    </row>
    <row r="140" spans="2:12" ht="15.75" hidden="1" outlineLevel="1" thickBot="1">
      <c r="B140" s="7">
        <f t="shared" si="8"/>
        <v>50</v>
      </c>
      <c r="C140" s="41" t="s">
        <v>9</v>
      </c>
      <c r="D140" s="41"/>
      <c r="E140" s="41"/>
      <c r="F140" s="41"/>
      <c r="G140" s="41"/>
      <c r="H140" s="41"/>
      <c r="I140" s="42"/>
      <c r="J140" s="41"/>
      <c r="K140" s="41"/>
      <c r="L140" s="43"/>
    </row>
    <row r="141" spans="2:12" ht="15.75" hidden="1" outlineLevel="1" thickBot="1">
      <c r="B141" s="7">
        <f t="shared" si="8"/>
        <v>51</v>
      </c>
      <c r="C141" s="41" t="s">
        <v>9</v>
      </c>
      <c r="D141" s="41"/>
      <c r="E141" s="41"/>
      <c r="F141" s="41"/>
      <c r="G141" s="41"/>
      <c r="H141" s="41"/>
      <c r="I141" s="42"/>
      <c r="J141" s="41"/>
      <c r="K141" s="41"/>
      <c r="L141" s="43"/>
    </row>
    <row r="142" spans="2:12" ht="15.75" hidden="1" outlineLevel="1" thickBot="1">
      <c r="B142" s="7">
        <f t="shared" si="8"/>
        <v>52</v>
      </c>
      <c r="C142" s="41" t="s">
        <v>9</v>
      </c>
      <c r="D142" s="41"/>
      <c r="E142" s="41"/>
      <c r="F142" s="41"/>
      <c r="G142" s="41"/>
      <c r="H142" s="41"/>
      <c r="I142" s="42"/>
      <c r="J142" s="41"/>
      <c r="K142" s="41"/>
      <c r="L142" s="43"/>
    </row>
    <row r="143" spans="2:12" ht="15.75" hidden="1" outlineLevel="1" thickBot="1">
      <c r="B143" s="7">
        <f t="shared" si="8"/>
        <v>53</v>
      </c>
      <c r="C143" s="41" t="s">
        <v>9</v>
      </c>
      <c r="D143" s="41"/>
      <c r="E143" s="41"/>
      <c r="F143" s="41"/>
      <c r="G143" s="41"/>
      <c r="H143" s="41"/>
      <c r="I143" s="42"/>
      <c r="J143" s="41"/>
      <c r="K143" s="41"/>
      <c r="L143" s="43"/>
    </row>
    <row r="144" spans="2:12" ht="15.75" hidden="1" outlineLevel="1" thickBot="1">
      <c r="B144" s="7">
        <f t="shared" si="8"/>
        <v>54</v>
      </c>
      <c r="C144" s="41" t="s">
        <v>9</v>
      </c>
      <c r="D144" s="41"/>
      <c r="E144" s="41"/>
      <c r="F144" s="41"/>
      <c r="G144" s="41"/>
      <c r="H144" s="41"/>
      <c r="I144" s="42"/>
      <c r="J144" s="41"/>
      <c r="K144" s="41"/>
      <c r="L144" s="43"/>
    </row>
    <row r="145" spans="2:12" ht="15.75" hidden="1" outlineLevel="1" thickBot="1">
      <c r="B145" s="7">
        <f t="shared" si="8"/>
        <v>55</v>
      </c>
      <c r="C145" s="41" t="s">
        <v>9</v>
      </c>
      <c r="D145" s="41"/>
      <c r="E145" s="41"/>
      <c r="F145" s="41"/>
      <c r="G145" s="41"/>
      <c r="H145" s="41"/>
      <c r="I145" s="42"/>
      <c r="J145" s="41"/>
      <c r="K145" s="41"/>
      <c r="L145" s="43"/>
    </row>
    <row r="146" spans="2:12" ht="15.75" hidden="1" outlineLevel="1" thickBot="1">
      <c r="B146" s="7">
        <f t="shared" si="8"/>
        <v>56</v>
      </c>
      <c r="C146" s="41" t="s">
        <v>9</v>
      </c>
      <c r="D146" s="41"/>
      <c r="E146" s="41"/>
      <c r="F146" s="41"/>
      <c r="G146" s="41"/>
      <c r="H146" s="41"/>
      <c r="I146" s="42"/>
      <c r="J146" s="41"/>
      <c r="K146" s="41"/>
      <c r="L146" s="43"/>
    </row>
    <row r="147" spans="2:12" ht="15.75" hidden="1" outlineLevel="1" thickBot="1">
      <c r="B147" s="7">
        <f t="shared" si="8"/>
        <v>57</v>
      </c>
      <c r="C147" s="41" t="s">
        <v>9</v>
      </c>
      <c r="D147" s="41"/>
      <c r="E147" s="41"/>
      <c r="F147" s="41"/>
      <c r="G147" s="41"/>
      <c r="H147" s="41"/>
      <c r="I147" s="42"/>
      <c r="J147" s="41"/>
      <c r="K147" s="41"/>
      <c r="L147" s="43"/>
    </row>
    <row r="148" spans="2:12" ht="15.75" hidden="1" outlineLevel="1" thickBot="1">
      <c r="B148" s="7">
        <f t="shared" si="8"/>
        <v>58</v>
      </c>
      <c r="C148" s="41" t="s">
        <v>9</v>
      </c>
      <c r="D148" s="41"/>
      <c r="E148" s="41"/>
      <c r="F148" s="41"/>
      <c r="G148" s="41"/>
      <c r="H148" s="41"/>
      <c r="I148" s="42"/>
      <c r="J148" s="41"/>
      <c r="K148" s="41"/>
      <c r="L148" s="43"/>
    </row>
    <row r="149" spans="2:12" ht="15.75" hidden="1" outlineLevel="1" thickBot="1">
      <c r="B149" s="7">
        <f t="shared" si="8"/>
        <v>59</v>
      </c>
      <c r="C149" s="41" t="s">
        <v>9</v>
      </c>
      <c r="D149" s="41"/>
      <c r="E149" s="41"/>
      <c r="F149" s="41"/>
      <c r="G149" s="41"/>
      <c r="H149" s="41"/>
      <c r="I149" s="42"/>
      <c r="J149" s="41"/>
      <c r="K149" s="41"/>
      <c r="L149" s="43"/>
    </row>
    <row r="150" spans="2:12" ht="15.75" hidden="1" outlineLevel="1" thickBot="1">
      <c r="B150" s="7">
        <f t="shared" si="8"/>
        <v>60</v>
      </c>
      <c r="C150" s="41" t="s">
        <v>9</v>
      </c>
      <c r="D150" s="41"/>
      <c r="E150" s="41"/>
      <c r="F150" s="41"/>
      <c r="G150" s="41"/>
      <c r="H150" s="41"/>
      <c r="I150" s="42"/>
      <c r="J150" s="41"/>
      <c r="K150" s="41"/>
      <c r="L150" s="43"/>
    </row>
    <row r="151" spans="2:12" ht="15.75" hidden="1" outlineLevel="1" thickBot="1">
      <c r="B151" s="7">
        <f t="shared" si="8"/>
        <v>61</v>
      </c>
      <c r="C151" s="41" t="s">
        <v>9</v>
      </c>
      <c r="D151" s="41"/>
      <c r="E151" s="41"/>
      <c r="F151" s="41"/>
      <c r="G151" s="41"/>
      <c r="H151" s="41"/>
      <c r="I151" s="42"/>
      <c r="J151" s="41"/>
      <c r="K151" s="41"/>
      <c r="L151" s="43"/>
    </row>
    <row r="152" spans="2:12" ht="15.75" hidden="1" outlineLevel="1" thickBot="1">
      <c r="B152" s="7">
        <f t="shared" si="8"/>
        <v>62</v>
      </c>
      <c r="C152" s="41" t="s">
        <v>9</v>
      </c>
      <c r="D152" s="41"/>
      <c r="E152" s="58"/>
      <c r="F152" s="41"/>
      <c r="G152" s="41"/>
      <c r="H152" s="41"/>
      <c r="I152" s="42"/>
      <c r="J152" s="41"/>
      <c r="K152" s="41"/>
      <c r="L152" s="43"/>
    </row>
    <row r="153" spans="2:12" ht="15.75" hidden="1" outlineLevel="1" thickBot="1">
      <c r="B153" s="7">
        <f t="shared" si="8"/>
        <v>63</v>
      </c>
      <c r="C153" s="41" t="s">
        <v>9</v>
      </c>
      <c r="D153" s="41"/>
      <c r="E153" s="41"/>
      <c r="F153" s="41"/>
      <c r="G153" s="41"/>
      <c r="H153" s="41"/>
      <c r="I153" s="42"/>
      <c r="J153" s="41"/>
      <c r="K153" s="41"/>
      <c r="L153" s="43"/>
    </row>
    <row r="154" spans="2:12" ht="15.75" hidden="1" outlineLevel="1" thickBot="1">
      <c r="B154" s="7">
        <f t="shared" si="8"/>
        <v>64</v>
      </c>
      <c r="C154" s="41" t="s">
        <v>9</v>
      </c>
      <c r="D154" s="41"/>
      <c r="E154" s="41"/>
      <c r="F154" s="41"/>
      <c r="G154" s="41"/>
      <c r="H154" s="41"/>
      <c r="I154" s="42"/>
      <c r="J154" s="41"/>
      <c r="K154" s="41"/>
      <c r="L154" s="43"/>
    </row>
    <row r="155" spans="2:12" ht="15.75" hidden="1" outlineLevel="1" thickBot="1">
      <c r="B155" s="7">
        <f t="shared" si="8"/>
        <v>65</v>
      </c>
      <c r="C155" s="41" t="s">
        <v>9</v>
      </c>
      <c r="D155" s="41"/>
      <c r="E155" s="41"/>
      <c r="F155" s="41"/>
      <c r="G155" s="41"/>
      <c r="H155" s="41"/>
      <c r="I155" s="42"/>
      <c r="J155" s="41"/>
      <c r="K155" s="41"/>
      <c r="L155" s="43"/>
    </row>
    <row r="156" spans="2:12" ht="15.75" hidden="1" outlineLevel="1" thickBot="1">
      <c r="B156" s="7">
        <f t="shared" si="8"/>
        <v>66</v>
      </c>
      <c r="C156" s="41" t="s">
        <v>9</v>
      </c>
      <c r="D156" s="41"/>
      <c r="E156" s="41"/>
      <c r="F156" s="41"/>
      <c r="G156" s="41"/>
      <c r="H156" s="41"/>
      <c r="I156" s="42"/>
      <c r="J156" s="41"/>
      <c r="K156" s="41"/>
      <c r="L156" s="43"/>
    </row>
    <row r="157" spans="2:12" ht="15.75" hidden="1" outlineLevel="1" thickBot="1">
      <c r="B157" s="7">
        <f t="shared" ref="B157:B220" si="9">IF(C157="","",(B156+1))</f>
        <v>67</v>
      </c>
      <c r="C157" s="41" t="s">
        <v>9</v>
      </c>
      <c r="D157" s="41"/>
      <c r="E157" s="41"/>
      <c r="F157" s="41"/>
      <c r="G157" s="41"/>
      <c r="H157" s="41"/>
      <c r="I157" s="42"/>
      <c r="J157" s="41"/>
      <c r="K157" s="41"/>
      <c r="L157" s="43"/>
    </row>
    <row r="158" spans="2:12" ht="15.75" hidden="1" outlineLevel="1" thickBot="1">
      <c r="B158" s="7">
        <f t="shared" si="9"/>
        <v>68</v>
      </c>
      <c r="C158" s="41" t="s">
        <v>9</v>
      </c>
      <c r="D158" s="41"/>
      <c r="E158" s="41"/>
      <c r="F158" s="41"/>
      <c r="G158" s="41"/>
      <c r="H158" s="41"/>
      <c r="I158" s="42"/>
      <c r="J158" s="41"/>
      <c r="K158" s="41"/>
      <c r="L158" s="43"/>
    </row>
    <row r="159" spans="2:12" ht="15.75" hidden="1" outlineLevel="1" thickBot="1">
      <c r="B159" s="7">
        <f t="shared" si="9"/>
        <v>69</v>
      </c>
      <c r="C159" s="41" t="s">
        <v>9</v>
      </c>
      <c r="D159" s="41"/>
      <c r="E159" s="58"/>
      <c r="F159" s="41"/>
      <c r="G159" s="41"/>
      <c r="H159" s="41"/>
      <c r="I159" s="42"/>
      <c r="J159" s="41"/>
      <c r="K159" s="41"/>
      <c r="L159" s="43"/>
    </row>
    <row r="160" spans="2:12" ht="15.75" hidden="1" outlineLevel="1" thickBot="1">
      <c r="B160" s="7">
        <f t="shared" si="9"/>
        <v>70</v>
      </c>
      <c r="C160" s="41" t="s">
        <v>9</v>
      </c>
      <c r="D160" s="41"/>
      <c r="E160" s="41"/>
      <c r="F160" s="41"/>
      <c r="G160" s="41"/>
      <c r="H160" s="41"/>
      <c r="I160" s="42"/>
      <c r="J160" s="41"/>
      <c r="K160" s="41"/>
      <c r="L160" s="43"/>
    </row>
    <row r="161" spans="2:12" ht="15.75" hidden="1" outlineLevel="1" thickBot="1">
      <c r="B161" s="7">
        <f t="shared" si="9"/>
        <v>71</v>
      </c>
      <c r="C161" s="41" t="s">
        <v>9</v>
      </c>
      <c r="D161" s="41"/>
      <c r="E161" s="58"/>
      <c r="F161" s="41"/>
      <c r="G161" s="41"/>
      <c r="H161" s="41"/>
      <c r="I161" s="42"/>
      <c r="J161" s="41"/>
      <c r="K161" s="41"/>
      <c r="L161" s="43"/>
    </row>
    <row r="162" spans="2:12" ht="15.75" hidden="1" outlineLevel="1" thickBot="1">
      <c r="B162" s="7">
        <f t="shared" si="9"/>
        <v>72</v>
      </c>
      <c r="C162" s="41" t="s">
        <v>9</v>
      </c>
      <c r="D162" s="41"/>
      <c r="E162" s="41"/>
      <c r="F162" s="41"/>
      <c r="G162" s="41"/>
      <c r="H162" s="41"/>
      <c r="I162" s="42"/>
      <c r="J162" s="41"/>
      <c r="K162" s="41"/>
      <c r="L162" s="43"/>
    </row>
    <row r="163" spans="2:12" ht="15.75" hidden="1" outlineLevel="1" thickBot="1">
      <c r="B163" s="7">
        <f t="shared" si="9"/>
        <v>73</v>
      </c>
      <c r="C163" s="41" t="s">
        <v>9</v>
      </c>
      <c r="D163" s="41"/>
      <c r="E163" s="41"/>
      <c r="F163" s="41"/>
      <c r="G163" s="41"/>
      <c r="H163" s="41"/>
      <c r="I163" s="42"/>
      <c r="J163" s="41"/>
      <c r="K163" s="41"/>
      <c r="L163" s="43"/>
    </row>
    <row r="164" spans="2:12" ht="15.75" hidden="1" outlineLevel="1" thickBot="1">
      <c r="B164" s="7">
        <f t="shared" si="9"/>
        <v>74</v>
      </c>
      <c r="C164" s="41" t="s">
        <v>9</v>
      </c>
      <c r="D164" s="41"/>
      <c r="E164" s="41"/>
      <c r="F164" s="41"/>
      <c r="G164" s="41"/>
      <c r="H164" s="41"/>
      <c r="I164" s="42"/>
      <c r="J164" s="41"/>
      <c r="K164" s="41"/>
      <c r="L164" s="43"/>
    </row>
    <row r="165" spans="2:12" ht="15.75" hidden="1" outlineLevel="1" thickBot="1">
      <c r="B165" s="7">
        <f t="shared" si="9"/>
        <v>75</v>
      </c>
      <c r="C165" s="41" t="s">
        <v>9</v>
      </c>
      <c r="D165" s="41"/>
      <c r="E165" s="41"/>
      <c r="F165" s="41"/>
      <c r="G165" s="41"/>
      <c r="H165" s="41"/>
      <c r="I165" s="42"/>
      <c r="J165" s="41"/>
      <c r="K165" s="41"/>
      <c r="L165" s="43"/>
    </row>
    <row r="166" spans="2:12" ht="15.75" hidden="1" outlineLevel="1" thickBot="1">
      <c r="B166" s="7">
        <f t="shared" si="9"/>
        <v>76</v>
      </c>
      <c r="C166" s="41" t="s">
        <v>9</v>
      </c>
      <c r="D166" s="41"/>
      <c r="E166" s="41"/>
      <c r="F166" s="41"/>
      <c r="G166" s="41"/>
      <c r="H166" s="41"/>
      <c r="I166" s="42"/>
      <c r="J166" s="41"/>
      <c r="K166" s="41"/>
      <c r="L166" s="43"/>
    </row>
    <row r="167" spans="2:12" ht="15.75" hidden="1" outlineLevel="1" thickBot="1">
      <c r="B167" s="7">
        <f t="shared" si="9"/>
        <v>77</v>
      </c>
      <c r="C167" s="41" t="s">
        <v>9</v>
      </c>
      <c r="D167" s="41"/>
      <c r="E167" s="58"/>
      <c r="F167" s="41"/>
      <c r="G167" s="41"/>
      <c r="H167" s="41"/>
      <c r="I167" s="42"/>
      <c r="J167" s="41"/>
      <c r="K167" s="41"/>
      <c r="L167" s="43"/>
    </row>
    <row r="168" spans="2:12" ht="15.75" hidden="1" outlineLevel="1" thickBot="1">
      <c r="B168" s="7">
        <f t="shared" si="9"/>
        <v>78</v>
      </c>
      <c r="C168" s="41" t="s">
        <v>9</v>
      </c>
      <c r="D168" s="41"/>
      <c r="E168" s="41"/>
      <c r="F168" s="41"/>
      <c r="G168" s="41"/>
      <c r="H168" s="41"/>
      <c r="I168" s="42"/>
      <c r="J168" s="41"/>
      <c r="K168" s="41"/>
      <c r="L168" s="43"/>
    </row>
    <row r="169" spans="2:12" ht="15.75" hidden="1" outlineLevel="1" thickBot="1">
      <c r="B169" s="7">
        <f t="shared" si="9"/>
        <v>79</v>
      </c>
      <c r="C169" s="41" t="s">
        <v>9</v>
      </c>
      <c r="D169" s="41"/>
      <c r="E169" s="41"/>
      <c r="F169" s="41"/>
      <c r="G169" s="41"/>
      <c r="H169" s="41"/>
      <c r="I169" s="42"/>
      <c r="J169" s="41"/>
      <c r="K169" s="41"/>
      <c r="L169" s="43"/>
    </row>
    <row r="170" spans="2:12" ht="15.75" hidden="1" outlineLevel="1" thickBot="1">
      <c r="B170" s="7">
        <f t="shared" si="9"/>
        <v>80</v>
      </c>
      <c r="C170" s="41" t="s">
        <v>9</v>
      </c>
      <c r="D170" s="41"/>
      <c r="E170" s="41"/>
      <c r="F170" s="41"/>
      <c r="G170" s="41"/>
      <c r="H170" s="41"/>
      <c r="I170" s="42"/>
      <c r="J170" s="41"/>
      <c r="K170" s="41"/>
      <c r="L170" s="43"/>
    </row>
    <row r="171" spans="2:12" ht="15.75" hidden="1" outlineLevel="1" thickBot="1">
      <c r="B171" s="7">
        <f t="shared" si="9"/>
        <v>81</v>
      </c>
      <c r="C171" s="41" t="s">
        <v>9</v>
      </c>
      <c r="D171" s="41"/>
      <c r="E171" s="41"/>
      <c r="F171" s="41"/>
      <c r="G171" s="41"/>
      <c r="H171" s="41"/>
      <c r="I171" s="42"/>
      <c r="J171" s="41"/>
      <c r="K171" s="41"/>
      <c r="L171" s="43"/>
    </row>
    <row r="172" spans="2:12" ht="15.75" hidden="1" outlineLevel="1" thickBot="1">
      <c r="B172" s="7">
        <f t="shared" si="9"/>
        <v>82</v>
      </c>
      <c r="C172" s="41" t="s">
        <v>9</v>
      </c>
      <c r="D172" s="41"/>
      <c r="E172" s="58"/>
      <c r="F172" s="41"/>
      <c r="G172" s="41"/>
      <c r="H172" s="41"/>
      <c r="I172" s="42"/>
      <c r="J172" s="41"/>
      <c r="K172" s="41"/>
      <c r="L172" s="43"/>
    </row>
    <row r="173" spans="2:12" ht="15.75" hidden="1" outlineLevel="1" thickBot="1">
      <c r="B173" s="7">
        <f t="shared" si="9"/>
        <v>83</v>
      </c>
      <c r="C173" s="41" t="s">
        <v>9</v>
      </c>
      <c r="D173" s="41"/>
      <c r="E173" s="41"/>
      <c r="F173" s="41"/>
      <c r="G173" s="41"/>
      <c r="H173" s="41"/>
      <c r="I173" s="42"/>
      <c r="J173" s="41"/>
      <c r="K173" s="41"/>
      <c r="L173" s="43"/>
    </row>
    <row r="174" spans="2:12" ht="15.75" hidden="1" outlineLevel="1" thickBot="1">
      <c r="B174" s="7">
        <f t="shared" si="9"/>
        <v>84</v>
      </c>
      <c r="C174" s="41" t="s">
        <v>9</v>
      </c>
      <c r="D174" s="41"/>
      <c r="E174" s="41"/>
      <c r="F174" s="41"/>
      <c r="G174" s="41"/>
      <c r="H174" s="41"/>
      <c r="I174" s="42"/>
      <c r="J174" s="41"/>
      <c r="K174" s="41"/>
      <c r="L174" s="43"/>
    </row>
    <row r="175" spans="2:12" ht="15.75" hidden="1" outlineLevel="1" thickBot="1">
      <c r="B175" s="7">
        <f t="shared" si="9"/>
        <v>85</v>
      </c>
      <c r="C175" s="41" t="s">
        <v>9</v>
      </c>
      <c r="D175" s="41"/>
      <c r="E175" s="41"/>
      <c r="F175" s="41"/>
      <c r="G175" s="41"/>
      <c r="H175" s="41"/>
      <c r="I175" s="42"/>
      <c r="J175" s="41"/>
      <c r="K175" s="41"/>
      <c r="L175" s="43"/>
    </row>
    <row r="176" spans="2:12" ht="15.75" hidden="1" outlineLevel="1" thickBot="1">
      <c r="B176" s="7">
        <f t="shared" si="9"/>
        <v>86</v>
      </c>
      <c r="C176" s="41" t="s">
        <v>9</v>
      </c>
      <c r="D176" s="41"/>
      <c r="E176" s="41"/>
      <c r="F176" s="41"/>
      <c r="G176" s="41"/>
      <c r="H176" s="41"/>
      <c r="I176" s="42"/>
      <c r="J176" s="41"/>
      <c r="K176" s="41"/>
      <c r="L176" s="43"/>
    </row>
    <row r="177" spans="2:12" ht="15.75" hidden="1" outlineLevel="1" thickBot="1">
      <c r="B177" s="7">
        <f t="shared" si="9"/>
        <v>87</v>
      </c>
      <c r="C177" s="41" t="s">
        <v>9</v>
      </c>
      <c r="D177" s="41"/>
      <c r="E177" s="41"/>
      <c r="F177" s="41"/>
      <c r="G177" s="41"/>
      <c r="H177" s="41"/>
      <c r="I177" s="42"/>
      <c r="J177" s="41"/>
      <c r="K177" s="41"/>
      <c r="L177" s="43"/>
    </row>
    <row r="178" spans="2:12" ht="15.75" hidden="1" outlineLevel="1" thickBot="1">
      <c r="B178" s="7">
        <f t="shared" si="9"/>
        <v>88</v>
      </c>
      <c r="C178" s="41" t="s">
        <v>9</v>
      </c>
      <c r="D178" s="41"/>
      <c r="E178" s="41"/>
      <c r="F178" s="41"/>
      <c r="G178" s="41"/>
      <c r="H178" s="41"/>
      <c r="I178" s="42"/>
      <c r="J178" s="41"/>
      <c r="K178" s="41"/>
      <c r="L178" s="43"/>
    </row>
    <row r="179" spans="2:12" ht="15.75" hidden="1" outlineLevel="1" thickBot="1">
      <c r="B179" s="7">
        <f t="shared" si="9"/>
        <v>89</v>
      </c>
      <c r="C179" s="41" t="s">
        <v>9</v>
      </c>
      <c r="D179" s="41"/>
      <c r="E179" s="41"/>
      <c r="F179" s="41"/>
      <c r="G179" s="41"/>
      <c r="H179" s="41"/>
      <c r="I179" s="42"/>
      <c r="J179" s="41"/>
      <c r="K179" s="41"/>
      <c r="L179" s="43"/>
    </row>
    <row r="180" spans="2:12" ht="15.75" hidden="1" outlineLevel="1" thickBot="1">
      <c r="B180" s="7">
        <f t="shared" si="9"/>
        <v>90</v>
      </c>
      <c r="C180" s="41" t="s">
        <v>9</v>
      </c>
      <c r="D180" s="41"/>
      <c r="E180" s="41"/>
      <c r="F180" s="41"/>
      <c r="G180" s="41"/>
      <c r="H180" s="41"/>
      <c r="I180" s="42"/>
      <c r="J180" s="41"/>
      <c r="K180" s="41"/>
      <c r="L180" s="43"/>
    </row>
    <row r="181" spans="2:12" ht="15.75" hidden="1" outlineLevel="1" thickBot="1">
      <c r="B181" s="7">
        <f t="shared" si="9"/>
        <v>91</v>
      </c>
      <c r="C181" s="41" t="s">
        <v>9</v>
      </c>
      <c r="D181" s="41"/>
      <c r="E181" s="41"/>
      <c r="F181" s="41"/>
      <c r="G181" s="41"/>
      <c r="H181" s="41"/>
      <c r="I181" s="42"/>
      <c r="J181" s="41"/>
      <c r="K181" s="41"/>
      <c r="L181" s="43"/>
    </row>
    <row r="182" spans="2:12" ht="15.75" hidden="1" outlineLevel="1" thickBot="1">
      <c r="B182" s="7">
        <f t="shared" si="9"/>
        <v>92</v>
      </c>
      <c r="C182" s="41" t="s">
        <v>9</v>
      </c>
      <c r="D182" s="41"/>
      <c r="E182" s="41"/>
      <c r="F182" s="41"/>
      <c r="G182" s="41"/>
      <c r="H182" s="41"/>
      <c r="I182" s="42"/>
      <c r="J182" s="41"/>
      <c r="K182" s="41"/>
      <c r="L182" s="43"/>
    </row>
    <row r="183" spans="2:12" ht="15.75" hidden="1" outlineLevel="1" thickBot="1">
      <c r="B183" s="7">
        <f t="shared" si="9"/>
        <v>93</v>
      </c>
      <c r="C183" s="41" t="s">
        <v>9</v>
      </c>
      <c r="D183" s="41"/>
      <c r="E183" s="41"/>
      <c r="F183" s="41"/>
      <c r="G183" s="41"/>
      <c r="H183" s="41"/>
      <c r="I183" s="42"/>
      <c r="J183" s="41"/>
      <c r="K183" s="41"/>
      <c r="L183" s="43"/>
    </row>
    <row r="184" spans="2:12" ht="15.75" hidden="1" outlineLevel="1" thickBot="1">
      <c r="B184" s="7">
        <f t="shared" si="9"/>
        <v>94</v>
      </c>
      <c r="C184" s="41" t="s">
        <v>9</v>
      </c>
      <c r="D184" s="41"/>
      <c r="E184" s="41"/>
      <c r="F184" s="41"/>
      <c r="G184" s="41"/>
      <c r="H184" s="41"/>
      <c r="I184" s="42"/>
      <c r="J184" s="41"/>
      <c r="K184" s="41"/>
      <c r="L184" s="43"/>
    </row>
    <row r="185" spans="2:12" ht="15.75" hidden="1" outlineLevel="1" thickBot="1">
      <c r="B185" s="7">
        <f t="shared" si="9"/>
        <v>95</v>
      </c>
      <c r="C185" s="41" t="s">
        <v>9</v>
      </c>
      <c r="D185" s="41"/>
      <c r="E185" s="41"/>
      <c r="F185" s="41"/>
      <c r="G185" s="41"/>
      <c r="H185" s="41"/>
      <c r="I185" s="42"/>
      <c r="J185" s="41"/>
      <c r="K185" s="41"/>
      <c r="L185" s="43"/>
    </row>
    <row r="186" spans="2:12" ht="15.75" hidden="1" outlineLevel="1" thickBot="1">
      <c r="B186" s="7">
        <f t="shared" si="9"/>
        <v>96</v>
      </c>
      <c r="C186" s="41" t="s">
        <v>9</v>
      </c>
      <c r="D186" s="41"/>
      <c r="E186" s="41"/>
      <c r="F186" s="41"/>
      <c r="G186" s="41"/>
      <c r="H186" s="41"/>
      <c r="I186" s="42"/>
      <c r="J186" s="41"/>
      <c r="K186" s="41"/>
      <c r="L186" s="43"/>
    </row>
    <row r="187" spans="2:12" ht="15.75" hidden="1" outlineLevel="1" thickBot="1">
      <c r="B187" s="7">
        <f t="shared" si="9"/>
        <v>97</v>
      </c>
      <c r="C187" s="41" t="s">
        <v>9</v>
      </c>
      <c r="D187" s="41"/>
      <c r="E187" s="41"/>
      <c r="F187" s="41"/>
      <c r="G187" s="41"/>
      <c r="H187" s="41"/>
      <c r="I187" s="42"/>
      <c r="J187" s="41"/>
      <c r="K187" s="41"/>
      <c r="L187" s="43"/>
    </row>
    <row r="188" spans="2:12" ht="15.75" hidden="1" outlineLevel="1" thickBot="1">
      <c r="B188" s="7">
        <f t="shared" si="9"/>
        <v>98</v>
      </c>
      <c r="C188" s="41" t="s">
        <v>9</v>
      </c>
      <c r="D188" s="41"/>
      <c r="E188" s="41"/>
      <c r="F188" s="41"/>
      <c r="G188" s="41"/>
      <c r="H188" s="41"/>
      <c r="I188" s="42"/>
      <c r="J188" s="41"/>
      <c r="K188" s="41"/>
      <c r="L188" s="43"/>
    </row>
    <row r="189" spans="2:12" ht="15.75" hidden="1" outlineLevel="1" thickBot="1">
      <c r="B189" s="7">
        <f t="shared" si="9"/>
        <v>99</v>
      </c>
      <c r="C189" s="41" t="s">
        <v>9</v>
      </c>
      <c r="D189" s="41"/>
      <c r="E189" s="41"/>
      <c r="F189" s="41"/>
      <c r="G189" s="41"/>
      <c r="H189" s="41"/>
      <c r="I189" s="42"/>
      <c r="J189" s="41"/>
      <c r="K189" s="41"/>
      <c r="L189" s="43"/>
    </row>
    <row r="190" spans="2:12" ht="15.75" hidden="1" outlineLevel="1" thickBot="1">
      <c r="B190" s="7">
        <f t="shared" si="9"/>
        <v>100</v>
      </c>
      <c r="C190" s="41" t="s">
        <v>9</v>
      </c>
      <c r="D190" s="41"/>
      <c r="E190" s="41"/>
      <c r="F190" s="41"/>
      <c r="G190" s="41"/>
      <c r="H190" s="41"/>
      <c r="I190" s="42"/>
      <c r="J190" s="41"/>
      <c r="K190" s="41"/>
      <c r="L190" s="43"/>
    </row>
    <row r="191" spans="2:12" ht="15.75" hidden="1" outlineLevel="1" thickBot="1">
      <c r="B191" s="7">
        <f t="shared" si="9"/>
        <v>101</v>
      </c>
      <c r="C191" s="41" t="s">
        <v>9</v>
      </c>
      <c r="D191" s="41"/>
      <c r="E191" s="41"/>
      <c r="F191" s="41"/>
      <c r="G191" s="41"/>
      <c r="H191" s="41"/>
      <c r="I191" s="42"/>
      <c r="J191" s="41"/>
      <c r="K191" s="41"/>
      <c r="L191" s="43"/>
    </row>
    <row r="192" spans="2:12" ht="15.75" hidden="1" outlineLevel="1" thickBot="1">
      <c r="B192" s="7">
        <f t="shared" si="9"/>
        <v>102</v>
      </c>
      <c r="C192" s="41" t="s">
        <v>9</v>
      </c>
      <c r="D192" s="41"/>
      <c r="E192" s="41"/>
      <c r="F192" s="41"/>
      <c r="G192" s="41"/>
      <c r="H192" s="41"/>
      <c r="I192" s="42"/>
      <c r="J192" s="41"/>
      <c r="K192" s="41"/>
      <c r="L192" s="43"/>
    </row>
    <row r="193" spans="2:12" ht="15.75" hidden="1" outlineLevel="1" thickBot="1">
      <c r="B193" s="7">
        <f t="shared" si="9"/>
        <v>103</v>
      </c>
      <c r="C193" s="41" t="s">
        <v>9</v>
      </c>
      <c r="D193" s="41"/>
      <c r="E193" s="41"/>
      <c r="F193" s="41"/>
      <c r="G193" s="41"/>
      <c r="H193" s="41"/>
      <c r="I193" s="42"/>
      <c r="J193" s="41"/>
      <c r="K193" s="41"/>
      <c r="L193" s="43"/>
    </row>
    <row r="194" spans="2:12" ht="15.75" hidden="1" outlineLevel="1" thickBot="1">
      <c r="B194" s="7">
        <f t="shared" si="9"/>
        <v>104</v>
      </c>
      <c r="C194" s="41" t="s">
        <v>9</v>
      </c>
      <c r="D194" s="41"/>
      <c r="E194" s="41"/>
      <c r="F194" s="41"/>
      <c r="G194" s="41"/>
      <c r="H194" s="41"/>
      <c r="I194" s="42"/>
      <c r="J194" s="41"/>
      <c r="K194" s="41"/>
      <c r="L194" s="43"/>
    </row>
    <row r="195" spans="2:12" ht="15.75" hidden="1" outlineLevel="1" thickBot="1">
      <c r="B195" s="7">
        <f t="shared" si="9"/>
        <v>105</v>
      </c>
      <c r="C195" s="41" t="s">
        <v>9</v>
      </c>
      <c r="D195" s="41"/>
      <c r="E195" s="41"/>
      <c r="F195" s="41"/>
      <c r="G195" s="41"/>
      <c r="H195" s="41"/>
      <c r="I195" s="42"/>
      <c r="J195" s="41"/>
      <c r="K195" s="41"/>
      <c r="L195" s="43"/>
    </row>
    <row r="196" spans="2:12" ht="15.75" hidden="1" outlineLevel="1" thickBot="1">
      <c r="B196" s="7">
        <f t="shared" si="9"/>
        <v>106</v>
      </c>
      <c r="C196" s="41" t="s">
        <v>9</v>
      </c>
      <c r="D196" s="41"/>
      <c r="E196" s="41"/>
      <c r="F196" s="41"/>
      <c r="G196" s="41"/>
      <c r="H196" s="41"/>
      <c r="I196" s="42"/>
      <c r="J196" s="41"/>
      <c r="K196" s="41"/>
      <c r="L196" s="43"/>
    </row>
    <row r="197" spans="2:12" ht="15.75" hidden="1" outlineLevel="1" thickBot="1">
      <c r="B197" s="7">
        <f t="shared" si="9"/>
        <v>107</v>
      </c>
      <c r="C197" s="41" t="s">
        <v>9</v>
      </c>
      <c r="D197" s="41"/>
      <c r="E197" s="41"/>
      <c r="F197" s="41"/>
      <c r="G197" s="41"/>
      <c r="H197" s="41"/>
      <c r="I197" s="42"/>
      <c r="J197" s="41"/>
      <c r="K197" s="41"/>
      <c r="L197" s="43"/>
    </row>
    <row r="198" spans="2:12" ht="15.75" hidden="1" outlineLevel="1" thickBot="1">
      <c r="B198" s="7">
        <f t="shared" si="9"/>
        <v>108</v>
      </c>
      <c r="C198" s="41" t="s">
        <v>9</v>
      </c>
      <c r="D198" s="41"/>
      <c r="E198" s="41"/>
      <c r="F198" s="41"/>
      <c r="G198" s="41"/>
      <c r="H198" s="41"/>
      <c r="I198" s="42"/>
      <c r="J198" s="41"/>
      <c r="K198" s="41"/>
      <c r="L198" s="43"/>
    </row>
    <row r="199" spans="2:12" ht="15.75" hidden="1" outlineLevel="1" thickBot="1">
      <c r="B199" s="7">
        <f t="shared" si="9"/>
        <v>109</v>
      </c>
      <c r="C199" s="41" t="s">
        <v>9</v>
      </c>
      <c r="D199" s="41"/>
      <c r="E199" s="41"/>
      <c r="F199" s="41"/>
      <c r="G199" s="41"/>
      <c r="H199" s="41"/>
      <c r="I199" s="42"/>
      <c r="J199" s="41"/>
      <c r="K199" s="41"/>
      <c r="L199" s="43"/>
    </row>
    <row r="200" spans="2:12" ht="15.75" hidden="1" outlineLevel="1" thickBot="1">
      <c r="B200" s="7">
        <f t="shared" si="9"/>
        <v>110</v>
      </c>
      <c r="C200" s="41" t="s">
        <v>9</v>
      </c>
      <c r="D200" s="41"/>
      <c r="E200" s="41"/>
      <c r="F200" s="41"/>
      <c r="G200" s="41"/>
      <c r="H200" s="41"/>
      <c r="I200" s="42"/>
      <c r="J200" s="41"/>
      <c r="K200" s="41"/>
      <c r="L200" s="43"/>
    </row>
    <row r="201" spans="2:12" ht="15.75" hidden="1" outlineLevel="1" thickBot="1">
      <c r="B201" s="7">
        <f t="shared" si="9"/>
        <v>111</v>
      </c>
      <c r="C201" s="41" t="s">
        <v>9</v>
      </c>
      <c r="D201" s="41"/>
      <c r="E201" s="41"/>
      <c r="F201" s="41"/>
      <c r="G201" s="41"/>
      <c r="H201" s="41"/>
      <c r="I201" s="42"/>
      <c r="J201" s="41"/>
      <c r="K201" s="41"/>
      <c r="L201" s="43"/>
    </row>
    <row r="202" spans="2:12" ht="15.75" hidden="1" outlineLevel="1" thickBot="1">
      <c r="B202" s="7">
        <f t="shared" si="9"/>
        <v>112</v>
      </c>
      <c r="C202" s="41" t="s">
        <v>9</v>
      </c>
      <c r="D202" s="41"/>
      <c r="E202" s="41"/>
      <c r="F202" s="41"/>
      <c r="G202" s="41"/>
      <c r="H202" s="41"/>
      <c r="I202" s="42"/>
      <c r="J202" s="41"/>
      <c r="K202" s="41"/>
      <c r="L202" s="43"/>
    </row>
    <row r="203" spans="2:12" ht="15.75" hidden="1" outlineLevel="1" thickBot="1">
      <c r="B203" s="7">
        <f t="shared" si="9"/>
        <v>113</v>
      </c>
      <c r="C203" s="41" t="s">
        <v>9</v>
      </c>
      <c r="D203" s="41"/>
      <c r="E203" s="41"/>
      <c r="F203" s="41"/>
      <c r="G203" s="41"/>
      <c r="H203" s="41"/>
      <c r="I203" s="42"/>
      <c r="J203" s="41"/>
      <c r="K203" s="41"/>
      <c r="L203" s="43"/>
    </row>
    <row r="204" spans="2:12" ht="15.75" hidden="1" outlineLevel="1" thickBot="1">
      <c r="B204" s="7">
        <f t="shared" si="9"/>
        <v>114</v>
      </c>
      <c r="C204" s="41" t="s">
        <v>9</v>
      </c>
      <c r="D204" s="41"/>
      <c r="E204" s="41"/>
      <c r="F204" s="41"/>
      <c r="G204" s="41"/>
      <c r="H204" s="41"/>
      <c r="I204" s="42"/>
      <c r="J204" s="41"/>
      <c r="K204" s="41"/>
      <c r="L204" s="43"/>
    </row>
    <row r="205" spans="2:12" ht="15.75" hidden="1" outlineLevel="1" thickBot="1">
      <c r="B205" s="7">
        <f t="shared" si="9"/>
        <v>115</v>
      </c>
      <c r="C205" s="41" t="s">
        <v>9</v>
      </c>
      <c r="D205" s="41"/>
      <c r="E205" s="41"/>
      <c r="F205" s="41"/>
      <c r="G205" s="41"/>
      <c r="H205" s="41"/>
      <c r="I205" s="42"/>
      <c r="J205" s="41"/>
      <c r="K205" s="41"/>
      <c r="L205" s="43"/>
    </row>
    <row r="206" spans="2:12" ht="15.75" hidden="1" outlineLevel="1" thickBot="1">
      <c r="B206" s="7">
        <f t="shared" si="9"/>
        <v>116</v>
      </c>
      <c r="C206" s="41" t="s">
        <v>9</v>
      </c>
      <c r="D206" s="41"/>
      <c r="E206" s="41"/>
      <c r="F206" s="41"/>
      <c r="G206" s="41"/>
      <c r="H206" s="41"/>
      <c r="I206" s="42"/>
      <c r="J206" s="41"/>
      <c r="K206" s="41"/>
      <c r="L206" s="43"/>
    </row>
    <row r="207" spans="2:12" ht="15.75" hidden="1" outlineLevel="1" thickBot="1">
      <c r="B207" s="7">
        <f t="shared" si="9"/>
        <v>117</v>
      </c>
      <c r="C207" s="41" t="s">
        <v>9</v>
      </c>
      <c r="D207" s="41"/>
      <c r="E207" s="41"/>
      <c r="F207" s="41"/>
      <c r="G207" s="41"/>
      <c r="H207" s="41"/>
      <c r="I207" s="42"/>
      <c r="J207" s="41"/>
      <c r="K207" s="41"/>
      <c r="L207" s="43"/>
    </row>
    <row r="208" spans="2:12" ht="15.75" hidden="1" outlineLevel="1" thickBot="1">
      <c r="B208" s="7">
        <f t="shared" si="9"/>
        <v>118</v>
      </c>
      <c r="C208" s="41" t="s">
        <v>9</v>
      </c>
      <c r="D208" s="41"/>
      <c r="E208" s="41"/>
      <c r="F208" s="41"/>
      <c r="G208" s="41"/>
      <c r="H208" s="41"/>
      <c r="I208" s="42"/>
      <c r="J208" s="41"/>
      <c r="K208" s="41"/>
      <c r="L208" s="43"/>
    </row>
    <row r="209" spans="2:12" ht="15.75" hidden="1" outlineLevel="1" thickBot="1">
      <c r="B209" s="7">
        <f t="shared" si="9"/>
        <v>119</v>
      </c>
      <c r="C209" s="41" t="s">
        <v>9</v>
      </c>
      <c r="D209" s="41"/>
      <c r="E209" s="41"/>
      <c r="F209" s="41"/>
      <c r="G209" s="41"/>
      <c r="H209" s="41"/>
      <c r="I209" s="42"/>
      <c r="J209" s="41"/>
      <c r="K209" s="41"/>
      <c r="L209" s="43"/>
    </row>
    <row r="210" spans="2:12" ht="15.75" hidden="1" outlineLevel="1" thickBot="1">
      <c r="B210" s="7">
        <f t="shared" si="9"/>
        <v>120</v>
      </c>
      <c r="C210" s="41" t="s">
        <v>9</v>
      </c>
      <c r="D210" s="41"/>
      <c r="E210" s="41"/>
      <c r="F210" s="41"/>
      <c r="G210" s="41"/>
      <c r="H210" s="41"/>
      <c r="I210" s="42"/>
      <c r="J210" s="41"/>
      <c r="K210" s="41"/>
      <c r="L210" s="43"/>
    </row>
    <row r="211" spans="2:12" ht="15.75" hidden="1" outlineLevel="1" thickBot="1">
      <c r="B211" s="7">
        <f t="shared" si="9"/>
        <v>121</v>
      </c>
      <c r="C211" s="41" t="s">
        <v>9</v>
      </c>
      <c r="D211" s="41"/>
      <c r="E211" s="41"/>
      <c r="F211" s="41"/>
      <c r="G211" s="41"/>
      <c r="H211" s="41"/>
      <c r="I211" s="42"/>
      <c r="J211" s="41"/>
      <c r="K211" s="41"/>
      <c r="L211" s="43"/>
    </row>
    <row r="212" spans="2:12" ht="15.75" hidden="1" outlineLevel="1" thickBot="1">
      <c r="B212" s="7">
        <f t="shared" si="9"/>
        <v>122</v>
      </c>
      <c r="C212" s="41" t="s">
        <v>9</v>
      </c>
      <c r="D212" s="41"/>
      <c r="E212" s="41"/>
      <c r="F212" s="41"/>
      <c r="G212" s="41"/>
      <c r="H212" s="41"/>
      <c r="I212" s="42"/>
      <c r="J212" s="41"/>
      <c r="K212" s="41"/>
      <c r="L212" s="43"/>
    </row>
    <row r="213" spans="2:12" ht="15.75" hidden="1" outlineLevel="1" thickBot="1">
      <c r="B213" s="7">
        <f t="shared" si="9"/>
        <v>123</v>
      </c>
      <c r="C213" s="41" t="s">
        <v>9</v>
      </c>
      <c r="D213" s="41"/>
      <c r="E213" s="41"/>
      <c r="F213" s="41"/>
      <c r="G213" s="41"/>
      <c r="H213" s="41"/>
      <c r="I213" s="42"/>
      <c r="J213" s="41"/>
      <c r="K213" s="41"/>
      <c r="L213" s="43"/>
    </row>
    <row r="214" spans="2:12" ht="15.75" hidden="1" outlineLevel="1" thickBot="1">
      <c r="B214" s="7">
        <f t="shared" si="9"/>
        <v>124</v>
      </c>
      <c r="C214" s="41" t="s">
        <v>9</v>
      </c>
      <c r="D214" s="41"/>
      <c r="E214" s="41"/>
      <c r="F214" s="41"/>
      <c r="G214" s="41"/>
      <c r="H214" s="41"/>
      <c r="I214" s="42"/>
      <c r="J214" s="41"/>
      <c r="K214" s="41"/>
      <c r="L214" s="43"/>
    </row>
    <row r="215" spans="2:12" ht="15.75" hidden="1" outlineLevel="1" thickBot="1">
      <c r="B215" s="7">
        <f t="shared" si="9"/>
        <v>125</v>
      </c>
      <c r="C215" s="41" t="s">
        <v>9</v>
      </c>
      <c r="D215" s="41"/>
      <c r="E215" s="41"/>
      <c r="F215" s="41"/>
      <c r="G215" s="41"/>
      <c r="H215" s="41"/>
      <c r="I215" s="42"/>
      <c r="J215" s="41"/>
      <c r="K215" s="41"/>
      <c r="L215" s="43"/>
    </row>
    <row r="216" spans="2:12" ht="15.75" hidden="1" outlineLevel="1" thickBot="1">
      <c r="B216" s="7">
        <f t="shared" si="9"/>
        <v>126</v>
      </c>
      <c r="C216" s="41" t="s">
        <v>9</v>
      </c>
      <c r="D216" s="41"/>
      <c r="E216" s="41"/>
      <c r="F216" s="41"/>
      <c r="G216" s="41"/>
      <c r="H216" s="41"/>
      <c r="I216" s="42"/>
      <c r="J216" s="41"/>
      <c r="K216" s="41"/>
      <c r="L216" s="43"/>
    </row>
    <row r="217" spans="2:12" ht="15.75" hidden="1" outlineLevel="1" thickBot="1">
      <c r="B217" s="7">
        <f t="shared" si="9"/>
        <v>127</v>
      </c>
      <c r="C217" s="41" t="s">
        <v>9</v>
      </c>
      <c r="D217" s="41"/>
      <c r="E217" s="41"/>
      <c r="F217" s="41"/>
      <c r="G217" s="41"/>
      <c r="H217" s="41"/>
      <c r="I217" s="42"/>
      <c r="J217" s="41"/>
      <c r="K217" s="41"/>
      <c r="L217" s="43"/>
    </row>
    <row r="218" spans="2:12" ht="15.75" hidden="1" outlineLevel="1" thickBot="1">
      <c r="B218" s="7">
        <f t="shared" si="9"/>
        <v>128</v>
      </c>
      <c r="C218" s="41" t="s">
        <v>9</v>
      </c>
      <c r="D218" s="41"/>
      <c r="E218" s="41"/>
      <c r="F218" s="41"/>
      <c r="G218" s="41"/>
      <c r="H218" s="41"/>
      <c r="I218" s="42"/>
      <c r="J218" s="41"/>
      <c r="K218" s="41"/>
      <c r="L218" s="43"/>
    </row>
    <row r="219" spans="2:12" ht="15.75" hidden="1" outlineLevel="1" thickBot="1">
      <c r="B219" s="7">
        <f t="shared" si="9"/>
        <v>129</v>
      </c>
      <c r="C219" s="41" t="s">
        <v>9</v>
      </c>
      <c r="D219" s="41"/>
      <c r="E219" s="41"/>
      <c r="F219" s="41"/>
      <c r="G219" s="41"/>
      <c r="H219" s="41"/>
      <c r="I219" s="42"/>
      <c r="J219" s="41"/>
      <c r="K219" s="41"/>
      <c r="L219" s="43"/>
    </row>
    <row r="220" spans="2:12" ht="15.75" hidden="1" outlineLevel="1" thickBot="1">
      <c r="B220" s="7">
        <f t="shared" si="9"/>
        <v>130</v>
      </c>
      <c r="C220" s="41" t="s">
        <v>9</v>
      </c>
      <c r="D220" s="41"/>
      <c r="E220" s="41"/>
      <c r="F220" s="41"/>
      <c r="G220" s="41"/>
      <c r="H220" s="41"/>
      <c r="I220" s="42"/>
      <c r="J220" s="41"/>
      <c r="K220" s="41"/>
      <c r="L220" s="43"/>
    </row>
    <row r="221" spans="2:12" ht="15.75" hidden="1" outlineLevel="1" thickBot="1">
      <c r="B221" s="7">
        <f t="shared" ref="B221:B284" si="10">IF(C221="","",(B220+1))</f>
        <v>131</v>
      </c>
      <c r="C221" s="41" t="s">
        <v>9</v>
      </c>
      <c r="D221" s="41"/>
      <c r="E221" s="41"/>
      <c r="F221" s="41"/>
      <c r="G221" s="41"/>
      <c r="H221" s="41"/>
      <c r="I221" s="42"/>
      <c r="J221" s="41"/>
      <c r="K221" s="41"/>
      <c r="L221" s="43"/>
    </row>
    <row r="222" spans="2:12" ht="15.75" hidden="1" outlineLevel="1" thickBot="1">
      <c r="B222" s="7">
        <f t="shared" si="10"/>
        <v>132</v>
      </c>
      <c r="C222" s="41" t="s">
        <v>9</v>
      </c>
      <c r="D222" s="41"/>
      <c r="E222" s="41"/>
      <c r="F222" s="41"/>
      <c r="G222" s="41"/>
      <c r="H222" s="41"/>
      <c r="I222" s="42"/>
      <c r="J222" s="41"/>
      <c r="K222" s="41"/>
      <c r="L222" s="43"/>
    </row>
    <row r="223" spans="2:12" ht="15.75" hidden="1" outlineLevel="1" thickBot="1">
      <c r="B223" s="7">
        <f t="shared" si="10"/>
        <v>133</v>
      </c>
      <c r="C223" s="41" t="s">
        <v>9</v>
      </c>
      <c r="D223" s="41"/>
      <c r="E223" s="58"/>
      <c r="F223" s="41"/>
      <c r="G223" s="41"/>
      <c r="H223" s="41"/>
      <c r="I223" s="42"/>
      <c r="J223" s="41"/>
      <c r="K223" s="41"/>
      <c r="L223" s="43"/>
    </row>
    <row r="224" spans="2:12" ht="15.75" hidden="1" outlineLevel="1" thickBot="1">
      <c r="B224" s="7">
        <f t="shared" si="10"/>
        <v>134</v>
      </c>
      <c r="C224" s="41" t="s">
        <v>9</v>
      </c>
      <c r="D224" s="41"/>
      <c r="E224" s="41"/>
      <c r="F224" s="41"/>
      <c r="G224" s="41"/>
      <c r="H224" s="41"/>
      <c r="I224" s="42"/>
      <c r="J224" s="41"/>
      <c r="K224" s="41"/>
      <c r="L224" s="43"/>
    </row>
    <row r="225" spans="2:12" ht="15.75" hidden="1" outlineLevel="1" thickBot="1">
      <c r="B225" s="7">
        <f t="shared" si="10"/>
        <v>135</v>
      </c>
      <c r="C225" s="41" t="s">
        <v>9</v>
      </c>
      <c r="D225" s="41"/>
      <c r="E225" s="41"/>
      <c r="F225" s="41"/>
      <c r="G225" s="41"/>
      <c r="H225" s="41"/>
      <c r="I225" s="42"/>
      <c r="J225" s="41"/>
      <c r="K225" s="41"/>
      <c r="L225" s="43"/>
    </row>
    <row r="226" spans="2:12" ht="15.75" hidden="1" outlineLevel="1" thickBot="1">
      <c r="B226" s="7">
        <f t="shared" si="10"/>
        <v>136</v>
      </c>
      <c r="C226" s="41" t="s">
        <v>9</v>
      </c>
      <c r="D226" s="41"/>
      <c r="E226" s="58"/>
      <c r="F226" s="41"/>
      <c r="G226" s="41"/>
      <c r="H226" s="41"/>
      <c r="I226" s="42"/>
      <c r="J226" s="41"/>
      <c r="K226" s="41"/>
      <c r="L226" s="43"/>
    </row>
    <row r="227" spans="2:12" ht="15.75" hidden="1" outlineLevel="1" thickBot="1">
      <c r="B227" s="7">
        <f t="shared" si="10"/>
        <v>137</v>
      </c>
      <c r="C227" s="41" t="s">
        <v>9</v>
      </c>
      <c r="D227" s="41"/>
      <c r="E227" s="41"/>
      <c r="F227" s="41"/>
      <c r="G227" s="41"/>
      <c r="H227" s="41"/>
      <c r="I227" s="42"/>
      <c r="J227" s="41"/>
      <c r="K227" s="41"/>
      <c r="L227" s="43"/>
    </row>
    <row r="228" spans="2:12" ht="15.75" hidden="1" outlineLevel="1" thickBot="1">
      <c r="B228" s="7">
        <f t="shared" si="10"/>
        <v>138</v>
      </c>
      <c r="C228" s="41" t="s">
        <v>9</v>
      </c>
      <c r="D228" s="41"/>
      <c r="E228" s="41"/>
      <c r="F228" s="41"/>
      <c r="G228" s="41"/>
      <c r="H228" s="41"/>
      <c r="I228" s="42"/>
      <c r="J228" s="41"/>
      <c r="K228" s="41"/>
      <c r="L228" s="43"/>
    </row>
    <row r="229" spans="2:12" ht="15.75" hidden="1" outlineLevel="1" thickBot="1">
      <c r="B229" s="7">
        <f t="shared" si="10"/>
        <v>139</v>
      </c>
      <c r="C229" s="41" t="s">
        <v>9</v>
      </c>
      <c r="D229" s="41"/>
      <c r="E229" s="41"/>
      <c r="F229" s="41"/>
      <c r="G229" s="41"/>
      <c r="H229" s="41"/>
      <c r="I229" s="42"/>
      <c r="J229" s="41"/>
      <c r="K229" s="41"/>
      <c r="L229" s="43"/>
    </row>
    <row r="230" spans="2:12" ht="15.75" hidden="1" outlineLevel="1" thickBot="1">
      <c r="B230" s="7">
        <f t="shared" si="10"/>
        <v>140</v>
      </c>
      <c r="C230" s="41" t="s">
        <v>9</v>
      </c>
      <c r="D230" s="41"/>
      <c r="E230" s="41"/>
      <c r="F230" s="41"/>
      <c r="G230" s="41"/>
      <c r="H230" s="41"/>
      <c r="I230" s="42"/>
      <c r="J230" s="41"/>
      <c r="K230" s="41"/>
      <c r="L230" s="43"/>
    </row>
    <row r="231" spans="2:12" ht="15.75" hidden="1" outlineLevel="1" thickBot="1">
      <c r="B231" s="7">
        <f t="shared" si="10"/>
        <v>141</v>
      </c>
      <c r="C231" s="41" t="s">
        <v>9</v>
      </c>
      <c r="D231" s="41"/>
      <c r="E231" s="41"/>
      <c r="F231" s="41"/>
      <c r="G231" s="41"/>
      <c r="H231" s="41"/>
      <c r="I231" s="42"/>
      <c r="J231" s="41"/>
      <c r="K231" s="41"/>
      <c r="L231" s="43"/>
    </row>
    <row r="232" spans="2:12" ht="15.75" hidden="1" outlineLevel="1" thickBot="1">
      <c r="B232" s="7">
        <f t="shared" si="10"/>
        <v>142</v>
      </c>
      <c r="C232" s="41" t="s">
        <v>9</v>
      </c>
      <c r="D232" s="41"/>
      <c r="E232" s="41"/>
      <c r="F232" s="41"/>
      <c r="G232" s="41"/>
      <c r="H232" s="41"/>
      <c r="I232" s="42"/>
      <c r="J232" s="41"/>
      <c r="K232" s="41"/>
      <c r="L232" s="43"/>
    </row>
    <row r="233" spans="2:12" ht="15.75" hidden="1" outlineLevel="1" thickBot="1">
      <c r="B233" s="7">
        <f t="shared" si="10"/>
        <v>143</v>
      </c>
      <c r="C233" s="41" t="s">
        <v>9</v>
      </c>
      <c r="D233" s="41"/>
      <c r="E233" s="41"/>
      <c r="F233" s="41"/>
      <c r="G233" s="41"/>
      <c r="H233" s="41"/>
      <c r="I233" s="42"/>
      <c r="J233" s="41"/>
      <c r="K233" s="41"/>
      <c r="L233" s="43"/>
    </row>
    <row r="234" spans="2:12" ht="15.75" hidden="1" outlineLevel="1" thickBot="1">
      <c r="B234" s="7">
        <f t="shared" si="10"/>
        <v>144</v>
      </c>
      <c r="C234" s="41" t="s">
        <v>9</v>
      </c>
      <c r="D234" s="41"/>
      <c r="E234" s="41"/>
      <c r="F234" s="41"/>
      <c r="G234" s="41"/>
      <c r="H234" s="41"/>
      <c r="I234" s="42"/>
      <c r="J234" s="41"/>
      <c r="K234" s="41"/>
      <c r="L234" s="43"/>
    </row>
    <row r="235" spans="2:12" ht="15.75" hidden="1" outlineLevel="1" thickBot="1">
      <c r="B235" s="7">
        <f t="shared" si="10"/>
        <v>145</v>
      </c>
      <c r="C235" s="41" t="s">
        <v>9</v>
      </c>
      <c r="D235" s="41"/>
      <c r="E235" s="41"/>
      <c r="F235" s="41"/>
      <c r="G235" s="41"/>
      <c r="H235" s="41"/>
      <c r="I235" s="42"/>
      <c r="J235" s="41"/>
      <c r="K235" s="41"/>
      <c r="L235" s="43"/>
    </row>
    <row r="236" spans="2:12" ht="15.75" hidden="1" outlineLevel="1" thickBot="1">
      <c r="B236" s="7">
        <f t="shared" si="10"/>
        <v>146</v>
      </c>
      <c r="C236" s="41" t="s">
        <v>9</v>
      </c>
      <c r="D236" s="41"/>
      <c r="E236" s="41"/>
      <c r="F236" s="41"/>
      <c r="G236" s="41"/>
      <c r="H236" s="41"/>
      <c r="I236" s="42"/>
      <c r="J236" s="41"/>
      <c r="K236" s="41"/>
      <c r="L236" s="43"/>
    </row>
    <row r="237" spans="2:12" ht="15.75" hidden="1" outlineLevel="1" thickBot="1">
      <c r="B237" s="7">
        <f t="shared" si="10"/>
        <v>147</v>
      </c>
      <c r="C237" s="41" t="s">
        <v>9</v>
      </c>
      <c r="D237" s="41"/>
      <c r="E237" s="41"/>
      <c r="F237" s="41"/>
      <c r="G237" s="41"/>
      <c r="H237" s="41"/>
      <c r="I237" s="42"/>
      <c r="J237" s="41"/>
      <c r="K237" s="41"/>
      <c r="L237" s="43"/>
    </row>
    <row r="238" spans="2:12" ht="15.75" hidden="1" outlineLevel="1" thickBot="1">
      <c r="B238" s="7">
        <f t="shared" si="10"/>
        <v>148</v>
      </c>
      <c r="C238" s="41" t="s">
        <v>9</v>
      </c>
      <c r="D238" s="41"/>
      <c r="E238" s="41"/>
      <c r="F238" s="41"/>
      <c r="G238" s="41"/>
      <c r="H238" s="41"/>
      <c r="I238" s="42"/>
      <c r="J238" s="41"/>
      <c r="K238" s="41"/>
      <c r="L238" s="43"/>
    </row>
    <row r="239" spans="2:12" ht="15.75" hidden="1" outlineLevel="1" thickBot="1">
      <c r="B239" s="7">
        <f t="shared" si="10"/>
        <v>149</v>
      </c>
      <c r="C239" s="41" t="s">
        <v>9</v>
      </c>
      <c r="D239" s="41"/>
      <c r="E239" s="41"/>
      <c r="F239" s="41"/>
      <c r="G239" s="41"/>
      <c r="H239" s="41"/>
      <c r="I239" s="42"/>
      <c r="J239" s="41"/>
      <c r="K239" s="41"/>
      <c r="L239" s="43"/>
    </row>
    <row r="240" spans="2:12" ht="15.75" hidden="1" outlineLevel="1" thickBot="1">
      <c r="B240" s="7">
        <f t="shared" si="10"/>
        <v>150</v>
      </c>
      <c r="C240" s="41" t="s">
        <v>9</v>
      </c>
      <c r="D240" s="41"/>
      <c r="E240" s="41"/>
      <c r="F240" s="41"/>
      <c r="G240" s="41"/>
      <c r="H240" s="41"/>
      <c r="I240" s="42"/>
      <c r="J240" s="41"/>
      <c r="K240" s="41"/>
      <c r="L240" s="43"/>
    </row>
    <row r="241" spans="2:12" ht="15.75" hidden="1" outlineLevel="1" thickBot="1">
      <c r="B241" s="7">
        <f t="shared" si="10"/>
        <v>151</v>
      </c>
      <c r="C241" s="41" t="s">
        <v>9</v>
      </c>
      <c r="D241" s="41"/>
      <c r="E241" s="41"/>
      <c r="F241" s="41"/>
      <c r="G241" s="41"/>
      <c r="H241" s="41"/>
      <c r="I241" s="42"/>
      <c r="J241" s="41"/>
      <c r="K241" s="41"/>
      <c r="L241" s="43"/>
    </row>
    <row r="242" spans="2:12" ht="15.75" hidden="1" outlineLevel="1" thickBot="1">
      <c r="B242" s="7">
        <f t="shared" si="10"/>
        <v>152</v>
      </c>
      <c r="C242" s="41" t="s">
        <v>9</v>
      </c>
      <c r="D242" s="41"/>
      <c r="E242" s="41"/>
      <c r="F242" s="41"/>
      <c r="G242" s="41"/>
      <c r="H242" s="41"/>
      <c r="I242" s="42"/>
      <c r="J242" s="41"/>
      <c r="K242" s="41"/>
      <c r="L242" s="43"/>
    </row>
    <row r="243" spans="2:12" ht="15.75" hidden="1" outlineLevel="1" thickBot="1">
      <c r="B243" s="7">
        <f t="shared" si="10"/>
        <v>153</v>
      </c>
      <c r="C243" s="41" t="s">
        <v>9</v>
      </c>
      <c r="D243" s="41"/>
      <c r="E243" s="58"/>
      <c r="F243" s="41"/>
      <c r="G243" s="41"/>
      <c r="H243" s="41"/>
      <c r="I243" s="42"/>
      <c r="J243" s="41"/>
      <c r="K243" s="41"/>
      <c r="L243" s="43"/>
    </row>
    <row r="244" spans="2:12" ht="15.75" hidden="1" outlineLevel="1" thickBot="1">
      <c r="B244" s="7">
        <f t="shared" si="10"/>
        <v>154</v>
      </c>
      <c r="C244" s="41" t="s">
        <v>9</v>
      </c>
      <c r="D244" s="41"/>
      <c r="E244" s="41"/>
      <c r="F244" s="41"/>
      <c r="G244" s="41"/>
      <c r="H244" s="41"/>
      <c r="I244" s="42"/>
      <c r="J244" s="41"/>
      <c r="K244" s="41"/>
      <c r="L244" s="43"/>
    </row>
    <row r="245" spans="2:12" ht="15.75" hidden="1" outlineLevel="1" thickBot="1">
      <c r="B245" s="7">
        <f t="shared" si="10"/>
        <v>155</v>
      </c>
      <c r="C245" s="41" t="s">
        <v>9</v>
      </c>
      <c r="D245" s="41"/>
      <c r="E245" s="41"/>
      <c r="F245" s="41"/>
      <c r="G245" s="41"/>
      <c r="H245" s="41"/>
      <c r="I245" s="42"/>
      <c r="J245" s="41"/>
      <c r="K245" s="41"/>
      <c r="L245" s="43"/>
    </row>
    <row r="246" spans="2:12" ht="15.75" hidden="1" outlineLevel="1" thickBot="1">
      <c r="B246" s="7">
        <f t="shared" si="10"/>
        <v>156</v>
      </c>
      <c r="C246" s="41" t="s">
        <v>9</v>
      </c>
      <c r="D246" s="41"/>
      <c r="E246" s="41"/>
      <c r="F246" s="41"/>
      <c r="G246" s="41"/>
      <c r="H246" s="41"/>
      <c r="I246" s="42"/>
      <c r="J246" s="41"/>
      <c r="K246" s="41"/>
      <c r="L246" s="43"/>
    </row>
    <row r="247" spans="2:12" ht="15.75" hidden="1" outlineLevel="1" thickBot="1">
      <c r="B247" s="7">
        <f t="shared" si="10"/>
        <v>157</v>
      </c>
      <c r="C247" s="41" t="s">
        <v>9</v>
      </c>
      <c r="D247" s="41"/>
      <c r="E247" s="41"/>
      <c r="F247" s="41"/>
      <c r="G247" s="41"/>
      <c r="H247" s="41"/>
      <c r="I247" s="42"/>
      <c r="J247" s="41"/>
      <c r="K247" s="41"/>
      <c r="L247" s="43"/>
    </row>
    <row r="248" spans="2:12" ht="15.75" hidden="1" outlineLevel="1" thickBot="1">
      <c r="B248" s="7">
        <f t="shared" si="10"/>
        <v>158</v>
      </c>
      <c r="C248" s="41" t="s">
        <v>9</v>
      </c>
      <c r="D248" s="41"/>
      <c r="E248" s="41"/>
      <c r="F248" s="41"/>
      <c r="G248" s="41"/>
      <c r="H248" s="41"/>
      <c r="I248" s="42"/>
      <c r="J248" s="41"/>
      <c r="K248" s="41"/>
      <c r="L248" s="43"/>
    </row>
    <row r="249" spans="2:12" ht="15.75" hidden="1" outlineLevel="1" thickBot="1">
      <c r="B249" s="7">
        <f t="shared" si="10"/>
        <v>159</v>
      </c>
      <c r="C249" s="41" t="s">
        <v>9</v>
      </c>
      <c r="D249" s="41"/>
      <c r="E249" s="58"/>
      <c r="F249" s="41"/>
      <c r="G249" s="41"/>
      <c r="H249" s="41"/>
      <c r="I249" s="42"/>
      <c r="J249" s="41"/>
      <c r="K249" s="41"/>
      <c r="L249" s="43"/>
    </row>
    <row r="250" spans="2:12" ht="15.75" hidden="1" outlineLevel="1" thickBot="1">
      <c r="B250" s="7">
        <f t="shared" si="10"/>
        <v>160</v>
      </c>
      <c r="C250" s="41" t="s">
        <v>9</v>
      </c>
      <c r="D250" s="41"/>
      <c r="E250" s="41"/>
      <c r="F250" s="41"/>
      <c r="G250" s="41"/>
      <c r="H250" s="41"/>
      <c r="I250" s="42"/>
      <c r="J250" s="41"/>
      <c r="K250" s="41"/>
      <c r="L250" s="43"/>
    </row>
    <row r="251" spans="2:12" ht="15.75" hidden="1" outlineLevel="1" thickBot="1">
      <c r="B251" s="7">
        <f t="shared" si="10"/>
        <v>161</v>
      </c>
      <c r="C251" s="41" t="s">
        <v>9</v>
      </c>
      <c r="D251" s="41"/>
      <c r="E251" s="41"/>
      <c r="F251" s="41"/>
      <c r="G251" s="41"/>
      <c r="H251" s="41"/>
      <c r="I251" s="42"/>
      <c r="J251" s="41"/>
      <c r="K251" s="41"/>
      <c r="L251" s="43"/>
    </row>
    <row r="252" spans="2:12" ht="15.75" hidden="1" outlineLevel="1" thickBot="1">
      <c r="B252" s="7">
        <f t="shared" si="10"/>
        <v>162</v>
      </c>
      <c r="C252" s="41" t="s">
        <v>9</v>
      </c>
      <c r="D252" s="41"/>
      <c r="E252" s="58"/>
      <c r="F252" s="41"/>
      <c r="G252" s="41"/>
      <c r="H252" s="41"/>
      <c r="I252" s="42"/>
      <c r="J252" s="41"/>
      <c r="K252" s="41"/>
      <c r="L252" s="43"/>
    </row>
    <row r="253" spans="2:12" ht="15.75" hidden="1" outlineLevel="1" thickBot="1">
      <c r="B253" s="7">
        <f t="shared" si="10"/>
        <v>163</v>
      </c>
      <c r="C253" s="41" t="s">
        <v>9</v>
      </c>
      <c r="D253" s="41"/>
      <c r="E253" s="58"/>
      <c r="F253" s="41"/>
      <c r="G253" s="41"/>
      <c r="H253" s="41"/>
      <c r="I253" s="42"/>
      <c r="J253" s="41"/>
      <c r="K253" s="41"/>
      <c r="L253" s="43"/>
    </row>
    <row r="254" spans="2:12" ht="15.75" hidden="1" outlineLevel="1" thickBot="1">
      <c r="B254" s="7">
        <f t="shared" si="10"/>
        <v>164</v>
      </c>
      <c r="C254" s="41" t="s">
        <v>9</v>
      </c>
      <c r="D254" s="41"/>
      <c r="E254" s="58"/>
      <c r="F254" s="41"/>
      <c r="G254" s="41"/>
      <c r="H254" s="41"/>
      <c r="I254" s="42"/>
      <c r="J254" s="41"/>
      <c r="K254" s="41"/>
      <c r="L254" s="43"/>
    </row>
    <row r="255" spans="2:12" ht="15.75" hidden="1" outlineLevel="1" thickBot="1">
      <c r="B255" s="7">
        <f t="shared" si="10"/>
        <v>165</v>
      </c>
      <c r="C255" s="41" t="s">
        <v>9</v>
      </c>
      <c r="D255" s="41"/>
      <c r="E255" s="41"/>
      <c r="F255" s="41"/>
      <c r="G255" s="41"/>
      <c r="H255" s="41"/>
      <c r="I255" s="42"/>
      <c r="J255" s="41"/>
      <c r="K255" s="41"/>
      <c r="L255" s="43"/>
    </row>
    <row r="256" spans="2:12" ht="15.75" hidden="1" outlineLevel="1" thickBot="1">
      <c r="B256" s="7">
        <f t="shared" si="10"/>
        <v>166</v>
      </c>
      <c r="C256" s="41" t="s">
        <v>9</v>
      </c>
      <c r="D256" s="41"/>
      <c r="E256" s="41"/>
      <c r="F256" s="41"/>
      <c r="G256" s="41"/>
      <c r="H256" s="41"/>
      <c r="I256" s="42"/>
      <c r="J256" s="41"/>
      <c r="K256" s="41"/>
      <c r="L256" s="43"/>
    </row>
    <row r="257" spans="2:12" ht="15.75" hidden="1" outlineLevel="1" thickBot="1">
      <c r="B257" s="7">
        <f t="shared" si="10"/>
        <v>167</v>
      </c>
      <c r="C257" s="41" t="s">
        <v>9</v>
      </c>
      <c r="D257" s="41"/>
      <c r="E257" s="41"/>
      <c r="F257" s="41"/>
      <c r="G257" s="41"/>
      <c r="H257" s="41"/>
      <c r="I257" s="42"/>
      <c r="J257" s="41"/>
      <c r="K257" s="41"/>
      <c r="L257" s="43"/>
    </row>
    <row r="258" spans="2:12" ht="15.75" hidden="1" outlineLevel="1" thickBot="1">
      <c r="B258" s="7">
        <f t="shared" si="10"/>
        <v>168</v>
      </c>
      <c r="C258" s="41" t="s">
        <v>9</v>
      </c>
      <c r="D258" s="41"/>
      <c r="E258" s="41"/>
      <c r="F258" s="41"/>
      <c r="G258" s="41"/>
      <c r="H258" s="41"/>
      <c r="I258" s="42"/>
      <c r="J258" s="41"/>
      <c r="K258" s="41"/>
      <c r="L258" s="43"/>
    </row>
    <row r="259" spans="2:12" ht="15.75" hidden="1" outlineLevel="1" thickBot="1">
      <c r="B259" s="7">
        <f t="shared" si="10"/>
        <v>169</v>
      </c>
      <c r="C259" s="41" t="s">
        <v>9</v>
      </c>
      <c r="D259" s="41"/>
      <c r="E259" s="41"/>
      <c r="F259" s="41"/>
      <c r="G259" s="41"/>
      <c r="H259" s="41"/>
      <c r="I259" s="42"/>
      <c r="J259" s="41"/>
      <c r="K259" s="41"/>
      <c r="L259" s="43"/>
    </row>
    <row r="260" spans="2:12" ht="15.75" hidden="1" outlineLevel="1" thickBot="1">
      <c r="B260" s="7">
        <f t="shared" si="10"/>
        <v>170</v>
      </c>
      <c r="C260" s="41" t="s">
        <v>9</v>
      </c>
      <c r="D260" s="41"/>
      <c r="E260" s="41"/>
      <c r="F260" s="41"/>
      <c r="G260" s="41"/>
      <c r="H260" s="41"/>
      <c r="I260" s="42"/>
      <c r="J260" s="41"/>
      <c r="K260" s="41"/>
      <c r="L260" s="43"/>
    </row>
    <row r="261" spans="2:12" ht="15.75" hidden="1" outlineLevel="1" thickBot="1">
      <c r="B261" s="7">
        <f t="shared" si="10"/>
        <v>171</v>
      </c>
      <c r="C261" s="41" t="s">
        <v>9</v>
      </c>
      <c r="D261" s="41"/>
      <c r="E261" s="41"/>
      <c r="F261" s="41"/>
      <c r="G261" s="41"/>
      <c r="H261" s="41"/>
      <c r="I261" s="42"/>
      <c r="J261" s="41"/>
      <c r="K261" s="41"/>
      <c r="L261" s="43"/>
    </row>
    <row r="262" spans="2:12" ht="15.75" hidden="1" outlineLevel="1" thickBot="1">
      <c r="B262" s="7">
        <f t="shared" si="10"/>
        <v>172</v>
      </c>
      <c r="C262" s="41" t="s">
        <v>9</v>
      </c>
      <c r="D262" s="41"/>
      <c r="E262" s="41"/>
      <c r="F262" s="41"/>
      <c r="G262" s="41"/>
      <c r="H262" s="41"/>
      <c r="I262" s="42"/>
      <c r="J262" s="41"/>
      <c r="K262" s="41"/>
      <c r="L262" s="43"/>
    </row>
    <row r="263" spans="2:12" ht="15.75" hidden="1" outlineLevel="1" thickBot="1">
      <c r="B263" s="7">
        <f t="shared" si="10"/>
        <v>173</v>
      </c>
      <c r="C263" s="41" t="s">
        <v>9</v>
      </c>
      <c r="D263" s="41"/>
      <c r="E263" s="41"/>
      <c r="F263" s="41"/>
      <c r="G263" s="41"/>
      <c r="H263" s="41"/>
      <c r="I263" s="42"/>
      <c r="J263" s="41"/>
      <c r="K263" s="41"/>
      <c r="L263" s="43"/>
    </row>
    <row r="264" spans="2:12" ht="15.75" hidden="1" outlineLevel="1" thickBot="1">
      <c r="B264" s="7">
        <f t="shared" si="10"/>
        <v>174</v>
      </c>
      <c r="C264" s="41" t="s">
        <v>9</v>
      </c>
      <c r="D264" s="41"/>
      <c r="E264" s="41"/>
      <c r="F264" s="41"/>
      <c r="G264" s="41"/>
      <c r="H264" s="41"/>
      <c r="I264" s="42"/>
      <c r="J264" s="41"/>
      <c r="K264" s="41"/>
      <c r="L264" s="43"/>
    </row>
    <row r="265" spans="2:12" ht="15.75" hidden="1" outlineLevel="1" thickBot="1">
      <c r="B265" s="7">
        <f t="shared" si="10"/>
        <v>175</v>
      </c>
      <c r="C265" s="41" t="s">
        <v>9</v>
      </c>
      <c r="D265" s="41"/>
      <c r="E265" s="41"/>
      <c r="F265" s="41"/>
      <c r="G265" s="41"/>
      <c r="H265" s="41"/>
      <c r="I265" s="42"/>
      <c r="J265" s="41"/>
      <c r="K265" s="41"/>
      <c r="L265" s="43"/>
    </row>
    <row r="266" spans="2:12" ht="15.75" hidden="1" outlineLevel="1" thickBot="1">
      <c r="B266" s="7">
        <f t="shared" si="10"/>
        <v>176</v>
      </c>
      <c r="C266" s="41" t="s">
        <v>9</v>
      </c>
      <c r="D266" s="41"/>
      <c r="E266" s="58"/>
      <c r="F266" s="41"/>
      <c r="G266" s="41"/>
      <c r="H266" s="41"/>
      <c r="I266" s="42"/>
      <c r="J266" s="41"/>
      <c r="K266" s="41"/>
      <c r="L266" s="43"/>
    </row>
    <row r="267" spans="2:12" ht="15.75" hidden="1" outlineLevel="1" thickBot="1">
      <c r="B267" s="7">
        <f t="shared" si="10"/>
        <v>177</v>
      </c>
      <c r="C267" s="41" t="s">
        <v>9</v>
      </c>
      <c r="D267" s="41"/>
      <c r="E267" s="41"/>
      <c r="F267" s="41"/>
      <c r="G267" s="41"/>
      <c r="H267" s="41"/>
      <c r="I267" s="42"/>
      <c r="J267" s="41"/>
      <c r="K267" s="41"/>
      <c r="L267" s="43"/>
    </row>
    <row r="268" spans="2:12" ht="15.75" hidden="1" outlineLevel="1" thickBot="1">
      <c r="B268" s="7">
        <f t="shared" si="10"/>
        <v>178</v>
      </c>
      <c r="C268" s="41" t="s">
        <v>9</v>
      </c>
      <c r="D268" s="41"/>
      <c r="E268" s="58"/>
      <c r="F268" s="41"/>
      <c r="G268" s="41"/>
      <c r="H268" s="41"/>
      <c r="I268" s="42"/>
      <c r="J268" s="41"/>
      <c r="K268" s="41"/>
      <c r="L268" s="43"/>
    </row>
    <row r="269" spans="2:12" ht="15.75" hidden="1" outlineLevel="1" thickBot="1">
      <c r="B269" s="7">
        <f t="shared" si="10"/>
        <v>179</v>
      </c>
      <c r="C269" s="41" t="s">
        <v>9</v>
      </c>
      <c r="D269" s="41"/>
      <c r="E269" s="41"/>
      <c r="F269" s="41"/>
      <c r="G269" s="41"/>
      <c r="H269" s="41"/>
      <c r="I269" s="42"/>
      <c r="J269" s="41"/>
      <c r="K269" s="41"/>
      <c r="L269" s="43"/>
    </row>
    <row r="270" spans="2:12" ht="15.75" hidden="1" outlineLevel="1" thickBot="1">
      <c r="B270" s="7">
        <f t="shared" si="10"/>
        <v>180</v>
      </c>
      <c r="C270" s="41" t="s">
        <v>9</v>
      </c>
      <c r="D270" s="41"/>
      <c r="E270" s="58"/>
      <c r="F270" s="41"/>
      <c r="G270" s="41"/>
      <c r="H270" s="41"/>
      <c r="I270" s="42"/>
      <c r="J270" s="41"/>
      <c r="K270" s="41"/>
      <c r="L270" s="43"/>
    </row>
    <row r="271" spans="2:12" ht="15.75" hidden="1" outlineLevel="1" thickBot="1">
      <c r="B271" s="7">
        <f t="shared" si="10"/>
        <v>181</v>
      </c>
      <c r="C271" s="41" t="s">
        <v>9</v>
      </c>
      <c r="D271" s="41"/>
      <c r="E271" s="41"/>
      <c r="F271" s="41"/>
      <c r="G271" s="41"/>
      <c r="H271" s="41"/>
      <c r="I271" s="42"/>
      <c r="J271" s="41"/>
      <c r="K271" s="41"/>
      <c r="L271" s="43"/>
    </row>
    <row r="272" spans="2:12" ht="15.75" hidden="1" outlineLevel="1" thickBot="1">
      <c r="B272" s="7">
        <f t="shared" si="10"/>
        <v>182</v>
      </c>
      <c r="C272" s="41" t="s">
        <v>9</v>
      </c>
      <c r="D272" s="41"/>
      <c r="E272" s="58"/>
      <c r="F272" s="41"/>
      <c r="G272" s="41"/>
      <c r="H272" s="41"/>
      <c r="I272" s="42"/>
      <c r="J272" s="41"/>
      <c r="K272" s="41"/>
      <c r="L272" s="43"/>
    </row>
    <row r="273" spans="2:12" ht="15.75" hidden="1" outlineLevel="1" thickBot="1">
      <c r="B273" s="7">
        <f t="shared" si="10"/>
        <v>183</v>
      </c>
      <c r="C273" s="41" t="s">
        <v>9</v>
      </c>
      <c r="D273" s="41"/>
      <c r="E273" s="41"/>
      <c r="F273" s="41"/>
      <c r="G273" s="41"/>
      <c r="H273" s="41"/>
      <c r="I273" s="42"/>
      <c r="J273" s="41"/>
      <c r="K273" s="41"/>
      <c r="L273" s="43"/>
    </row>
    <row r="274" spans="2:12" ht="15.75" hidden="1" outlineLevel="1" thickBot="1">
      <c r="B274" s="7">
        <f t="shared" si="10"/>
        <v>184</v>
      </c>
      <c r="C274" s="41" t="s">
        <v>9</v>
      </c>
      <c r="D274" s="41"/>
      <c r="E274" s="41"/>
      <c r="F274" s="41"/>
      <c r="G274" s="41"/>
      <c r="H274" s="41"/>
      <c r="I274" s="42"/>
      <c r="J274" s="41"/>
      <c r="K274" s="41"/>
      <c r="L274" s="43"/>
    </row>
    <row r="275" spans="2:12" ht="15.75" hidden="1" outlineLevel="1" thickBot="1">
      <c r="B275" s="7">
        <f t="shared" si="10"/>
        <v>185</v>
      </c>
      <c r="C275" s="41" t="s">
        <v>9</v>
      </c>
      <c r="D275" s="41"/>
      <c r="E275" s="41"/>
      <c r="F275" s="41"/>
      <c r="G275" s="41"/>
      <c r="H275" s="41"/>
      <c r="I275" s="42"/>
      <c r="J275" s="41"/>
      <c r="K275" s="41"/>
      <c r="L275" s="43"/>
    </row>
    <row r="276" spans="2:12" ht="15.75" hidden="1" outlineLevel="1" thickBot="1">
      <c r="B276" s="7">
        <f t="shared" si="10"/>
        <v>186</v>
      </c>
      <c r="C276" s="41" t="s">
        <v>9</v>
      </c>
      <c r="D276" s="41"/>
      <c r="E276" s="58"/>
      <c r="F276" s="41"/>
      <c r="G276" s="41"/>
      <c r="H276" s="41"/>
      <c r="I276" s="42"/>
      <c r="J276" s="41"/>
      <c r="K276" s="41"/>
      <c r="L276" s="43"/>
    </row>
    <row r="277" spans="2:12" ht="15.75" hidden="1" outlineLevel="1" thickBot="1">
      <c r="B277" s="7">
        <f t="shared" si="10"/>
        <v>187</v>
      </c>
      <c r="C277" s="41" t="s">
        <v>9</v>
      </c>
      <c r="D277" s="41"/>
      <c r="E277" s="41"/>
      <c r="F277" s="41"/>
      <c r="G277" s="41"/>
      <c r="H277" s="41"/>
      <c r="I277" s="42"/>
      <c r="J277" s="41"/>
      <c r="K277" s="41"/>
      <c r="L277" s="43"/>
    </row>
    <row r="278" spans="2:12" ht="15.75" hidden="1" outlineLevel="1" thickBot="1">
      <c r="B278" s="7">
        <f t="shared" si="10"/>
        <v>188</v>
      </c>
      <c r="C278" s="41" t="s">
        <v>9</v>
      </c>
      <c r="D278" s="41"/>
      <c r="E278" s="41"/>
      <c r="F278" s="41"/>
      <c r="G278" s="41"/>
      <c r="H278" s="41"/>
      <c r="I278" s="42"/>
      <c r="J278" s="41"/>
      <c r="K278" s="41"/>
      <c r="L278" s="43"/>
    </row>
    <row r="279" spans="2:12" ht="15.75" hidden="1" outlineLevel="1" thickBot="1">
      <c r="B279" s="7">
        <f t="shared" si="10"/>
        <v>189</v>
      </c>
      <c r="C279" s="41" t="s">
        <v>9</v>
      </c>
      <c r="D279" s="41"/>
      <c r="E279" s="58"/>
      <c r="F279" s="41"/>
      <c r="G279" s="41"/>
      <c r="H279" s="41"/>
      <c r="I279" s="42"/>
      <c r="J279" s="41"/>
      <c r="K279" s="41"/>
      <c r="L279" s="43"/>
    </row>
    <row r="280" spans="2:12" ht="15.75" hidden="1" outlineLevel="1" thickBot="1">
      <c r="B280" s="7">
        <f t="shared" si="10"/>
        <v>190</v>
      </c>
      <c r="C280" s="41" t="s">
        <v>9</v>
      </c>
      <c r="D280" s="41"/>
      <c r="E280" s="41"/>
      <c r="F280" s="41"/>
      <c r="G280" s="41"/>
      <c r="H280" s="41"/>
      <c r="I280" s="42"/>
      <c r="J280" s="41"/>
      <c r="K280" s="41"/>
      <c r="L280" s="43"/>
    </row>
    <row r="281" spans="2:12" ht="15.75" hidden="1" outlineLevel="1" thickBot="1">
      <c r="B281" s="7">
        <f t="shared" si="10"/>
        <v>191</v>
      </c>
      <c r="C281" s="41" t="s">
        <v>9</v>
      </c>
      <c r="D281" s="41"/>
      <c r="E281" s="41"/>
      <c r="F281" s="41"/>
      <c r="G281" s="41"/>
      <c r="H281" s="41"/>
      <c r="I281" s="42"/>
      <c r="J281" s="41"/>
      <c r="K281" s="41"/>
      <c r="L281" s="43"/>
    </row>
    <row r="282" spans="2:12" ht="15.75" hidden="1" outlineLevel="1" thickBot="1">
      <c r="B282" s="7">
        <f t="shared" si="10"/>
        <v>192</v>
      </c>
      <c r="C282" s="41" t="s">
        <v>9</v>
      </c>
      <c r="D282" s="41"/>
      <c r="E282" s="41"/>
      <c r="F282" s="41"/>
      <c r="G282" s="41"/>
      <c r="H282" s="41"/>
      <c r="I282" s="42"/>
      <c r="J282" s="41"/>
      <c r="K282" s="41"/>
      <c r="L282" s="43"/>
    </row>
    <row r="283" spans="2:12" ht="15.75" hidden="1" outlineLevel="1" thickBot="1">
      <c r="B283" s="7">
        <f t="shared" si="10"/>
        <v>193</v>
      </c>
      <c r="C283" s="41" t="s">
        <v>9</v>
      </c>
      <c r="D283" s="41"/>
      <c r="E283" s="41"/>
      <c r="F283" s="41"/>
      <c r="G283" s="41"/>
      <c r="H283" s="41"/>
      <c r="I283" s="42"/>
      <c r="J283" s="41"/>
      <c r="K283" s="41"/>
      <c r="L283" s="43"/>
    </row>
    <row r="284" spans="2:12" ht="15.75" hidden="1" outlineLevel="1" thickBot="1">
      <c r="B284" s="7">
        <f t="shared" si="10"/>
        <v>194</v>
      </c>
      <c r="C284" s="41" t="s">
        <v>9</v>
      </c>
      <c r="D284" s="41"/>
      <c r="E284" s="41"/>
      <c r="F284" s="41"/>
      <c r="G284" s="41"/>
      <c r="H284" s="41"/>
      <c r="I284" s="42"/>
      <c r="J284" s="41"/>
      <c r="K284" s="41"/>
      <c r="L284" s="43"/>
    </row>
    <row r="285" spans="2:12" ht="15.75" hidden="1" outlineLevel="1" thickBot="1">
      <c r="B285" s="7">
        <f t="shared" ref="B285:B324" si="11">IF(C285="","",(B284+1))</f>
        <v>195</v>
      </c>
      <c r="C285" s="41" t="s">
        <v>9</v>
      </c>
      <c r="D285" s="41"/>
      <c r="E285" s="58"/>
      <c r="F285" s="41"/>
      <c r="G285" s="41"/>
      <c r="H285" s="41"/>
      <c r="I285" s="42"/>
      <c r="J285" s="41"/>
      <c r="K285" s="41"/>
      <c r="L285" s="43"/>
    </row>
    <row r="286" spans="2:12" ht="15.75" hidden="1" outlineLevel="1" thickBot="1">
      <c r="B286" s="7">
        <f t="shared" si="11"/>
        <v>196</v>
      </c>
      <c r="C286" s="41" t="s">
        <v>9</v>
      </c>
      <c r="D286" s="41"/>
      <c r="E286" s="41"/>
      <c r="F286" s="41"/>
      <c r="G286" s="41"/>
      <c r="H286" s="41"/>
      <c r="I286" s="42"/>
      <c r="J286" s="41"/>
      <c r="K286" s="41"/>
      <c r="L286" s="43"/>
    </row>
    <row r="287" spans="2:12" ht="15.75" hidden="1" outlineLevel="1" thickBot="1">
      <c r="B287" s="7">
        <f t="shared" si="11"/>
        <v>197</v>
      </c>
      <c r="C287" s="41" t="s">
        <v>9</v>
      </c>
      <c r="D287" s="41"/>
      <c r="E287" s="58"/>
      <c r="F287" s="41"/>
      <c r="G287" s="41"/>
      <c r="H287" s="41"/>
      <c r="I287" s="42"/>
      <c r="J287" s="41"/>
      <c r="K287" s="41"/>
      <c r="L287" s="43"/>
    </row>
    <row r="288" spans="2:12" ht="15.75" hidden="1" outlineLevel="1" thickBot="1">
      <c r="B288" s="7">
        <f t="shared" si="11"/>
        <v>198</v>
      </c>
      <c r="C288" s="41" t="s">
        <v>9</v>
      </c>
      <c r="D288" s="41"/>
      <c r="E288" s="41"/>
      <c r="F288" s="41"/>
      <c r="G288" s="41"/>
      <c r="H288" s="41"/>
      <c r="I288" s="42"/>
      <c r="J288" s="41"/>
      <c r="K288" s="41"/>
      <c r="L288" s="43"/>
    </row>
    <row r="289" spans="2:12" ht="15.75" hidden="1" outlineLevel="1" thickBot="1">
      <c r="B289" s="7">
        <f t="shared" si="11"/>
        <v>199</v>
      </c>
      <c r="C289" s="41" t="s">
        <v>9</v>
      </c>
      <c r="D289" s="41"/>
      <c r="E289" s="41"/>
      <c r="F289" s="41"/>
      <c r="G289" s="41"/>
      <c r="H289" s="41"/>
      <c r="I289" s="42"/>
      <c r="J289" s="41"/>
      <c r="K289" s="41"/>
      <c r="L289" s="43"/>
    </row>
    <row r="290" spans="2:12" ht="15.75" hidden="1" outlineLevel="1" thickBot="1">
      <c r="B290" s="7">
        <f t="shared" si="11"/>
        <v>200</v>
      </c>
      <c r="C290" s="41" t="s">
        <v>9</v>
      </c>
      <c r="D290" s="41"/>
      <c r="E290" s="41"/>
      <c r="F290" s="41"/>
      <c r="G290" s="41"/>
      <c r="H290" s="41"/>
      <c r="I290" s="42"/>
      <c r="J290" s="41"/>
      <c r="K290" s="41"/>
      <c r="L290" s="43"/>
    </row>
    <row r="291" spans="2:12" ht="15.75" hidden="1" outlineLevel="1" thickBot="1">
      <c r="B291" s="7">
        <f t="shared" si="11"/>
        <v>201</v>
      </c>
      <c r="C291" s="41" t="s">
        <v>9</v>
      </c>
      <c r="D291" s="41"/>
      <c r="E291" s="41"/>
      <c r="F291" s="41"/>
      <c r="G291" s="41"/>
      <c r="H291" s="41"/>
      <c r="I291" s="42"/>
      <c r="J291" s="41"/>
      <c r="K291" s="41"/>
      <c r="L291" s="43"/>
    </row>
    <row r="292" spans="2:12" ht="15.75" hidden="1" outlineLevel="1" thickBot="1">
      <c r="B292" s="7">
        <f t="shared" si="11"/>
        <v>202</v>
      </c>
      <c r="C292" s="41" t="s">
        <v>9</v>
      </c>
      <c r="D292" s="41"/>
      <c r="E292" s="41"/>
      <c r="F292" s="41"/>
      <c r="G292" s="41"/>
      <c r="H292" s="41"/>
      <c r="I292" s="42"/>
      <c r="J292" s="41"/>
      <c r="K292" s="41"/>
      <c r="L292" s="43"/>
    </row>
    <row r="293" spans="2:12" ht="15.75" hidden="1" outlineLevel="1" thickBot="1">
      <c r="B293" s="7">
        <f t="shared" si="11"/>
        <v>203</v>
      </c>
      <c r="C293" s="41" t="s">
        <v>9</v>
      </c>
      <c r="D293" s="41"/>
      <c r="E293" s="41"/>
      <c r="F293" s="41"/>
      <c r="G293" s="41"/>
      <c r="H293" s="41"/>
      <c r="I293" s="42"/>
      <c r="J293" s="41"/>
      <c r="K293" s="41"/>
      <c r="L293" s="43"/>
    </row>
    <row r="294" spans="2:12" ht="15.75" hidden="1" outlineLevel="1" thickBot="1">
      <c r="B294" s="7">
        <f t="shared" si="11"/>
        <v>204</v>
      </c>
      <c r="C294" s="41" t="s">
        <v>9</v>
      </c>
      <c r="D294" s="41"/>
      <c r="E294" s="41"/>
      <c r="F294" s="41"/>
      <c r="G294" s="41"/>
      <c r="H294" s="41"/>
      <c r="I294" s="42"/>
      <c r="J294" s="41"/>
      <c r="K294" s="41"/>
      <c r="L294" s="43"/>
    </row>
    <row r="295" spans="2:12" ht="15.75" hidden="1" outlineLevel="1" thickBot="1">
      <c r="B295" s="7">
        <f t="shared" si="11"/>
        <v>205</v>
      </c>
      <c r="C295" s="41" t="s">
        <v>9</v>
      </c>
      <c r="D295" s="41"/>
      <c r="E295" s="41"/>
      <c r="F295" s="41"/>
      <c r="G295" s="41"/>
      <c r="H295" s="41"/>
      <c r="I295" s="42"/>
      <c r="J295" s="41"/>
      <c r="K295" s="41"/>
      <c r="L295" s="43"/>
    </row>
    <row r="296" spans="2:12" ht="15.75" hidden="1" outlineLevel="1" thickBot="1">
      <c r="B296" s="7">
        <f t="shared" si="11"/>
        <v>206</v>
      </c>
      <c r="C296" s="41" t="s">
        <v>9</v>
      </c>
      <c r="D296" s="41"/>
      <c r="E296" s="41"/>
      <c r="F296" s="41"/>
      <c r="G296" s="41"/>
      <c r="H296" s="41"/>
      <c r="I296" s="42"/>
      <c r="J296" s="41"/>
      <c r="K296" s="41"/>
      <c r="L296" s="43"/>
    </row>
    <row r="297" spans="2:12" ht="15.75" hidden="1" outlineLevel="1" thickBot="1">
      <c r="B297" s="7">
        <f t="shared" si="11"/>
        <v>207</v>
      </c>
      <c r="C297" s="41" t="s">
        <v>9</v>
      </c>
      <c r="D297" s="41"/>
      <c r="E297" s="41"/>
      <c r="F297" s="41"/>
      <c r="G297" s="41"/>
      <c r="H297" s="41"/>
      <c r="I297" s="42"/>
      <c r="J297" s="41"/>
      <c r="K297" s="41"/>
      <c r="L297" s="43"/>
    </row>
    <row r="298" spans="2:12" ht="15.75" hidden="1" outlineLevel="1" thickBot="1">
      <c r="B298" s="7">
        <f t="shared" si="11"/>
        <v>208</v>
      </c>
      <c r="C298" s="41" t="s">
        <v>9</v>
      </c>
      <c r="D298" s="41"/>
      <c r="E298" s="41"/>
      <c r="F298" s="41"/>
      <c r="G298" s="41"/>
      <c r="H298" s="41"/>
      <c r="I298" s="42"/>
      <c r="J298" s="41"/>
      <c r="K298" s="41"/>
      <c r="L298" s="43"/>
    </row>
    <row r="299" spans="2:12" ht="15.75" hidden="1" outlineLevel="1" thickBot="1">
      <c r="B299" s="7">
        <f t="shared" si="11"/>
        <v>209</v>
      </c>
      <c r="C299" s="41" t="s">
        <v>9</v>
      </c>
      <c r="D299" s="41"/>
      <c r="E299" s="41"/>
      <c r="F299" s="41"/>
      <c r="G299" s="41"/>
      <c r="H299" s="41"/>
      <c r="I299" s="42"/>
      <c r="J299" s="41"/>
      <c r="K299" s="41"/>
      <c r="L299" s="43"/>
    </row>
    <row r="300" spans="2:12" ht="15.75" hidden="1" outlineLevel="1" thickBot="1">
      <c r="B300" s="7">
        <f t="shared" si="11"/>
        <v>210</v>
      </c>
      <c r="C300" s="41" t="s">
        <v>9</v>
      </c>
      <c r="D300" s="41"/>
      <c r="E300" s="41"/>
      <c r="F300" s="41"/>
      <c r="G300" s="41"/>
      <c r="H300" s="41"/>
      <c r="I300" s="42"/>
      <c r="J300" s="41"/>
      <c r="K300" s="41"/>
      <c r="L300" s="43"/>
    </row>
    <row r="301" spans="2:12" ht="15.75" hidden="1" outlineLevel="1" thickBot="1">
      <c r="B301" s="7">
        <f t="shared" si="11"/>
        <v>211</v>
      </c>
      <c r="C301" s="41" t="s">
        <v>9</v>
      </c>
      <c r="D301" s="41"/>
      <c r="E301" s="41"/>
      <c r="F301" s="41"/>
      <c r="G301" s="41"/>
      <c r="H301" s="41"/>
      <c r="I301" s="42"/>
      <c r="J301" s="41"/>
      <c r="K301" s="41"/>
      <c r="L301" s="43"/>
    </row>
    <row r="302" spans="2:12" ht="15.75" hidden="1" outlineLevel="1" thickBot="1">
      <c r="B302" s="7">
        <f t="shared" si="11"/>
        <v>212</v>
      </c>
      <c r="C302" s="41" t="s">
        <v>9</v>
      </c>
      <c r="D302" s="41"/>
      <c r="E302" s="41"/>
      <c r="F302" s="41"/>
      <c r="G302" s="41"/>
      <c r="H302" s="41"/>
      <c r="I302" s="42"/>
      <c r="J302" s="41"/>
      <c r="K302" s="41"/>
      <c r="L302" s="43"/>
    </row>
    <row r="303" spans="2:12" ht="15.75" hidden="1" outlineLevel="1" thickBot="1">
      <c r="B303" s="7">
        <f t="shared" si="11"/>
        <v>213</v>
      </c>
      <c r="C303" s="41" t="s">
        <v>9</v>
      </c>
      <c r="D303" s="41"/>
      <c r="E303" s="41"/>
      <c r="F303" s="41"/>
      <c r="G303" s="41"/>
      <c r="H303" s="41"/>
      <c r="I303" s="42"/>
      <c r="J303" s="41"/>
      <c r="K303" s="41"/>
      <c r="L303" s="43"/>
    </row>
    <row r="304" spans="2:12" ht="15.75" hidden="1" outlineLevel="1" thickBot="1">
      <c r="B304" s="7">
        <f t="shared" si="11"/>
        <v>214</v>
      </c>
      <c r="C304" s="41" t="s">
        <v>9</v>
      </c>
      <c r="D304" s="41"/>
      <c r="E304" s="41"/>
      <c r="F304" s="41"/>
      <c r="G304" s="41"/>
      <c r="H304" s="41"/>
      <c r="I304" s="42"/>
      <c r="J304" s="41"/>
      <c r="K304" s="41"/>
      <c r="L304" s="43"/>
    </row>
    <row r="305" spans="2:12" ht="15.75" hidden="1" outlineLevel="1" thickBot="1">
      <c r="B305" s="7">
        <f t="shared" si="11"/>
        <v>215</v>
      </c>
      <c r="C305" s="41" t="s">
        <v>9</v>
      </c>
      <c r="D305" s="41"/>
      <c r="E305" s="41"/>
      <c r="F305" s="41"/>
      <c r="G305" s="41"/>
      <c r="H305" s="41"/>
      <c r="I305" s="42"/>
      <c r="J305" s="41"/>
      <c r="K305" s="41"/>
      <c r="L305" s="43"/>
    </row>
    <row r="306" spans="2:12" ht="15.75" hidden="1" outlineLevel="1" thickBot="1">
      <c r="B306" s="7">
        <f t="shared" si="11"/>
        <v>216</v>
      </c>
      <c r="C306" s="41" t="s">
        <v>9</v>
      </c>
      <c r="D306" s="41"/>
      <c r="E306" s="41"/>
      <c r="F306" s="41"/>
      <c r="G306" s="41"/>
      <c r="H306" s="41"/>
      <c r="I306" s="42"/>
      <c r="J306" s="41"/>
      <c r="K306" s="41"/>
      <c r="L306" s="43"/>
    </row>
    <row r="307" spans="2:12" ht="15.75" hidden="1" outlineLevel="1" thickBot="1">
      <c r="B307" s="7">
        <f t="shared" si="11"/>
        <v>217</v>
      </c>
      <c r="C307" s="41" t="s">
        <v>9</v>
      </c>
      <c r="D307" s="41"/>
      <c r="E307" s="41"/>
      <c r="F307" s="41"/>
      <c r="G307" s="41"/>
      <c r="H307" s="41"/>
      <c r="I307" s="42"/>
      <c r="J307" s="41"/>
      <c r="K307" s="41"/>
      <c r="L307" s="43"/>
    </row>
    <row r="308" spans="2:12" ht="15.75" hidden="1" outlineLevel="1" thickBot="1">
      <c r="B308" s="7">
        <f t="shared" si="11"/>
        <v>218</v>
      </c>
      <c r="C308" s="41" t="s">
        <v>9</v>
      </c>
      <c r="D308" s="41"/>
      <c r="E308" s="41"/>
      <c r="F308" s="41"/>
      <c r="G308" s="41"/>
      <c r="H308" s="41"/>
      <c r="I308" s="42"/>
      <c r="J308" s="41"/>
      <c r="K308" s="41"/>
      <c r="L308" s="43"/>
    </row>
    <row r="309" spans="2:12" ht="15.75" hidden="1" outlineLevel="1" thickBot="1">
      <c r="B309" s="7">
        <f t="shared" si="11"/>
        <v>219</v>
      </c>
      <c r="C309" s="41" t="s">
        <v>9</v>
      </c>
      <c r="D309" s="41"/>
      <c r="E309" s="41"/>
      <c r="F309" s="41"/>
      <c r="G309" s="41"/>
      <c r="H309" s="41"/>
      <c r="I309" s="42"/>
      <c r="J309" s="41"/>
      <c r="K309" s="41"/>
      <c r="L309" s="43"/>
    </row>
    <row r="310" spans="2:12" ht="15.75" hidden="1" outlineLevel="1" thickBot="1">
      <c r="B310" s="7">
        <f t="shared" si="11"/>
        <v>220</v>
      </c>
      <c r="C310" s="41" t="s">
        <v>9</v>
      </c>
      <c r="D310" s="41"/>
      <c r="E310" s="41"/>
      <c r="F310" s="41"/>
      <c r="G310" s="41"/>
      <c r="H310" s="41"/>
      <c r="I310" s="42"/>
      <c r="J310" s="41"/>
      <c r="K310" s="41"/>
      <c r="L310" s="43"/>
    </row>
    <row r="311" spans="2:12" ht="15.75" hidden="1" outlineLevel="1" thickBot="1">
      <c r="B311" s="7">
        <f t="shared" si="11"/>
        <v>221</v>
      </c>
      <c r="C311" s="41" t="s">
        <v>9</v>
      </c>
      <c r="D311" s="41"/>
      <c r="E311" s="41"/>
      <c r="F311" s="41"/>
      <c r="G311" s="41"/>
      <c r="H311" s="41"/>
      <c r="I311" s="42"/>
      <c r="J311" s="41"/>
      <c r="K311" s="41"/>
      <c r="L311" s="43"/>
    </row>
    <row r="312" spans="2:12" ht="15.75" hidden="1" outlineLevel="1" thickBot="1">
      <c r="B312" s="7">
        <f t="shared" si="11"/>
        <v>222</v>
      </c>
      <c r="C312" s="41" t="s">
        <v>9</v>
      </c>
      <c r="D312" s="41"/>
      <c r="E312" s="41"/>
      <c r="F312" s="41"/>
      <c r="G312" s="41"/>
      <c r="H312" s="41"/>
      <c r="I312" s="42"/>
      <c r="J312" s="41"/>
      <c r="K312" s="41"/>
      <c r="L312" s="43"/>
    </row>
    <row r="313" spans="2:12" ht="15.75" hidden="1" outlineLevel="1" thickBot="1">
      <c r="B313" s="7">
        <f t="shared" si="11"/>
        <v>223</v>
      </c>
      <c r="C313" s="41" t="s">
        <v>9</v>
      </c>
      <c r="D313" s="41"/>
      <c r="E313" s="41"/>
      <c r="F313" s="41"/>
      <c r="G313" s="41"/>
      <c r="H313" s="41"/>
      <c r="I313" s="42"/>
      <c r="J313" s="41"/>
      <c r="K313" s="41"/>
      <c r="L313" s="43"/>
    </row>
    <row r="314" spans="2:12" ht="15.75" hidden="1" outlineLevel="1" thickBot="1">
      <c r="B314" s="7">
        <f t="shared" si="11"/>
        <v>224</v>
      </c>
      <c r="C314" s="41" t="s">
        <v>9</v>
      </c>
      <c r="D314" s="41"/>
      <c r="E314" s="41"/>
      <c r="F314" s="41"/>
      <c r="G314" s="41"/>
      <c r="H314" s="41"/>
      <c r="I314" s="42"/>
      <c r="J314" s="41"/>
      <c r="K314" s="41"/>
      <c r="L314" s="43"/>
    </row>
    <row r="315" spans="2:12" ht="15.75" hidden="1" outlineLevel="1" thickBot="1">
      <c r="B315" s="7">
        <f t="shared" si="11"/>
        <v>225</v>
      </c>
      <c r="C315" s="41" t="s">
        <v>9</v>
      </c>
      <c r="D315" s="41"/>
      <c r="E315" s="41"/>
      <c r="F315" s="41"/>
      <c r="G315" s="41"/>
      <c r="H315" s="41"/>
      <c r="I315" s="42"/>
      <c r="J315" s="41"/>
      <c r="K315" s="41"/>
      <c r="L315" s="43"/>
    </row>
    <row r="316" spans="2:12" ht="15.75" hidden="1" outlineLevel="1" thickBot="1">
      <c r="B316" s="7">
        <f t="shared" si="11"/>
        <v>226</v>
      </c>
      <c r="C316" s="41" t="s">
        <v>9</v>
      </c>
      <c r="D316" s="41"/>
      <c r="E316" s="41"/>
      <c r="F316" s="41"/>
      <c r="G316" s="41"/>
      <c r="H316" s="41"/>
      <c r="I316" s="42"/>
      <c r="J316" s="41"/>
      <c r="K316" s="41"/>
      <c r="L316" s="43"/>
    </row>
    <row r="317" spans="2:12" ht="15.75" hidden="1" outlineLevel="1" thickBot="1">
      <c r="B317" s="7">
        <f t="shared" si="11"/>
        <v>227</v>
      </c>
      <c r="C317" s="41" t="s">
        <v>9</v>
      </c>
      <c r="D317" s="41"/>
      <c r="E317" s="41"/>
      <c r="F317" s="41"/>
      <c r="G317" s="41"/>
      <c r="H317" s="41"/>
      <c r="I317" s="42"/>
      <c r="J317" s="41"/>
      <c r="K317" s="41"/>
      <c r="L317" s="43"/>
    </row>
    <row r="318" spans="2:12" ht="15.75" hidden="1" outlineLevel="1" thickBot="1">
      <c r="B318" s="7">
        <f t="shared" si="11"/>
        <v>228</v>
      </c>
      <c r="C318" s="41" t="s">
        <v>9</v>
      </c>
      <c r="D318" s="41"/>
      <c r="E318" s="41"/>
      <c r="F318" s="41"/>
      <c r="G318" s="41"/>
      <c r="H318" s="41"/>
      <c r="I318" s="42"/>
      <c r="J318" s="41"/>
      <c r="K318" s="41"/>
      <c r="L318" s="43"/>
    </row>
    <row r="319" spans="2:12" ht="15.75" hidden="1" outlineLevel="1" thickBot="1">
      <c r="B319" s="7">
        <f t="shared" si="11"/>
        <v>229</v>
      </c>
      <c r="C319" s="41" t="s">
        <v>9</v>
      </c>
      <c r="D319" s="41"/>
      <c r="E319" s="41"/>
      <c r="F319" s="41"/>
      <c r="G319" s="41"/>
      <c r="H319" s="41"/>
      <c r="I319" s="42"/>
      <c r="J319" s="41"/>
      <c r="K319" s="41"/>
      <c r="L319" s="43"/>
    </row>
    <row r="320" spans="2:12" ht="15.75" hidden="1" outlineLevel="1" thickBot="1">
      <c r="B320" s="7">
        <f t="shared" si="11"/>
        <v>230</v>
      </c>
      <c r="C320" s="41" t="s">
        <v>9</v>
      </c>
      <c r="D320" s="41"/>
      <c r="E320" s="41"/>
      <c r="F320" s="41"/>
      <c r="G320" s="41"/>
      <c r="H320" s="41"/>
      <c r="I320" s="42"/>
      <c r="J320" s="41"/>
      <c r="K320" s="41"/>
      <c r="L320" s="43"/>
    </row>
    <row r="321" spans="2:12" ht="15.75" hidden="1" outlineLevel="1" thickBot="1">
      <c r="B321" s="7">
        <f t="shared" si="11"/>
        <v>231</v>
      </c>
      <c r="C321" s="41" t="s">
        <v>9</v>
      </c>
      <c r="D321" s="41"/>
      <c r="E321" s="41"/>
      <c r="F321" s="41"/>
      <c r="G321" s="41"/>
      <c r="H321" s="41"/>
      <c r="I321" s="42"/>
      <c r="J321" s="41"/>
      <c r="K321" s="41"/>
      <c r="L321" s="43"/>
    </row>
    <row r="322" spans="2:12" ht="15.75" hidden="1" outlineLevel="1" thickBot="1">
      <c r="B322" s="7">
        <f t="shared" si="11"/>
        <v>232</v>
      </c>
      <c r="C322" s="41" t="s">
        <v>9</v>
      </c>
      <c r="D322" s="41"/>
      <c r="E322" s="41"/>
      <c r="F322" s="41"/>
      <c r="G322" s="41"/>
      <c r="H322" s="41"/>
      <c r="I322" s="42"/>
      <c r="J322" s="41"/>
      <c r="K322" s="41"/>
      <c r="L322" s="43"/>
    </row>
    <row r="323" spans="2:12" ht="15.75" hidden="1" outlineLevel="1" thickBot="1">
      <c r="B323" s="7">
        <f t="shared" si="11"/>
        <v>233</v>
      </c>
      <c r="C323" s="41" t="s">
        <v>9</v>
      </c>
      <c r="D323" s="41"/>
      <c r="E323" s="41"/>
      <c r="F323" s="41"/>
      <c r="G323" s="41"/>
      <c r="H323" s="41"/>
      <c r="I323" s="42"/>
      <c r="J323" s="41"/>
      <c r="K323" s="41"/>
      <c r="L323" s="43"/>
    </row>
    <row r="324" spans="2:12" ht="15.75" hidden="1" outlineLevel="1" thickBot="1">
      <c r="B324" s="7">
        <f t="shared" si="11"/>
        <v>234</v>
      </c>
      <c r="C324" s="41" t="s">
        <v>9</v>
      </c>
      <c r="D324" s="41"/>
      <c r="E324" s="41"/>
      <c r="F324" s="41"/>
      <c r="G324" s="41"/>
      <c r="H324" s="41"/>
      <c r="I324" s="42"/>
      <c r="J324" s="41"/>
      <c r="K324" s="41"/>
      <c r="L324" s="43"/>
    </row>
    <row r="325" spans="2:12" ht="15.75" hidden="1" outlineLevel="1" thickBot="1">
      <c r="B325" s="7" t="str">
        <f>IF(C325="","",(#REF!+1))</f>
        <v/>
      </c>
      <c r="C325" s="41"/>
      <c r="D325" s="41"/>
      <c r="E325" s="41"/>
      <c r="F325" s="41"/>
      <c r="G325" s="41"/>
      <c r="H325" s="41"/>
      <c r="I325" s="42"/>
      <c r="J325" s="41"/>
      <c r="K325" s="41"/>
      <c r="L325" s="43"/>
    </row>
    <row r="326" spans="2:12" ht="15.75" hidden="1" outlineLevel="1" thickBot="1">
      <c r="B326" s="7" t="str">
        <f t="shared" ref="B326:B342" si="12">IF(C326="","",(B325+1))</f>
        <v/>
      </c>
      <c r="C326" s="41"/>
      <c r="D326" s="41"/>
      <c r="E326" s="41"/>
      <c r="F326" s="41"/>
      <c r="G326" s="41"/>
      <c r="H326" s="41"/>
      <c r="I326" s="42"/>
      <c r="J326" s="41"/>
      <c r="K326" s="41"/>
      <c r="L326" s="43"/>
    </row>
    <row r="327" spans="2:12" ht="15.75" hidden="1" outlineLevel="1" thickBot="1">
      <c r="B327" s="7" t="str">
        <f t="shared" si="12"/>
        <v/>
      </c>
      <c r="C327" s="41"/>
      <c r="D327" s="41"/>
      <c r="E327" s="41"/>
      <c r="F327" s="41"/>
      <c r="G327" s="41"/>
      <c r="H327" s="41"/>
      <c r="I327" s="42"/>
      <c r="J327" s="41"/>
      <c r="K327" s="41"/>
      <c r="L327" s="43"/>
    </row>
    <row r="328" spans="2:12" ht="15.75" hidden="1" outlineLevel="1" thickBot="1">
      <c r="B328" s="7" t="str">
        <f t="shared" si="12"/>
        <v/>
      </c>
      <c r="C328" s="41"/>
      <c r="D328" s="41"/>
      <c r="E328" s="41"/>
      <c r="F328" s="41"/>
      <c r="G328" s="41"/>
      <c r="H328" s="41"/>
      <c r="I328" s="42"/>
      <c r="J328" s="41"/>
      <c r="K328" s="41"/>
      <c r="L328" s="43"/>
    </row>
    <row r="329" spans="2:12" ht="15.75" hidden="1" outlineLevel="1" thickBot="1">
      <c r="B329" s="7" t="str">
        <f t="shared" si="12"/>
        <v/>
      </c>
      <c r="C329" s="41"/>
      <c r="D329" s="41"/>
      <c r="E329" s="41"/>
      <c r="F329" s="41"/>
      <c r="G329" s="41"/>
      <c r="H329" s="41"/>
      <c r="I329" s="42"/>
      <c r="J329" s="41"/>
      <c r="K329" s="41"/>
      <c r="L329" s="43"/>
    </row>
    <row r="330" spans="2:12" ht="15.75" hidden="1" outlineLevel="1" thickBot="1">
      <c r="B330" s="7" t="str">
        <f t="shared" si="12"/>
        <v/>
      </c>
      <c r="C330" s="41"/>
      <c r="D330" s="41"/>
      <c r="E330" s="41"/>
      <c r="F330" s="41"/>
      <c r="G330" s="41"/>
      <c r="H330" s="41"/>
      <c r="I330" s="42"/>
      <c r="J330" s="41"/>
      <c r="K330" s="41"/>
      <c r="L330" s="43"/>
    </row>
    <row r="331" spans="2:12" ht="15.75" hidden="1" outlineLevel="1" thickBot="1">
      <c r="B331" s="7" t="str">
        <f t="shared" si="12"/>
        <v/>
      </c>
      <c r="C331" s="41"/>
      <c r="D331" s="41"/>
      <c r="E331" s="41"/>
      <c r="F331" s="41"/>
      <c r="G331" s="41"/>
      <c r="H331" s="41"/>
      <c r="I331" s="42"/>
      <c r="J331" s="41"/>
      <c r="K331" s="41"/>
      <c r="L331" s="43"/>
    </row>
    <row r="332" spans="2:12" ht="15.75" hidden="1" outlineLevel="1" thickBot="1">
      <c r="B332" s="7" t="str">
        <f t="shared" si="12"/>
        <v/>
      </c>
      <c r="C332" s="41"/>
      <c r="D332" s="41"/>
      <c r="E332" s="41"/>
      <c r="F332" s="41"/>
      <c r="G332" s="41"/>
      <c r="H332" s="41"/>
      <c r="I332" s="42"/>
      <c r="J332" s="41"/>
      <c r="K332" s="41"/>
      <c r="L332" s="43"/>
    </row>
    <row r="333" spans="2:12" ht="15.75" hidden="1" outlineLevel="1" thickBot="1">
      <c r="B333" s="7" t="str">
        <f t="shared" si="12"/>
        <v/>
      </c>
      <c r="C333" s="41"/>
      <c r="D333" s="41"/>
      <c r="E333" s="41"/>
      <c r="F333" s="41"/>
      <c r="G333" s="41"/>
      <c r="H333" s="41"/>
      <c r="I333" s="42"/>
      <c r="J333" s="41"/>
      <c r="K333" s="41"/>
      <c r="L333" s="43"/>
    </row>
    <row r="334" spans="2:12" ht="15.75" hidden="1" outlineLevel="1" thickBot="1">
      <c r="B334" s="7" t="str">
        <f t="shared" si="12"/>
        <v/>
      </c>
      <c r="C334" s="41"/>
      <c r="D334" s="41"/>
      <c r="E334" s="41"/>
      <c r="F334" s="41"/>
      <c r="G334" s="41"/>
      <c r="H334" s="41"/>
      <c r="I334" s="42"/>
      <c r="J334" s="41"/>
      <c r="K334" s="41"/>
      <c r="L334" s="43"/>
    </row>
    <row r="335" spans="2:12" ht="15.75" hidden="1" outlineLevel="1" thickBot="1">
      <c r="B335" s="7" t="str">
        <f t="shared" si="12"/>
        <v/>
      </c>
      <c r="C335" s="41"/>
      <c r="D335" s="41"/>
      <c r="E335" s="41"/>
      <c r="F335" s="41"/>
      <c r="G335" s="41"/>
      <c r="H335" s="41"/>
      <c r="I335" s="42"/>
      <c r="J335" s="41"/>
      <c r="K335" s="41"/>
      <c r="L335" s="43"/>
    </row>
    <row r="336" spans="2:12" ht="15.75" hidden="1" outlineLevel="1" thickBot="1">
      <c r="B336" s="7" t="str">
        <f t="shared" si="12"/>
        <v/>
      </c>
      <c r="C336" s="41"/>
      <c r="D336" s="41"/>
      <c r="E336" s="41"/>
      <c r="F336" s="41"/>
      <c r="G336" s="41"/>
      <c r="H336" s="41"/>
      <c r="I336" s="42"/>
      <c r="J336" s="41"/>
      <c r="K336" s="41"/>
      <c r="L336" s="43"/>
    </row>
    <row r="337" spans="2:12" ht="15.75" hidden="1" outlineLevel="1" thickBot="1">
      <c r="B337" s="7" t="str">
        <f t="shared" si="12"/>
        <v/>
      </c>
      <c r="C337" s="41"/>
      <c r="D337" s="41"/>
      <c r="E337" s="41"/>
      <c r="F337" s="41"/>
      <c r="G337" s="41"/>
      <c r="H337" s="41"/>
      <c r="I337" s="42"/>
      <c r="J337" s="41"/>
      <c r="K337" s="41"/>
      <c r="L337" s="43"/>
    </row>
    <row r="338" spans="2:12" ht="15.75" hidden="1" outlineLevel="1" thickBot="1">
      <c r="B338" s="7" t="str">
        <f t="shared" si="12"/>
        <v/>
      </c>
      <c r="C338" s="41"/>
      <c r="D338" s="41"/>
      <c r="E338" s="41"/>
      <c r="F338" s="41"/>
      <c r="G338" s="41"/>
      <c r="H338" s="41"/>
      <c r="I338" s="42"/>
      <c r="J338" s="41"/>
      <c r="K338" s="41"/>
      <c r="L338" s="43"/>
    </row>
    <row r="339" spans="2:12" ht="15.75" hidden="1" outlineLevel="1" thickBot="1">
      <c r="B339" s="7" t="str">
        <f t="shared" si="12"/>
        <v/>
      </c>
      <c r="C339" s="41"/>
      <c r="D339" s="41"/>
      <c r="E339" s="41"/>
      <c r="F339" s="41"/>
      <c r="G339" s="41"/>
      <c r="H339" s="41"/>
      <c r="I339" s="42"/>
      <c r="J339" s="41"/>
      <c r="K339" s="41"/>
      <c r="L339" s="43"/>
    </row>
    <row r="340" spans="2:12" ht="15.75" hidden="1" outlineLevel="1" thickBot="1">
      <c r="B340" s="7" t="str">
        <f t="shared" si="12"/>
        <v/>
      </c>
      <c r="C340" s="41"/>
      <c r="D340" s="41"/>
      <c r="E340" s="41"/>
      <c r="F340" s="41"/>
      <c r="G340" s="41"/>
      <c r="H340" s="41"/>
      <c r="I340" s="42"/>
      <c r="J340" s="41"/>
      <c r="K340" s="41"/>
      <c r="L340" s="43"/>
    </row>
    <row r="341" spans="2:12" ht="15.75" hidden="1" outlineLevel="1" thickBot="1">
      <c r="B341" s="7" t="str">
        <f t="shared" si="12"/>
        <v/>
      </c>
      <c r="C341" s="1"/>
      <c r="D341" s="1"/>
      <c r="E341" s="1"/>
      <c r="F341" s="1"/>
      <c r="G341" s="1"/>
      <c r="H341" s="1"/>
      <c r="I341" s="36"/>
      <c r="J341" s="1"/>
      <c r="K341" s="1"/>
      <c r="L341" s="2"/>
    </row>
    <row r="342" spans="2:12" ht="15.75" hidden="1" outlineLevel="1" thickBot="1">
      <c r="B342" s="7" t="str">
        <f t="shared" si="12"/>
        <v/>
      </c>
      <c r="C342" s="38"/>
      <c r="D342" s="38"/>
      <c r="E342" s="38"/>
      <c r="F342" s="38"/>
      <c r="G342" s="38"/>
      <c r="H342" s="38"/>
      <c r="I342" s="38"/>
      <c r="J342" s="38"/>
      <c r="K342" s="38"/>
      <c r="L342" s="39"/>
    </row>
    <row r="343" spans="2:12" ht="24" customHeight="1" collapsed="1" thickBot="1">
      <c r="B343" s="320" t="s">
        <v>59</v>
      </c>
      <c r="C343" s="321"/>
      <c r="D343" s="321"/>
      <c r="E343" s="321"/>
      <c r="F343" s="321"/>
      <c r="G343" s="321"/>
      <c r="H343" s="321"/>
      <c r="I343" s="321"/>
      <c r="J343" s="321"/>
      <c r="K343" s="321"/>
      <c r="L343" s="322"/>
    </row>
    <row r="344" spans="2:12" ht="24" customHeight="1" thickBot="1">
      <c r="B344" s="26" t="s">
        <v>49</v>
      </c>
      <c r="C344" s="27" t="s">
        <v>60</v>
      </c>
      <c r="D344" s="27" t="s">
        <v>62</v>
      </c>
      <c r="E344" s="27" t="s">
        <v>63</v>
      </c>
      <c r="F344" s="27" t="s">
        <v>64</v>
      </c>
      <c r="G344" s="27" t="s">
        <v>65</v>
      </c>
      <c r="H344" s="27" t="s">
        <v>66</v>
      </c>
      <c r="I344" s="27" t="s">
        <v>67</v>
      </c>
      <c r="J344" s="27" t="s">
        <v>6</v>
      </c>
      <c r="K344" s="27" t="s">
        <v>7</v>
      </c>
      <c r="L344" s="28" t="s">
        <v>68</v>
      </c>
    </row>
    <row r="345" spans="2:12">
      <c r="B345" s="46" t="s">
        <v>8</v>
      </c>
      <c r="C345" s="41">
        <f>COUNTIFS(B91:B342,"&gt;"&amp;0,C91:C342,"="&amp;B345)</f>
        <v>5</v>
      </c>
      <c r="D345" s="41">
        <f>COUNTIFS(B91:B342,"&gt;="&amp;1,C91:C342,B345,K91:K342,"&gt;="&amp;0,K91:K342,"&lt;"&amp;50)</f>
        <v>5</v>
      </c>
      <c r="E345" s="41">
        <f>COUNTIFS(B91:B342,"&gt;="&amp;1,C91:C342,B345,K91:K342,"&gt;="&amp;50,K91:K342,"&lt;"&amp;500)</f>
        <v>0</v>
      </c>
      <c r="F345" s="41">
        <f>COUNTIFS(B91:B342,"&gt;="&amp;1,C91:C342,B345,K91:K342,"&gt;="&amp;500)</f>
        <v>0</v>
      </c>
      <c r="G345" s="41">
        <f>COUNTIFS(B91:B342,"&gt;="&amp;1,C91:C342,B345,K91:K342,"&gt;="&amp;0,I91:I342,"&gt;"&amp;DATE(2021,1,1))</f>
        <v>5</v>
      </c>
      <c r="H345" s="47">
        <f>IF(G345=0,"-",(SUM(E345,F345)/G345))</f>
        <v>0</v>
      </c>
      <c r="I345" s="41">
        <f>IF((COUNTIFS(B91:B342,"&gt;="&amp;1,C91:C342,"="&amp;B345))&gt;228,228,(COUNTIFS(B91:B342,"&gt;="&amp;1,C91:C342,"="&amp;B345)))</f>
        <v>5</v>
      </c>
      <c r="J345" s="47">
        <f>IF(I345=0,"-",(COUNTIFS(C91:C342,"="&amp;B345,I91:I342,"&lt;="&amp;DATE(2024,12,31),K91:K342,"&gt;="&amp;0)/I345))</f>
        <v>0.8</v>
      </c>
      <c r="K345" s="47">
        <f>IF(I345=0,"-",IF(J345=1,"-",(COUNTIFS(B91:B342,"&gt;"&amp;0,C91:C342,"="&amp;B345,I91:I342,"&gt;"&amp;DATE(2024,12,31),K91:K342,"&gt;="&amp;0)/(I345-COUNTIFS(B91:B342,"&gt;"&amp;0,C91:C342,"="&amp;B345,I91:I342,"&lt;="&amp;DATE(2024,12,31),K91:K342,"&gt;="&amp;0)))))</f>
        <v>1</v>
      </c>
      <c r="L345" s="48">
        <f>IF(I345=0,"-",G345/I345)</f>
        <v>1</v>
      </c>
    </row>
    <row r="346" spans="2:12">
      <c r="B346" s="7" t="s">
        <v>9</v>
      </c>
      <c r="C346" s="1">
        <f>COUNTIFS(B91:B342,"&gt;"&amp;0,C91:C342,"="&amp;B346)</f>
        <v>228</v>
      </c>
      <c r="D346" s="1">
        <f>COUNTIFS(B91:B342,"&gt;="&amp;1,C91:C342,B346,K91:K342,"&gt;="&amp;0,K91:K342,"&lt;"&amp;50)</f>
        <v>16</v>
      </c>
      <c r="E346" s="1">
        <f>COUNTIFS(B91:B342,"&gt;="&amp;1,C91:C342,B346,K91:K342,"&gt;="&amp;50,K91:K342,"&lt;"&amp;500)</f>
        <v>1</v>
      </c>
      <c r="F346" s="1">
        <f>COUNTIFS(B91:B342,"&gt;="&amp;1,C91:C342,B346,K91:K342,"&gt;="&amp;500)</f>
        <v>0</v>
      </c>
      <c r="G346" s="1">
        <f>COUNTIFS(B91:B342,"&gt;="&amp;1,C91:C342,B346,K91:K342,"&gt;="&amp;0,I91:I342,"&gt;"&amp;DATE(2021,1,1))</f>
        <v>17</v>
      </c>
      <c r="H346" s="44">
        <f t="shared" ref="H346:H348" si="13">IF(G346=0,"-",(SUM(E346,F346)/G346))</f>
        <v>5.8823529411764705E-2</v>
      </c>
      <c r="I346" s="1">
        <f>IF((COUNTIFS(B91:B342,"&gt;="&amp;1,C91:C342,"="&amp;B346))&gt;228,228,(COUNTIFS(B91:B342,"&gt;="&amp;1,C91:C342,"="&amp;B346)))</f>
        <v>228</v>
      </c>
      <c r="J346" s="44">
        <f>IF(I346=0,"-",(COUNTIFS(C91:C342,"="&amp;B346,I91:I342,"&lt;="&amp;DATE(2024,12,31),K91:K342,"&gt;="&amp;0)/I346))</f>
        <v>6.5789473684210523E-2</v>
      </c>
      <c r="K346" s="47">
        <f>IF(I346=0,"-",IF(J346=1,"-",(COUNTIFS(B91:B342,"&gt;"&amp;0,C91:C342,"="&amp;B346,I91:I342,"&gt;"&amp;DATE(2024,12,31),K91:K342,"&gt;="&amp;0)/(I346-COUNTIFS(B91:B342,"&gt;"&amp;0,C91:C342,"="&amp;B346,I91:I342,"&lt;="&amp;DATE(2024,12,31),K91:K342,"&gt;="&amp;0)))))</f>
        <v>9.3896713615023476E-3</v>
      </c>
      <c r="L346" s="45">
        <f t="shared" ref="L346:L348" si="14">IF(I346=0,"-",G346/I346)</f>
        <v>7.4561403508771926E-2</v>
      </c>
    </row>
    <row r="347" spans="2:12">
      <c r="B347" s="7" t="s">
        <v>69</v>
      </c>
      <c r="C347" s="1">
        <f>COUNTIFS(B91:B342,"&gt;"&amp;0,C91:C342,"="&amp;B347)</f>
        <v>1</v>
      </c>
      <c r="D347" s="1">
        <f>COUNTIFS(B91:B342,"&gt;="&amp;1,C91:C342,B347,K91:K342,"&gt;="&amp;0,K91:K342,"&lt;"&amp;50)</f>
        <v>0</v>
      </c>
      <c r="E347" s="1">
        <f>COUNTIFS(B91:B342,"&gt;="&amp;1,C91:C342,B347,K91:K342,"&gt;="&amp;50,K91:K342,"&lt;"&amp;500)</f>
        <v>0</v>
      </c>
      <c r="F347" s="1">
        <f>COUNTIFS(B91:B341,"&gt;="&amp;1,C91:C341,B347,K91:K341,"&gt;="&amp;500)</f>
        <v>0</v>
      </c>
      <c r="G347" s="1">
        <f>COUNTIFS(B91:B342,"&gt;="&amp;1,C91:C342,B347,K91:K342,"&gt;="&amp;0,I91:I342,"&gt;"&amp;DATE(2021,1,1))</f>
        <v>0</v>
      </c>
      <c r="H347" s="44" t="str">
        <f t="shared" si="13"/>
        <v>-</v>
      </c>
      <c r="I347" s="1">
        <f>IF((COUNTIFS(B91:B341,"&gt;="&amp;1,C91:C341,"="&amp;B347))&gt;228,228,(COUNTIFS(B91:B341,"&gt;="&amp;1,C91:C341,"="&amp;B347)))</f>
        <v>1</v>
      </c>
      <c r="J347" s="44">
        <f>IF(I347=0,"-",(COUNTIFS(C91:C342,"="&amp;B347,I91:I342,"&lt;="&amp;DATE(2024,12,31),K91:K342,"&gt;="&amp;0)/I347))</f>
        <v>0</v>
      </c>
      <c r="K347" s="47">
        <f>IF(I347=0,"-",IF(J347=1,"-",(COUNTIFS(B91:B342,"&gt;"&amp;0,C91:C342,"="&amp;B347,I91:I342,"&gt;"&amp;DATE(2024,12,31),K91:K342,"&gt;="&amp;0)/(I347-COUNTIFS(B91:B342,"&gt;"&amp;0,C91:C342,"="&amp;B347,I91:I342,"&lt;="&amp;DATE(2024,12,31),K91:K342,"&gt;="&amp;0)))))</f>
        <v>0</v>
      </c>
      <c r="L347" s="45">
        <f t="shared" si="14"/>
        <v>0</v>
      </c>
    </row>
    <row r="348" spans="2:12" ht="24" customHeight="1" thickBot="1">
      <c r="B348" s="49" t="s">
        <v>59</v>
      </c>
      <c r="C348" s="50">
        <f>SUM(C345:C347)</f>
        <v>234</v>
      </c>
      <c r="D348" s="50">
        <f>SUM(D345:D347)</f>
        <v>21</v>
      </c>
      <c r="E348" s="50">
        <f>SUM(E345:E347)</f>
        <v>1</v>
      </c>
      <c r="F348" s="50">
        <f>SUM(F345:F347)</f>
        <v>0</v>
      </c>
      <c r="G348" s="50">
        <f>SUM(G345:G347)</f>
        <v>22</v>
      </c>
      <c r="H348" s="51">
        <f t="shared" si="13"/>
        <v>4.5454545454545456E-2</v>
      </c>
      <c r="I348" s="50">
        <f>SUM(I345:I347)</f>
        <v>234</v>
      </c>
      <c r="J348" s="51">
        <f>IF(I348=0,"-",(COUNTIFS(I91:I342,"&lt;="&amp;DATE(2024,12,31),K91:K342,"&gt;="&amp;0)/I348))</f>
        <v>8.11965811965812E-2</v>
      </c>
      <c r="K348" s="51">
        <f>IF(I348=0,"-",IF(J348=1,"-",(COUNTIFS(B91:B342,"&gt;"&amp;0,I91:I342,"&gt;"&amp;DATE(2024,12,31),K91:K342,"&gt;="&amp;0)/(I348-COUNTIFS(B91:B342,"&gt;"&amp;0,I91:I342,"&lt;="&amp;DATE(2024,12,31),K91:K342,"&gt;="&amp;0)))))</f>
        <v>1.3953488372093023E-2</v>
      </c>
      <c r="L348" s="52">
        <f t="shared" si="14"/>
        <v>9.4017094017094016E-2</v>
      </c>
    </row>
    <row r="350" spans="2:12" ht="15.75" thickBot="1"/>
    <row r="351" spans="2:12" ht="32.25" customHeight="1" thickBot="1">
      <c r="B351" s="320" t="str">
        <f>_xlfn.CONCAT("Outros Equipamentos ( TSAs,Chaves a Óleo entre Outros)",TEXT(IF(SUM(I455:I457)=0," ",(SUM(G455:G457)/SUM(I455:I457))), " 0,00%"))</f>
        <v xml:space="preserve">Outros Equipamentos ( TSAs,Chaves a Óleo entre Outros) </v>
      </c>
      <c r="C351" s="321"/>
      <c r="D351" s="321"/>
      <c r="E351" s="321"/>
      <c r="F351" s="321"/>
      <c r="G351" s="321"/>
      <c r="H351" s="321"/>
      <c r="I351" s="321"/>
      <c r="J351" s="321"/>
      <c r="K351" s="321"/>
      <c r="L351" s="322"/>
    </row>
    <row r="352" spans="2:12" ht="24" hidden="1" customHeight="1" outlineLevel="1" thickBot="1">
      <c r="B352" s="26" t="s">
        <v>48</v>
      </c>
      <c r="C352" s="27" t="s">
        <v>49</v>
      </c>
      <c r="D352" s="27" t="s">
        <v>50</v>
      </c>
      <c r="E352" s="27" t="s">
        <v>51</v>
      </c>
      <c r="F352" s="27" t="s">
        <v>52</v>
      </c>
      <c r="G352" s="27" t="s">
        <v>53</v>
      </c>
      <c r="H352" s="27" t="s">
        <v>54</v>
      </c>
      <c r="I352" s="27" t="s">
        <v>55</v>
      </c>
      <c r="J352" s="27" t="s">
        <v>56</v>
      </c>
      <c r="K352" s="27" t="s">
        <v>57</v>
      </c>
      <c r="L352" s="28" t="s">
        <v>58</v>
      </c>
    </row>
    <row r="353" spans="2:12" ht="15.75" hidden="1" outlineLevel="1" thickBot="1">
      <c r="B353" s="40" t="str">
        <f>IF(C353="","",ROW($A$1))</f>
        <v/>
      </c>
      <c r="C353" s="41"/>
      <c r="D353" s="41"/>
      <c r="E353" s="41"/>
      <c r="F353" s="41"/>
      <c r="G353" s="41"/>
      <c r="H353" s="41"/>
      <c r="I353" s="42"/>
      <c r="J353" s="41"/>
      <c r="K353" s="41"/>
      <c r="L353" s="43"/>
    </row>
    <row r="354" spans="2:12" ht="15.75" hidden="1" outlineLevel="1" thickBot="1">
      <c r="B354" s="35" t="str">
        <f>IF(C354="","",(B353+1))</f>
        <v/>
      </c>
      <c r="C354" s="41"/>
      <c r="D354" s="41"/>
      <c r="E354" s="41"/>
      <c r="F354" s="41"/>
      <c r="G354" s="41"/>
      <c r="H354" s="41"/>
      <c r="I354" s="42"/>
      <c r="J354" s="41"/>
      <c r="K354" s="41"/>
      <c r="L354" s="43"/>
    </row>
    <row r="355" spans="2:12" ht="15.75" hidden="1" outlineLevel="1" thickBot="1">
      <c r="B355" s="35" t="str">
        <f t="shared" ref="B355:B418" si="15">IF(C355="","",(B354+1))</f>
        <v/>
      </c>
      <c r="C355" s="41"/>
      <c r="D355" s="41"/>
      <c r="E355" s="41"/>
      <c r="F355" s="41"/>
      <c r="G355" s="41"/>
      <c r="H355" s="41"/>
      <c r="I355" s="42"/>
      <c r="J355" s="41"/>
      <c r="K355" s="41"/>
      <c r="L355" s="43"/>
    </row>
    <row r="356" spans="2:12" ht="15.75" hidden="1" outlineLevel="1" thickBot="1">
      <c r="B356" s="35" t="str">
        <f t="shared" si="15"/>
        <v/>
      </c>
      <c r="C356" s="41"/>
      <c r="D356" s="41"/>
      <c r="E356" s="41"/>
      <c r="F356" s="41"/>
      <c r="G356" s="41"/>
      <c r="H356" s="41"/>
      <c r="I356" s="42"/>
      <c r="J356" s="41"/>
      <c r="K356" s="41"/>
      <c r="L356" s="43"/>
    </row>
    <row r="357" spans="2:12" ht="15.75" hidden="1" outlineLevel="1" thickBot="1">
      <c r="B357" s="35" t="str">
        <f t="shared" si="15"/>
        <v/>
      </c>
      <c r="C357" s="41"/>
      <c r="D357" s="41"/>
      <c r="E357" s="41"/>
      <c r="F357" s="41"/>
      <c r="G357" s="41"/>
      <c r="H357" s="41"/>
      <c r="I357" s="42"/>
      <c r="J357" s="41"/>
      <c r="K357" s="41"/>
      <c r="L357" s="43"/>
    </row>
    <row r="358" spans="2:12" ht="15.75" hidden="1" outlineLevel="1" thickBot="1">
      <c r="B358" s="35" t="str">
        <f t="shared" si="15"/>
        <v/>
      </c>
      <c r="C358" s="41"/>
      <c r="D358" s="41"/>
      <c r="E358" s="41"/>
      <c r="F358" s="41"/>
      <c r="G358" s="41"/>
      <c r="H358" s="41"/>
      <c r="I358" s="42"/>
      <c r="J358" s="41"/>
      <c r="K358" s="41"/>
      <c r="L358" s="43"/>
    </row>
    <row r="359" spans="2:12" ht="15.75" hidden="1" outlineLevel="1" thickBot="1">
      <c r="B359" s="35" t="str">
        <f t="shared" si="15"/>
        <v/>
      </c>
      <c r="C359" s="41"/>
      <c r="D359" s="41"/>
      <c r="E359" s="41"/>
      <c r="F359" s="41"/>
      <c r="G359" s="41"/>
      <c r="H359" s="41"/>
      <c r="I359" s="42"/>
      <c r="J359" s="41"/>
      <c r="K359" s="41"/>
      <c r="L359" s="43"/>
    </row>
    <row r="360" spans="2:12" ht="15.75" hidden="1" outlineLevel="1" thickBot="1">
      <c r="B360" s="35" t="str">
        <f t="shared" si="15"/>
        <v/>
      </c>
      <c r="C360" s="41"/>
      <c r="D360" s="41"/>
      <c r="E360" s="41"/>
      <c r="F360" s="41"/>
      <c r="G360" s="41"/>
      <c r="H360" s="41"/>
      <c r="I360" s="42"/>
      <c r="J360" s="41"/>
      <c r="K360" s="41"/>
      <c r="L360" s="43"/>
    </row>
    <row r="361" spans="2:12" ht="15.75" hidden="1" outlineLevel="1" thickBot="1">
      <c r="B361" s="35" t="str">
        <f t="shared" si="15"/>
        <v/>
      </c>
      <c r="C361" s="41"/>
      <c r="D361" s="41"/>
      <c r="E361" s="41"/>
      <c r="F361" s="41"/>
      <c r="G361" s="41"/>
      <c r="H361" s="41"/>
      <c r="I361" s="42"/>
      <c r="J361" s="41"/>
      <c r="K361" s="41"/>
      <c r="L361" s="43"/>
    </row>
    <row r="362" spans="2:12" ht="15.75" hidden="1" outlineLevel="1" thickBot="1">
      <c r="B362" s="35" t="str">
        <f t="shared" si="15"/>
        <v/>
      </c>
      <c r="C362" s="41"/>
      <c r="D362" s="41"/>
      <c r="E362" s="41"/>
      <c r="F362" s="41"/>
      <c r="G362" s="41"/>
      <c r="H362" s="41"/>
      <c r="I362" s="42"/>
      <c r="J362" s="41"/>
      <c r="K362" s="41"/>
      <c r="L362" s="43"/>
    </row>
    <row r="363" spans="2:12" ht="15.75" hidden="1" outlineLevel="1" thickBot="1">
      <c r="B363" s="35" t="str">
        <f t="shared" si="15"/>
        <v/>
      </c>
      <c r="C363" s="41"/>
      <c r="D363" s="41"/>
      <c r="E363" s="41"/>
      <c r="F363" s="41"/>
      <c r="G363" s="41"/>
      <c r="H363" s="41"/>
      <c r="I363" s="42"/>
      <c r="J363" s="41"/>
      <c r="K363" s="41"/>
      <c r="L363" s="43"/>
    </row>
    <row r="364" spans="2:12" ht="15.75" hidden="1" outlineLevel="1" thickBot="1">
      <c r="B364" s="40" t="str">
        <f t="shared" si="15"/>
        <v/>
      </c>
      <c r="C364" s="41"/>
      <c r="D364" s="41"/>
      <c r="E364" s="41"/>
      <c r="F364" s="41"/>
      <c r="G364" s="41"/>
      <c r="H364" s="41"/>
      <c r="I364" s="42"/>
      <c r="J364" s="41"/>
      <c r="K364" s="41"/>
      <c r="L364" s="43"/>
    </row>
    <row r="365" spans="2:12" ht="15.75" hidden="1" outlineLevel="1" thickBot="1">
      <c r="B365" s="40" t="str">
        <f t="shared" si="15"/>
        <v/>
      </c>
      <c r="C365" s="41"/>
      <c r="D365" s="41"/>
      <c r="E365" s="41"/>
      <c r="F365" s="41"/>
      <c r="G365" s="41"/>
      <c r="H365" s="41"/>
      <c r="I365" s="42"/>
      <c r="J365" s="41"/>
      <c r="K365" s="41"/>
      <c r="L365" s="43"/>
    </row>
    <row r="366" spans="2:12" ht="15.75" hidden="1" outlineLevel="1" thickBot="1">
      <c r="B366" s="40" t="str">
        <f t="shared" si="15"/>
        <v/>
      </c>
      <c r="C366" s="41"/>
      <c r="D366" s="41"/>
      <c r="E366" s="41"/>
      <c r="F366" s="41"/>
      <c r="G366" s="41"/>
      <c r="H366" s="41"/>
      <c r="I366" s="42"/>
      <c r="J366" s="41"/>
      <c r="K366" s="41"/>
      <c r="L366" s="43"/>
    </row>
    <row r="367" spans="2:12" ht="15.75" hidden="1" outlineLevel="1" thickBot="1">
      <c r="B367" s="40" t="str">
        <f t="shared" si="15"/>
        <v/>
      </c>
      <c r="C367" s="41"/>
      <c r="D367" s="41"/>
      <c r="E367" s="41"/>
      <c r="F367" s="41"/>
      <c r="G367" s="41"/>
      <c r="H367" s="41"/>
      <c r="I367" s="42"/>
      <c r="J367" s="41"/>
      <c r="K367" s="41"/>
      <c r="L367" s="43"/>
    </row>
    <row r="368" spans="2:12" ht="15.75" hidden="1" outlineLevel="1" thickBot="1">
      <c r="B368" s="40" t="str">
        <f t="shared" si="15"/>
        <v/>
      </c>
      <c r="C368" s="41"/>
      <c r="D368" s="41"/>
      <c r="E368" s="41"/>
      <c r="F368" s="41"/>
      <c r="G368" s="41"/>
      <c r="H368" s="41"/>
      <c r="I368" s="42"/>
      <c r="J368" s="41"/>
      <c r="K368" s="41"/>
      <c r="L368" s="43"/>
    </row>
    <row r="369" spans="2:12" ht="15.75" hidden="1" outlineLevel="1" thickBot="1">
      <c r="B369" s="40" t="str">
        <f t="shared" si="15"/>
        <v/>
      </c>
      <c r="C369" s="41"/>
      <c r="D369" s="41"/>
      <c r="E369" s="41"/>
      <c r="F369" s="41"/>
      <c r="G369" s="41"/>
      <c r="H369" s="41"/>
      <c r="I369" s="42"/>
      <c r="J369" s="41"/>
      <c r="K369" s="41"/>
      <c r="L369" s="43"/>
    </row>
    <row r="370" spans="2:12" ht="15.75" hidden="1" outlineLevel="1" thickBot="1">
      <c r="B370" s="40" t="str">
        <f t="shared" si="15"/>
        <v/>
      </c>
      <c r="C370" s="41"/>
      <c r="D370" s="41"/>
      <c r="E370" s="41"/>
      <c r="F370" s="41"/>
      <c r="G370" s="41"/>
      <c r="H370" s="41"/>
      <c r="I370" s="42"/>
      <c r="J370" s="41"/>
      <c r="K370" s="41"/>
      <c r="L370" s="43"/>
    </row>
    <row r="371" spans="2:12" ht="15.75" hidden="1" outlineLevel="1" thickBot="1">
      <c r="B371" s="40" t="str">
        <f t="shared" si="15"/>
        <v/>
      </c>
      <c r="C371" s="41"/>
      <c r="D371" s="41"/>
      <c r="E371" s="41"/>
      <c r="F371" s="41"/>
      <c r="G371" s="41"/>
      <c r="H371" s="41"/>
      <c r="I371" s="42"/>
      <c r="J371" s="41"/>
      <c r="K371" s="41"/>
      <c r="L371" s="43"/>
    </row>
    <row r="372" spans="2:12" ht="15.75" hidden="1" outlineLevel="1" thickBot="1">
      <c r="B372" s="40" t="str">
        <f t="shared" si="15"/>
        <v/>
      </c>
      <c r="C372" s="41"/>
      <c r="D372" s="41"/>
      <c r="E372" s="41"/>
      <c r="F372" s="41"/>
      <c r="G372" s="41"/>
      <c r="H372" s="41"/>
      <c r="I372" s="42"/>
      <c r="J372" s="41"/>
      <c r="K372" s="41"/>
      <c r="L372" s="43"/>
    </row>
    <row r="373" spans="2:12" ht="15.75" hidden="1" outlineLevel="1" thickBot="1">
      <c r="B373" s="40" t="str">
        <f t="shared" si="15"/>
        <v/>
      </c>
      <c r="C373" s="41"/>
      <c r="D373" s="41"/>
      <c r="E373" s="41"/>
      <c r="F373" s="41"/>
      <c r="G373" s="41"/>
      <c r="H373" s="41"/>
      <c r="I373" s="42"/>
      <c r="J373" s="41"/>
      <c r="K373" s="41"/>
      <c r="L373" s="43"/>
    </row>
    <row r="374" spans="2:12" ht="15.75" hidden="1" outlineLevel="1" thickBot="1">
      <c r="B374" s="40" t="str">
        <f t="shared" si="15"/>
        <v/>
      </c>
      <c r="C374" s="41"/>
      <c r="D374" s="41"/>
      <c r="E374" s="41"/>
      <c r="F374" s="41"/>
      <c r="G374" s="41"/>
      <c r="H374" s="41"/>
      <c r="I374" s="42"/>
      <c r="J374" s="41"/>
      <c r="K374" s="41"/>
      <c r="L374" s="43"/>
    </row>
    <row r="375" spans="2:12" ht="15.75" hidden="1" outlineLevel="1" thickBot="1">
      <c r="B375" s="40" t="str">
        <f t="shared" si="15"/>
        <v/>
      </c>
      <c r="C375" s="41"/>
      <c r="D375" s="41"/>
      <c r="E375" s="41"/>
      <c r="F375" s="41"/>
      <c r="G375" s="41"/>
      <c r="H375" s="41"/>
      <c r="I375" s="42"/>
      <c r="J375" s="41"/>
      <c r="K375" s="41"/>
      <c r="L375" s="43"/>
    </row>
    <row r="376" spans="2:12" ht="15.75" hidden="1" outlineLevel="1" thickBot="1">
      <c r="B376" s="40" t="str">
        <f t="shared" si="15"/>
        <v/>
      </c>
      <c r="C376" s="41"/>
      <c r="D376" s="41"/>
      <c r="E376" s="41"/>
      <c r="F376" s="41"/>
      <c r="G376" s="41"/>
      <c r="H376" s="41"/>
      <c r="I376" s="42"/>
      <c r="J376" s="41"/>
      <c r="K376" s="41"/>
      <c r="L376" s="43"/>
    </row>
    <row r="377" spans="2:12" ht="15.75" hidden="1" outlineLevel="1" thickBot="1">
      <c r="B377" s="40" t="str">
        <f t="shared" si="15"/>
        <v/>
      </c>
      <c r="C377" s="41"/>
      <c r="D377" s="41"/>
      <c r="E377" s="41"/>
      <c r="F377" s="41"/>
      <c r="G377" s="41"/>
      <c r="H377" s="41"/>
      <c r="I377" s="42"/>
      <c r="J377" s="41"/>
      <c r="K377" s="41"/>
      <c r="L377" s="43"/>
    </row>
    <row r="378" spans="2:12" ht="15.75" hidden="1" outlineLevel="1" thickBot="1">
      <c r="B378" s="40" t="str">
        <f t="shared" si="15"/>
        <v/>
      </c>
      <c r="C378" s="41"/>
      <c r="D378" s="41"/>
      <c r="E378" s="41"/>
      <c r="F378" s="41"/>
      <c r="G378" s="41"/>
      <c r="H378" s="41"/>
      <c r="I378" s="42"/>
      <c r="J378" s="41"/>
      <c r="K378" s="41"/>
      <c r="L378" s="43"/>
    </row>
    <row r="379" spans="2:12" ht="15.75" hidden="1" outlineLevel="1" thickBot="1">
      <c r="B379" s="40" t="str">
        <f t="shared" si="15"/>
        <v/>
      </c>
      <c r="C379" s="41"/>
      <c r="D379" s="41"/>
      <c r="E379" s="41"/>
      <c r="F379" s="41"/>
      <c r="G379" s="41"/>
      <c r="H379" s="41"/>
      <c r="I379" s="42"/>
      <c r="J379" s="41"/>
      <c r="K379" s="41"/>
      <c r="L379" s="43"/>
    </row>
    <row r="380" spans="2:12" ht="15.75" hidden="1" outlineLevel="1" thickBot="1">
      <c r="B380" s="40" t="str">
        <f t="shared" si="15"/>
        <v/>
      </c>
      <c r="C380" s="41"/>
      <c r="D380" s="41"/>
      <c r="E380" s="41"/>
      <c r="F380" s="41"/>
      <c r="G380" s="41"/>
      <c r="H380" s="41"/>
      <c r="I380" s="42"/>
      <c r="J380" s="41"/>
      <c r="K380" s="41"/>
      <c r="L380" s="43"/>
    </row>
    <row r="381" spans="2:12" ht="15.75" hidden="1" outlineLevel="1" thickBot="1">
      <c r="B381" s="40" t="str">
        <f t="shared" si="15"/>
        <v/>
      </c>
      <c r="C381" s="41"/>
      <c r="D381" s="41"/>
      <c r="E381" s="41"/>
      <c r="F381" s="41"/>
      <c r="G381" s="41"/>
      <c r="H381" s="41"/>
      <c r="I381" s="42"/>
      <c r="J381" s="41"/>
      <c r="K381" s="41"/>
      <c r="L381" s="43"/>
    </row>
    <row r="382" spans="2:12" ht="15.75" hidden="1" outlineLevel="1" thickBot="1">
      <c r="B382" s="40" t="str">
        <f t="shared" si="15"/>
        <v/>
      </c>
      <c r="C382" s="41"/>
      <c r="D382" s="41"/>
      <c r="E382" s="41"/>
      <c r="F382" s="41"/>
      <c r="G382" s="41"/>
      <c r="H382" s="41"/>
      <c r="I382" s="42"/>
      <c r="J382" s="41"/>
      <c r="K382" s="41"/>
      <c r="L382" s="43"/>
    </row>
    <row r="383" spans="2:12" ht="15.75" hidden="1" outlineLevel="1" thickBot="1">
      <c r="B383" s="40" t="str">
        <f t="shared" si="15"/>
        <v/>
      </c>
      <c r="C383" s="41"/>
      <c r="D383" s="41"/>
      <c r="E383" s="41"/>
      <c r="F383" s="41"/>
      <c r="G383" s="41"/>
      <c r="H383" s="41"/>
      <c r="I383" s="42"/>
      <c r="J383" s="41"/>
      <c r="K383" s="41"/>
      <c r="L383" s="43"/>
    </row>
    <row r="384" spans="2:12" ht="15.75" hidden="1" outlineLevel="1" thickBot="1">
      <c r="B384" s="40" t="str">
        <f t="shared" si="15"/>
        <v/>
      </c>
      <c r="C384" s="41"/>
      <c r="D384" s="41"/>
      <c r="E384" s="41"/>
      <c r="F384" s="41"/>
      <c r="G384" s="41"/>
      <c r="H384" s="41"/>
      <c r="I384" s="42"/>
      <c r="J384" s="41"/>
      <c r="K384" s="41"/>
      <c r="L384" s="43"/>
    </row>
    <row r="385" spans="2:12" ht="15.75" hidden="1" outlineLevel="1" thickBot="1">
      <c r="B385" s="40" t="str">
        <f t="shared" si="15"/>
        <v/>
      </c>
      <c r="C385" s="41"/>
      <c r="D385" s="41"/>
      <c r="E385" s="41"/>
      <c r="F385" s="41"/>
      <c r="G385" s="41"/>
      <c r="H385" s="41"/>
      <c r="I385" s="42"/>
      <c r="J385" s="41"/>
      <c r="K385" s="41"/>
      <c r="L385" s="43"/>
    </row>
    <row r="386" spans="2:12" ht="15.75" hidden="1" outlineLevel="1" thickBot="1">
      <c r="B386" s="40" t="str">
        <f t="shared" si="15"/>
        <v/>
      </c>
      <c r="C386" s="41"/>
      <c r="D386" s="41"/>
      <c r="E386" s="41"/>
      <c r="F386" s="41"/>
      <c r="G386" s="41"/>
      <c r="H386" s="41"/>
      <c r="I386" s="42"/>
      <c r="J386" s="41"/>
      <c r="K386" s="41"/>
      <c r="L386" s="43"/>
    </row>
    <row r="387" spans="2:12" ht="15.75" hidden="1" outlineLevel="1" thickBot="1">
      <c r="B387" s="40" t="str">
        <f t="shared" si="15"/>
        <v/>
      </c>
      <c r="C387" s="41"/>
      <c r="D387" s="41"/>
      <c r="E387" s="41"/>
      <c r="F387" s="41"/>
      <c r="G387" s="41"/>
      <c r="H387" s="41"/>
      <c r="I387" s="42"/>
      <c r="J387" s="41"/>
      <c r="K387" s="41"/>
      <c r="L387" s="43"/>
    </row>
    <row r="388" spans="2:12" ht="15.75" hidden="1" outlineLevel="1" thickBot="1">
      <c r="B388" s="40" t="str">
        <f t="shared" si="15"/>
        <v/>
      </c>
      <c r="C388" s="41"/>
      <c r="D388" s="41"/>
      <c r="E388" s="41"/>
      <c r="F388" s="41"/>
      <c r="G388" s="41"/>
      <c r="H388" s="41"/>
      <c r="I388" s="42"/>
      <c r="J388" s="41"/>
      <c r="K388" s="41"/>
      <c r="L388" s="43"/>
    </row>
    <row r="389" spans="2:12" ht="15.75" hidden="1" outlineLevel="1" thickBot="1">
      <c r="B389" s="40" t="str">
        <f t="shared" si="15"/>
        <v/>
      </c>
      <c r="C389" s="41"/>
      <c r="D389" s="41"/>
      <c r="E389" s="41"/>
      <c r="F389" s="41"/>
      <c r="G389" s="41"/>
      <c r="H389" s="41"/>
      <c r="I389" s="42"/>
      <c r="J389" s="41"/>
      <c r="K389" s="41"/>
      <c r="L389" s="43"/>
    </row>
    <row r="390" spans="2:12" ht="15.75" hidden="1" outlineLevel="1" thickBot="1">
      <c r="B390" s="40" t="str">
        <f t="shared" si="15"/>
        <v/>
      </c>
      <c r="C390" s="41"/>
      <c r="D390" s="41"/>
      <c r="E390" s="41"/>
      <c r="F390" s="41"/>
      <c r="G390" s="41"/>
      <c r="H390" s="41"/>
      <c r="I390" s="42"/>
      <c r="J390" s="41"/>
      <c r="K390" s="41"/>
      <c r="L390" s="43"/>
    </row>
    <row r="391" spans="2:12" ht="15.75" hidden="1" outlineLevel="1" thickBot="1">
      <c r="B391" s="40" t="str">
        <f t="shared" si="15"/>
        <v/>
      </c>
      <c r="C391" s="41"/>
      <c r="D391" s="41"/>
      <c r="E391" s="41"/>
      <c r="F391" s="41"/>
      <c r="G391" s="41"/>
      <c r="H391" s="41"/>
      <c r="I391" s="42"/>
      <c r="J391" s="41"/>
      <c r="K391" s="41"/>
      <c r="L391" s="43"/>
    </row>
    <row r="392" spans="2:12" ht="15.75" hidden="1" outlineLevel="1" thickBot="1">
      <c r="B392" s="40" t="str">
        <f t="shared" si="15"/>
        <v/>
      </c>
      <c r="C392" s="41"/>
      <c r="D392" s="41"/>
      <c r="E392" s="41"/>
      <c r="F392" s="41"/>
      <c r="G392" s="41"/>
      <c r="H392" s="41"/>
      <c r="I392" s="42"/>
      <c r="J392" s="41"/>
      <c r="K392" s="41"/>
      <c r="L392" s="43"/>
    </row>
    <row r="393" spans="2:12" ht="15.75" hidden="1" outlineLevel="1" thickBot="1">
      <c r="B393" s="40" t="str">
        <f t="shared" si="15"/>
        <v/>
      </c>
      <c r="C393" s="41"/>
      <c r="D393" s="41"/>
      <c r="E393" s="41"/>
      <c r="F393" s="41"/>
      <c r="G393" s="41"/>
      <c r="H393" s="41"/>
      <c r="I393" s="42"/>
      <c r="J393" s="41"/>
      <c r="K393" s="41"/>
      <c r="L393" s="43"/>
    </row>
    <row r="394" spans="2:12" ht="15.75" hidden="1" outlineLevel="1" thickBot="1">
      <c r="B394" s="40" t="str">
        <f t="shared" si="15"/>
        <v/>
      </c>
      <c r="C394" s="41"/>
      <c r="D394" s="41"/>
      <c r="E394" s="41"/>
      <c r="F394" s="41"/>
      <c r="G394" s="41"/>
      <c r="H394" s="41"/>
      <c r="I394" s="42"/>
      <c r="J394" s="41"/>
      <c r="K394" s="41"/>
      <c r="L394" s="43"/>
    </row>
    <row r="395" spans="2:12" ht="15.75" hidden="1" outlineLevel="1" thickBot="1">
      <c r="B395" s="40" t="str">
        <f t="shared" si="15"/>
        <v/>
      </c>
      <c r="C395" s="41"/>
      <c r="D395" s="41"/>
      <c r="E395" s="41"/>
      <c r="F395" s="41"/>
      <c r="G395" s="41"/>
      <c r="H395" s="41"/>
      <c r="I395" s="42"/>
      <c r="J395" s="41"/>
      <c r="K395" s="41"/>
      <c r="L395" s="43"/>
    </row>
    <row r="396" spans="2:12" ht="15.75" hidden="1" outlineLevel="1" thickBot="1">
      <c r="B396" s="40" t="str">
        <f t="shared" si="15"/>
        <v/>
      </c>
      <c r="C396" s="41"/>
      <c r="D396" s="41"/>
      <c r="E396" s="41"/>
      <c r="F396" s="41"/>
      <c r="G396" s="41"/>
      <c r="H396" s="41"/>
      <c r="I396" s="42"/>
      <c r="J396" s="41"/>
      <c r="K396" s="41"/>
      <c r="L396" s="43"/>
    </row>
    <row r="397" spans="2:12" ht="15.75" hidden="1" outlineLevel="1" thickBot="1">
      <c r="B397" s="40" t="str">
        <f t="shared" si="15"/>
        <v/>
      </c>
      <c r="C397" s="41"/>
      <c r="D397" s="41"/>
      <c r="E397" s="41"/>
      <c r="F397" s="41"/>
      <c r="G397" s="41"/>
      <c r="H397" s="41"/>
      <c r="I397" s="42"/>
      <c r="J397" s="41"/>
      <c r="K397" s="41"/>
      <c r="L397" s="43"/>
    </row>
    <row r="398" spans="2:12" ht="15.75" hidden="1" outlineLevel="1" thickBot="1">
      <c r="B398" s="40" t="str">
        <f t="shared" si="15"/>
        <v/>
      </c>
      <c r="C398" s="41"/>
      <c r="D398" s="41"/>
      <c r="E398" s="41"/>
      <c r="F398" s="41"/>
      <c r="G398" s="41"/>
      <c r="H398" s="41"/>
      <c r="I398" s="42"/>
      <c r="J398" s="41"/>
      <c r="K398" s="41"/>
      <c r="L398" s="43"/>
    </row>
    <row r="399" spans="2:12" ht="15.75" hidden="1" outlineLevel="1" thickBot="1">
      <c r="B399" s="40" t="str">
        <f t="shared" si="15"/>
        <v/>
      </c>
      <c r="C399" s="41"/>
      <c r="D399" s="41"/>
      <c r="E399" s="41"/>
      <c r="F399" s="41"/>
      <c r="G399" s="41"/>
      <c r="H399" s="41"/>
      <c r="I399" s="42"/>
      <c r="J399" s="41"/>
      <c r="K399" s="41"/>
      <c r="L399" s="43"/>
    </row>
    <row r="400" spans="2:12" ht="15.75" hidden="1" outlineLevel="1" thickBot="1">
      <c r="B400" s="40" t="str">
        <f t="shared" si="15"/>
        <v/>
      </c>
      <c r="C400" s="41"/>
      <c r="D400" s="41"/>
      <c r="E400" s="41"/>
      <c r="F400" s="41"/>
      <c r="G400" s="41"/>
      <c r="H400" s="41"/>
      <c r="I400" s="42"/>
      <c r="J400" s="41"/>
      <c r="K400" s="41"/>
      <c r="L400" s="43"/>
    </row>
    <row r="401" spans="2:12" ht="15.75" hidden="1" outlineLevel="1" thickBot="1">
      <c r="B401" s="40" t="str">
        <f t="shared" si="15"/>
        <v/>
      </c>
      <c r="C401" s="41"/>
      <c r="D401" s="41"/>
      <c r="E401" s="41"/>
      <c r="F401" s="41"/>
      <c r="G401" s="41"/>
      <c r="H401" s="41"/>
      <c r="I401" s="42"/>
      <c r="J401" s="41"/>
      <c r="K401" s="41"/>
      <c r="L401" s="43"/>
    </row>
    <row r="402" spans="2:12" ht="15.75" hidden="1" outlineLevel="1" thickBot="1">
      <c r="B402" s="40" t="str">
        <f t="shared" si="15"/>
        <v/>
      </c>
      <c r="C402" s="41"/>
      <c r="D402" s="41"/>
      <c r="E402" s="41"/>
      <c r="F402" s="41"/>
      <c r="G402" s="41"/>
      <c r="H402" s="41"/>
      <c r="I402" s="42"/>
      <c r="J402" s="41"/>
      <c r="K402" s="41"/>
      <c r="L402" s="43"/>
    </row>
    <row r="403" spans="2:12" ht="15.75" hidden="1" outlineLevel="1" thickBot="1">
      <c r="B403" s="40" t="str">
        <f t="shared" si="15"/>
        <v/>
      </c>
      <c r="C403" s="41"/>
      <c r="D403" s="41"/>
      <c r="E403" s="41"/>
      <c r="F403" s="41"/>
      <c r="G403" s="41"/>
      <c r="H403" s="41"/>
      <c r="I403" s="42"/>
      <c r="J403" s="41"/>
      <c r="K403" s="41"/>
      <c r="L403" s="43"/>
    </row>
    <row r="404" spans="2:12" ht="15.75" hidden="1" outlineLevel="1" thickBot="1">
      <c r="B404" s="40" t="str">
        <f t="shared" si="15"/>
        <v/>
      </c>
      <c r="C404" s="41"/>
      <c r="D404" s="41"/>
      <c r="E404" s="41"/>
      <c r="F404" s="41"/>
      <c r="G404" s="41"/>
      <c r="H404" s="41"/>
      <c r="I404" s="42"/>
      <c r="J404" s="41"/>
      <c r="K404" s="41"/>
      <c r="L404" s="43"/>
    </row>
    <row r="405" spans="2:12" ht="15.75" hidden="1" outlineLevel="1" thickBot="1">
      <c r="B405" s="40" t="str">
        <f t="shared" si="15"/>
        <v/>
      </c>
      <c r="C405" s="41"/>
      <c r="D405" s="41"/>
      <c r="E405" s="41"/>
      <c r="F405" s="41"/>
      <c r="G405" s="41"/>
      <c r="H405" s="41"/>
      <c r="I405" s="42"/>
      <c r="J405" s="41"/>
      <c r="K405" s="41"/>
      <c r="L405" s="43"/>
    </row>
    <row r="406" spans="2:12" ht="15.75" hidden="1" outlineLevel="1" thickBot="1">
      <c r="B406" s="40" t="str">
        <f t="shared" si="15"/>
        <v/>
      </c>
      <c r="C406" s="41"/>
      <c r="D406" s="41"/>
      <c r="E406" s="41"/>
      <c r="F406" s="41"/>
      <c r="G406" s="41"/>
      <c r="H406" s="41"/>
      <c r="I406" s="42"/>
      <c r="J406" s="41"/>
      <c r="K406" s="41"/>
      <c r="L406" s="43"/>
    </row>
    <row r="407" spans="2:12" ht="15.75" hidden="1" outlineLevel="1" thickBot="1">
      <c r="B407" s="40" t="str">
        <f t="shared" si="15"/>
        <v/>
      </c>
      <c r="C407" s="41"/>
      <c r="D407" s="41"/>
      <c r="E407" s="41"/>
      <c r="F407" s="41"/>
      <c r="G407" s="41"/>
      <c r="H407" s="41"/>
      <c r="I407" s="42"/>
      <c r="J407" s="41"/>
      <c r="K407" s="41"/>
      <c r="L407" s="43"/>
    </row>
    <row r="408" spans="2:12" ht="15.75" hidden="1" outlineLevel="1" thickBot="1">
      <c r="B408" s="40" t="str">
        <f t="shared" si="15"/>
        <v/>
      </c>
      <c r="C408" s="41"/>
      <c r="D408" s="41"/>
      <c r="E408" s="41"/>
      <c r="F408" s="41"/>
      <c r="G408" s="41"/>
      <c r="H408" s="41"/>
      <c r="I408" s="42"/>
      <c r="J408" s="41"/>
      <c r="K408" s="41"/>
      <c r="L408" s="43"/>
    </row>
    <row r="409" spans="2:12" ht="15.75" hidden="1" outlineLevel="1" thickBot="1">
      <c r="B409" s="40" t="str">
        <f t="shared" si="15"/>
        <v/>
      </c>
      <c r="C409" s="41"/>
      <c r="D409" s="41"/>
      <c r="E409" s="41"/>
      <c r="F409" s="41"/>
      <c r="G409" s="41"/>
      <c r="H409" s="41"/>
      <c r="I409" s="42"/>
      <c r="J409" s="41"/>
      <c r="K409" s="41"/>
      <c r="L409" s="43"/>
    </row>
    <row r="410" spans="2:12" ht="15.75" hidden="1" outlineLevel="1" thickBot="1">
      <c r="B410" s="40" t="str">
        <f t="shared" si="15"/>
        <v/>
      </c>
      <c r="C410" s="41"/>
      <c r="D410" s="41"/>
      <c r="E410" s="41"/>
      <c r="F410" s="41"/>
      <c r="G410" s="41"/>
      <c r="H410" s="41"/>
      <c r="I410" s="42"/>
      <c r="J410" s="41"/>
      <c r="K410" s="41"/>
      <c r="L410" s="43"/>
    </row>
    <row r="411" spans="2:12" ht="15.75" hidden="1" outlineLevel="1" thickBot="1">
      <c r="B411" s="40" t="str">
        <f t="shared" si="15"/>
        <v/>
      </c>
      <c r="C411" s="41"/>
      <c r="D411" s="41"/>
      <c r="E411" s="41"/>
      <c r="F411" s="41"/>
      <c r="G411" s="41"/>
      <c r="H411" s="41"/>
      <c r="I411" s="42"/>
      <c r="J411" s="41"/>
      <c r="K411" s="41"/>
      <c r="L411" s="43"/>
    </row>
    <row r="412" spans="2:12" ht="15.75" hidden="1" outlineLevel="1" thickBot="1">
      <c r="B412" s="40" t="str">
        <f t="shared" si="15"/>
        <v/>
      </c>
      <c r="C412" s="41"/>
      <c r="D412" s="41"/>
      <c r="E412" s="41"/>
      <c r="F412" s="41"/>
      <c r="G412" s="41"/>
      <c r="H412" s="41"/>
      <c r="I412" s="42"/>
      <c r="J412" s="41"/>
      <c r="K412" s="41"/>
      <c r="L412" s="43"/>
    </row>
    <row r="413" spans="2:12" ht="15.75" hidden="1" outlineLevel="1" thickBot="1">
      <c r="B413" s="40" t="str">
        <f t="shared" si="15"/>
        <v/>
      </c>
      <c r="C413" s="41"/>
      <c r="D413" s="41"/>
      <c r="E413" s="41"/>
      <c r="F413" s="41"/>
      <c r="G413" s="41"/>
      <c r="H413" s="41"/>
      <c r="I413" s="42"/>
      <c r="J413" s="41"/>
      <c r="K413" s="41"/>
      <c r="L413" s="43"/>
    </row>
    <row r="414" spans="2:12" ht="15.75" hidden="1" outlineLevel="1" thickBot="1">
      <c r="B414" s="40" t="str">
        <f t="shared" si="15"/>
        <v/>
      </c>
      <c r="C414" s="41"/>
      <c r="D414" s="41"/>
      <c r="E414" s="41"/>
      <c r="F414" s="41"/>
      <c r="G414" s="41"/>
      <c r="H414" s="41"/>
      <c r="I414" s="42"/>
      <c r="J414" s="41"/>
      <c r="K414" s="41"/>
      <c r="L414" s="43"/>
    </row>
    <row r="415" spans="2:12" ht="15.75" hidden="1" outlineLevel="1" thickBot="1">
      <c r="B415" s="40" t="str">
        <f t="shared" si="15"/>
        <v/>
      </c>
      <c r="C415" s="41"/>
      <c r="D415" s="41"/>
      <c r="E415" s="41"/>
      <c r="F415" s="41"/>
      <c r="G415" s="41"/>
      <c r="H415" s="41"/>
      <c r="I415" s="42"/>
      <c r="J415" s="41"/>
      <c r="K415" s="41"/>
      <c r="L415" s="43"/>
    </row>
    <row r="416" spans="2:12" ht="15.75" hidden="1" outlineLevel="1" thickBot="1">
      <c r="B416" s="40" t="str">
        <f t="shared" si="15"/>
        <v/>
      </c>
      <c r="C416" s="41"/>
      <c r="D416" s="41"/>
      <c r="E416" s="41"/>
      <c r="F416" s="41"/>
      <c r="G416" s="41"/>
      <c r="H416" s="41"/>
      <c r="I416" s="42"/>
      <c r="J416" s="41"/>
      <c r="K416" s="41"/>
      <c r="L416" s="43"/>
    </row>
    <row r="417" spans="2:12" ht="15.75" hidden="1" outlineLevel="1" thickBot="1">
      <c r="B417" s="40" t="str">
        <f t="shared" si="15"/>
        <v/>
      </c>
      <c r="C417" s="41"/>
      <c r="D417" s="41"/>
      <c r="E417" s="41"/>
      <c r="F417" s="41"/>
      <c r="G417" s="41"/>
      <c r="H417" s="41"/>
      <c r="I417" s="42"/>
      <c r="J417" s="41"/>
      <c r="K417" s="41"/>
      <c r="L417" s="43"/>
    </row>
    <row r="418" spans="2:12" ht="15.75" hidden="1" outlineLevel="1" thickBot="1">
      <c r="B418" s="40" t="str">
        <f t="shared" si="15"/>
        <v/>
      </c>
      <c r="C418" s="41"/>
      <c r="D418" s="41"/>
      <c r="E418" s="41"/>
      <c r="F418" s="41"/>
      <c r="G418" s="41"/>
      <c r="H418" s="41"/>
      <c r="I418" s="42"/>
      <c r="J418" s="41"/>
      <c r="K418" s="41"/>
      <c r="L418" s="43"/>
    </row>
    <row r="419" spans="2:12" ht="15.75" hidden="1" outlineLevel="1" thickBot="1">
      <c r="B419" s="40" t="str">
        <f t="shared" ref="B419:B452" si="16">IF(C419="","",(B418+1))</f>
        <v/>
      </c>
      <c r="C419" s="41"/>
      <c r="D419" s="41"/>
      <c r="E419" s="41"/>
      <c r="F419" s="41"/>
      <c r="G419" s="41"/>
      <c r="H419" s="41"/>
      <c r="I419" s="42"/>
      <c r="J419" s="41"/>
      <c r="K419" s="41"/>
      <c r="L419" s="43"/>
    </row>
    <row r="420" spans="2:12" ht="15.75" hidden="1" outlineLevel="1" thickBot="1">
      <c r="B420" s="40" t="str">
        <f t="shared" si="16"/>
        <v/>
      </c>
      <c r="C420" s="41"/>
      <c r="D420" s="41"/>
      <c r="E420" s="41"/>
      <c r="F420" s="41"/>
      <c r="G420" s="41"/>
      <c r="H420" s="41"/>
      <c r="I420" s="42"/>
      <c r="J420" s="41"/>
      <c r="K420" s="41"/>
      <c r="L420" s="43"/>
    </row>
    <row r="421" spans="2:12" ht="15.75" hidden="1" outlineLevel="1" thickBot="1">
      <c r="B421" s="40" t="str">
        <f t="shared" si="16"/>
        <v/>
      </c>
      <c r="C421" s="41"/>
      <c r="D421" s="41"/>
      <c r="E421" s="41"/>
      <c r="F421" s="41"/>
      <c r="G421" s="41"/>
      <c r="H421" s="41"/>
      <c r="I421" s="42"/>
      <c r="J421" s="41"/>
      <c r="K421" s="41"/>
      <c r="L421" s="43"/>
    </row>
    <row r="422" spans="2:12" ht="15.75" hidden="1" outlineLevel="1" thickBot="1">
      <c r="B422" s="40" t="str">
        <f t="shared" si="16"/>
        <v/>
      </c>
      <c r="C422" s="41"/>
      <c r="D422" s="41"/>
      <c r="E422" s="41"/>
      <c r="F422" s="41"/>
      <c r="G422" s="41"/>
      <c r="H422" s="41"/>
      <c r="I422" s="42"/>
      <c r="J422" s="41"/>
      <c r="K422" s="41"/>
      <c r="L422" s="43"/>
    </row>
    <row r="423" spans="2:12" ht="15.75" hidden="1" outlineLevel="1" thickBot="1">
      <c r="B423" s="40" t="str">
        <f t="shared" si="16"/>
        <v/>
      </c>
      <c r="C423" s="41"/>
      <c r="D423" s="41"/>
      <c r="E423" s="41"/>
      <c r="F423" s="41"/>
      <c r="G423" s="41"/>
      <c r="H423" s="41"/>
      <c r="I423" s="42"/>
      <c r="J423" s="41"/>
      <c r="K423" s="41"/>
      <c r="L423" s="43"/>
    </row>
    <row r="424" spans="2:12" ht="15.75" hidden="1" outlineLevel="1" thickBot="1">
      <c r="B424" s="40" t="str">
        <f t="shared" si="16"/>
        <v/>
      </c>
      <c r="C424" s="41"/>
      <c r="D424" s="41"/>
      <c r="E424" s="41"/>
      <c r="F424" s="41"/>
      <c r="G424" s="41"/>
      <c r="H424" s="41"/>
      <c r="I424" s="42"/>
      <c r="J424" s="41"/>
      <c r="K424" s="41"/>
      <c r="L424" s="43"/>
    </row>
    <row r="425" spans="2:12" ht="15.75" hidden="1" outlineLevel="1" thickBot="1">
      <c r="B425" s="40" t="str">
        <f t="shared" si="16"/>
        <v/>
      </c>
      <c r="C425" s="41"/>
      <c r="D425" s="41"/>
      <c r="E425" s="41"/>
      <c r="F425" s="41"/>
      <c r="G425" s="41"/>
      <c r="H425" s="41"/>
      <c r="I425" s="42"/>
      <c r="J425" s="41"/>
      <c r="K425" s="41"/>
      <c r="L425" s="43"/>
    </row>
    <row r="426" spans="2:12" ht="15.75" hidden="1" outlineLevel="1" thickBot="1">
      <c r="B426" s="40" t="str">
        <f t="shared" si="16"/>
        <v/>
      </c>
      <c r="C426" s="41"/>
      <c r="D426" s="41"/>
      <c r="E426" s="41"/>
      <c r="F426" s="41"/>
      <c r="G426" s="41"/>
      <c r="H426" s="41"/>
      <c r="I426" s="42"/>
      <c r="J426" s="41"/>
      <c r="K426" s="41"/>
      <c r="L426" s="43"/>
    </row>
    <row r="427" spans="2:12" ht="15.75" hidden="1" outlineLevel="1" thickBot="1">
      <c r="B427" s="40" t="str">
        <f t="shared" si="16"/>
        <v/>
      </c>
      <c r="C427" s="41"/>
      <c r="D427" s="41"/>
      <c r="E427" s="41"/>
      <c r="F427" s="41"/>
      <c r="G427" s="41"/>
      <c r="H427" s="41"/>
      <c r="I427" s="42"/>
      <c r="J427" s="41"/>
      <c r="K427" s="41"/>
      <c r="L427" s="43"/>
    </row>
    <row r="428" spans="2:12" ht="15.75" hidden="1" outlineLevel="1" thickBot="1">
      <c r="B428" s="40" t="str">
        <f t="shared" si="16"/>
        <v/>
      </c>
      <c r="C428" s="41"/>
      <c r="D428" s="41"/>
      <c r="E428" s="41"/>
      <c r="F428" s="41"/>
      <c r="G428" s="41"/>
      <c r="H428" s="41"/>
      <c r="I428" s="42"/>
      <c r="J428" s="41"/>
      <c r="K428" s="41"/>
      <c r="L428" s="43"/>
    </row>
    <row r="429" spans="2:12" ht="15.75" hidden="1" outlineLevel="1" thickBot="1">
      <c r="B429" s="40" t="str">
        <f t="shared" si="16"/>
        <v/>
      </c>
      <c r="C429" s="41"/>
      <c r="D429" s="41"/>
      <c r="E429" s="41"/>
      <c r="F429" s="41"/>
      <c r="G429" s="41"/>
      <c r="H429" s="41"/>
      <c r="I429" s="42"/>
      <c r="J429" s="41"/>
      <c r="K429" s="41"/>
      <c r="L429" s="43"/>
    </row>
    <row r="430" spans="2:12" ht="15.75" hidden="1" outlineLevel="1" thickBot="1">
      <c r="B430" s="40" t="str">
        <f t="shared" si="16"/>
        <v/>
      </c>
      <c r="C430" s="41"/>
      <c r="D430" s="41"/>
      <c r="E430" s="41"/>
      <c r="F430" s="41"/>
      <c r="G430" s="41"/>
      <c r="H430" s="41"/>
      <c r="I430" s="42"/>
      <c r="J430" s="41"/>
      <c r="K430" s="41"/>
      <c r="L430" s="43"/>
    </row>
    <row r="431" spans="2:12" ht="15.75" hidden="1" outlineLevel="1" thickBot="1">
      <c r="B431" s="40" t="str">
        <f t="shared" si="16"/>
        <v/>
      </c>
      <c r="C431" s="41"/>
      <c r="D431" s="41"/>
      <c r="E431" s="41"/>
      <c r="F431" s="41"/>
      <c r="G431" s="41"/>
      <c r="H431" s="41"/>
      <c r="I431" s="42"/>
      <c r="J431" s="41"/>
      <c r="K431" s="41"/>
      <c r="L431" s="43"/>
    </row>
    <row r="432" spans="2:12" ht="15.75" hidden="1" outlineLevel="1" thickBot="1">
      <c r="B432" s="40" t="str">
        <f t="shared" si="16"/>
        <v/>
      </c>
      <c r="C432" s="41"/>
      <c r="D432" s="41"/>
      <c r="E432" s="41"/>
      <c r="F432" s="41"/>
      <c r="G432" s="41"/>
      <c r="H432" s="41"/>
      <c r="I432" s="42"/>
      <c r="J432" s="41"/>
      <c r="K432" s="41"/>
      <c r="L432" s="43"/>
    </row>
    <row r="433" spans="2:12" ht="15.75" hidden="1" outlineLevel="1" thickBot="1">
      <c r="B433" s="40" t="str">
        <f t="shared" si="16"/>
        <v/>
      </c>
      <c r="C433" s="41"/>
      <c r="D433" s="41"/>
      <c r="E433" s="41"/>
      <c r="F433" s="41"/>
      <c r="G433" s="41"/>
      <c r="H433" s="41"/>
      <c r="I433" s="42"/>
      <c r="J433" s="41"/>
      <c r="K433" s="41"/>
      <c r="L433" s="43"/>
    </row>
    <row r="434" spans="2:12" ht="15.75" hidden="1" outlineLevel="1" thickBot="1">
      <c r="B434" s="40" t="str">
        <f t="shared" si="16"/>
        <v/>
      </c>
      <c r="C434" s="41"/>
      <c r="D434" s="41"/>
      <c r="E434" s="41"/>
      <c r="F434" s="41"/>
      <c r="G434" s="41"/>
      <c r="H434" s="41"/>
      <c r="I434" s="42"/>
      <c r="J434" s="41"/>
      <c r="K434" s="41"/>
      <c r="L434" s="43"/>
    </row>
    <row r="435" spans="2:12" ht="15.75" hidden="1" outlineLevel="1" thickBot="1">
      <c r="B435" s="40" t="str">
        <f t="shared" si="16"/>
        <v/>
      </c>
      <c r="C435" s="41"/>
      <c r="D435" s="41"/>
      <c r="E435" s="41"/>
      <c r="F435" s="41"/>
      <c r="G435" s="41"/>
      <c r="H435" s="41"/>
      <c r="I435" s="42"/>
      <c r="J435" s="41"/>
      <c r="K435" s="41"/>
      <c r="L435" s="43"/>
    </row>
    <row r="436" spans="2:12" ht="15.75" hidden="1" outlineLevel="1" thickBot="1">
      <c r="B436" s="40" t="str">
        <f t="shared" si="16"/>
        <v/>
      </c>
      <c r="C436" s="41"/>
      <c r="D436" s="41"/>
      <c r="E436" s="41"/>
      <c r="F436" s="41"/>
      <c r="G436" s="41"/>
      <c r="H436" s="41"/>
      <c r="I436" s="42"/>
      <c r="J436" s="41"/>
      <c r="K436" s="41"/>
      <c r="L436" s="43"/>
    </row>
    <row r="437" spans="2:12" ht="15.75" hidden="1" outlineLevel="1" thickBot="1">
      <c r="B437" s="40" t="str">
        <f t="shared" si="16"/>
        <v/>
      </c>
      <c r="C437" s="41"/>
      <c r="D437" s="41"/>
      <c r="E437" s="41"/>
      <c r="F437" s="41"/>
      <c r="G437" s="41"/>
      <c r="H437" s="41"/>
      <c r="I437" s="42"/>
      <c r="J437" s="41"/>
      <c r="K437" s="41"/>
      <c r="L437" s="43"/>
    </row>
    <row r="438" spans="2:12" ht="15.75" hidden="1" outlineLevel="1" thickBot="1">
      <c r="B438" s="40" t="str">
        <f t="shared" si="16"/>
        <v/>
      </c>
      <c r="C438" s="41"/>
      <c r="D438" s="41"/>
      <c r="E438" s="41"/>
      <c r="F438" s="41"/>
      <c r="G438" s="41"/>
      <c r="H438" s="41"/>
      <c r="I438" s="42"/>
      <c r="J438" s="41"/>
      <c r="K438" s="41"/>
      <c r="L438" s="43"/>
    </row>
    <row r="439" spans="2:12" ht="15.75" hidden="1" outlineLevel="1" thickBot="1">
      <c r="B439" s="40" t="str">
        <f t="shared" si="16"/>
        <v/>
      </c>
      <c r="C439" s="41"/>
      <c r="D439" s="41"/>
      <c r="E439" s="41"/>
      <c r="F439" s="41"/>
      <c r="G439" s="41"/>
      <c r="H439" s="41"/>
      <c r="I439" s="42"/>
      <c r="J439" s="41"/>
      <c r="K439" s="41"/>
      <c r="L439" s="43"/>
    </row>
    <row r="440" spans="2:12" ht="15.75" hidden="1" outlineLevel="1" thickBot="1">
      <c r="B440" s="40" t="str">
        <f t="shared" si="16"/>
        <v/>
      </c>
      <c r="C440" s="41"/>
      <c r="D440" s="41"/>
      <c r="E440" s="41"/>
      <c r="F440" s="41"/>
      <c r="G440" s="41"/>
      <c r="H440" s="41"/>
      <c r="I440" s="42"/>
      <c r="J440" s="41"/>
      <c r="K440" s="41"/>
      <c r="L440" s="43"/>
    </row>
    <row r="441" spans="2:12" ht="15.75" hidden="1" outlineLevel="1" thickBot="1">
      <c r="B441" s="40" t="str">
        <f t="shared" si="16"/>
        <v/>
      </c>
      <c r="C441" s="41"/>
      <c r="D441" s="41"/>
      <c r="E441" s="41"/>
      <c r="F441" s="41"/>
      <c r="G441" s="41"/>
      <c r="H441" s="41"/>
      <c r="I441" s="42"/>
      <c r="J441" s="41"/>
      <c r="K441" s="41"/>
      <c r="L441" s="43"/>
    </row>
    <row r="442" spans="2:12" ht="15.75" hidden="1" outlineLevel="1" thickBot="1">
      <c r="B442" s="40" t="str">
        <f t="shared" si="16"/>
        <v/>
      </c>
      <c r="C442" s="41"/>
      <c r="D442" s="41"/>
      <c r="E442" s="41"/>
      <c r="F442" s="41"/>
      <c r="G442" s="41"/>
      <c r="H442" s="41"/>
      <c r="I442" s="42"/>
      <c r="J442" s="41"/>
      <c r="K442" s="41"/>
      <c r="L442" s="43"/>
    </row>
    <row r="443" spans="2:12" ht="15.75" hidden="1" outlineLevel="1" thickBot="1">
      <c r="B443" s="40" t="str">
        <f t="shared" si="16"/>
        <v/>
      </c>
      <c r="C443" s="41"/>
      <c r="D443" s="41"/>
      <c r="E443" s="41"/>
      <c r="F443" s="41"/>
      <c r="G443" s="41"/>
      <c r="H443" s="41"/>
      <c r="I443" s="42"/>
      <c r="J443" s="41"/>
      <c r="K443" s="41"/>
      <c r="L443" s="43"/>
    </row>
    <row r="444" spans="2:12" ht="15.75" hidden="1" outlineLevel="1" thickBot="1">
      <c r="B444" s="40" t="str">
        <f t="shared" si="16"/>
        <v/>
      </c>
      <c r="C444" s="41"/>
      <c r="D444" s="41"/>
      <c r="E444" s="41"/>
      <c r="F444" s="41"/>
      <c r="G444" s="41"/>
      <c r="H444" s="41"/>
      <c r="I444" s="42"/>
      <c r="J444" s="41"/>
      <c r="K444" s="41"/>
      <c r="L444" s="43"/>
    </row>
    <row r="445" spans="2:12" ht="15.75" hidden="1" outlineLevel="1" thickBot="1">
      <c r="B445" s="40" t="str">
        <f t="shared" si="16"/>
        <v/>
      </c>
      <c r="C445" s="41"/>
      <c r="D445" s="41"/>
      <c r="E445" s="41"/>
      <c r="F445" s="41"/>
      <c r="G445" s="41"/>
      <c r="H445" s="41"/>
      <c r="I445" s="42"/>
      <c r="J445" s="41"/>
      <c r="K445" s="41"/>
      <c r="L445" s="43"/>
    </row>
    <row r="446" spans="2:12" ht="15.75" hidden="1" outlineLevel="1" thickBot="1">
      <c r="B446" s="40" t="str">
        <f t="shared" si="16"/>
        <v/>
      </c>
      <c r="C446" s="41"/>
      <c r="D446" s="41"/>
      <c r="E446" s="41"/>
      <c r="F446" s="41"/>
      <c r="G446" s="41"/>
      <c r="H446" s="41"/>
      <c r="I446" s="42"/>
      <c r="J446" s="41"/>
      <c r="K446" s="41"/>
      <c r="L446" s="43"/>
    </row>
    <row r="447" spans="2:12" ht="15.75" hidden="1" outlineLevel="1" thickBot="1">
      <c r="B447" s="40" t="str">
        <f t="shared" si="16"/>
        <v/>
      </c>
      <c r="C447" s="41"/>
      <c r="D447" s="41"/>
      <c r="E447" s="41"/>
      <c r="F447" s="41"/>
      <c r="G447" s="41"/>
      <c r="H447" s="41"/>
      <c r="I447" s="42"/>
      <c r="J447" s="41"/>
      <c r="K447" s="41"/>
      <c r="L447" s="43"/>
    </row>
    <row r="448" spans="2:12" ht="15.75" hidden="1" outlineLevel="1" thickBot="1">
      <c r="B448" s="40" t="str">
        <f t="shared" si="16"/>
        <v/>
      </c>
      <c r="C448" s="41"/>
      <c r="D448" s="41"/>
      <c r="E448" s="41"/>
      <c r="F448" s="41"/>
      <c r="G448" s="41"/>
      <c r="H448" s="41"/>
      <c r="I448" s="42"/>
      <c r="J448" s="41"/>
      <c r="K448" s="41"/>
      <c r="L448" s="43"/>
    </row>
    <row r="449" spans="2:12" ht="15.75" hidden="1" outlineLevel="1" thickBot="1">
      <c r="B449" s="40" t="str">
        <f t="shared" si="16"/>
        <v/>
      </c>
      <c r="C449" s="41"/>
      <c r="D449" s="41"/>
      <c r="E449" s="41"/>
      <c r="F449" s="41"/>
      <c r="G449" s="41"/>
      <c r="H449" s="41"/>
      <c r="I449" s="42"/>
      <c r="J449" s="41"/>
      <c r="K449" s="41"/>
      <c r="L449" s="43"/>
    </row>
    <row r="450" spans="2:12" ht="15.75" hidden="1" outlineLevel="1" thickBot="1">
      <c r="B450" s="40" t="str">
        <f t="shared" si="16"/>
        <v/>
      </c>
      <c r="C450" s="41"/>
      <c r="D450" s="41"/>
      <c r="E450" s="41"/>
      <c r="F450" s="41"/>
      <c r="G450" s="41"/>
      <c r="H450" s="41"/>
      <c r="I450" s="42"/>
      <c r="J450" s="41"/>
      <c r="K450" s="41"/>
      <c r="L450" s="43"/>
    </row>
    <row r="451" spans="2:12" ht="15.75" hidden="1" outlineLevel="1" thickBot="1">
      <c r="B451" s="35" t="str">
        <f t="shared" si="16"/>
        <v/>
      </c>
      <c r="C451" s="41"/>
      <c r="D451" s="1"/>
      <c r="E451" s="1"/>
      <c r="F451" s="1"/>
      <c r="G451" s="1"/>
      <c r="H451" s="1"/>
      <c r="I451" s="36"/>
      <c r="J451" s="1"/>
      <c r="K451" s="1"/>
      <c r="L451" s="2"/>
    </row>
    <row r="452" spans="2:12" ht="15.75" hidden="1" outlineLevel="1" thickBot="1">
      <c r="B452" s="37" t="str">
        <f t="shared" si="16"/>
        <v/>
      </c>
      <c r="C452" s="38"/>
      <c r="D452" s="38"/>
      <c r="E452" s="38"/>
      <c r="F452" s="38"/>
      <c r="G452" s="38"/>
      <c r="H452" s="38"/>
      <c r="I452" s="38"/>
      <c r="J452" s="38"/>
      <c r="K452" s="38"/>
      <c r="L452" s="39"/>
    </row>
    <row r="453" spans="2:12" ht="24" customHeight="1" collapsed="1" thickBot="1">
      <c r="B453" s="320" t="s">
        <v>59</v>
      </c>
      <c r="C453" s="321"/>
      <c r="D453" s="321"/>
      <c r="E453" s="321"/>
      <c r="F453" s="321"/>
      <c r="G453" s="321"/>
      <c r="H453" s="321"/>
      <c r="I453" s="321"/>
      <c r="J453" s="321"/>
      <c r="K453" s="321"/>
      <c r="L453" s="322"/>
    </row>
    <row r="454" spans="2:12" ht="24" customHeight="1" thickBot="1">
      <c r="B454" s="26" t="s">
        <v>49</v>
      </c>
      <c r="C454" s="27" t="s">
        <v>60</v>
      </c>
      <c r="D454" s="27" t="s">
        <v>62</v>
      </c>
      <c r="E454" s="27" t="s">
        <v>63</v>
      </c>
      <c r="F454" s="27" t="s">
        <v>64</v>
      </c>
      <c r="G454" s="27" t="s">
        <v>65</v>
      </c>
      <c r="H454" s="27" t="s">
        <v>66</v>
      </c>
      <c r="I454" s="27" t="s">
        <v>67</v>
      </c>
      <c r="J454" s="27" t="s">
        <v>6</v>
      </c>
      <c r="K454" s="27" t="s">
        <v>7</v>
      </c>
      <c r="L454" s="28" t="s">
        <v>68</v>
      </c>
    </row>
    <row r="455" spans="2:12">
      <c r="B455" s="46" t="s">
        <v>8</v>
      </c>
      <c r="C455" s="41">
        <f>COUNTIFS(B353:B452,"&gt;"&amp;0,C353:C452,"="&amp;B455)</f>
        <v>0</v>
      </c>
      <c r="D455" s="41">
        <f>COUNTIFS(B353:B452,"&gt;="&amp;1,C353:C452,B455,K353:K452,"&gt;="&amp;0,K353:K452,"&lt;"&amp;50)</f>
        <v>0</v>
      </c>
      <c r="E455" s="41">
        <f>COUNTIFS(B353:B452,"&gt;="&amp;1,C353:C452,B455,K353:K452,"&gt;="&amp;50,K353:K452,"&lt;"&amp;500)</f>
        <v>0</v>
      </c>
      <c r="F455" s="41">
        <f>COUNTIFS(B353:B452,"&gt;="&amp;1,C353:C452,B455,K353:K452,"&gt;="&amp;500)</f>
        <v>0</v>
      </c>
      <c r="G455" s="41">
        <f>COUNTIFS(B353:B452,"&gt;="&amp;1,C353:C452,B455,K353:K452,"&gt;="&amp;0,I353:I452,"&gt;"&amp;DATE(2021,1,1))</f>
        <v>0</v>
      </c>
      <c r="H455" s="47" t="str">
        <f>IF(G455=0,"-",(SUM(E455,F455)/G455))</f>
        <v>-</v>
      </c>
      <c r="I455" s="41">
        <f>IF((COUNTIFS(B353:B452,"&gt;="&amp;1,C353:C452,"="&amp;B455))&gt;228,228,(COUNTIFS(B353:B452,"&gt;="&amp;1,C353:C452,"="&amp;B455)))</f>
        <v>0</v>
      </c>
      <c r="J455" s="47" t="str">
        <f>IF(I455=0,"-",(COUNTIFS(C353:C452,"="&amp;B455,I353:I452,"&lt;="&amp;DATE(2024,12,31),K353:K452,"&gt;="&amp;0)/I455))</f>
        <v>-</v>
      </c>
      <c r="K455" s="47" t="str">
        <f>IF(I455=0,"-",IF(J455=1,"-",(COUNTIFS(B353:B452,"&gt;"&amp;0,C353:C452,"="&amp;B455,I353:I452,"&gt;"&amp;DATE(2024,12,31),K353:K452,"&gt;="&amp;0)/(I455-COUNTIFS(B353:B452,"&gt;"&amp;0,C353:C452,"="&amp;B455,I353:I452,"&lt;="&amp;DATE(2024,12,31),K353:K452,"&gt;="&amp;0)))))</f>
        <v>-</v>
      </c>
      <c r="L455" s="48" t="str">
        <f>IF(I455=0,"-",G455/I455)</f>
        <v>-</v>
      </c>
    </row>
    <row r="456" spans="2:12">
      <c r="B456" s="7" t="s">
        <v>9</v>
      </c>
      <c r="C456" s="1">
        <f>COUNTIFS(B353:B452,"&gt;"&amp;0,C353:C452,"="&amp;B456)</f>
        <v>0</v>
      </c>
      <c r="D456" s="1">
        <f>COUNTIFS(B353:B452,"&gt;="&amp;1,C353:C452,B456,K353:K452,"&gt;="&amp;0,K353:K452,"&lt;"&amp;50)</f>
        <v>0</v>
      </c>
      <c r="E456" s="1">
        <f>COUNTIFS(B353:B452,"&gt;="&amp;1,C353:C452,B456,K353:K452,"&gt;="&amp;50,K353:K452,"&lt;"&amp;500)</f>
        <v>0</v>
      </c>
      <c r="F456" s="1">
        <f>COUNTIFS(B353:B452,"&gt;="&amp;1,C353:C452,B456,K353:K452,"&gt;="&amp;500)</f>
        <v>0</v>
      </c>
      <c r="G456" s="1">
        <f>COUNTIFS(B353:B452,"&gt;="&amp;1,C353:C452,B456,K353:K452,"&gt;="&amp;0,I353:I452,"&gt;"&amp;DATE(2021,1,1))</f>
        <v>0</v>
      </c>
      <c r="H456" s="44" t="str">
        <f t="shared" ref="H456:H458" si="17">IF(G456=0,"-",(SUM(E456,F456)/G456))</f>
        <v>-</v>
      </c>
      <c r="I456" s="1">
        <f>IF((COUNTIFS(B353:B452,"&gt;="&amp;1,C353:C452,"="&amp;B456))&gt;228,228,(COUNTIFS(B353:B452,"&gt;="&amp;1,C353:C452,"="&amp;B456)))</f>
        <v>0</v>
      </c>
      <c r="J456" s="44" t="str">
        <f>IF(I456=0,"-",(COUNTIFS(C353:C452,"="&amp;B456,I353:I452,"&lt;="&amp;DATE(2024,12,31),K353:K452,"&gt;="&amp;0)/I456))</f>
        <v>-</v>
      </c>
      <c r="K456" s="47" t="str">
        <f>IF(I456=0,"-",IF(J456=1,"-",(COUNTIFS(B353:B452,"&gt;"&amp;0,C353:C452,"="&amp;B456,I353:I452,"&gt;"&amp;DATE(2024,12,31),K353:K452,"&gt;="&amp;0)/(I456-COUNTIFS(B353:B452,"&gt;"&amp;0,C353:C452,"="&amp;B456,I353:I452,"&lt;="&amp;DATE(2024,12,31),K353:K452,"&gt;="&amp;0)))))</f>
        <v>-</v>
      </c>
      <c r="L456" s="45" t="str">
        <f t="shared" ref="L456:L458" si="18">IF(I456=0,"-",G456/I456)</f>
        <v>-</v>
      </c>
    </row>
    <row r="457" spans="2:12">
      <c r="B457" s="7" t="s">
        <v>69</v>
      </c>
      <c r="C457" s="1">
        <f>COUNTIFS(B353:B452,"&gt;"&amp;0,C353:C452,"="&amp;B457)</f>
        <v>0</v>
      </c>
      <c r="D457" s="1">
        <f>COUNTIFS(B353:B452,"&gt;="&amp;1,C353:C452,B457,K353:K452,"&gt;="&amp;0,K353:K452,"&lt;"&amp;50)</f>
        <v>0</v>
      </c>
      <c r="E457" s="1">
        <f>COUNTIFS(B353:B452,"&gt;="&amp;1,C353:C452,B457,K353:K452,"&gt;="&amp;50,K353:K452,"&lt;"&amp;500)</f>
        <v>0</v>
      </c>
      <c r="F457" s="1">
        <f>COUNTIFS(B353:B451,"&gt;="&amp;1,C353:C451,B457,K353:K451,"&gt;="&amp;500)</f>
        <v>0</v>
      </c>
      <c r="G457" s="1">
        <f>COUNTIFS(B353:B452,"&gt;="&amp;1,C353:C452,B457,K353:K452,"&gt;="&amp;0,I353:I452,"&gt;"&amp;DATE(2021,1,1))</f>
        <v>0</v>
      </c>
      <c r="H457" s="44" t="str">
        <f t="shared" si="17"/>
        <v>-</v>
      </c>
      <c r="I457" s="1">
        <f>IF((COUNTIFS(B353:B451,"&gt;="&amp;1,C353:C451,"="&amp;B457))&gt;228,228,(COUNTIFS(B353:B451,"&gt;="&amp;1,C353:C451,"="&amp;B457)))</f>
        <v>0</v>
      </c>
      <c r="J457" s="44" t="str">
        <f>IF(I457=0,"-",(COUNTIFS(C353:C452,"="&amp;B457,I353:I452,"&lt;="&amp;DATE(2024,12,31),K353:K452,"&gt;="&amp;0)/I457))</f>
        <v>-</v>
      </c>
      <c r="K457" s="47" t="str">
        <f>IF(I457=0,"-",IF(J457=1,"-",(COUNTIFS(B353:B452,"&gt;"&amp;0,C353:C452,"="&amp;B457,I353:I452,"&gt;"&amp;DATE(2024,12,31),K353:K452,"&gt;="&amp;0)/(I457-COUNTIFS(B353:B452,"&gt;"&amp;0,C353:C452,"="&amp;B457,I353:I452,"&lt;="&amp;DATE(2024,12,31),K353:K452,"&gt;="&amp;0)))))</f>
        <v>-</v>
      </c>
      <c r="L457" s="45" t="str">
        <f t="shared" si="18"/>
        <v>-</v>
      </c>
    </row>
    <row r="458" spans="2:12" ht="24" customHeight="1" thickBot="1">
      <c r="B458" s="49" t="s">
        <v>59</v>
      </c>
      <c r="C458" s="50">
        <f>SUM(C455:C457)</f>
        <v>0</v>
      </c>
      <c r="D458" s="50">
        <f>SUM(D455:D457)</f>
        <v>0</v>
      </c>
      <c r="E458" s="50">
        <f>SUM(E455:E457)</f>
        <v>0</v>
      </c>
      <c r="F458" s="50">
        <f>SUM(F455:F457)</f>
        <v>0</v>
      </c>
      <c r="G458" s="50">
        <f>SUM(G455:G457)</f>
        <v>0</v>
      </c>
      <c r="H458" s="51" t="str">
        <f t="shared" si="17"/>
        <v>-</v>
      </c>
      <c r="I458" s="50">
        <f>SUM(I455:I457)</f>
        <v>0</v>
      </c>
      <c r="J458" s="51" t="str">
        <f>IF(I458=0,"-",(COUNTIFS(I353:I452,"&lt;="&amp;DATE(2024,12,31),K353:K452,"&gt;="&amp;0)/I458))</f>
        <v>-</v>
      </c>
      <c r="K458" s="51" t="str">
        <f>IF(I458=0,"-",IF(J458=1,"-",(COUNTIFS(B353:B452,"&gt;"&amp;0,I353:I452,"&gt;"&amp;DATE(2024,12,31),K353:K452,"&gt;="&amp;0)/(I458-COUNTIFS(B353:B452,"&gt;"&amp;0,I353:I452,"&lt;="&amp;DATE(2024,12,31),K353:K452,"&gt;="&amp;0)))))</f>
        <v>-</v>
      </c>
      <c r="L458" s="52" t="str">
        <f t="shared" si="18"/>
        <v>-</v>
      </c>
    </row>
    <row r="460" spans="2:12" ht="15.75" thickBot="1"/>
    <row r="461" spans="2:12" ht="33.75" customHeight="1" thickBot="1">
      <c r="B461" s="320" t="str">
        <f>_xlfn.CONCAT("Transformadores de Distribuição - TD's",TEXT(IF(SUM(I1382:I1385)=0," ",(SUM(G1382:G1385)/SUM(I1382:I1385))), " 0,00%"))</f>
        <v>Transformadores de Distribuição - TD's 0,00%</v>
      </c>
      <c r="C461" s="321"/>
      <c r="D461" s="321"/>
      <c r="E461" s="321"/>
      <c r="F461" s="321"/>
      <c r="G461" s="321"/>
      <c r="H461" s="321"/>
      <c r="I461" s="321"/>
      <c r="J461" s="321"/>
      <c r="K461" s="321"/>
      <c r="L461" s="322"/>
    </row>
    <row r="462" spans="2:12" ht="25.5" customHeight="1" thickBot="1">
      <c r="B462" s="26" t="s">
        <v>48</v>
      </c>
      <c r="C462" s="27" t="s">
        <v>49</v>
      </c>
      <c r="D462" s="27" t="s">
        <v>50</v>
      </c>
      <c r="E462" s="27" t="s">
        <v>51</v>
      </c>
      <c r="F462" s="27" t="s">
        <v>52</v>
      </c>
      <c r="G462" s="27" t="s">
        <v>53</v>
      </c>
      <c r="H462" s="27" t="s">
        <v>54</v>
      </c>
      <c r="I462" s="27" t="s">
        <v>55</v>
      </c>
      <c r="J462" s="27" t="s">
        <v>56</v>
      </c>
      <c r="K462" s="27" t="s">
        <v>57</v>
      </c>
      <c r="L462" s="28" t="s">
        <v>58</v>
      </c>
    </row>
    <row r="463" spans="2:12" outlineLevel="2">
      <c r="B463" s="40">
        <f>ROW(A1)</f>
        <v>1</v>
      </c>
      <c r="C463" s="41" t="s">
        <v>8</v>
      </c>
      <c r="D463" s="41"/>
      <c r="E463" s="41"/>
      <c r="F463" s="41"/>
      <c r="G463" s="41"/>
      <c r="H463" s="41"/>
      <c r="I463" s="42"/>
      <c r="J463" s="41"/>
      <c r="K463" s="41"/>
      <c r="L463" s="43"/>
    </row>
    <row r="464" spans="2:12" outlineLevel="2">
      <c r="B464" s="40">
        <f t="shared" ref="B464" si="19">ROW(A2)</f>
        <v>2</v>
      </c>
      <c r="C464" s="41" t="s">
        <v>8</v>
      </c>
      <c r="D464" s="41"/>
      <c r="E464" s="41"/>
      <c r="F464" s="41"/>
      <c r="G464" s="41"/>
      <c r="H464" s="41"/>
      <c r="I464" s="42"/>
      <c r="J464" s="41"/>
      <c r="K464" s="41"/>
      <c r="L464" s="43"/>
    </row>
    <row r="465" spans="2:12" outlineLevel="2">
      <c r="B465" s="40">
        <f t="shared" ref="B465:B528" si="20">ROW(A3)</f>
        <v>3</v>
      </c>
      <c r="C465" s="41" t="s">
        <v>8</v>
      </c>
      <c r="D465" s="41"/>
      <c r="E465" s="41"/>
      <c r="F465" s="41"/>
      <c r="G465" s="41"/>
      <c r="H465" s="41"/>
      <c r="I465" s="42"/>
      <c r="J465" s="41"/>
      <c r="K465" s="41"/>
      <c r="L465" s="43"/>
    </row>
    <row r="466" spans="2:12" outlineLevel="2">
      <c r="B466" s="40">
        <f t="shared" si="20"/>
        <v>4</v>
      </c>
      <c r="C466" s="41" t="s">
        <v>8</v>
      </c>
      <c r="D466" s="41"/>
      <c r="E466" s="41"/>
      <c r="F466" s="41"/>
      <c r="G466" s="41"/>
      <c r="H466" s="41"/>
      <c r="I466" s="42"/>
      <c r="J466" s="41"/>
      <c r="K466" s="41"/>
      <c r="L466" s="43"/>
    </row>
    <row r="467" spans="2:12" outlineLevel="2">
      <c r="B467" s="40">
        <f t="shared" si="20"/>
        <v>5</v>
      </c>
      <c r="C467" s="41" t="s">
        <v>8</v>
      </c>
      <c r="D467" s="41"/>
      <c r="E467" s="41"/>
      <c r="F467" s="41"/>
      <c r="G467" s="41"/>
      <c r="H467" s="41"/>
      <c r="I467" s="42"/>
      <c r="J467" s="41"/>
      <c r="K467" s="41"/>
      <c r="L467" s="43"/>
    </row>
    <row r="468" spans="2:12" outlineLevel="2">
      <c r="B468" s="40">
        <f t="shared" si="20"/>
        <v>6</v>
      </c>
      <c r="C468" s="41" t="s">
        <v>8</v>
      </c>
      <c r="D468" s="41"/>
      <c r="E468" s="41"/>
      <c r="F468" s="41"/>
      <c r="G468" s="41"/>
      <c r="H468" s="41"/>
      <c r="I468" s="42"/>
      <c r="J468" s="41"/>
      <c r="K468" s="41"/>
      <c r="L468" s="43"/>
    </row>
    <row r="469" spans="2:12" outlineLevel="2">
      <c r="B469" s="40">
        <f t="shared" si="20"/>
        <v>7</v>
      </c>
      <c r="C469" s="41" t="s">
        <v>8</v>
      </c>
      <c r="D469" s="41"/>
      <c r="E469" s="41"/>
      <c r="F469" s="41"/>
      <c r="G469" s="41"/>
      <c r="H469" s="41"/>
      <c r="I469" s="42"/>
      <c r="J469" s="41"/>
      <c r="K469" s="41"/>
      <c r="L469" s="43"/>
    </row>
    <row r="470" spans="2:12" outlineLevel="2">
      <c r="B470" s="40">
        <f t="shared" si="20"/>
        <v>8</v>
      </c>
      <c r="C470" s="41" t="s">
        <v>8</v>
      </c>
      <c r="D470" s="41"/>
      <c r="E470" s="41"/>
      <c r="F470" s="41"/>
      <c r="G470" s="41"/>
      <c r="H470" s="41"/>
      <c r="I470" s="42"/>
      <c r="J470" s="41"/>
      <c r="K470" s="41"/>
      <c r="L470" s="43"/>
    </row>
    <row r="471" spans="2:12" outlineLevel="2">
      <c r="B471" s="40">
        <f t="shared" si="20"/>
        <v>9</v>
      </c>
      <c r="C471" s="41" t="s">
        <v>8</v>
      </c>
      <c r="D471" s="41"/>
      <c r="E471" s="41"/>
      <c r="F471" s="41"/>
      <c r="G471" s="41"/>
      <c r="H471" s="41"/>
      <c r="I471" s="42"/>
      <c r="J471" s="41"/>
      <c r="K471" s="41"/>
      <c r="L471" s="43"/>
    </row>
    <row r="472" spans="2:12" outlineLevel="2">
      <c r="B472" s="40">
        <f t="shared" si="20"/>
        <v>10</v>
      </c>
      <c r="C472" s="41" t="s">
        <v>8</v>
      </c>
      <c r="D472" s="41"/>
      <c r="E472" s="41"/>
      <c r="F472" s="41"/>
      <c r="G472" s="41"/>
      <c r="H472" s="41"/>
      <c r="I472" s="42"/>
      <c r="J472" s="41"/>
      <c r="K472" s="41"/>
      <c r="L472" s="43"/>
    </row>
    <row r="473" spans="2:12" outlineLevel="2">
      <c r="B473" s="40">
        <f t="shared" si="20"/>
        <v>11</v>
      </c>
      <c r="C473" s="41" t="s">
        <v>8</v>
      </c>
      <c r="D473" s="41"/>
      <c r="E473" s="41"/>
      <c r="F473" s="41"/>
      <c r="G473" s="41"/>
      <c r="H473" s="41"/>
      <c r="I473" s="42"/>
      <c r="J473" s="41"/>
      <c r="K473" s="41"/>
      <c r="L473" s="43"/>
    </row>
    <row r="474" spans="2:12" outlineLevel="2">
      <c r="B474" s="40">
        <f t="shared" si="20"/>
        <v>12</v>
      </c>
      <c r="C474" s="41" t="s">
        <v>8</v>
      </c>
      <c r="D474" s="41"/>
      <c r="E474" s="41"/>
      <c r="F474" s="41"/>
      <c r="G474" s="41"/>
      <c r="H474" s="41"/>
      <c r="I474" s="42"/>
      <c r="J474" s="41"/>
      <c r="K474" s="41"/>
      <c r="L474" s="43"/>
    </row>
    <row r="475" spans="2:12" outlineLevel="2">
      <c r="B475" s="40">
        <f t="shared" si="20"/>
        <v>13</v>
      </c>
      <c r="C475" s="41" t="s">
        <v>8</v>
      </c>
      <c r="D475" s="41"/>
      <c r="E475" s="41"/>
      <c r="F475" s="41"/>
      <c r="G475" s="41"/>
      <c r="H475" s="41"/>
      <c r="I475" s="42"/>
      <c r="J475" s="41"/>
      <c r="K475" s="41"/>
      <c r="L475" s="43"/>
    </row>
    <row r="476" spans="2:12" outlineLevel="2">
      <c r="B476" s="40">
        <f t="shared" si="20"/>
        <v>14</v>
      </c>
      <c r="C476" s="41" t="s">
        <v>8</v>
      </c>
      <c r="D476" s="41"/>
      <c r="E476" s="41"/>
      <c r="F476" s="41"/>
      <c r="G476" s="41"/>
      <c r="H476" s="41"/>
      <c r="I476" s="42"/>
      <c r="J476" s="41"/>
      <c r="K476" s="41"/>
      <c r="L476" s="43"/>
    </row>
    <row r="477" spans="2:12" outlineLevel="2">
      <c r="B477" s="40">
        <f t="shared" si="20"/>
        <v>15</v>
      </c>
      <c r="C477" s="41" t="s">
        <v>8</v>
      </c>
      <c r="D477" s="41"/>
      <c r="E477" s="41"/>
      <c r="F477" s="41"/>
      <c r="G477" s="41"/>
      <c r="H477" s="41"/>
      <c r="I477" s="42"/>
      <c r="J477" s="41"/>
      <c r="K477" s="41"/>
      <c r="L477" s="43"/>
    </row>
    <row r="478" spans="2:12" outlineLevel="2">
      <c r="B478" s="40">
        <f t="shared" si="20"/>
        <v>16</v>
      </c>
      <c r="C478" s="41" t="s">
        <v>8</v>
      </c>
      <c r="D478" s="41"/>
      <c r="E478" s="41"/>
      <c r="F478" s="41"/>
      <c r="G478" s="41"/>
      <c r="H478" s="41"/>
      <c r="I478" s="42"/>
      <c r="J478" s="41"/>
      <c r="K478" s="41"/>
      <c r="L478" s="43"/>
    </row>
    <row r="479" spans="2:12" outlineLevel="2">
      <c r="B479" s="40">
        <f t="shared" si="20"/>
        <v>17</v>
      </c>
      <c r="C479" s="41" t="s">
        <v>8</v>
      </c>
      <c r="D479" s="41"/>
      <c r="E479" s="41"/>
      <c r="F479" s="41"/>
      <c r="G479" s="41"/>
      <c r="H479" s="41"/>
      <c r="I479" s="42"/>
      <c r="J479" s="41"/>
      <c r="K479" s="41"/>
      <c r="L479" s="43"/>
    </row>
    <row r="480" spans="2:12" outlineLevel="2">
      <c r="B480" s="40">
        <f t="shared" si="20"/>
        <v>18</v>
      </c>
      <c r="C480" s="41" t="s">
        <v>8</v>
      </c>
      <c r="D480" s="41"/>
      <c r="E480" s="41"/>
      <c r="F480" s="41"/>
      <c r="G480" s="41"/>
      <c r="H480" s="41"/>
      <c r="I480" s="42"/>
      <c r="J480" s="41"/>
      <c r="K480" s="41"/>
      <c r="L480" s="43"/>
    </row>
    <row r="481" spans="2:12" outlineLevel="2">
      <c r="B481" s="40">
        <f t="shared" si="20"/>
        <v>19</v>
      </c>
      <c r="C481" s="41" t="s">
        <v>8</v>
      </c>
      <c r="D481" s="41"/>
      <c r="E481" s="41"/>
      <c r="F481" s="41"/>
      <c r="G481" s="41"/>
      <c r="H481" s="41"/>
      <c r="I481" s="42"/>
      <c r="J481" s="41"/>
      <c r="K481" s="41"/>
      <c r="L481" s="43"/>
    </row>
    <row r="482" spans="2:12" outlineLevel="2">
      <c r="B482" s="40">
        <f t="shared" si="20"/>
        <v>20</v>
      </c>
      <c r="C482" s="41" t="s">
        <v>8</v>
      </c>
      <c r="D482" s="41"/>
      <c r="E482" s="41"/>
      <c r="F482" s="41"/>
      <c r="G482" s="41"/>
      <c r="H482" s="41"/>
      <c r="I482" s="42"/>
      <c r="J482" s="41"/>
      <c r="K482" s="41"/>
      <c r="L482" s="43"/>
    </row>
    <row r="483" spans="2:12" outlineLevel="2">
      <c r="B483" s="40">
        <f t="shared" si="20"/>
        <v>21</v>
      </c>
      <c r="C483" s="41" t="s">
        <v>8</v>
      </c>
      <c r="D483" s="41"/>
      <c r="E483" s="41"/>
      <c r="F483" s="41"/>
      <c r="G483" s="41"/>
      <c r="H483" s="41"/>
      <c r="I483" s="42"/>
      <c r="J483" s="41"/>
      <c r="K483" s="41"/>
      <c r="L483" s="43"/>
    </row>
    <row r="484" spans="2:12" outlineLevel="2">
      <c r="B484" s="40">
        <f t="shared" si="20"/>
        <v>22</v>
      </c>
      <c r="C484" s="41" t="s">
        <v>8</v>
      </c>
      <c r="D484" s="41"/>
      <c r="E484" s="41"/>
      <c r="F484" s="41"/>
      <c r="G484" s="41"/>
      <c r="H484" s="41"/>
      <c r="I484" s="42"/>
      <c r="J484" s="41"/>
      <c r="K484" s="41"/>
      <c r="L484" s="43"/>
    </row>
    <row r="485" spans="2:12" outlineLevel="2">
      <c r="B485" s="40">
        <f t="shared" si="20"/>
        <v>23</v>
      </c>
      <c r="C485" s="41" t="s">
        <v>8</v>
      </c>
      <c r="D485" s="41"/>
      <c r="E485" s="41"/>
      <c r="F485" s="41"/>
      <c r="G485" s="41"/>
      <c r="H485" s="41"/>
      <c r="I485" s="42"/>
      <c r="J485" s="41"/>
      <c r="K485" s="41"/>
      <c r="L485" s="43"/>
    </row>
    <row r="486" spans="2:12" outlineLevel="2">
      <c r="B486" s="40">
        <f t="shared" si="20"/>
        <v>24</v>
      </c>
      <c r="C486" s="41" t="s">
        <v>8</v>
      </c>
      <c r="D486" s="41"/>
      <c r="E486" s="41"/>
      <c r="F486" s="41"/>
      <c r="G486" s="41"/>
      <c r="H486" s="41"/>
      <c r="I486" s="42"/>
      <c r="J486" s="41"/>
      <c r="K486" s="41"/>
      <c r="L486" s="43"/>
    </row>
    <row r="487" spans="2:12" outlineLevel="2">
      <c r="B487" s="40">
        <f t="shared" si="20"/>
        <v>25</v>
      </c>
      <c r="C487" s="41" t="s">
        <v>8</v>
      </c>
      <c r="D487" s="41"/>
      <c r="E487" s="41"/>
      <c r="F487" s="41"/>
      <c r="G487" s="41"/>
      <c r="H487" s="41"/>
      <c r="I487" s="42"/>
      <c r="J487" s="41"/>
      <c r="K487" s="41"/>
      <c r="L487" s="43"/>
    </row>
    <row r="488" spans="2:12" outlineLevel="2">
      <c r="B488" s="40">
        <f t="shared" si="20"/>
        <v>26</v>
      </c>
      <c r="C488" s="41" t="s">
        <v>8</v>
      </c>
      <c r="D488" s="41"/>
      <c r="E488" s="41"/>
      <c r="F488" s="41"/>
      <c r="G488" s="41"/>
      <c r="H488" s="41"/>
      <c r="I488" s="42"/>
      <c r="J488" s="41"/>
      <c r="K488" s="41"/>
      <c r="L488" s="43"/>
    </row>
    <row r="489" spans="2:12" outlineLevel="2">
      <c r="B489" s="40">
        <f t="shared" si="20"/>
        <v>27</v>
      </c>
      <c r="C489" s="41" t="s">
        <v>8</v>
      </c>
      <c r="D489" s="41"/>
      <c r="E489" s="41"/>
      <c r="F489" s="41"/>
      <c r="G489" s="41"/>
      <c r="H489" s="41"/>
      <c r="I489" s="42"/>
      <c r="J489" s="41"/>
      <c r="K489" s="41"/>
      <c r="L489" s="43"/>
    </row>
    <row r="490" spans="2:12" outlineLevel="2">
      <c r="B490" s="40">
        <f t="shared" si="20"/>
        <v>28</v>
      </c>
      <c r="C490" s="41" t="s">
        <v>8</v>
      </c>
      <c r="D490" s="41"/>
      <c r="E490" s="41"/>
      <c r="F490" s="41"/>
      <c r="G490" s="41"/>
      <c r="H490" s="41"/>
      <c r="I490" s="42"/>
      <c r="J490" s="41"/>
      <c r="K490" s="41"/>
      <c r="L490" s="43"/>
    </row>
    <row r="491" spans="2:12" outlineLevel="2">
      <c r="B491" s="40">
        <f t="shared" si="20"/>
        <v>29</v>
      </c>
      <c r="C491" s="41" t="s">
        <v>8</v>
      </c>
      <c r="D491" s="41"/>
      <c r="E491" s="41"/>
      <c r="F491" s="41"/>
      <c r="G491" s="41"/>
      <c r="H491" s="41"/>
      <c r="I491" s="42"/>
      <c r="J491" s="41"/>
      <c r="K491" s="41"/>
      <c r="L491" s="43"/>
    </row>
    <row r="492" spans="2:12" outlineLevel="2">
      <c r="B492" s="40">
        <f t="shared" si="20"/>
        <v>30</v>
      </c>
      <c r="C492" s="41" t="s">
        <v>8</v>
      </c>
      <c r="D492" s="41"/>
      <c r="E492" s="41"/>
      <c r="F492" s="41"/>
      <c r="G492" s="41"/>
      <c r="H492" s="41"/>
      <c r="I492" s="42"/>
      <c r="J492" s="41"/>
      <c r="K492" s="41"/>
      <c r="L492" s="43"/>
    </row>
    <row r="493" spans="2:12" outlineLevel="2">
      <c r="B493" s="40">
        <f t="shared" si="20"/>
        <v>31</v>
      </c>
      <c r="C493" s="41" t="s">
        <v>8</v>
      </c>
      <c r="D493" s="41"/>
      <c r="E493" s="41"/>
      <c r="F493" s="41"/>
      <c r="G493" s="41"/>
      <c r="H493" s="41"/>
      <c r="I493" s="42"/>
      <c r="J493" s="41"/>
      <c r="K493" s="41"/>
      <c r="L493" s="43"/>
    </row>
    <row r="494" spans="2:12" outlineLevel="2">
      <c r="B494" s="40">
        <f t="shared" si="20"/>
        <v>32</v>
      </c>
      <c r="C494" s="41" t="s">
        <v>8</v>
      </c>
      <c r="D494" s="41"/>
      <c r="E494" s="41"/>
      <c r="F494" s="41"/>
      <c r="G494" s="41"/>
      <c r="H494" s="41"/>
      <c r="I494" s="42"/>
      <c r="J494" s="41"/>
      <c r="K494" s="41"/>
      <c r="L494" s="43"/>
    </row>
    <row r="495" spans="2:12" outlineLevel="2">
      <c r="B495" s="40">
        <f t="shared" si="20"/>
        <v>33</v>
      </c>
      <c r="C495" s="41" t="s">
        <v>8</v>
      </c>
      <c r="D495" s="41"/>
      <c r="E495" s="41"/>
      <c r="F495" s="41"/>
      <c r="G495" s="41"/>
      <c r="H495" s="41"/>
      <c r="I495" s="42"/>
      <c r="J495" s="41"/>
      <c r="K495" s="41"/>
      <c r="L495" s="43"/>
    </row>
    <row r="496" spans="2:12" outlineLevel="2">
      <c r="B496" s="40">
        <f t="shared" si="20"/>
        <v>34</v>
      </c>
      <c r="C496" s="41" t="s">
        <v>8</v>
      </c>
      <c r="D496" s="41"/>
      <c r="E496" s="41"/>
      <c r="F496" s="41"/>
      <c r="G496" s="41"/>
      <c r="H496" s="41"/>
      <c r="I496" s="42"/>
      <c r="J496" s="41"/>
      <c r="K496" s="41"/>
      <c r="L496" s="43"/>
    </row>
    <row r="497" spans="2:12" outlineLevel="2">
      <c r="B497" s="40">
        <f t="shared" si="20"/>
        <v>35</v>
      </c>
      <c r="C497" s="41" t="s">
        <v>8</v>
      </c>
      <c r="D497" s="41"/>
      <c r="E497" s="41"/>
      <c r="F497" s="41"/>
      <c r="G497" s="41"/>
      <c r="H497" s="41"/>
      <c r="I497" s="42"/>
      <c r="J497" s="41"/>
      <c r="K497" s="41"/>
      <c r="L497" s="43"/>
    </row>
    <row r="498" spans="2:12" outlineLevel="2">
      <c r="B498" s="40">
        <f t="shared" si="20"/>
        <v>36</v>
      </c>
      <c r="C498" s="41" t="s">
        <v>8</v>
      </c>
      <c r="D498" s="41"/>
      <c r="E498" s="41"/>
      <c r="F498" s="41"/>
      <c r="G498" s="41"/>
      <c r="H498" s="41"/>
      <c r="I498" s="42"/>
      <c r="J498" s="41"/>
      <c r="K498" s="41"/>
      <c r="L498" s="43"/>
    </row>
    <row r="499" spans="2:12" outlineLevel="2">
      <c r="B499" s="40">
        <f t="shared" si="20"/>
        <v>37</v>
      </c>
      <c r="C499" s="41" t="s">
        <v>8</v>
      </c>
      <c r="D499" s="41"/>
      <c r="E499" s="41"/>
      <c r="F499" s="41"/>
      <c r="G499" s="41"/>
      <c r="H499" s="41"/>
      <c r="I499" s="42"/>
      <c r="J499" s="41"/>
      <c r="K499" s="41"/>
      <c r="L499" s="43"/>
    </row>
    <row r="500" spans="2:12" outlineLevel="2">
      <c r="B500" s="40">
        <f t="shared" si="20"/>
        <v>38</v>
      </c>
      <c r="C500" s="41" t="s">
        <v>8</v>
      </c>
      <c r="D500" s="41"/>
      <c r="E500" s="41"/>
      <c r="F500" s="41"/>
      <c r="G500" s="41"/>
      <c r="H500" s="41"/>
      <c r="I500" s="42"/>
      <c r="J500" s="41"/>
      <c r="K500" s="41"/>
      <c r="L500" s="43"/>
    </row>
    <row r="501" spans="2:12" outlineLevel="2">
      <c r="B501" s="40">
        <f t="shared" si="20"/>
        <v>39</v>
      </c>
      <c r="C501" s="41" t="s">
        <v>8</v>
      </c>
      <c r="D501" s="41"/>
      <c r="E501" s="41"/>
      <c r="F501" s="41"/>
      <c r="G501" s="41"/>
      <c r="H501" s="41"/>
      <c r="I501" s="42"/>
      <c r="J501" s="41"/>
      <c r="K501" s="41"/>
      <c r="L501" s="43"/>
    </row>
    <row r="502" spans="2:12" outlineLevel="2">
      <c r="B502" s="40">
        <f t="shared" si="20"/>
        <v>40</v>
      </c>
      <c r="C502" s="41" t="s">
        <v>8</v>
      </c>
      <c r="D502" s="41"/>
      <c r="E502" s="41"/>
      <c r="F502" s="41"/>
      <c r="G502" s="41"/>
      <c r="H502" s="41"/>
      <c r="I502" s="42"/>
      <c r="J502" s="41"/>
      <c r="K502" s="41"/>
      <c r="L502" s="43"/>
    </row>
    <row r="503" spans="2:12" outlineLevel="2">
      <c r="B503" s="40">
        <f t="shared" si="20"/>
        <v>41</v>
      </c>
      <c r="C503" s="41" t="s">
        <v>8</v>
      </c>
      <c r="D503" s="41"/>
      <c r="E503" s="41"/>
      <c r="F503" s="41"/>
      <c r="G503" s="41"/>
      <c r="H503" s="41"/>
      <c r="I503" s="42"/>
      <c r="J503" s="41"/>
      <c r="K503" s="41"/>
      <c r="L503" s="43"/>
    </row>
    <row r="504" spans="2:12" outlineLevel="2">
      <c r="B504" s="40">
        <f t="shared" si="20"/>
        <v>42</v>
      </c>
      <c r="C504" s="41" t="s">
        <v>8</v>
      </c>
      <c r="D504" s="41"/>
      <c r="E504" s="41"/>
      <c r="F504" s="41"/>
      <c r="G504" s="41"/>
      <c r="H504" s="41"/>
      <c r="I504" s="42"/>
      <c r="J504" s="41"/>
      <c r="K504" s="41"/>
      <c r="L504" s="43"/>
    </row>
    <row r="505" spans="2:12" outlineLevel="2">
      <c r="B505" s="40">
        <f t="shared" si="20"/>
        <v>43</v>
      </c>
      <c r="C505" s="41" t="s">
        <v>8</v>
      </c>
      <c r="D505" s="41"/>
      <c r="E505" s="41"/>
      <c r="F505" s="41"/>
      <c r="G505" s="41"/>
      <c r="H505" s="41"/>
      <c r="I505" s="42"/>
      <c r="J505" s="41"/>
      <c r="K505" s="41"/>
      <c r="L505" s="43"/>
    </row>
    <row r="506" spans="2:12" outlineLevel="2">
      <c r="B506" s="40">
        <f t="shared" si="20"/>
        <v>44</v>
      </c>
      <c r="C506" s="41" t="s">
        <v>8</v>
      </c>
      <c r="D506" s="41"/>
      <c r="E506" s="41"/>
      <c r="F506" s="41"/>
      <c r="G506" s="41"/>
      <c r="H506" s="41"/>
      <c r="I506" s="42"/>
      <c r="J506" s="41"/>
      <c r="K506" s="41"/>
      <c r="L506" s="43"/>
    </row>
    <row r="507" spans="2:12" outlineLevel="2">
      <c r="B507" s="40">
        <f t="shared" si="20"/>
        <v>45</v>
      </c>
      <c r="C507" s="41" t="s">
        <v>8</v>
      </c>
      <c r="D507" s="41"/>
      <c r="E507" s="41"/>
      <c r="F507" s="41"/>
      <c r="G507" s="41"/>
      <c r="H507" s="41"/>
      <c r="I507" s="42"/>
      <c r="J507" s="41"/>
      <c r="K507" s="41"/>
      <c r="L507" s="43"/>
    </row>
    <row r="508" spans="2:12" outlineLevel="2">
      <c r="B508" s="40">
        <f t="shared" si="20"/>
        <v>46</v>
      </c>
      <c r="C508" s="41" t="s">
        <v>8</v>
      </c>
      <c r="D508" s="41"/>
      <c r="E508" s="41"/>
      <c r="F508" s="41"/>
      <c r="G508" s="41"/>
      <c r="H508" s="41"/>
      <c r="I508" s="42"/>
      <c r="J508" s="41"/>
      <c r="K508" s="41"/>
      <c r="L508" s="43"/>
    </row>
    <row r="509" spans="2:12" outlineLevel="2">
      <c r="B509" s="40">
        <f t="shared" si="20"/>
        <v>47</v>
      </c>
      <c r="C509" s="41" t="s">
        <v>8</v>
      </c>
      <c r="D509" s="41"/>
      <c r="E509" s="41"/>
      <c r="F509" s="41"/>
      <c r="G509" s="41"/>
      <c r="H509" s="41"/>
      <c r="I509" s="42"/>
      <c r="J509" s="41"/>
      <c r="K509" s="41"/>
      <c r="L509" s="43"/>
    </row>
    <row r="510" spans="2:12" outlineLevel="2">
      <c r="B510" s="40">
        <f t="shared" si="20"/>
        <v>48</v>
      </c>
      <c r="C510" s="41" t="s">
        <v>8</v>
      </c>
      <c r="D510" s="41"/>
      <c r="E510" s="41"/>
      <c r="F510" s="41"/>
      <c r="G510" s="41"/>
      <c r="H510" s="41"/>
      <c r="I510" s="42"/>
      <c r="J510" s="41"/>
      <c r="K510" s="41"/>
      <c r="L510" s="43"/>
    </row>
    <row r="511" spans="2:12" outlineLevel="2">
      <c r="B511" s="40">
        <f t="shared" si="20"/>
        <v>49</v>
      </c>
      <c r="C511" s="41" t="s">
        <v>8</v>
      </c>
      <c r="D511" s="41"/>
      <c r="E511" s="41"/>
      <c r="F511" s="41"/>
      <c r="G511" s="41"/>
      <c r="H511" s="41"/>
      <c r="I511" s="42"/>
      <c r="J511" s="41"/>
      <c r="K511" s="41"/>
      <c r="L511" s="43"/>
    </row>
    <row r="512" spans="2:12" outlineLevel="2">
      <c r="B512" s="40">
        <f t="shared" si="20"/>
        <v>50</v>
      </c>
      <c r="C512" s="41" t="s">
        <v>8</v>
      </c>
      <c r="D512" s="41"/>
      <c r="E512" s="41"/>
      <c r="F512" s="41"/>
      <c r="G512" s="41"/>
      <c r="H512" s="41"/>
      <c r="I512" s="42"/>
      <c r="J512" s="41"/>
      <c r="K512" s="41"/>
      <c r="L512" s="43"/>
    </row>
    <row r="513" spans="2:12" outlineLevel="2">
      <c r="B513" s="40">
        <f t="shared" si="20"/>
        <v>51</v>
      </c>
      <c r="C513" s="41" t="s">
        <v>8</v>
      </c>
      <c r="D513" s="41"/>
      <c r="E513" s="41"/>
      <c r="F513" s="41"/>
      <c r="G513" s="41"/>
      <c r="H513" s="41"/>
      <c r="I513" s="42"/>
      <c r="J513" s="41"/>
      <c r="K513" s="41"/>
      <c r="L513" s="43"/>
    </row>
    <row r="514" spans="2:12" outlineLevel="2">
      <c r="B514" s="40">
        <f t="shared" si="20"/>
        <v>52</v>
      </c>
      <c r="C514" s="41" t="s">
        <v>8</v>
      </c>
      <c r="D514" s="41"/>
      <c r="E514" s="41"/>
      <c r="F514" s="41"/>
      <c r="G514" s="41"/>
      <c r="H514" s="41"/>
      <c r="I514" s="42"/>
      <c r="J514" s="41"/>
      <c r="K514" s="41"/>
      <c r="L514" s="43"/>
    </row>
    <row r="515" spans="2:12" outlineLevel="2">
      <c r="B515" s="40">
        <f t="shared" si="20"/>
        <v>53</v>
      </c>
      <c r="C515" s="41" t="s">
        <v>8</v>
      </c>
      <c r="D515" s="41"/>
      <c r="E515" s="41"/>
      <c r="F515" s="41"/>
      <c r="G515" s="41"/>
      <c r="H515" s="41"/>
      <c r="I515" s="42"/>
      <c r="J515" s="41"/>
      <c r="K515" s="41"/>
      <c r="L515" s="43"/>
    </row>
    <row r="516" spans="2:12" outlineLevel="2">
      <c r="B516" s="40">
        <f t="shared" si="20"/>
        <v>54</v>
      </c>
      <c r="C516" s="41" t="s">
        <v>8</v>
      </c>
      <c r="D516" s="41"/>
      <c r="E516" s="41"/>
      <c r="F516" s="41"/>
      <c r="G516" s="41"/>
      <c r="H516" s="41"/>
      <c r="I516" s="42"/>
      <c r="J516" s="41"/>
      <c r="K516" s="41"/>
      <c r="L516" s="43"/>
    </row>
    <row r="517" spans="2:12" outlineLevel="2">
      <c r="B517" s="40">
        <f t="shared" si="20"/>
        <v>55</v>
      </c>
      <c r="C517" s="41" t="s">
        <v>8</v>
      </c>
      <c r="D517" s="41"/>
      <c r="E517" s="41"/>
      <c r="F517" s="41"/>
      <c r="G517" s="41"/>
      <c r="H517" s="41"/>
      <c r="I517" s="42"/>
      <c r="J517" s="41"/>
      <c r="K517" s="41"/>
      <c r="L517" s="43"/>
    </row>
    <row r="518" spans="2:12" outlineLevel="2">
      <c r="B518" s="40">
        <f t="shared" si="20"/>
        <v>56</v>
      </c>
      <c r="C518" s="41" t="s">
        <v>8</v>
      </c>
      <c r="D518" s="41"/>
      <c r="E518" s="41"/>
      <c r="F518" s="41"/>
      <c r="G518" s="41"/>
      <c r="H518" s="41"/>
      <c r="I518" s="42"/>
      <c r="J518" s="41"/>
      <c r="K518" s="41"/>
      <c r="L518" s="43"/>
    </row>
    <row r="519" spans="2:12" outlineLevel="2">
      <c r="B519" s="40">
        <f t="shared" si="20"/>
        <v>57</v>
      </c>
      <c r="C519" s="41" t="s">
        <v>8</v>
      </c>
      <c r="D519" s="41"/>
      <c r="E519" s="41"/>
      <c r="F519" s="41"/>
      <c r="G519" s="41"/>
      <c r="H519" s="41"/>
      <c r="I519" s="42"/>
      <c r="J519" s="41"/>
      <c r="K519" s="41"/>
      <c r="L519" s="43"/>
    </row>
    <row r="520" spans="2:12" outlineLevel="2">
      <c r="B520" s="40">
        <f t="shared" si="20"/>
        <v>58</v>
      </c>
      <c r="C520" s="41" t="s">
        <v>8</v>
      </c>
      <c r="D520" s="41"/>
      <c r="E520" s="41"/>
      <c r="F520" s="41"/>
      <c r="G520" s="41"/>
      <c r="H520" s="41"/>
      <c r="I520" s="42"/>
      <c r="J520" s="41"/>
      <c r="K520" s="41"/>
      <c r="L520" s="43"/>
    </row>
    <row r="521" spans="2:12" outlineLevel="2">
      <c r="B521" s="40">
        <f t="shared" si="20"/>
        <v>59</v>
      </c>
      <c r="C521" s="41" t="s">
        <v>8</v>
      </c>
      <c r="D521" s="41"/>
      <c r="E521" s="41"/>
      <c r="F521" s="41"/>
      <c r="G521" s="41"/>
      <c r="H521" s="41"/>
      <c r="I521" s="42"/>
      <c r="J521" s="41"/>
      <c r="K521" s="41"/>
      <c r="L521" s="43"/>
    </row>
    <row r="522" spans="2:12" outlineLevel="2">
      <c r="B522" s="40">
        <f t="shared" si="20"/>
        <v>60</v>
      </c>
      <c r="C522" s="41" t="s">
        <v>8</v>
      </c>
      <c r="D522" s="41"/>
      <c r="E522" s="41"/>
      <c r="F522" s="41"/>
      <c r="G522" s="41"/>
      <c r="H522" s="41"/>
      <c r="I522" s="42"/>
      <c r="J522" s="41"/>
      <c r="K522" s="41"/>
      <c r="L522" s="43"/>
    </row>
    <row r="523" spans="2:12" outlineLevel="2">
      <c r="B523" s="40">
        <f t="shared" si="20"/>
        <v>61</v>
      </c>
      <c r="C523" s="41" t="s">
        <v>8</v>
      </c>
      <c r="D523" s="41"/>
      <c r="E523" s="41"/>
      <c r="F523" s="41"/>
      <c r="G523" s="41"/>
      <c r="H523" s="41"/>
      <c r="I523" s="42"/>
      <c r="J523" s="41"/>
      <c r="K523" s="41"/>
      <c r="L523" s="43"/>
    </row>
    <row r="524" spans="2:12" outlineLevel="2">
      <c r="B524" s="40">
        <f t="shared" si="20"/>
        <v>62</v>
      </c>
      <c r="C524" s="41" t="s">
        <v>8</v>
      </c>
      <c r="D524" s="41"/>
      <c r="E524" s="41"/>
      <c r="F524" s="41"/>
      <c r="G524" s="41"/>
      <c r="H524" s="41"/>
      <c r="I524" s="42"/>
      <c r="J524" s="41"/>
      <c r="K524" s="41"/>
      <c r="L524" s="43"/>
    </row>
    <row r="525" spans="2:12" outlineLevel="2">
      <c r="B525" s="40">
        <f t="shared" si="20"/>
        <v>63</v>
      </c>
      <c r="C525" s="41" t="s">
        <v>8</v>
      </c>
      <c r="D525" s="41"/>
      <c r="E525" s="41"/>
      <c r="F525" s="41"/>
      <c r="G525" s="41"/>
      <c r="H525" s="41"/>
      <c r="I525" s="42"/>
      <c r="J525" s="41"/>
      <c r="K525" s="41"/>
      <c r="L525" s="43"/>
    </row>
    <row r="526" spans="2:12" outlineLevel="2">
      <c r="B526" s="40">
        <f t="shared" si="20"/>
        <v>64</v>
      </c>
      <c r="C526" s="41" t="s">
        <v>8</v>
      </c>
      <c r="D526" s="41"/>
      <c r="E526" s="41"/>
      <c r="F526" s="41"/>
      <c r="G526" s="41"/>
      <c r="H526" s="41"/>
      <c r="I526" s="42"/>
      <c r="J526" s="41"/>
      <c r="K526" s="41"/>
      <c r="L526" s="43"/>
    </row>
    <row r="527" spans="2:12" outlineLevel="2">
      <c r="B527" s="40">
        <f t="shared" si="20"/>
        <v>65</v>
      </c>
      <c r="C527" s="41" t="s">
        <v>8</v>
      </c>
      <c r="D527" s="41"/>
      <c r="E527" s="41"/>
      <c r="F527" s="41"/>
      <c r="G527" s="41"/>
      <c r="H527" s="41"/>
      <c r="I527" s="42"/>
      <c r="J527" s="41"/>
      <c r="K527" s="41"/>
      <c r="L527" s="43"/>
    </row>
    <row r="528" spans="2:12" outlineLevel="2">
      <c r="B528" s="40">
        <f t="shared" si="20"/>
        <v>66</v>
      </c>
      <c r="C528" s="41" t="s">
        <v>8</v>
      </c>
      <c r="D528" s="41"/>
      <c r="E528" s="41"/>
      <c r="F528" s="41"/>
      <c r="G528" s="41"/>
      <c r="H528" s="41"/>
      <c r="I528" s="42"/>
      <c r="J528" s="41"/>
      <c r="K528" s="41"/>
      <c r="L528" s="43"/>
    </row>
    <row r="529" spans="2:12" outlineLevel="2">
      <c r="B529" s="40">
        <f t="shared" ref="B529:B592" si="21">ROW(A67)</f>
        <v>67</v>
      </c>
      <c r="C529" s="41" t="s">
        <v>8</v>
      </c>
      <c r="D529" s="41"/>
      <c r="E529" s="41"/>
      <c r="F529" s="41"/>
      <c r="G529" s="41"/>
      <c r="H529" s="41"/>
      <c r="I529" s="42"/>
      <c r="J529" s="41"/>
      <c r="K529" s="41"/>
      <c r="L529" s="43"/>
    </row>
    <row r="530" spans="2:12" outlineLevel="2">
      <c r="B530" s="40">
        <f t="shared" si="21"/>
        <v>68</v>
      </c>
      <c r="C530" s="41" t="s">
        <v>8</v>
      </c>
      <c r="D530" s="41"/>
      <c r="E530" s="41"/>
      <c r="F530" s="41"/>
      <c r="G530" s="41"/>
      <c r="H530" s="41"/>
      <c r="I530" s="42"/>
      <c r="J530" s="41"/>
      <c r="K530" s="41"/>
      <c r="L530" s="43"/>
    </row>
    <row r="531" spans="2:12" outlineLevel="2">
      <c r="B531" s="40">
        <f t="shared" si="21"/>
        <v>69</v>
      </c>
      <c r="C531" s="41" t="s">
        <v>8</v>
      </c>
      <c r="D531" s="41"/>
      <c r="E531" s="41"/>
      <c r="F531" s="41"/>
      <c r="G531" s="41"/>
      <c r="H531" s="41"/>
      <c r="I531" s="42"/>
      <c r="J531" s="41"/>
      <c r="K531" s="41"/>
      <c r="L531" s="43"/>
    </row>
    <row r="532" spans="2:12" outlineLevel="2">
      <c r="B532" s="40">
        <f t="shared" si="21"/>
        <v>70</v>
      </c>
      <c r="C532" s="41" t="s">
        <v>8</v>
      </c>
      <c r="D532" s="41"/>
      <c r="E532" s="41"/>
      <c r="F532" s="41"/>
      <c r="G532" s="41"/>
      <c r="H532" s="41"/>
      <c r="I532" s="42"/>
      <c r="J532" s="41"/>
      <c r="K532" s="41"/>
      <c r="L532" s="43"/>
    </row>
    <row r="533" spans="2:12" outlineLevel="2">
      <c r="B533" s="40">
        <f t="shared" si="21"/>
        <v>71</v>
      </c>
      <c r="C533" s="41" t="s">
        <v>8</v>
      </c>
      <c r="D533" s="41"/>
      <c r="E533" s="41"/>
      <c r="F533" s="41"/>
      <c r="G533" s="41"/>
      <c r="H533" s="41"/>
      <c r="I533" s="42"/>
      <c r="J533" s="41"/>
      <c r="K533" s="41"/>
      <c r="L533" s="43"/>
    </row>
    <row r="534" spans="2:12" outlineLevel="2">
      <c r="B534" s="40">
        <f t="shared" si="21"/>
        <v>72</v>
      </c>
      <c r="C534" s="41" t="s">
        <v>8</v>
      </c>
      <c r="D534" s="41"/>
      <c r="E534" s="41"/>
      <c r="F534" s="41"/>
      <c r="G534" s="41"/>
      <c r="H534" s="41"/>
      <c r="I534" s="42"/>
      <c r="J534" s="41"/>
      <c r="K534" s="41"/>
      <c r="L534" s="43"/>
    </row>
    <row r="535" spans="2:12" outlineLevel="2">
      <c r="B535" s="40">
        <f t="shared" si="21"/>
        <v>73</v>
      </c>
      <c r="C535" s="41" t="s">
        <v>8</v>
      </c>
      <c r="D535" s="41"/>
      <c r="E535" s="41"/>
      <c r="F535" s="41"/>
      <c r="G535" s="41"/>
      <c r="H535" s="41"/>
      <c r="I535" s="42"/>
      <c r="J535" s="41"/>
      <c r="K535" s="41"/>
      <c r="L535" s="43"/>
    </row>
    <row r="536" spans="2:12" outlineLevel="2">
      <c r="B536" s="40">
        <f t="shared" si="21"/>
        <v>74</v>
      </c>
      <c r="C536" s="41" t="s">
        <v>8</v>
      </c>
      <c r="D536" s="41"/>
      <c r="E536" s="41"/>
      <c r="F536" s="41"/>
      <c r="G536" s="41"/>
      <c r="H536" s="41"/>
      <c r="I536" s="42"/>
      <c r="J536" s="41"/>
      <c r="K536" s="41"/>
      <c r="L536" s="43"/>
    </row>
    <row r="537" spans="2:12" outlineLevel="2">
      <c r="B537" s="40">
        <f t="shared" si="21"/>
        <v>75</v>
      </c>
      <c r="C537" s="41" t="s">
        <v>8</v>
      </c>
      <c r="D537" s="41"/>
      <c r="E537" s="41"/>
      <c r="F537" s="41"/>
      <c r="G537" s="41"/>
      <c r="H537" s="41"/>
      <c r="I537" s="42"/>
      <c r="J537" s="41"/>
      <c r="K537" s="41"/>
      <c r="L537" s="43"/>
    </row>
    <row r="538" spans="2:12" outlineLevel="2">
      <c r="B538" s="40">
        <f t="shared" si="21"/>
        <v>76</v>
      </c>
      <c r="C538" s="41" t="s">
        <v>8</v>
      </c>
      <c r="D538" s="41"/>
      <c r="E538" s="41"/>
      <c r="F538" s="41"/>
      <c r="G538" s="41"/>
      <c r="H538" s="41"/>
      <c r="I538" s="42"/>
      <c r="J538" s="41"/>
      <c r="K538" s="41"/>
      <c r="L538" s="43"/>
    </row>
    <row r="539" spans="2:12" outlineLevel="2">
      <c r="B539" s="40">
        <f t="shared" si="21"/>
        <v>77</v>
      </c>
      <c r="C539" s="41" t="s">
        <v>8</v>
      </c>
      <c r="D539" s="41"/>
      <c r="E539" s="41"/>
      <c r="F539" s="41"/>
      <c r="G539" s="41"/>
      <c r="H539" s="41"/>
      <c r="I539" s="42"/>
      <c r="J539" s="41"/>
      <c r="K539" s="41"/>
      <c r="L539" s="43"/>
    </row>
    <row r="540" spans="2:12" outlineLevel="2">
      <c r="B540" s="40">
        <f t="shared" si="21"/>
        <v>78</v>
      </c>
      <c r="C540" s="41" t="s">
        <v>8</v>
      </c>
      <c r="D540" s="41"/>
      <c r="E540" s="41"/>
      <c r="F540" s="41"/>
      <c r="G540" s="41"/>
      <c r="H540" s="41"/>
      <c r="I540" s="42"/>
      <c r="J540" s="41"/>
      <c r="K540" s="41"/>
      <c r="L540" s="43"/>
    </row>
    <row r="541" spans="2:12" outlineLevel="2">
      <c r="B541" s="40">
        <f t="shared" si="21"/>
        <v>79</v>
      </c>
      <c r="C541" s="41" t="s">
        <v>8</v>
      </c>
      <c r="D541" s="41"/>
      <c r="E541" s="41"/>
      <c r="F541" s="41"/>
      <c r="G541" s="41"/>
      <c r="H541" s="41"/>
      <c r="I541" s="42"/>
      <c r="J541" s="41"/>
      <c r="K541" s="41"/>
      <c r="L541" s="43"/>
    </row>
    <row r="542" spans="2:12" outlineLevel="2">
      <c r="B542" s="40">
        <f t="shared" si="21"/>
        <v>80</v>
      </c>
      <c r="C542" s="41" t="s">
        <v>8</v>
      </c>
      <c r="D542" s="41"/>
      <c r="E542" s="41"/>
      <c r="F542" s="41"/>
      <c r="G542" s="41"/>
      <c r="H542" s="41"/>
      <c r="I542" s="42"/>
      <c r="J542" s="41"/>
      <c r="K542" s="41"/>
      <c r="L542" s="43"/>
    </row>
    <row r="543" spans="2:12" outlineLevel="2">
      <c r="B543" s="40">
        <f t="shared" si="21"/>
        <v>81</v>
      </c>
      <c r="C543" s="41" t="s">
        <v>8</v>
      </c>
      <c r="D543" s="41"/>
      <c r="E543" s="41"/>
      <c r="F543" s="41"/>
      <c r="G543" s="41"/>
      <c r="H543" s="41"/>
      <c r="I543" s="42"/>
      <c r="J543" s="41"/>
      <c r="K543" s="41"/>
      <c r="L543" s="43"/>
    </row>
    <row r="544" spans="2:12" outlineLevel="2">
      <c r="B544" s="40">
        <f t="shared" si="21"/>
        <v>82</v>
      </c>
      <c r="C544" s="41" t="s">
        <v>8</v>
      </c>
      <c r="D544" s="41"/>
      <c r="E544" s="41"/>
      <c r="F544" s="41"/>
      <c r="G544" s="41"/>
      <c r="H544" s="41"/>
      <c r="I544" s="42"/>
      <c r="J544" s="41"/>
      <c r="K544" s="41"/>
      <c r="L544" s="43"/>
    </row>
    <row r="545" spans="2:12" outlineLevel="2">
      <c r="B545" s="40">
        <f t="shared" si="21"/>
        <v>83</v>
      </c>
      <c r="C545" s="41" t="s">
        <v>8</v>
      </c>
      <c r="D545" s="41"/>
      <c r="E545" s="41"/>
      <c r="F545" s="41"/>
      <c r="G545" s="41"/>
      <c r="H545" s="41"/>
      <c r="I545" s="42"/>
      <c r="J545" s="41"/>
      <c r="K545" s="41"/>
      <c r="L545" s="43"/>
    </row>
    <row r="546" spans="2:12" outlineLevel="2">
      <c r="B546" s="40">
        <f t="shared" si="21"/>
        <v>84</v>
      </c>
      <c r="C546" s="41" t="s">
        <v>8</v>
      </c>
      <c r="D546" s="41"/>
      <c r="E546" s="41"/>
      <c r="F546" s="41"/>
      <c r="G546" s="41"/>
      <c r="H546" s="41"/>
      <c r="I546" s="42"/>
      <c r="J546" s="41"/>
      <c r="K546" s="41"/>
      <c r="L546" s="43"/>
    </row>
    <row r="547" spans="2:12" outlineLevel="2">
      <c r="B547" s="40">
        <f t="shared" si="21"/>
        <v>85</v>
      </c>
      <c r="C547" s="41" t="s">
        <v>8</v>
      </c>
      <c r="D547" s="41"/>
      <c r="E547" s="41"/>
      <c r="F547" s="41"/>
      <c r="G547" s="41"/>
      <c r="H547" s="41"/>
      <c r="I547" s="42"/>
      <c r="J547" s="41"/>
      <c r="K547" s="41"/>
      <c r="L547" s="43"/>
    </row>
    <row r="548" spans="2:12" outlineLevel="2">
      <c r="B548" s="40">
        <f t="shared" si="21"/>
        <v>86</v>
      </c>
      <c r="C548" s="41" t="s">
        <v>8</v>
      </c>
      <c r="D548" s="41"/>
      <c r="E548" s="41"/>
      <c r="F548" s="41"/>
      <c r="G548" s="41"/>
      <c r="H548" s="41"/>
      <c r="I548" s="42"/>
      <c r="J548" s="41"/>
      <c r="K548" s="41"/>
      <c r="L548" s="43"/>
    </row>
    <row r="549" spans="2:12" outlineLevel="2">
      <c r="B549" s="40">
        <f t="shared" si="21"/>
        <v>87</v>
      </c>
      <c r="C549" s="41" t="s">
        <v>8</v>
      </c>
      <c r="D549" s="41"/>
      <c r="E549" s="41"/>
      <c r="F549" s="41"/>
      <c r="G549" s="41"/>
      <c r="H549" s="41"/>
      <c r="I549" s="42"/>
      <c r="J549" s="41"/>
      <c r="K549" s="41"/>
      <c r="L549" s="43"/>
    </row>
    <row r="550" spans="2:12" outlineLevel="2">
      <c r="B550" s="40">
        <f t="shared" si="21"/>
        <v>88</v>
      </c>
      <c r="C550" s="41" t="s">
        <v>8</v>
      </c>
      <c r="D550" s="41"/>
      <c r="E550" s="41"/>
      <c r="F550" s="41"/>
      <c r="G550" s="41"/>
      <c r="H550" s="41"/>
      <c r="I550" s="42"/>
      <c r="J550" s="41"/>
      <c r="K550" s="41"/>
      <c r="L550" s="43"/>
    </row>
    <row r="551" spans="2:12" outlineLevel="2">
      <c r="B551" s="40">
        <f t="shared" si="21"/>
        <v>89</v>
      </c>
      <c r="C551" s="41" t="s">
        <v>8</v>
      </c>
      <c r="D551" s="41"/>
      <c r="E551" s="41"/>
      <c r="F551" s="41"/>
      <c r="G551" s="41"/>
      <c r="H551" s="41"/>
      <c r="I551" s="42"/>
      <c r="J551" s="41"/>
      <c r="K551" s="41"/>
      <c r="L551" s="43"/>
    </row>
    <row r="552" spans="2:12" outlineLevel="2">
      <c r="B552" s="40">
        <f t="shared" si="21"/>
        <v>90</v>
      </c>
      <c r="C552" s="41" t="s">
        <v>8</v>
      </c>
      <c r="D552" s="41"/>
      <c r="E552" s="41"/>
      <c r="F552" s="41"/>
      <c r="G552" s="41"/>
      <c r="H552" s="41"/>
      <c r="I552" s="42"/>
      <c r="J552" s="41"/>
      <c r="K552" s="41"/>
      <c r="L552" s="43"/>
    </row>
    <row r="553" spans="2:12" outlineLevel="2">
      <c r="B553" s="40">
        <f t="shared" si="21"/>
        <v>91</v>
      </c>
      <c r="C553" s="41" t="s">
        <v>8</v>
      </c>
      <c r="D553" s="41"/>
      <c r="E553" s="41"/>
      <c r="F553" s="41"/>
      <c r="G553" s="41"/>
      <c r="H553" s="41"/>
      <c r="I553" s="42"/>
      <c r="J553" s="41"/>
      <c r="K553" s="41"/>
      <c r="L553" s="43"/>
    </row>
    <row r="554" spans="2:12" outlineLevel="2">
      <c r="B554" s="40">
        <f t="shared" si="21"/>
        <v>92</v>
      </c>
      <c r="C554" s="41" t="s">
        <v>8</v>
      </c>
      <c r="D554" s="41"/>
      <c r="E554" s="41"/>
      <c r="F554" s="41"/>
      <c r="G554" s="41"/>
      <c r="H554" s="41"/>
      <c r="I554" s="42"/>
      <c r="J554" s="41"/>
      <c r="K554" s="41"/>
      <c r="L554" s="43"/>
    </row>
    <row r="555" spans="2:12" outlineLevel="2">
      <c r="B555" s="40">
        <f t="shared" si="21"/>
        <v>93</v>
      </c>
      <c r="C555" s="41" t="s">
        <v>8</v>
      </c>
      <c r="D555" s="41"/>
      <c r="E555" s="41"/>
      <c r="F555" s="41"/>
      <c r="G555" s="41"/>
      <c r="H555" s="41"/>
      <c r="I555" s="42"/>
      <c r="J555" s="41"/>
      <c r="K555" s="41"/>
      <c r="L555" s="43"/>
    </row>
    <row r="556" spans="2:12" outlineLevel="2">
      <c r="B556" s="40">
        <f t="shared" si="21"/>
        <v>94</v>
      </c>
      <c r="C556" s="41" t="s">
        <v>8</v>
      </c>
      <c r="D556" s="41"/>
      <c r="E556" s="41"/>
      <c r="F556" s="41"/>
      <c r="G556" s="41"/>
      <c r="H556" s="41"/>
      <c r="I556" s="42"/>
      <c r="J556" s="41"/>
      <c r="K556" s="41"/>
      <c r="L556" s="43"/>
    </row>
    <row r="557" spans="2:12" outlineLevel="2">
      <c r="B557" s="40">
        <f t="shared" si="21"/>
        <v>95</v>
      </c>
      <c r="C557" s="41" t="s">
        <v>8</v>
      </c>
      <c r="D557" s="41"/>
      <c r="E557" s="41"/>
      <c r="F557" s="41"/>
      <c r="G557" s="41"/>
      <c r="H557" s="41"/>
      <c r="I557" s="42"/>
      <c r="J557" s="41"/>
      <c r="K557" s="41"/>
      <c r="L557" s="43"/>
    </row>
    <row r="558" spans="2:12" outlineLevel="2">
      <c r="B558" s="40">
        <f t="shared" si="21"/>
        <v>96</v>
      </c>
      <c r="C558" s="41" t="s">
        <v>8</v>
      </c>
      <c r="D558" s="41"/>
      <c r="E558" s="41"/>
      <c r="F558" s="41"/>
      <c r="G558" s="41"/>
      <c r="H558" s="41"/>
      <c r="I558" s="42"/>
      <c r="J558" s="41"/>
      <c r="K558" s="41"/>
      <c r="L558" s="43"/>
    </row>
    <row r="559" spans="2:12" outlineLevel="2">
      <c r="B559" s="40">
        <f t="shared" si="21"/>
        <v>97</v>
      </c>
      <c r="C559" s="41" t="s">
        <v>8</v>
      </c>
      <c r="D559" s="41"/>
      <c r="E559" s="41"/>
      <c r="F559" s="41"/>
      <c r="G559" s="41"/>
      <c r="H559" s="41"/>
      <c r="I559" s="42"/>
      <c r="J559" s="41"/>
      <c r="K559" s="41"/>
      <c r="L559" s="43"/>
    </row>
    <row r="560" spans="2:12" outlineLevel="2">
      <c r="B560" s="40">
        <f t="shared" si="21"/>
        <v>98</v>
      </c>
      <c r="C560" s="41" t="s">
        <v>8</v>
      </c>
      <c r="D560" s="41"/>
      <c r="E560" s="41"/>
      <c r="F560" s="41"/>
      <c r="G560" s="41"/>
      <c r="H560" s="41"/>
      <c r="I560" s="42"/>
      <c r="J560" s="41"/>
      <c r="K560" s="41"/>
      <c r="L560" s="43"/>
    </row>
    <row r="561" spans="2:12" outlineLevel="2">
      <c r="B561" s="40">
        <f t="shared" si="21"/>
        <v>99</v>
      </c>
      <c r="C561" s="41" t="s">
        <v>8</v>
      </c>
      <c r="D561" s="41"/>
      <c r="E561" s="41"/>
      <c r="F561" s="41"/>
      <c r="G561" s="41"/>
      <c r="H561" s="41"/>
      <c r="I561" s="42"/>
      <c r="J561" s="41"/>
      <c r="K561" s="41"/>
      <c r="L561" s="43"/>
    </row>
    <row r="562" spans="2:12" outlineLevel="2">
      <c r="B562" s="40">
        <f t="shared" si="21"/>
        <v>100</v>
      </c>
      <c r="C562" s="41" t="s">
        <v>8</v>
      </c>
      <c r="D562" s="41"/>
      <c r="E562" s="41"/>
      <c r="F562" s="41"/>
      <c r="G562" s="41"/>
      <c r="H562" s="41"/>
      <c r="I562" s="42"/>
      <c r="J562" s="41"/>
      <c r="K562" s="41"/>
      <c r="L562" s="43"/>
    </row>
    <row r="563" spans="2:12" outlineLevel="2">
      <c r="B563" s="40">
        <f t="shared" si="21"/>
        <v>101</v>
      </c>
      <c r="C563" s="41" t="s">
        <v>8</v>
      </c>
      <c r="D563" s="41"/>
      <c r="E563" s="41"/>
      <c r="F563" s="41"/>
      <c r="G563" s="41"/>
      <c r="H563" s="41"/>
      <c r="I563" s="42"/>
      <c r="J563" s="41"/>
      <c r="K563" s="41"/>
      <c r="L563" s="43"/>
    </row>
    <row r="564" spans="2:12" outlineLevel="2">
      <c r="B564" s="40">
        <f t="shared" si="21"/>
        <v>102</v>
      </c>
      <c r="C564" s="41" t="s">
        <v>8</v>
      </c>
      <c r="D564" s="41"/>
      <c r="E564" s="41"/>
      <c r="F564" s="41"/>
      <c r="G564" s="41"/>
      <c r="H564" s="41"/>
      <c r="I564" s="42"/>
      <c r="J564" s="41"/>
      <c r="K564" s="41"/>
      <c r="L564" s="43"/>
    </row>
    <row r="565" spans="2:12" outlineLevel="2">
      <c r="B565" s="40">
        <f t="shared" si="21"/>
        <v>103</v>
      </c>
      <c r="C565" s="41" t="s">
        <v>8</v>
      </c>
      <c r="D565" s="41"/>
      <c r="E565" s="41"/>
      <c r="F565" s="41"/>
      <c r="G565" s="41"/>
      <c r="H565" s="41"/>
      <c r="I565" s="42"/>
      <c r="J565" s="41"/>
      <c r="K565" s="41"/>
      <c r="L565" s="43"/>
    </row>
    <row r="566" spans="2:12" outlineLevel="2">
      <c r="B566" s="40">
        <f t="shared" si="21"/>
        <v>104</v>
      </c>
      <c r="C566" s="41" t="s">
        <v>8</v>
      </c>
      <c r="D566" s="41"/>
      <c r="E566" s="41"/>
      <c r="F566" s="41"/>
      <c r="G566" s="41"/>
      <c r="H566" s="41"/>
      <c r="I566" s="42"/>
      <c r="J566" s="41"/>
      <c r="K566" s="41"/>
      <c r="L566" s="43"/>
    </row>
    <row r="567" spans="2:12" outlineLevel="2">
      <c r="B567" s="40">
        <f t="shared" si="21"/>
        <v>105</v>
      </c>
      <c r="C567" s="41" t="s">
        <v>8</v>
      </c>
      <c r="D567" s="41"/>
      <c r="E567" s="41"/>
      <c r="F567" s="41"/>
      <c r="G567" s="41"/>
      <c r="H567" s="41"/>
      <c r="I567" s="42"/>
      <c r="J567" s="41"/>
      <c r="K567" s="41"/>
      <c r="L567" s="43"/>
    </row>
    <row r="568" spans="2:12" outlineLevel="2">
      <c r="B568" s="40">
        <f t="shared" si="21"/>
        <v>106</v>
      </c>
      <c r="C568" s="41" t="s">
        <v>8</v>
      </c>
      <c r="D568" s="41"/>
      <c r="E568" s="41"/>
      <c r="F568" s="41"/>
      <c r="G568" s="41"/>
      <c r="H568" s="41"/>
      <c r="I568" s="42"/>
      <c r="J568" s="41"/>
      <c r="K568" s="41"/>
      <c r="L568" s="43"/>
    </row>
    <row r="569" spans="2:12" outlineLevel="2">
      <c r="B569" s="40">
        <f t="shared" si="21"/>
        <v>107</v>
      </c>
      <c r="C569" s="41" t="s">
        <v>8</v>
      </c>
      <c r="D569" s="41"/>
      <c r="E569" s="41"/>
      <c r="F569" s="41"/>
      <c r="G569" s="41"/>
      <c r="H569" s="41"/>
      <c r="I569" s="42"/>
      <c r="J569" s="41"/>
      <c r="K569" s="41"/>
      <c r="L569" s="43"/>
    </row>
    <row r="570" spans="2:12" outlineLevel="2">
      <c r="B570" s="40">
        <f t="shared" si="21"/>
        <v>108</v>
      </c>
      <c r="C570" s="41" t="s">
        <v>8</v>
      </c>
      <c r="D570" s="41"/>
      <c r="E570" s="41"/>
      <c r="F570" s="41"/>
      <c r="G570" s="41"/>
      <c r="H570" s="41"/>
      <c r="I570" s="42"/>
      <c r="J570" s="41"/>
      <c r="K570" s="41"/>
      <c r="L570" s="43"/>
    </row>
    <row r="571" spans="2:12" outlineLevel="2">
      <c r="B571" s="40">
        <f t="shared" si="21"/>
        <v>109</v>
      </c>
      <c r="C571" s="41" t="s">
        <v>8</v>
      </c>
      <c r="D571" s="41"/>
      <c r="E571" s="41"/>
      <c r="F571" s="41"/>
      <c r="G571" s="41"/>
      <c r="H571" s="41"/>
      <c r="I571" s="42"/>
      <c r="J571" s="41"/>
      <c r="K571" s="41"/>
      <c r="L571" s="43"/>
    </row>
    <row r="572" spans="2:12" outlineLevel="2">
      <c r="B572" s="40">
        <f t="shared" si="21"/>
        <v>110</v>
      </c>
      <c r="C572" s="41" t="s">
        <v>8</v>
      </c>
      <c r="D572" s="41"/>
      <c r="E572" s="41"/>
      <c r="F572" s="41"/>
      <c r="G572" s="41"/>
      <c r="H572" s="41"/>
      <c r="I572" s="42"/>
      <c r="J572" s="41"/>
      <c r="K572" s="41"/>
      <c r="L572" s="43"/>
    </row>
    <row r="573" spans="2:12" outlineLevel="2">
      <c r="B573" s="40">
        <f t="shared" si="21"/>
        <v>111</v>
      </c>
      <c r="C573" s="41" t="s">
        <v>8</v>
      </c>
      <c r="D573" s="41"/>
      <c r="E573" s="41"/>
      <c r="F573" s="41"/>
      <c r="G573" s="41"/>
      <c r="H573" s="41"/>
      <c r="I573" s="42"/>
      <c r="J573" s="41"/>
      <c r="K573" s="41"/>
      <c r="L573" s="43"/>
    </row>
    <row r="574" spans="2:12" outlineLevel="2">
      <c r="B574" s="40">
        <f t="shared" si="21"/>
        <v>112</v>
      </c>
      <c r="C574" s="41" t="s">
        <v>8</v>
      </c>
      <c r="D574" s="41"/>
      <c r="E574" s="41"/>
      <c r="F574" s="41"/>
      <c r="G574" s="41"/>
      <c r="H574" s="41"/>
      <c r="I574" s="42"/>
      <c r="J574" s="41"/>
      <c r="K574" s="41"/>
      <c r="L574" s="43"/>
    </row>
    <row r="575" spans="2:12" outlineLevel="2">
      <c r="B575" s="40">
        <f t="shared" si="21"/>
        <v>113</v>
      </c>
      <c r="C575" s="41" t="s">
        <v>8</v>
      </c>
      <c r="D575" s="41"/>
      <c r="E575" s="41"/>
      <c r="F575" s="41"/>
      <c r="G575" s="41"/>
      <c r="H575" s="41"/>
      <c r="I575" s="42"/>
      <c r="J575" s="41"/>
      <c r="K575" s="41"/>
      <c r="L575" s="43"/>
    </row>
    <row r="576" spans="2:12" outlineLevel="2">
      <c r="B576" s="40">
        <f t="shared" si="21"/>
        <v>114</v>
      </c>
      <c r="C576" s="41" t="s">
        <v>8</v>
      </c>
      <c r="D576" s="41"/>
      <c r="E576" s="41"/>
      <c r="F576" s="41"/>
      <c r="G576" s="41"/>
      <c r="H576" s="41"/>
      <c r="I576" s="42"/>
      <c r="J576" s="41"/>
      <c r="K576" s="41"/>
      <c r="L576" s="43"/>
    </row>
    <row r="577" spans="2:12" outlineLevel="2">
      <c r="B577" s="40">
        <f t="shared" si="21"/>
        <v>115</v>
      </c>
      <c r="C577" s="41" t="s">
        <v>8</v>
      </c>
      <c r="D577" s="41"/>
      <c r="E577" s="41"/>
      <c r="F577" s="41"/>
      <c r="G577" s="41"/>
      <c r="H577" s="41"/>
      <c r="I577" s="42"/>
      <c r="J577" s="41"/>
      <c r="K577" s="41"/>
      <c r="L577" s="43"/>
    </row>
    <row r="578" spans="2:12" outlineLevel="2">
      <c r="B578" s="40">
        <f t="shared" si="21"/>
        <v>116</v>
      </c>
      <c r="C578" s="41" t="s">
        <v>8</v>
      </c>
      <c r="D578" s="41"/>
      <c r="E578" s="41"/>
      <c r="F578" s="41"/>
      <c r="G578" s="41"/>
      <c r="H578" s="41"/>
      <c r="I578" s="42"/>
      <c r="J578" s="41"/>
      <c r="K578" s="41"/>
      <c r="L578" s="43"/>
    </row>
    <row r="579" spans="2:12" outlineLevel="2">
      <c r="B579" s="40">
        <f t="shared" si="21"/>
        <v>117</v>
      </c>
      <c r="C579" s="41" t="s">
        <v>8</v>
      </c>
      <c r="D579" s="41"/>
      <c r="E579" s="41"/>
      <c r="F579" s="41"/>
      <c r="G579" s="41"/>
      <c r="H579" s="41"/>
      <c r="I579" s="42"/>
      <c r="J579" s="41"/>
      <c r="K579" s="41"/>
      <c r="L579" s="43"/>
    </row>
    <row r="580" spans="2:12" outlineLevel="2">
      <c r="B580" s="40">
        <f t="shared" si="21"/>
        <v>118</v>
      </c>
      <c r="C580" s="41" t="s">
        <v>8</v>
      </c>
      <c r="D580" s="41"/>
      <c r="E580" s="41"/>
      <c r="F580" s="41"/>
      <c r="G580" s="41"/>
      <c r="H580" s="41"/>
      <c r="I580" s="42"/>
      <c r="J580" s="41"/>
      <c r="K580" s="41"/>
      <c r="L580" s="43"/>
    </row>
    <row r="581" spans="2:12" outlineLevel="2">
      <c r="B581" s="40">
        <f t="shared" si="21"/>
        <v>119</v>
      </c>
      <c r="C581" s="41" t="s">
        <v>8</v>
      </c>
      <c r="D581" s="41"/>
      <c r="E581" s="41"/>
      <c r="F581" s="41"/>
      <c r="G581" s="41"/>
      <c r="H581" s="41"/>
      <c r="I581" s="42"/>
      <c r="J581" s="41"/>
      <c r="K581" s="41"/>
      <c r="L581" s="43"/>
    </row>
    <row r="582" spans="2:12" outlineLevel="2">
      <c r="B582" s="40">
        <f t="shared" si="21"/>
        <v>120</v>
      </c>
      <c r="C582" s="41" t="s">
        <v>8</v>
      </c>
      <c r="D582" s="41"/>
      <c r="E582" s="41"/>
      <c r="F582" s="41"/>
      <c r="G582" s="41"/>
      <c r="H582" s="41"/>
      <c r="I582" s="42"/>
      <c r="J582" s="41"/>
      <c r="K582" s="41"/>
      <c r="L582" s="43"/>
    </row>
    <row r="583" spans="2:12" outlineLevel="2">
      <c r="B583" s="40">
        <f t="shared" si="21"/>
        <v>121</v>
      </c>
      <c r="C583" s="41" t="s">
        <v>8</v>
      </c>
      <c r="D583" s="41"/>
      <c r="E583" s="41"/>
      <c r="F583" s="41"/>
      <c r="G583" s="41"/>
      <c r="H583" s="41"/>
      <c r="I583" s="42"/>
      <c r="J583" s="41"/>
      <c r="K583" s="41"/>
      <c r="L583" s="43"/>
    </row>
    <row r="584" spans="2:12" outlineLevel="2">
      <c r="B584" s="40">
        <f t="shared" si="21"/>
        <v>122</v>
      </c>
      <c r="C584" s="41" t="s">
        <v>8</v>
      </c>
      <c r="D584" s="41"/>
      <c r="E584" s="41"/>
      <c r="F584" s="41"/>
      <c r="G584" s="41"/>
      <c r="H584" s="41"/>
      <c r="I584" s="42"/>
      <c r="J584" s="41"/>
      <c r="K584" s="41"/>
      <c r="L584" s="43"/>
    </row>
    <row r="585" spans="2:12" outlineLevel="2">
      <c r="B585" s="40">
        <f t="shared" si="21"/>
        <v>123</v>
      </c>
      <c r="C585" s="41" t="s">
        <v>8</v>
      </c>
      <c r="D585" s="41"/>
      <c r="E585" s="41"/>
      <c r="F585" s="41"/>
      <c r="G585" s="41"/>
      <c r="H585" s="41"/>
      <c r="I585" s="42"/>
      <c r="J585" s="41"/>
      <c r="K585" s="41"/>
      <c r="L585" s="43"/>
    </row>
    <row r="586" spans="2:12" outlineLevel="2">
      <c r="B586" s="40">
        <f t="shared" si="21"/>
        <v>124</v>
      </c>
      <c r="C586" s="41" t="s">
        <v>8</v>
      </c>
      <c r="D586" s="41"/>
      <c r="E586" s="41"/>
      <c r="F586" s="41"/>
      <c r="G586" s="41"/>
      <c r="H586" s="41"/>
      <c r="I586" s="42"/>
      <c r="J586" s="41"/>
      <c r="K586" s="41"/>
      <c r="L586" s="43"/>
    </row>
    <row r="587" spans="2:12" outlineLevel="2">
      <c r="B587" s="40">
        <f t="shared" si="21"/>
        <v>125</v>
      </c>
      <c r="C587" s="41" t="s">
        <v>8</v>
      </c>
      <c r="D587" s="41"/>
      <c r="E587" s="41"/>
      <c r="F587" s="41"/>
      <c r="G587" s="41"/>
      <c r="H587" s="41"/>
      <c r="I587" s="42"/>
      <c r="J587" s="41"/>
      <c r="K587" s="41"/>
      <c r="L587" s="43"/>
    </row>
    <row r="588" spans="2:12" outlineLevel="2">
      <c r="B588" s="40">
        <f t="shared" si="21"/>
        <v>126</v>
      </c>
      <c r="C588" s="41" t="s">
        <v>8</v>
      </c>
      <c r="D588" s="41"/>
      <c r="E588" s="41"/>
      <c r="F588" s="41"/>
      <c r="G588" s="41"/>
      <c r="H588" s="41"/>
      <c r="I588" s="42"/>
      <c r="J588" s="41"/>
      <c r="K588" s="41"/>
      <c r="L588" s="43"/>
    </row>
    <row r="589" spans="2:12" outlineLevel="2">
      <c r="B589" s="40">
        <f t="shared" si="21"/>
        <v>127</v>
      </c>
      <c r="C589" s="41" t="s">
        <v>8</v>
      </c>
      <c r="D589" s="41"/>
      <c r="E589" s="41"/>
      <c r="F589" s="41"/>
      <c r="G589" s="41"/>
      <c r="H589" s="41"/>
      <c r="I589" s="42"/>
      <c r="J589" s="41"/>
      <c r="K589" s="41"/>
      <c r="L589" s="43"/>
    </row>
    <row r="590" spans="2:12" outlineLevel="2">
      <c r="B590" s="40">
        <f t="shared" si="21"/>
        <v>128</v>
      </c>
      <c r="C590" s="41" t="s">
        <v>8</v>
      </c>
      <c r="D590" s="41"/>
      <c r="E590" s="41"/>
      <c r="F590" s="41"/>
      <c r="G590" s="41"/>
      <c r="H590" s="41"/>
      <c r="I590" s="42"/>
      <c r="J590" s="41"/>
      <c r="K590" s="41"/>
      <c r="L590" s="43"/>
    </row>
    <row r="591" spans="2:12" outlineLevel="2">
      <c r="B591" s="40">
        <f t="shared" si="21"/>
        <v>129</v>
      </c>
      <c r="C591" s="41" t="s">
        <v>8</v>
      </c>
      <c r="D591" s="41"/>
      <c r="E591" s="41"/>
      <c r="F591" s="41"/>
      <c r="G591" s="41"/>
      <c r="H591" s="41"/>
      <c r="I591" s="42"/>
      <c r="J591" s="41"/>
      <c r="K591" s="41"/>
      <c r="L591" s="43"/>
    </row>
    <row r="592" spans="2:12" outlineLevel="2">
      <c r="B592" s="40">
        <f t="shared" si="21"/>
        <v>130</v>
      </c>
      <c r="C592" s="41" t="s">
        <v>8</v>
      </c>
      <c r="D592" s="41"/>
      <c r="E592" s="41"/>
      <c r="F592" s="41"/>
      <c r="G592" s="41"/>
      <c r="H592" s="41"/>
      <c r="I592" s="42"/>
      <c r="J592" s="41"/>
      <c r="K592" s="41"/>
      <c r="L592" s="43"/>
    </row>
    <row r="593" spans="2:12" outlineLevel="2">
      <c r="B593" s="40">
        <f t="shared" ref="B593:B656" si="22">ROW(A131)</f>
        <v>131</v>
      </c>
      <c r="C593" s="41" t="s">
        <v>8</v>
      </c>
      <c r="D593" s="41"/>
      <c r="E593" s="41"/>
      <c r="F593" s="41"/>
      <c r="G593" s="41"/>
      <c r="H593" s="41"/>
      <c r="I593" s="42"/>
      <c r="J593" s="41"/>
      <c r="K593" s="41"/>
      <c r="L593" s="43"/>
    </row>
    <row r="594" spans="2:12" outlineLevel="2">
      <c r="B594" s="40">
        <f t="shared" si="22"/>
        <v>132</v>
      </c>
      <c r="C594" s="41" t="s">
        <v>8</v>
      </c>
      <c r="D594" s="41"/>
      <c r="E594" s="41"/>
      <c r="F594" s="41"/>
      <c r="G594" s="41"/>
      <c r="H594" s="41"/>
      <c r="I594" s="42"/>
      <c r="J594" s="41"/>
      <c r="K594" s="41"/>
      <c r="L594" s="43"/>
    </row>
    <row r="595" spans="2:12" outlineLevel="2">
      <c r="B595" s="40">
        <f t="shared" si="22"/>
        <v>133</v>
      </c>
      <c r="C595" s="41" t="s">
        <v>8</v>
      </c>
      <c r="D595" s="41"/>
      <c r="E595" s="41"/>
      <c r="F595" s="41"/>
      <c r="G595" s="41"/>
      <c r="H595" s="41"/>
      <c r="I595" s="42"/>
      <c r="J595" s="41"/>
      <c r="K595" s="41"/>
      <c r="L595" s="43"/>
    </row>
    <row r="596" spans="2:12" outlineLevel="2">
      <c r="B596" s="40">
        <f t="shared" si="22"/>
        <v>134</v>
      </c>
      <c r="C596" s="41" t="s">
        <v>8</v>
      </c>
      <c r="D596" s="41"/>
      <c r="E596" s="41"/>
      <c r="F596" s="41"/>
      <c r="G596" s="41"/>
      <c r="H596" s="41"/>
      <c r="I596" s="42"/>
      <c r="J596" s="41"/>
      <c r="K596" s="41"/>
      <c r="L596" s="43"/>
    </row>
    <row r="597" spans="2:12" outlineLevel="2">
      <c r="B597" s="40">
        <f t="shared" si="22"/>
        <v>135</v>
      </c>
      <c r="C597" s="41" t="s">
        <v>8</v>
      </c>
      <c r="D597" s="41"/>
      <c r="E597" s="41"/>
      <c r="F597" s="41"/>
      <c r="G597" s="41"/>
      <c r="H597" s="41"/>
      <c r="I597" s="42"/>
      <c r="J597" s="41"/>
      <c r="K597" s="41"/>
      <c r="L597" s="43"/>
    </row>
    <row r="598" spans="2:12" outlineLevel="2">
      <c r="B598" s="40">
        <f t="shared" si="22"/>
        <v>136</v>
      </c>
      <c r="C598" s="41" t="s">
        <v>8</v>
      </c>
      <c r="D598" s="41"/>
      <c r="E598" s="41"/>
      <c r="F598" s="41"/>
      <c r="G598" s="41"/>
      <c r="H598" s="41"/>
      <c r="I598" s="42"/>
      <c r="J598" s="41"/>
      <c r="K598" s="41"/>
      <c r="L598" s="43"/>
    </row>
    <row r="599" spans="2:12" outlineLevel="2">
      <c r="B599" s="40">
        <f t="shared" si="22"/>
        <v>137</v>
      </c>
      <c r="C599" s="41" t="s">
        <v>8</v>
      </c>
      <c r="D599" s="41"/>
      <c r="E599" s="41"/>
      <c r="F599" s="41"/>
      <c r="G599" s="41"/>
      <c r="H599" s="41"/>
      <c r="I599" s="42"/>
      <c r="J599" s="41"/>
      <c r="K599" s="41"/>
      <c r="L599" s="43"/>
    </row>
    <row r="600" spans="2:12" outlineLevel="2">
      <c r="B600" s="40">
        <f t="shared" si="22"/>
        <v>138</v>
      </c>
      <c r="C600" s="41" t="s">
        <v>8</v>
      </c>
      <c r="D600" s="41"/>
      <c r="E600" s="41"/>
      <c r="F600" s="41"/>
      <c r="G600" s="41"/>
      <c r="H600" s="41"/>
      <c r="I600" s="42"/>
      <c r="J600" s="41"/>
      <c r="K600" s="41"/>
      <c r="L600" s="43"/>
    </row>
    <row r="601" spans="2:12" outlineLevel="2">
      <c r="B601" s="40">
        <f t="shared" si="22"/>
        <v>139</v>
      </c>
      <c r="C601" s="41" t="s">
        <v>8</v>
      </c>
      <c r="D601" s="41"/>
      <c r="E601" s="41"/>
      <c r="F601" s="41"/>
      <c r="G601" s="41"/>
      <c r="H601" s="41"/>
      <c r="I601" s="42"/>
      <c r="J601" s="41"/>
      <c r="K601" s="41"/>
      <c r="L601" s="43"/>
    </row>
    <row r="602" spans="2:12" outlineLevel="2">
      <c r="B602" s="40">
        <f t="shared" si="22"/>
        <v>140</v>
      </c>
      <c r="C602" s="41" t="s">
        <v>8</v>
      </c>
      <c r="D602" s="41"/>
      <c r="E602" s="41"/>
      <c r="F602" s="41"/>
      <c r="G602" s="41"/>
      <c r="H602" s="41"/>
      <c r="I602" s="42"/>
      <c r="J602" s="41"/>
      <c r="K602" s="41"/>
      <c r="L602" s="43"/>
    </row>
    <row r="603" spans="2:12" outlineLevel="2">
      <c r="B603" s="40">
        <f t="shared" si="22"/>
        <v>141</v>
      </c>
      <c r="C603" s="41" t="s">
        <v>8</v>
      </c>
      <c r="D603" s="41"/>
      <c r="E603" s="41"/>
      <c r="F603" s="41"/>
      <c r="G603" s="41"/>
      <c r="H603" s="41"/>
      <c r="I603" s="42"/>
      <c r="J603" s="41"/>
      <c r="K603" s="41"/>
      <c r="L603" s="43"/>
    </row>
    <row r="604" spans="2:12" outlineLevel="2">
      <c r="B604" s="40">
        <f t="shared" si="22"/>
        <v>142</v>
      </c>
      <c r="C604" s="41" t="s">
        <v>8</v>
      </c>
      <c r="D604" s="41"/>
      <c r="E604" s="41"/>
      <c r="F604" s="41"/>
      <c r="G604" s="41"/>
      <c r="H604" s="41"/>
      <c r="I604" s="42"/>
      <c r="J604" s="41"/>
      <c r="K604" s="41"/>
      <c r="L604" s="43"/>
    </row>
    <row r="605" spans="2:12" outlineLevel="2">
      <c r="B605" s="40">
        <f t="shared" si="22"/>
        <v>143</v>
      </c>
      <c r="C605" s="41" t="s">
        <v>8</v>
      </c>
      <c r="D605" s="41"/>
      <c r="E605" s="41"/>
      <c r="F605" s="41"/>
      <c r="G605" s="41"/>
      <c r="H605" s="41"/>
      <c r="I605" s="42"/>
      <c r="J605" s="41"/>
      <c r="K605" s="41"/>
      <c r="L605" s="43"/>
    </row>
    <row r="606" spans="2:12" outlineLevel="2">
      <c r="B606" s="40">
        <f t="shared" si="22"/>
        <v>144</v>
      </c>
      <c r="C606" s="41" t="s">
        <v>8</v>
      </c>
      <c r="D606" s="41"/>
      <c r="E606" s="41"/>
      <c r="F606" s="41"/>
      <c r="G606" s="41"/>
      <c r="H606" s="41"/>
      <c r="I606" s="42"/>
      <c r="J606" s="41"/>
      <c r="K606" s="41"/>
      <c r="L606" s="43"/>
    </row>
    <row r="607" spans="2:12" outlineLevel="2">
      <c r="B607" s="40">
        <f t="shared" si="22"/>
        <v>145</v>
      </c>
      <c r="C607" s="41" t="s">
        <v>8</v>
      </c>
      <c r="D607" s="41"/>
      <c r="E607" s="41"/>
      <c r="F607" s="41"/>
      <c r="G607" s="41"/>
      <c r="H607" s="41"/>
      <c r="I607" s="42"/>
      <c r="J607" s="41"/>
      <c r="K607" s="41"/>
      <c r="L607" s="43"/>
    </row>
    <row r="608" spans="2:12" outlineLevel="2">
      <c r="B608" s="40">
        <f t="shared" si="22"/>
        <v>146</v>
      </c>
      <c r="C608" s="41" t="s">
        <v>8</v>
      </c>
      <c r="D608" s="41"/>
      <c r="E608" s="41"/>
      <c r="F608" s="41"/>
      <c r="G608" s="41"/>
      <c r="H608" s="41"/>
      <c r="I608" s="42"/>
      <c r="J608" s="41"/>
      <c r="K608" s="41"/>
      <c r="L608" s="43"/>
    </row>
    <row r="609" spans="2:12" outlineLevel="2">
      <c r="B609" s="40">
        <f t="shared" si="22"/>
        <v>147</v>
      </c>
      <c r="C609" s="41" t="s">
        <v>8</v>
      </c>
      <c r="D609" s="41"/>
      <c r="E609" s="41"/>
      <c r="F609" s="41"/>
      <c r="G609" s="41"/>
      <c r="H609" s="41"/>
      <c r="I609" s="42"/>
      <c r="J609" s="41"/>
      <c r="K609" s="41"/>
      <c r="L609" s="43"/>
    </row>
    <row r="610" spans="2:12" outlineLevel="2">
      <c r="B610" s="40">
        <f t="shared" si="22"/>
        <v>148</v>
      </c>
      <c r="C610" s="41" t="s">
        <v>8</v>
      </c>
      <c r="D610" s="41"/>
      <c r="E610" s="41"/>
      <c r="F610" s="41"/>
      <c r="G610" s="41"/>
      <c r="H610" s="41"/>
      <c r="I610" s="42"/>
      <c r="J610" s="41"/>
      <c r="K610" s="41"/>
      <c r="L610" s="43"/>
    </row>
    <row r="611" spans="2:12" outlineLevel="2">
      <c r="B611" s="40">
        <f t="shared" si="22"/>
        <v>149</v>
      </c>
      <c r="C611" s="41" t="s">
        <v>8</v>
      </c>
      <c r="D611" s="41"/>
      <c r="E611" s="41"/>
      <c r="F611" s="41"/>
      <c r="G611" s="41"/>
      <c r="H611" s="41"/>
      <c r="I611" s="42"/>
      <c r="J611" s="41"/>
      <c r="K611" s="41"/>
      <c r="L611" s="43"/>
    </row>
    <row r="612" spans="2:12" outlineLevel="2">
      <c r="B612" s="40">
        <f t="shared" si="22"/>
        <v>150</v>
      </c>
      <c r="C612" s="41" t="s">
        <v>8</v>
      </c>
      <c r="D612" s="41"/>
      <c r="E612" s="41"/>
      <c r="F612" s="41"/>
      <c r="G612" s="41"/>
      <c r="H612" s="41"/>
      <c r="I612" s="42"/>
      <c r="J612" s="41"/>
      <c r="K612" s="41"/>
      <c r="L612" s="43"/>
    </row>
    <row r="613" spans="2:12" outlineLevel="2">
      <c r="B613" s="40">
        <f t="shared" si="22"/>
        <v>151</v>
      </c>
      <c r="C613" s="41" t="s">
        <v>8</v>
      </c>
      <c r="D613" s="41"/>
      <c r="E613" s="41"/>
      <c r="F613" s="41"/>
      <c r="G613" s="41"/>
      <c r="H613" s="41"/>
      <c r="I613" s="42"/>
      <c r="J613" s="41"/>
      <c r="K613" s="41"/>
      <c r="L613" s="43"/>
    </row>
    <row r="614" spans="2:12" outlineLevel="2">
      <c r="B614" s="40">
        <f t="shared" si="22"/>
        <v>152</v>
      </c>
      <c r="C614" s="41" t="s">
        <v>8</v>
      </c>
      <c r="D614" s="41"/>
      <c r="E614" s="41"/>
      <c r="F614" s="41"/>
      <c r="G614" s="41"/>
      <c r="H614" s="41"/>
      <c r="I614" s="42"/>
      <c r="J614" s="41"/>
      <c r="K614" s="41"/>
      <c r="L614" s="43"/>
    </row>
    <row r="615" spans="2:12" outlineLevel="2">
      <c r="B615" s="40">
        <f t="shared" si="22"/>
        <v>153</v>
      </c>
      <c r="C615" s="41" t="s">
        <v>8</v>
      </c>
      <c r="D615" s="41"/>
      <c r="E615" s="41"/>
      <c r="F615" s="41"/>
      <c r="G615" s="41"/>
      <c r="H615" s="41"/>
      <c r="I615" s="42"/>
      <c r="J615" s="41"/>
      <c r="K615" s="41"/>
      <c r="L615" s="43"/>
    </row>
    <row r="616" spans="2:12" outlineLevel="2">
      <c r="B616" s="40">
        <f t="shared" si="22"/>
        <v>154</v>
      </c>
      <c r="C616" s="41" t="s">
        <v>8</v>
      </c>
      <c r="D616" s="41"/>
      <c r="E616" s="41"/>
      <c r="F616" s="41"/>
      <c r="G616" s="41"/>
      <c r="H616" s="41"/>
      <c r="I616" s="42"/>
      <c r="J616" s="41"/>
      <c r="K616" s="41"/>
      <c r="L616" s="43"/>
    </row>
    <row r="617" spans="2:12" outlineLevel="2">
      <c r="B617" s="40">
        <f t="shared" si="22"/>
        <v>155</v>
      </c>
      <c r="C617" s="41" t="s">
        <v>8</v>
      </c>
      <c r="D617" s="41"/>
      <c r="E617" s="41"/>
      <c r="F617" s="41"/>
      <c r="G617" s="41"/>
      <c r="H617" s="41"/>
      <c r="I617" s="42"/>
      <c r="J617" s="41"/>
      <c r="K617" s="41"/>
      <c r="L617" s="43"/>
    </row>
    <row r="618" spans="2:12" outlineLevel="2">
      <c r="B618" s="40">
        <f t="shared" si="22"/>
        <v>156</v>
      </c>
      <c r="C618" s="41" t="s">
        <v>8</v>
      </c>
      <c r="D618" s="41"/>
      <c r="E618" s="41"/>
      <c r="F618" s="41"/>
      <c r="G618" s="41"/>
      <c r="H618" s="41"/>
      <c r="I618" s="42"/>
      <c r="J618" s="41"/>
      <c r="K618" s="41"/>
      <c r="L618" s="43"/>
    </row>
    <row r="619" spans="2:12" outlineLevel="2">
      <c r="B619" s="40">
        <f t="shared" si="22"/>
        <v>157</v>
      </c>
      <c r="C619" s="41" t="s">
        <v>8</v>
      </c>
      <c r="D619" s="41"/>
      <c r="E619" s="41"/>
      <c r="F619" s="41"/>
      <c r="G619" s="41"/>
      <c r="H619" s="41"/>
      <c r="I619" s="42"/>
      <c r="J619" s="41"/>
      <c r="K619" s="41"/>
      <c r="L619" s="43"/>
    </row>
    <row r="620" spans="2:12" outlineLevel="2">
      <c r="B620" s="40">
        <f t="shared" si="22"/>
        <v>158</v>
      </c>
      <c r="C620" s="41" t="s">
        <v>8</v>
      </c>
      <c r="D620" s="41"/>
      <c r="E620" s="41"/>
      <c r="F620" s="41"/>
      <c r="G620" s="41"/>
      <c r="H620" s="41"/>
      <c r="I620" s="42"/>
      <c r="J620" s="41"/>
      <c r="K620" s="41"/>
      <c r="L620" s="43"/>
    </row>
    <row r="621" spans="2:12" outlineLevel="2">
      <c r="B621" s="40">
        <f t="shared" si="22"/>
        <v>159</v>
      </c>
      <c r="C621" s="41" t="s">
        <v>8</v>
      </c>
      <c r="D621" s="41"/>
      <c r="E621" s="41"/>
      <c r="F621" s="41"/>
      <c r="G621" s="41"/>
      <c r="H621" s="41"/>
      <c r="I621" s="42"/>
      <c r="J621" s="41"/>
      <c r="K621" s="41"/>
      <c r="L621" s="43"/>
    </row>
    <row r="622" spans="2:12" outlineLevel="2">
      <c r="B622" s="40">
        <f t="shared" si="22"/>
        <v>160</v>
      </c>
      <c r="C622" s="41" t="s">
        <v>8</v>
      </c>
      <c r="D622" s="41"/>
      <c r="E622" s="41"/>
      <c r="F622" s="41"/>
      <c r="G622" s="41"/>
      <c r="H622" s="41"/>
      <c r="I622" s="42"/>
      <c r="J622" s="41"/>
      <c r="K622" s="41"/>
      <c r="L622" s="43"/>
    </row>
    <row r="623" spans="2:12" outlineLevel="2">
      <c r="B623" s="40">
        <f t="shared" si="22"/>
        <v>161</v>
      </c>
      <c r="C623" s="41" t="s">
        <v>8</v>
      </c>
      <c r="D623" s="41"/>
      <c r="E623" s="41"/>
      <c r="F623" s="41"/>
      <c r="G623" s="41"/>
      <c r="H623" s="41"/>
      <c r="I623" s="42"/>
      <c r="J623" s="41"/>
      <c r="K623" s="41"/>
      <c r="L623" s="43"/>
    </row>
    <row r="624" spans="2:12" outlineLevel="2">
      <c r="B624" s="40">
        <f t="shared" si="22"/>
        <v>162</v>
      </c>
      <c r="C624" s="41" t="s">
        <v>8</v>
      </c>
      <c r="D624" s="41"/>
      <c r="E624" s="41"/>
      <c r="F624" s="41"/>
      <c r="G624" s="41"/>
      <c r="H624" s="41"/>
      <c r="I624" s="42"/>
      <c r="J624" s="41"/>
      <c r="K624" s="41"/>
      <c r="L624" s="43"/>
    </row>
    <row r="625" spans="2:12" outlineLevel="2">
      <c r="B625" s="40">
        <f t="shared" si="22"/>
        <v>163</v>
      </c>
      <c r="C625" s="41" t="s">
        <v>8</v>
      </c>
      <c r="D625" s="41"/>
      <c r="E625" s="41"/>
      <c r="F625" s="41"/>
      <c r="G625" s="41"/>
      <c r="H625" s="41"/>
      <c r="I625" s="42"/>
      <c r="J625" s="41"/>
      <c r="K625" s="41"/>
      <c r="L625" s="43"/>
    </row>
    <row r="626" spans="2:12" outlineLevel="2">
      <c r="B626" s="40">
        <f t="shared" si="22"/>
        <v>164</v>
      </c>
      <c r="C626" s="41" t="s">
        <v>8</v>
      </c>
      <c r="D626" s="41"/>
      <c r="E626" s="41"/>
      <c r="F626" s="41"/>
      <c r="G626" s="41"/>
      <c r="H626" s="41"/>
      <c r="I626" s="42"/>
      <c r="J626" s="41"/>
      <c r="K626" s="41"/>
      <c r="L626" s="43"/>
    </row>
    <row r="627" spans="2:12" outlineLevel="2">
      <c r="B627" s="40">
        <f t="shared" si="22"/>
        <v>165</v>
      </c>
      <c r="C627" s="41" t="s">
        <v>8</v>
      </c>
      <c r="D627" s="41"/>
      <c r="E627" s="41"/>
      <c r="F627" s="41"/>
      <c r="G627" s="41"/>
      <c r="H627" s="41"/>
      <c r="I627" s="42"/>
      <c r="J627" s="41"/>
      <c r="K627" s="41"/>
      <c r="L627" s="43"/>
    </row>
    <row r="628" spans="2:12" outlineLevel="2">
      <c r="B628" s="40">
        <f t="shared" si="22"/>
        <v>166</v>
      </c>
      <c r="C628" s="41" t="s">
        <v>8</v>
      </c>
      <c r="D628" s="41"/>
      <c r="E628" s="41"/>
      <c r="F628" s="41"/>
      <c r="G628" s="41"/>
      <c r="H628" s="41"/>
      <c r="I628" s="42"/>
      <c r="J628" s="41"/>
      <c r="K628" s="41"/>
      <c r="L628" s="43"/>
    </row>
    <row r="629" spans="2:12" outlineLevel="2">
      <c r="B629" s="40">
        <f t="shared" si="22"/>
        <v>167</v>
      </c>
      <c r="C629" s="41" t="s">
        <v>8</v>
      </c>
      <c r="D629" s="41"/>
      <c r="E629" s="41"/>
      <c r="F629" s="41"/>
      <c r="G629" s="41"/>
      <c r="H629" s="41"/>
      <c r="I629" s="42"/>
      <c r="J629" s="41"/>
      <c r="K629" s="41"/>
      <c r="L629" s="43"/>
    </row>
    <row r="630" spans="2:12" outlineLevel="2">
      <c r="B630" s="40">
        <f t="shared" si="22"/>
        <v>168</v>
      </c>
      <c r="C630" s="41" t="s">
        <v>8</v>
      </c>
      <c r="D630" s="41"/>
      <c r="E630" s="41"/>
      <c r="F630" s="41"/>
      <c r="G630" s="41"/>
      <c r="H630" s="41"/>
      <c r="I630" s="42"/>
      <c r="J630" s="41"/>
      <c r="K630" s="41"/>
      <c r="L630" s="43"/>
    </row>
    <row r="631" spans="2:12" outlineLevel="2">
      <c r="B631" s="40">
        <f t="shared" si="22"/>
        <v>169</v>
      </c>
      <c r="C631" s="41" t="s">
        <v>8</v>
      </c>
      <c r="D631" s="41"/>
      <c r="E631" s="41"/>
      <c r="F631" s="41"/>
      <c r="G631" s="41"/>
      <c r="H631" s="41"/>
      <c r="I631" s="42"/>
      <c r="J631" s="41"/>
      <c r="K631" s="41"/>
      <c r="L631" s="43"/>
    </row>
    <row r="632" spans="2:12" outlineLevel="2">
      <c r="B632" s="40">
        <f t="shared" si="22"/>
        <v>170</v>
      </c>
      <c r="C632" s="41" t="s">
        <v>8</v>
      </c>
      <c r="D632" s="41"/>
      <c r="E632" s="41"/>
      <c r="F632" s="41"/>
      <c r="G632" s="41"/>
      <c r="H632" s="41"/>
      <c r="I632" s="42"/>
      <c r="J632" s="41"/>
      <c r="K632" s="41"/>
      <c r="L632" s="43"/>
    </row>
    <row r="633" spans="2:12" outlineLevel="2">
      <c r="B633" s="40">
        <f t="shared" si="22"/>
        <v>171</v>
      </c>
      <c r="C633" s="41" t="s">
        <v>8</v>
      </c>
      <c r="D633" s="41"/>
      <c r="E633" s="41"/>
      <c r="F633" s="41"/>
      <c r="G633" s="41"/>
      <c r="H633" s="41"/>
      <c r="I633" s="42"/>
      <c r="J633" s="41"/>
      <c r="K633" s="41"/>
      <c r="L633" s="43"/>
    </row>
    <row r="634" spans="2:12" outlineLevel="2">
      <c r="B634" s="40">
        <f t="shared" si="22"/>
        <v>172</v>
      </c>
      <c r="C634" s="41" t="s">
        <v>8</v>
      </c>
      <c r="D634" s="41"/>
      <c r="E634" s="41"/>
      <c r="F634" s="41"/>
      <c r="G634" s="41"/>
      <c r="H634" s="41"/>
      <c r="I634" s="42"/>
      <c r="J634" s="41"/>
      <c r="K634" s="41"/>
      <c r="L634" s="43"/>
    </row>
    <row r="635" spans="2:12" outlineLevel="2">
      <c r="B635" s="40">
        <f t="shared" si="22"/>
        <v>173</v>
      </c>
      <c r="C635" s="41" t="s">
        <v>8</v>
      </c>
      <c r="D635" s="41"/>
      <c r="E635" s="41"/>
      <c r="F635" s="41"/>
      <c r="G635" s="41"/>
      <c r="H635" s="41"/>
      <c r="I635" s="42"/>
      <c r="J635" s="41"/>
      <c r="K635" s="41"/>
      <c r="L635" s="43"/>
    </row>
    <row r="636" spans="2:12" outlineLevel="2">
      <c r="B636" s="40">
        <f t="shared" si="22"/>
        <v>174</v>
      </c>
      <c r="C636" s="41" t="s">
        <v>8</v>
      </c>
      <c r="D636" s="41"/>
      <c r="E636" s="41"/>
      <c r="F636" s="41"/>
      <c r="G636" s="41"/>
      <c r="H636" s="41"/>
      <c r="I636" s="42"/>
      <c r="J636" s="41"/>
      <c r="K636" s="41"/>
      <c r="L636" s="43"/>
    </row>
    <row r="637" spans="2:12" outlineLevel="2">
      <c r="B637" s="40">
        <f t="shared" si="22"/>
        <v>175</v>
      </c>
      <c r="C637" s="41" t="s">
        <v>8</v>
      </c>
      <c r="D637" s="41"/>
      <c r="E637" s="41"/>
      <c r="F637" s="41"/>
      <c r="G637" s="41"/>
      <c r="H637" s="41"/>
      <c r="I637" s="42"/>
      <c r="J637" s="41"/>
      <c r="K637" s="41"/>
      <c r="L637" s="43"/>
    </row>
    <row r="638" spans="2:12" outlineLevel="2">
      <c r="B638" s="40">
        <f t="shared" si="22"/>
        <v>176</v>
      </c>
      <c r="C638" s="41" t="s">
        <v>8</v>
      </c>
      <c r="D638" s="41"/>
      <c r="E638" s="41"/>
      <c r="F638" s="41"/>
      <c r="G638" s="41"/>
      <c r="H638" s="41"/>
      <c r="I638" s="42"/>
      <c r="J638" s="41"/>
      <c r="K638" s="41"/>
      <c r="L638" s="43"/>
    </row>
    <row r="639" spans="2:12" outlineLevel="2">
      <c r="B639" s="40">
        <f t="shared" si="22"/>
        <v>177</v>
      </c>
      <c r="C639" s="41" t="s">
        <v>8</v>
      </c>
      <c r="D639" s="41"/>
      <c r="E639" s="41"/>
      <c r="F639" s="41"/>
      <c r="G639" s="41"/>
      <c r="H639" s="41"/>
      <c r="I639" s="42"/>
      <c r="J639" s="41"/>
      <c r="K639" s="41"/>
      <c r="L639" s="43"/>
    </row>
    <row r="640" spans="2:12" outlineLevel="2">
      <c r="B640" s="40">
        <f t="shared" si="22"/>
        <v>178</v>
      </c>
      <c r="C640" s="41" t="s">
        <v>8</v>
      </c>
      <c r="D640" s="41"/>
      <c r="E640" s="41"/>
      <c r="F640" s="41"/>
      <c r="G640" s="41"/>
      <c r="H640" s="41"/>
      <c r="I640" s="42"/>
      <c r="J640" s="41"/>
      <c r="K640" s="41"/>
      <c r="L640" s="43"/>
    </row>
    <row r="641" spans="2:12" outlineLevel="2">
      <c r="B641" s="40">
        <f t="shared" si="22"/>
        <v>179</v>
      </c>
      <c r="C641" s="41" t="s">
        <v>8</v>
      </c>
      <c r="D641" s="41"/>
      <c r="E641" s="41"/>
      <c r="F641" s="41"/>
      <c r="G641" s="41"/>
      <c r="H641" s="41"/>
      <c r="I641" s="42"/>
      <c r="J641" s="41"/>
      <c r="K641" s="41"/>
      <c r="L641" s="43"/>
    </row>
    <row r="642" spans="2:12" outlineLevel="2">
      <c r="B642" s="40">
        <f t="shared" si="22"/>
        <v>180</v>
      </c>
      <c r="C642" s="41" t="s">
        <v>8</v>
      </c>
      <c r="D642" s="41"/>
      <c r="E642" s="41"/>
      <c r="F642" s="41"/>
      <c r="G642" s="41"/>
      <c r="H642" s="41"/>
      <c r="I642" s="42"/>
      <c r="J642" s="41"/>
      <c r="K642" s="41"/>
      <c r="L642" s="43"/>
    </row>
    <row r="643" spans="2:12" outlineLevel="2">
      <c r="B643" s="40">
        <f t="shared" si="22"/>
        <v>181</v>
      </c>
      <c r="C643" s="41" t="s">
        <v>8</v>
      </c>
      <c r="D643" s="41"/>
      <c r="E643" s="41"/>
      <c r="F643" s="41"/>
      <c r="G643" s="41"/>
      <c r="H643" s="41"/>
      <c r="I643" s="42"/>
      <c r="J643" s="41"/>
      <c r="K643" s="41"/>
      <c r="L643" s="43"/>
    </row>
    <row r="644" spans="2:12" outlineLevel="2">
      <c r="B644" s="40">
        <f t="shared" si="22"/>
        <v>182</v>
      </c>
      <c r="C644" s="41" t="s">
        <v>8</v>
      </c>
      <c r="D644" s="41"/>
      <c r="E644" s="41"/>
      <c r="F644" s="41"/>
      <c r="G644" s="41"/>
      <c r="H644" s="41"/>
      <c r="I644" s="42"/>
      <c r="J644" s="41"/>
      <c r="K644" s="41"/>
      <c r="L644" s="43"/>
    </row>
    <row r="645" spans="2:12" outlineLevel="2">
      <c r="B645" s="40">
        <f t="shared" si="22"/>
        <v>183</v>
      </c>
      <c r="C645" s="41" t="s">
        <v>8</v>
      </c>
      <c r="D645" s="41"/>
      <c r="E645" s="41"/>
      <c r="F645" s="41"/>
      <c r="G645" s="41"/>
      <c r="H645" s="41"/>
      <c r="I645" s="42"/>
      <c r="J645" s="41"/>
      <c r="K645" s="41"/>
      <c r="L645" s="43"/>
    </row>
    <row r="646" spans="2:12" outlineLevel="2">
      <c r="B646" s="40">
        <f t="shared" si="22"/>
        <v>184</v>
      </c>
      <c r="C646" s="41" t="s">
        <v>8</v>
      </c>
      <c r="D646" s="41"/>
      <c r="E646" s="41"/>
      <c r="F646" s="41"/>
      <c r="G646" s="41"/>
      <c r="H646" s="41"/>
      <c r="I646" s="42"/>
      <c r="J646" s="41"/>
      <c r="K646" s="41"/>
      <c r="L646" s="43"/>
    </row>
    <row r="647" spans="2:12" outlineLevel="2">
      <c r="B647" s="40">
        <f t="shared" si="22"/>
        <v>185</v>
      </c>
      <c r="C647" s="41" t="s">
        <v>8</v>
      </c>
      <c r="D647" s="41"/>
      <c r="E647" s="41"/>
      <c r="F647" s="41"/>
      <c r="G647" s="41"/>
      <c r="H647" s="41"/>
      <c r="I647" s="42"/>
      <c r="J647" s="41"/>
      <c r="K647" s="41"/>
      <c r="L647" s="43"/>
    </row>
    <row r="648" spans="2:12" outlineLevel="2">
      <c r="B648" s="40">
        <f t="shared" si="22"/>
        <v>186</v>
      </c>
      <c r="C648" s="41" t="s">
        <v>8</v>
      </c>
      <c r="D648" s="41"/>
      <c r="E648" s="41"/>
      <c r="F648" s="41"/>
      <c r="G648" s="41"/>
      <c r="H648" s="41"/>
      <c r="I648" s="42"/>
      <c r="J648" s="41"/>
      <c r="K648" s="41"/>
      <c r="L648" s="43"/>
    </row>
    <row r="649" spans="2:12" outlineLevel="2">
      <c r="B649" s="40">
        <f t="shared" si="22"/>
        <v>187</v>
      </c>
      <c r="C649" s="41" t="s">
        <v>8</v>
      </c>
      <c r="D649" s="41"/>
      <c r="E649" s="41"/>
      <c r="F649" s="41"/>
      <c r="G649" s="41"/>
      <c r="H649" s="41"/>
      <c r="I649" s="42"/>
      <c r="J649" s="41"/>
      <c r="K649" s="41"/>
      <c r="L649" s="43"/>
    </row>
    <row r="650" spans="2:12" outlineLevel="2">
      <c r="B650" s="40">
        <f t="shared" si="22"/>
        <v>188</v>
      </c>
      <c r="C650" s="41" t="s">
        <v>8</v>
      </c>
      <c r="D650" s="41"/>
      <c r="E650" s="41"/>
      <c r="F650" s="41"/>
      <c r="G650" s="41"/>
      <c r="H650" s="41"/>
      <c r="I650" s="42"/>
      <c r="J650" s="41"/>
      <c r="K650" s="41"/>
      <c r="L650" s="43"/>
    </row>
    <row r="651" spans="2:12" outlineLevel="2">
      <c r="B651" s="40">
        <f t="shared" si="22"/>
        <v>189</v>
      </c>
      <c r="C651" s="41" t="s">
        <v>8</v>
      </c>
      <c r="D651" s="41"/>
      <c r="E651" s="41"/>
      <c r="F651" s="41"/>
      <c r="G651" s="41"/>
      <c r="H651" s="41"/>
      <c r="I651" s="42"/>
      <c r="J651" s="41"/>
      <c r="K651" s="41"/>
      <c r="L651" s="43"/>
    </row>
    <row r="652" spans="2:12" outlineLevel="2">
      <c r="B652" s="40">
        <f t="shared" si="22"/>
        <v>190</v>
      </c>
      <c r="C652" s="41" t="s">
        <v>8</v>
      </c>
      <c r="D652" s="41"/>
      <c r="E652" s="41"/>
      <c r="F652" s="41"/>
      <c r="G652" s="41"/>
      <c r="H652" s="41"/>
      <c r="I652" s="42"/>
      <c r="J652" s="41"/>
      <c r="K652" s="41"/>
      <c r="L652" s="43"/>
    </row>
    <row r="653" spans="2:12" outlineLevel="2">
      <c r="B653" s="40">
        <f t="shared" si="22"/>
        <v>191</v>
      </c>
      <c r="C653" s="41" t="s">
        <v>8</v>
      </c>
      <c r="D653" s="41"/>
      <c r="E653" s="41"/>
      <c r="F653" s="41"/>
      <c r="G653" s="41"/>
      <c r="H653" s="41"/>
      <c r="I653" s="42"/>
      <c r="J653" s="41"/>
      <c r="K653" s="41"/>
      <c r="L653" s="43"/>
    </row>
    <row r="654" spans="2:12" outlineLevel="2">
      <c r="B654" s="40">
        <f t="shared" si="22"/>
        <v>192</v>
      </c>
      <c r="C654" s="41" t="s">
        <v>8</v>
      </c>
      <c r="D654" s="41"/>
      <c r="E654" s="41"/>
      <c r="F654" s="41"/>
      <c r="G654" s="41"/>
      <c r="H654" s="41"/>
      <c r="I654" s="42"/>
      <c r="J654" s="41"/>
      <c r="K654" s="41"/>
      <c r="L654" s="43"/>
    </row>
    <row r="655" spans="2:12" outlineLevel="2">
      <c r="B655" s="40">
        <f t="shared" si="22"/>
        <v>193</v>
      </c>
      <c r="C655" s="41" t="s">
        <v>8</v>
      </c>
      <c r="D655" s="41"/>
      <c r="E655" s="41"/>
      <c r="F655" s="41"/>
      <c r="G655" s="41"/>
      <c r="H655" s="41"/>
      <c r="I655" s="42"/>
      <c r="J655" s="41"/>
      <c r="K655" s="41"/>
      <c r="L655" s="43"/>
    </row>
    <row r="656" spans="2:12" outlineLevel="2">
      <c r="B656" s="40">
        <f t="shared" si="22"/>
        <v>194</v>
      </c>
      <c r="C656" s="41" t="s">
        <v>8</v>
      </c>
      <c r="D656" s="41"/>
      <c r="E656" s="41"/>
      <c r="F656" s="41"/>
      <c r="G656" s="41"/>
      <c r="H656" s="41"/>
      <c r="I656" s="42"/>
      <c r="J656" s="41"/>
      <c r="K656" s="41"/>
      <c r="L656" s="43"/>
    </row>
    <row r="657" spans="2:12" outlineLevel="2">
      <c r="B657" s="40">
        <f t="shared" ref="B657:B690" si="23">ROW(A195)</f>
        <v>195</v>
      </c>
      <c r="C657" s="41" t="s">
        <v>8</v>
      </c>
      <c r="D657" s="41"/>
      <c r="E657" s="41"/>
      <c r="F657" s="41"/>
      <c r="G657" s="41"/>
      <c r="H657" s="41"/>
      <c r="I657" s="42"/>
      <c r="J657" s="41"/>
      <c r="K657" s="41"/>
      <c r="L657" s="43"/>
    </row>
    <row r="658" spans="2:12" outlineLevel="2">
      <c r="B658" s="40">
        <f t="shared" si="23"/>
        <v>196</v>
      </c>
      <c r="C658" s="41" t="s">
        <v>8</v>
      </c>
      <c r="D658" s="41"/>
      <c r="E658" s="41"/>
      <c r="F658" s="41"/>
      <c r="G658" s="41"/>
      <c r="H658" s="41"/>
      <c r="I658" s="42"/>
      <c r="J658" s="41"/>
      <c r="K658" s="41"/>
      <c r="L658" s="43"/>
    </row>
    <row r="659" spans="2:12" outlineLevel="2">
      <c r="B659" s="40">
        <f t="shared" si="23"/>
        <v>197</v>
      </c>
      <c r="C659" s="41" t="s">
        <v>8</v>
      </c>
      <c r="D659" s="41"/>
      <c r="E659" s="41"/>
      <c r="F659" s="41"/>
      <c r="G659" s="41"/>
      <c r="H659" s="41"/>
      <c r="I659" s="42"/>
      <c r="J659" s="41"/>
      <c r="K659" s="41"/>
      <c r="L659" s="43"/>
    </row>
    <row r="660" spans="2:12" outlineLevel="2">
      <c r="B660" s="40">
        <f t="shared" si="23"/>
        <v>198</v>
      </c>
      <c r="C660" s="41" t="s">
        <v>8</v>
      </c>
      <c r="D660" s="41"/>
      <c r="E660" s="41"/>
      <c r="F660" s="41"/>
      <c r="G660" s="41"/>
      <c r="H660" s="41"/>
      <c r="I660" s="42"/>
      <c r="J660" s="41"/>
      <c r="K660" s="41"/>
      <c r="L660" s="43"/>
    </row>
    <row r="661" spans="2:12" outlineLevel="2">
      <c r="B661" s="40">
        <f t="shared" si="23"/>
        <v>199</v>
      </c>
      <c r="C661" s="41" t="s">
        <v>8</v>
      </c>
      <c r="D661" s="41"/>
      <c r="E661" s="41"/>
      <c r="F661" s="41"/>
      <c r="G661" s="41"/>
      <c r="H661" s="41"/>
      <c r="I661" s="42"/>
      <c r="J661" s="41"/>
      <c r="K661" s="41"/>
      <c r="L661" s="43"/>
    </row>
    <row r="662" spans="2:12" outlineLevel="2">
      <c r="B662" s="40">
        <f t="shared" si="23"/>
        <v>200</v>
      </c>
      <c r="C662" s="41" t="s">
        <v>8</v>
      </c>
      <c r="D662" s="41"/>
      <c r="E662" s="41"/>
      <c r="F662" s="41"/>
      <c r="G662" s="41"/>
      <c r="H662" s="41"/>
      <c r="I662" s="42"/>
      <c r="J662" s="41"/>
      <c r="K662" s="41"/>
      <c r="L662" s="43"/>
    </row>
    <row r="663" spans="2:12" outlineLevel="2">
      <c r="B663" s="40">
        <f t="shared" si="23"/>
        <v>201</v>
      </c>
      <c r="C663" s="41" t="s">
        <v>8</v>
      </c>
      <c r="D663" s="41"/>
      <c r="E663" s="41"/>
      <c r="F663" s="41"/>
      <c r="G663" s="41"/>
      <c r="H663" s="41"/>
      <c r="I663" s="42"/>
      <c r="J663" s="41"/>
      <c r="K663" s="41"/>
      <c r="L663" s="43"/>
    </row>
    <row r="664" spans="2:12" outlineLevel="2">
      <c r="B664" s="40">
        <f t="shared" si="23"/>
        <v>202</v>
      </c>
      <c r="C664" s="41" t="s">
        <v>8</v>
      </c>
      <c r="D664" s="41"/>
      <c r="E664" s="41"/>
      <c r="F664" s="41"/>
      <c r="G664" s="41"/>
      <c r="H664" s="41"/>
      <c r="I664" s="42"/>
      <c r="J664" s="41"/>
      <c r="K664" s="41"/>
      <c r="L664" s="43"/>
    </row>
    <row r="665" spans="2:12" outlineLevel="2">
      <c r="B665" s="40">
        <f t="shared" si="23"/>
        <v>203</v>
      </c>
      <c r="C665" s="41" t="s">
        <v>8</v>
      </c>
      <c r="D665" s="41"/>
      <c r="E665" s="41"/>
      <c r="F665" s="41"/>
      <c r="G665" s="41"/>
      <c r="H665" s="41"/>
      <c r="I665" s="42"/>
      <c r="J665" s="41"/>
      <c r="K665" s="41"/>
      <c r="L665" s="43"/>
    </row>
    <row r="666" spans="2:12" outlineLevel="2">
      <c r="B666" s="40">
        <f t="shared" si="23"/>
        <v>204</v>
      </c>
      <c r="C666" s="41" t="s">
        <v>8</v>
      </c>
      <c r="D666" s="41"/>
      <c r="E666" s="41"/>
      <c r="F666" s="41"/>
      <c r="G666" s="41"/>
      <c r="H666" s="41"/>
      <c r="I666" s="42"/>
      <c r="J666" s="41"/>
      <c r="K666" s="41"/>
      <c r="L666" s="43"/>
    </row>
    <row r="667" spans="2:12" outlineLevel="2">
      <c r="B667" s="40">
        <f t="shared" si="23"/>
        <v>205</v>
      </c>
      <c r="C667" s="41" t="s">
        <v>8</v>
      </c>
      <c r="D667" s="41"/>
      <c r="E667" s="41"/>
      <c r="F667" s="41"/>
      <c r="G667" s="41"/>
      <c r="H667" s="41"/>
      <c r="I667" s="42"/>
      <c r="J667" s="41"/>
      <c r="K667" s="41"/>
      <c r="L667" s="43"/>
    </row>
    <row r="668" spans="2:12" outlineLevel="2">
      <c r="B668" s="40">
        <f t="shared" si="23"/>
        <v>206</v>
      </c>
      <c r="C668" s="41" t="s">
        <v>8</v>
      </c>
      <c r="D668" s="41"/>
      <c r="E668" s="41"/>
      <c r="F668" s="41"/>
      <c r="G668" s="41"/>
      <c r="H668" s="41"/>
      <c r="I668" s="42"/>
      <c r="J668" s="41"/>
      <c r="K668" s="41"/>
      <c r="L668" s="43"/>
    </row>
    <row r="669" spans="2:12" outlineLevel="2">
      <c r="B669" s="40">
        <f t="shared" si="23"/>
        <v>207</v>
      </c>
      <c r="C669" s="41" t="s">
        <v>8</v>
      </c>
      <c r="D669" s="41"/>
      <c r="E669" s="41"/>
      <c r="F669" s="41"/>
      <c r="G669" s="41"/>
      <c r="H669" s="41"/>
      <c r="I669" s="42"/>
      <c r="J669" s="41"/>
      <c r="K669" s="41"/>
      <c r="L669" s="43"/>
    </row>
    <row r="670" spans="2:12" outlineLevel="2">
      <c r="B670" s="40">
        <f t="shared" si="23"/>
        <v>208</v>
      </c>
      <c r="C670" s="41" t="s">
        <v>8</v>
      </c>
      <c r="D670" s="41"/>
      <c r="E670" s="41"/>
      <c r="F670" s="41"/>
      <c r="G670" s="41"/>
      <c r="H670" s="41"/>
      <c r="I670" s="42"/>
      <c r="J670" s="41"/>
      <c r="K670" s="41"/>
      <c r="L670" s="43"/>
    </row>
    <row r="671" spans="2:12" outlineLevel="2">
      <c r="B671" s="40">
        <f t="shared" si="23"/>
        <v>209</v>
      </c>
      <c r="C671" s="41" t="s">
        <v>8</v>
      </c>
      <c r="D671" s="41"/>
      <c r="E671" s="41"/>
      <c r="F671" s="41"/>
      <c r="G671" s="41"/>
      <c r="H671" s="41"/>
      <c r="I671" s="42"/>
      <c r="J671" s="41"/>
      <c r="K671" s="41"/>
      <c r="L671" s="43"/>
    </row>
    <row r="672" spans="2:12" outlineLevel="2">
      <c r="B672" s="40">
        <f t="shared" si="23"/>
        <v>210</v>
      </c>
      <c r="C672" s="41" t="s">
        <v>8</v>
      </c>
      <c r="D672" s="41"/>
      <c r="E672" s="41"/>
      <c r="F672" s="41"/>
      <c r="G672" s="41"/>
      <c r="H672" s="41"/>
      <c r="I672" s="42"/>
      <c r="J672" s="41"/>
      <c r="K672" s="41"/>
      <c r="L672" s="43"/>
    </row>
    <row r="673" spans="2:12" outlineLevel="2">
      <c r="B673" s="40">
        <f t="shared" si="23"/>
        <v>211</v>
      </c>
      <c r="C673" s="41" t="s">
        <v>8</v>
      </c>
      <c r="D673" s="41"/>
      <c r="E673" s="41"/>
      <c r="F673" s="41"/>
      <c r="G673" s="41"/>
      <c r="H673" s="41"/>
      <c r="I673" s="42"/>
      <c r="J673" s="41"/>
      <c r="K673" s="41"/>
      <c r="L673" s="43"/>
    </row>
    <row r="674" spans="2:12" outlineLevel="2">
      <c r="B674" s="40">
        <f t="shared" si="23"/>
        <v>212</v>
      </c>
      <c r="C674" s="41" t="s">
        <v>8</v>
      </c>
      <c r="D674" s="41"/>
      <c r="E674" s="41"/>
      <c r="F674" s="41"/>
      <c r="G674" s="41"/>
      <c r="H674" s="41"/>
      <c r="I674" s="42"/>
      <c r="J674" s="41"/>
      <c r="K674" s="41"/>
      <c r="L674" s="43"/>
    </row>
    <row r="675" spans="2:12" outlineLevel="2">
      <c r="B675" s="40">
        <f t="shared" si="23"/>
        <v>213</v>
      </c>
      <c r="C675" s="41" t="s">
        <v>8</v>
      </c>
      <c r="D675" s="41"/>
      <c r="E675" s="41"/>
      <c r="F675" s="41"/>
      <c r="G675" s="41"/>
      <c r="H675" s="41"/>
      <c r="I675" s="42"/>
      <c r="J675" s="41"/>
      <c r="K675" s="41"/>
      <c r="L675" s="43"/>
    </row>
    <row r="676" spans="2:12" outlineLevel="2">
      <c r="B676" s="40">
        <f t="shared" si="23"/>
        <v>214</v>
      </c>
      <c r="C676" s="41" t="s">
        <v>8</v>
      </c>
      <c r="D676" s="41"/>
      <c r="E676" s="41"/>
      <c r="F676" s="41"/>
      <c r="G676" s="41"/>
      <c r="H676" s="41"/>
      <c r="I676" s="42"/>
      <c r="J676" s="41"/>
      <c r="K676" s="41"/>
      <c r="L676" s="43"/>
    </row>
    <row r="677" spans="2:12" outlineLevel="2">
      <c r="B677" s="40">
        <f t="shared" si="23"/>
        <v>215</v>
      </c>
      <c r="C677" s="41" t="s">
        <v>8</v>
      </c>
      <c r="D677" s="41"/>
      <c r="E677" s="41"/>
      <c r="F677" s="41"/>
      <c r="G677" s="41"/>
      <c r="H677" s="41"/>
      <c r="I677" s="42"/>
      <c r="J677" s="41"/>
      <c r="K677" s="41"/>
      <c r="L677" s="43"/>
    </row>
    <row r="678" spans="2:12" outlineLevel="2">
      <c r="B678" s="40">
        <f t="shared" si="23"/>
        <v>216</v>
      </c>
      <c r="C678" s="41" t="s">
        <v>8</v>
      </c>
      <c r="D678" s="41"/>
      <c r="E678" s="41"/>
      <c r="F678" s="41"/>
      <c r="G678" s="41"/>
      <c r="H678" s="41"/>
      <c r="I678" s="42"/>
      <c r="J678" s="41"/>
      <c r="K678" s="41"/>
      <c r="L678" s="43"/>
    </row>
    <row r="679" spans="2:12" outlineLevel="2">
      <c r="B679" s="40">
        <f t="shared" si="23"/>
        <v>217</v>
      </c>
      <c r="C679" s="41" t="s">
        <v>8</v>
      </c>
      <c r="D679" s="41"/>
      <c r="E679" s="41"/>
      <c r="F679" s="41"/>
      <c r="G679" s="41"/>
      <c r="H679" s="41"/>
      <c r="I679" s="42"/>
      <c r="J679" s="41"/>
      <c r="K679" s="41"/>
      <c r="L679" s="43"/>
    </row>
    <row r="680" spans="2:12" outlineLevel="2">
      <c r="B680" s="40">
        <f t="shared" si="23"/>
        <v>218</v>
      </c>
      <c r="C680" s="41" t="s">
        <v>8</v>
      </c>
      <c r="D680" s="41"/>
      <c r="E680" s="41"/>
      <c r="F680" s="41"/>
      <c r="G680" s="41"/>
      <c r="H680" s="41"/>
      <c r="I680" s="42"/>
      <c r="J680" s="41"/>
      <c r="K680" s="41"/>
      <c r="L680" s="43"/>
    </row>
    <row r="681" spans="2:12" outlineLevel="2">
      <c r="B681" s="40">
        <f t="shared" si="23"/>
        <v>219</v>
      </c>
      <c r="C681" s="41" t="s">
        <v>8</v>
      </c>
      <c r="D681" s="41"/>
      <c r="E681" s="41"/>
      <c r="F681" s="41"/>
      <c r="G681" s="41"/>
      <c r="H681" s="41"/>
      <c r="I681" s="42"/>
      <c r="J681" s="41"/>
      <c r="K681" s="41"/>
      <c r="L681" s="43"/>
    </row>
    <row r="682" spans="2:12" outlineLevel="2">
      <c r="B682" s="40">
        <f t="shared" si="23"/>
        <v>220</v>
      </c>
      <c r="C682" s="41" t="s">
        <v>8</v>
      </c>
      <c r="D682" s="41"/>
      <c r="E682" s="41"/>
      <c r="F682" s="41"/>
      <c r="G682" s="41"/>
      <c r="H682" s="41"/>
      <c r="I682" s="42"/>
      <c r="J682" s="41"/>
      <c r="K682" s="41"/>
      <c r="L682" s="43"/>
    </row>
    <row r="683" spans="2:12" outlineLevel="2">
      <c r="B683" s="40">
        <f t="shared" si="23"/>
        <v>221</v>
      </c>
      <c r="C683" s="41" t="s">
        <v>8</v>
      </c>
      <c r="D683" s="41"/>
      <c r="E683" s="41"/>
      <c r="F683" s="41"/>
      <c r="G683" s="41"/>
      <c r="H683" s="41"/>
      <c r="I683" s="42"/>
      <c r="J683" s="41"/>
      <c r="K683" s="41"/>
      <c r="L683" s="43"/>
    </row>
    <row r="684" spans="2:12" outlineLevel="2">
      <c r="B684" s="40">
        <f t="shared" si="23"/>
        <v>222</v>
      </c>
      <c r="C684" s="41" t="s">
        <v>8</v>
      </c>
      <c r="D684" s="41"/>
      <c r="E684" s="41"/>
      <c r="F684" s="41"/>
      <c r="G684" s="41"/>
      <c r="H684" s="41"/>
      <c r="I684" s="42"/>
      <c r="J684" s="41"/>
      <c r="K684" s="41"/>
      <c r="L684" s="43"/>
    </row>
    <row r="685" spans="2:12" outlineLevel="2">
      <c r="B685" s="40">
        <f t="shared" si="23"/>
        <v>223</v>
      </c>
      <c r="C685" s="41" t="s">
        <v>8</v>
      </c>
      <c r="D685" s="41"/>
      <c r="E685" s="41"/>
      <c r="F685" s="41"/>
      <c r="G685" s="41"/>
      <c r="H685" s="41"/>
      <c r="I685" s="42"/>
      <c r="J685" s="41"/>
      <c r="K685" s="41"/>
      <c r="L685" s="43"/>
    </row>
    <row r="686" spans="2:12" outlineLevel="2">
      <c r="B686" s="40">
        <f t="shared" si="23"/>
        <v>224</v>
      </c>
      <c r="C686" s="41" t="s">
        <v>8</v>
      </c>
      <c r="D686" s="41"/>
      <c r="E686" s="41"/>
      <c r="F686" s="41"/>
      <c r="G686" s="41"/>
      <c r="H686" s="41"/>
      <c r="I686" s="42"/>
      <c r="J686" s="41"/>
      <c r="K686" s="41"/>
      <c r="L686" s="43"/>
    </row>
    <row r="687" spans="2:12" outlineLevel="2">
      <c r="B687" s="40">
        <f t="shared" si="23"/>
        <v>225</v>
      </c>
      <c r="C687" s="41" t="s">
        <v>8</v>
      </c>
      <c r="D687" s="41"/>
      <c r="E687" s="41"/>
      <c r="F687" s="41"/>
      <c r="G687" s="41"/>
      <c r="H687" s="41"/>
      <c r="I687" s="42"/>
      <c r="J687" s="41"/>
      <c r="K687" s="41"/>
      <c r="L687" s="43"/>
    </row>
    <row r="688" spans="2:12" outlineLevel="2">
      <c r="B688" s="40">
        <f t="shared" si="23"/>
        <v>226</v>
      </c>
      <c r="C688" s="41" t="s">
        <v>8</v>
      </c>
      <c r="D688" s="41"/>
      <c r="E688" s="41"/>
      <c r="F688" s="41"/>
      <c r="G688" s="41"/>
      <c r="H688" s="41"/>
      <c r="I688" s="42"/>
      <c r="J688" s="41"/>
      <c r="K688" s="41"/>
      <c r="L688" s="43"/>
    </row>
    <row r="689" spans="2:12" outlineLevel="2">
      <c r="B689" s="40">
        <f t="shared" si="23"/>
        <v>227</v>
      </c>
      <c r="C689" s="41" t="s">
        <v>8</v>
      </c>
      <c r="D689" s="41"/>
      <c r="E689" s="41"/>
      <c r="F689" s="41"/>
      <c r="G689" s="41"/>
      <c r="H689" s="41"/>
      <c r="I689" s="42"/>
      <c r="J689" s="41"/>
      <c r="K689" s="41"/>
      <c r="L689" s="43"/>
    </row>
    <row r="690" spans="2:12" outlineLevel="2">
      <c r="B690" s="40">
        <f t="shared" si="23"/>
        <v>228</v>
      </c>
      <c r="C690" s="41" t="s">
        <v>8</v>
      </c>
      <c r="D690" s="41"/>
      <c r="E690" s="41"/>
      <c r="F690" s="41"/>
      <c r="G690" s="41"/>
      <c r="H690" s="41"/>
      <c r="I690" s="42"/>
      <c r="J690" s="41"/>
      <c r="K690" s="41"/>
      <c r="L690" s="43"/>
    </row>
    <row r="691" spans="2:12" outlineLevel="1">
      <c r="B691" s="59" t="s">
        <v>203</v>
      </c>
      <c r="C691" s="41">
        <f>SUBTOTAL(3,C463:C690)</f>
        <v>228</v>
      </c>
      <c r="D691" s="41"/>
      <c r="E691" s="41"/>
      <c r="F691" s="41"/>
      <c r="G691" s="41"/>
      <c r="H691" s="41"/>
      <c r="I691" s="42"/>
      <c r="J691" s="41"/>
      <c r="K691" s="41"/>
      <c r="L691" s="43"/>
    </row>
    <row r="692" spans="2:12" outlineLevel="2">
      <c r="B692" s="40">
        <f t="shared" ref="B692:B755" si="24">ROW(A229)</f>
        <v>229</v>
      </c>
      <c r="C692" s="41" t="s">
        <v>9</v>
      </c>
      <c r="D692" s="41"/>
      <c r="E692" s="41"/>
      <c r="F692" s="41"/>
      <c r="G692" s="41"/>
      <c r="H692" s="41"/>
      <c r="I692" s="42"/>
      <c r="J692" s="41"/>
      <c r="K692" s="41"/>
      <c r="L692" s="43"/>
    </row>
    <row r="693" spans="2:12" outlineLevel="2">
      <c r="B693" s="40">
        <f t="shared" si="24"/>
        <v>230</v>
      </c>
      <c r="C693" s="41" t="s">
        <v>9</v>
      </c>
      <c r="D693" s="41"/>
      <c r="E693" s="41"/>
      <c r="F693" s="41"/>
      <c r="G693" s="41"/>
      <c r="H693" s="41"/>
      <c r="I693" s="42"/>
      <c r="J693" s="41"/>
      <c r="K693" s="41"/>
      <c r="L693" s="43"/>
    </row>
    <row r="694" spans="2:12" outlineLevel="2">
      <c r="B694" s="40">
        <f t="shared" si="24"/>
        <v>231</v>
      </c>
      <c r="C694" s="41" t="s">
        <v>9</v>
      </c>
      <c r="D694" s="41"/>
      <c r="E694" s="41"/>
      <c r="F694" s="41"/>
      <c r="G694" s="41"/>
      <c r="H694" s="41"/>
      <c r="I694" s="42"/>
      <c r="J694" s="41"/>
      <c r="K694" s="41"/>
      <c r="L694" s="43"/>
    </row>
    <row r="695" spans="2:12" outlineLevel="2">
      <c r="B695" s="40">
        <f t="shared" si="24"/>
        <v>232</v>
      </c>
      <c r="C695" s="41" t="s">
        <v>9</v>
      </c>
      <c r="D695" s="41"/>
      <c r="E695" s="41"/>
      <c r="F695" s="41"/>
      <c r="G695" s="41"/>
      <c r="H695" s="41"/>
      <c r="I695" s="42"/>
      <c r="J695" s="41"/>
      <c r="K695" s="41"/>
      <c r="L695" s="43"/>
    </row>
    <row r="696" spans="2:12" outlineLevel="2">
      <c r="B696" s="40">
        <f t="shared" si="24"/>
        <v>233</v>
      </c>
      <c r="C696" s="41" t="s">
        <v>9</v>
      </c>
      <c r="D696" s="41"/>
      <c r="E696" s="41"/>
      <c r="F696" s="41"/>
      <c r="G696" s="41"/>
      <c r="H696" s="41"/>
      <c r="I696" s="42"/>
      <c r="J696" s="41"/>
      <c r="K696" s="41"/>
      <c r="L696" s="43"/>
    </row>
    <row r="697" spans="2:12" outlineLevel="2">
      <c r="B697" s="40">
        <f t="shared" si="24"/>
        <v>234</v>
      </c>
      <c r="C697" s="41" t="s">
        <v>9</v>
      </c>
      <c r="D697" s="41"/>
      <c r="E697" s="41"/>
      <c r="F697" s="41"/>
      <c r="G697" s="41"/>
      <c r="H697" s="41"/>
      <c r="I697" s="42"/>
      <c r="J697" s="41"/>
      <c r="K697" s="41"/>
      <c r="L697" s="43"/>
    </row>
    <row r="698" spans="2:12" outlineLevel="2">
      <c r="B698" s="40">
        <f t="shared" si="24"/>
        <v>235</v>
      </c>
      <c r="C698" s="41" t="s">
        <v>9</v>
      </c>
      <c r="D698" s="41"/>
      <c r="E698" s="41"/>
      <c r="F698" s="41"/>
      <c r="G698" s="41"/>
      <c r="H698" s="41"/>
      <c r="I698" s="42"/>
      <c r="J698" s="41"/>
      <c r="K698" s="41"/>
      <c r="L698" s="43"/>
    </row>
    <row r="699" spans="2:12" outlineLevel="2">
      <c r="B699" s="40">
        <f t="shared" si="24"/>
        <v>236</v>
      </c>
      <c r="C699" s="41" t="s">
        <v>9</v>
      </c>
      <c r="D699" s="41"/>
      <c r="E699" s="41"/>
      <c r="F699" s="41"/>
      <c r="G699" s="41"/>
      <c r="H699" s="41"/>
      <c r="I699" s="42"/>
      <c r="J699" s="41"/>
      <c r="K699" s="41"/>
      <c r="L699" s="43"/>
    </row>
    <row r="700" spans="2:12" outlineLevel="2">
      <c r="B700" s="40">
        <f t="shared" si="24"/>
        <v>237</v>
      </c>
      <c r="C700" s="41" t="s">
        <v>9</v>
      </c>
      <c r="D700" s="41"/>
      <c r="E700" s="41"/>
      <c r="F700" s="41"/>
      <c r="G700" s="41"/>
      <c r="H700" s="41"/>
      <c r="I700" s="42"/>
      <c r="J700" s="41"/>
      <c r="K700" s="41"/>
      <c r="L700" s="43"/>
    </row>
    <row r="701" spans="2:12" outlineLevel="2">
      <c r="B701" s="40">
        <f t="shared" si="24"/>
        <v>238</v>
      </c>
      <c r="C701" s="41" t="s">
        <v>9</v>
      </c>
      <c r="D701" s="41"/>
      <c r="E701" s="41"/>
      <c r="F701" s="41"/>
      <c r="G701" s="41"/>
      <c r="H701" s="41"/>
      <c r="I701" s="42"/>
      <c r="J701" s="41"/>
      <c r="K701" s="41"/>
      <c r="L701" s="43"/>
    </row>
    <row r="702" spans="2:12" outlineLevel="2">
      <c r="B702" s="40">
        <f t="shared" si="24"/>
        <v>239</v>
      </c>
      <c r="C702" s="41" t="s">
        <v>9</v>
      </c>
      <c r="D702" s="41"/>
      <c r="E702" s="41"/>
      <c r="F702" s="41"/>
      <c r="G702" s="41"/>
      <c r="H702" s="41"/>
      <c r="I702" s="42"/>
      <c r="J702" s="41"/>
      <c r="K702" s="41"/>
      <c r="L702" s="43"/>
    </row>
    <row r="703" spans="2:12" outlineLevel="2">
      <c r="B703" s="40">
        <f t="shared" si="24"/>
        <v>240</v>
      </c>
      <c r="C703" s="41" t="s">
        <v>9</v>
      </c>
      <c r="D703" s="41"/>
      <c r="E703" s="41"/>
      <c r="F703" s="41"/>
      <c r="G703" s="41"/>
      <c r="H703" s="41"/>
      <c r="I703" s="42"/>
      <c r="J703" s="41"/>
      <c r="K703" s="41"/>
      <c r="L703" s="43"/>
    </row>
    <row r="704" spans="2:12" outlineLevel="2">
      <c r="B704" s="40">
        <f t="shared" si="24"/>
        <v>241</v>
      </c>
      <c r="C704" s="41" t="s">
        <v>9</v>
      </c>
      <c r="D704" s="41"/>
      <c r="E704" s="41"/>
      <c r="F704" s="41"/>
      <c r="G704" s="41"/>
      <c r="H704" s="41"/>
      <c r="I704" s="42"/>
      <c r="J704" s="41"/>
      <c r="K704" s="41"/>
      <c r="L704" s="43"/>
    </row>
    <row r="705" spans="2:12" outlineLevel="2">
      <c r="B705" s="40">
        <f t="shared" si="24"/>
        <v>242</v>
      </c>
      <c r="C705" s="41" t="s">
        <v>9</v>
      </c>
      <c r="D705" s="41"/>
      <c r="E705" s="41"/>
      <c r="F705" s="41"/>
      <c r="G705" s="41"/>
      <c r="H705" s="41"/>
      <c r="I705" s="42"/>
      <c r="J705" s="41"/>
      <c r="K705" s="41"/>
      <c r="L705" s="43"/>
    </row>
    <row r="706" spans="2:12" outlineLevel="2">
      <c r="B706" s="40">
        <f t="shared" si="24"/>
        <v>243</v>
      </c>
      <c r="C706" s="41" t="s">
        <v>9</v>
      </c>
      <c r="D706" s="41"/>
      <c r="E706" s="41"/>
      <c r="F706" s="41"/>
      <c r="G706" s="41"/>
      <c r="H706" s="41"/>
      <c r="I706" s="42"/>
      <c r="J706" s="41"/>
      <c r="K706" s="41"/>
      <c r="L706" s="43"/>
    </row>
    <row r="707" spans="2:12" outlineLevel="2">
      <c r="B707" s="40">
        <f t="shared" si="24"/>
        <v>244</v>
      </c>
      <c r="C707" s="41" t="s">
        <v>9</v>
      </c>
      <c r="D707" s="41"/>
      <c r="E707" s="41"/>
      <c r="F707" s="41"/>
      <c r="G707" s="41"/>
      <c r="H707" s="41"/>
      <c r="I707" s="42"/>
      <c r="J707" s="41"/>
      <c r="K707" s="41"/>
      <c r="L707" s="43"/>
    </row>
    <row r="708" spans="2:12" outlineLevel="2">
      <c r="B708" s="40">
        <f t="shared" si="24"/>
        <v>245</v>
      </c>
      <c r="C708" s="41" t="s">
        <v>9</v>
      </c>
      <c r="D708" s="41"/>
      <c r="E708" s="41"/>
      <c r="F708" s="41"/>
      <c r="G708" s="41"/>
      <c r="H708" s="41"/>
      <c r="I708" s="42"/>
      <c r="J708" s="41"/>
      <c r="K708" s="41"/>
      <c r="L708" s="43"/>
    </row>
    <row r="709" spans="2:12" outlineLevel="2">
      <c r="B709" s="40">
        <f t="shared" si="24"/>
        <v>246</v>
      </c>
      <c r="C709" s="41" t="s">
        <v>9</v>
      </c>
      <c r="D709" s="41"/>
      <c r="E709" s="41"/>
      <c r="F709" s="41"/>
      <c r="G709" s="41"/>
      <c r="H709" s="41"/>
      <c r="I709" s="42"/>
      <c r="J709" s="41"/>
      <c r="K709" s="41"/>
      <c r="L709" s="43"/>
    </row>
    <row r="710" spans="2:12" outlineLevel="2">
      <c r="B710" s="40">
        <f t="shared" si="24"/>
        <v>247</v>
      </c>
      <c r="C710" s="41" t="s">
        <v>9</v>
      </c>
      <c r="D710" s="41"/>
      <c r="E710" s="41"/>
      <c r="F710" s="41"/>
      <c r="G710" s="41"/>
      <c r="H710" s="41"/>
      <c r="I710" s="42"/>
      <c r="J710" s="41"/>
      <c r="K710" s="41"/>
      <c r="L710" s="43"/>
    </row>
    <row r="711" spans="2:12" outlineLevel="2">
      <c r="B711" s="40">
        <f t="shared" si="24"/>
        <v>248</v>
      </c>
      <c r="C711" s="41" t="s">
        <v>9</v>
      </c>
      <c r="D711" s="41"/>
      <c r="E711" s="41"/>
      <c r="F711" s="41"/>
      <c r="G711" s="41"/>
      <c r="H711" s="41"/>
      <c r="I711" s="42"/>
      <c r="J711" s="41"/>
      <c r="K711" s="41"/>
      <c r="L711" s="43"/>
    </row>
    <row r="712" spans="2:12" outlineLevel="2">
      <c r="B712" s="40">
        <f t="shared" si="24"/>
        <v>249</v>
      </c>
      <c r="C712" s="41" t="s">
        <v>9</v>
      </c>
      <c r="D712" s="41"/>
      <c r="E712" s="41"/>
      <c r="F712" s="41"/>
      <c r="G712" s="41"/>
      <c r="H712" s="41"/>
      <c r="I712" s="42"/>
      <c r="J712" s="41"/>
      <c r="K712" s="41"/>
      <c r="L712" s="43"/>
    </row>
    <row r="713" spans="2:12" outlineLevel="2">
      <c r="B713" s="40">
        <f t="shared" si="24"/>
        <v>250</v>
      </c>
      <c r="C713" s="41" t="s">
        <v>9</v>
      </c>
      <c r="D713" s="41"/>
      <c r="E713" s="41"/>
      <c r="F713" s="41"/>
      <c r="G713" s="41"/>
      <c r="H713" s="41"/>
      <c r="I713" s="42"/>
      <c r="J713" s="41"/>
      <c r="K713" s="41"/>
      <c r="L713" s="43"/>
    </row>
    <row r="714" spans="2:12" outlineLevel="2">
      <c r="B714" s="40">
        <f t="shared" si="24"/>
        <v>251</v>
      </c>
      <c r="C714" s="41" t="s">
        <v>9</v>
      </c>
      <c r="D714" s="41"/>
      <c r="E714" s="41"/>
      <c r="F714" s="41"/>
      <c r="G714" s="41"/>
      <c r="H714" s="41"/>
      <c r="I714" s="42"/>
      <c r="J714" s="41"/>
      <c r="K714" s="41"/>
      <c r="L714" s="43"/>
    </row>
    <row r="715" spans="2:12" outlineLevel="2">
      <c r="B715" s="40">
        <f t="shared" si="24"/>
        <v>252</v>
      </c>
      <c r="C715" s="41" t="s">
        <v>9</v>
      </c>
      <c r="D715" s="41"/>
      <c r="E715" s="41"/>
      <c r="F715" s="41"/>
      <c r="G715" s="41"/>
      <c r="H715" s="41"/>
      <c r="I715" s="42"/>
      <c r="J715" s="41"/>
      <c r="K715" s="41"/>
      <c r="L715" s="43"/>
    </row>
    <row r="716" spans="2:12" outlineLevel="2">
      <c r="B716" s="40">
        <f t="shared" si="24"/>
        <v>253</v>
      </c>
      <c r="C716" s="41" t="s">
        <v>9</v>
      </c>
      <c r="D716" s="41"/>
      <c r="E716" s="41"/>
      <c r="F716" s="41"/>
      <c r="G716" s="41"/>
      <c r="H716" s="41"/>
      <c r="I716" s="42"/>
      <c r="J716" s="41"/>
      <c r="K716" s="41"/>
      <c r="L716" s="43"/>
    </row>
    <row r="717" spans="2:12" outlineLevel="2">
      <c r="B717" s="40">
        <f t="shared" si="24"/>
        <v>254</v>
      </c>
      <c r="C717" s="41" t="s">
        <v>9</v>
      </c>
      <c r="D717" s="41"/>
      <c r="E717" s="41"/>
      <c r="F717" s="41"/>
      <c r="G717" s="41"/>
      <c r="H717" s="41"/>
      <c r="I717" s="42"/>
      <c r="J717" s="41"/>
      <c r="K717" s="41"/>
      <c r="L717" s="43"/>
    </row>
    <row r="718" spans="2:12" outlineLevel="2">
      <c r="B718" s="40">
        <f t="shared" si="24"/>
        <v>255</v>
      </c>
      <c r="C718" s="41" t="s">
        <v>9</v>
      </c>
      <c r="D718" s="41"/>
      <c r="E718" s="41"/>
      <c r="F718" s="41"/>
      <c r="G718" s="41"/>
      <c r="H718" s="41"/>
      <c r="I718" s="42"/>
      <c r="J718" s="41"/>
      <c r="K718" s="41"/>
      <c r="L718" s="43"/>
    </row>
    <row r="719" spans="2:12" outlineLevel="2">
      <c r="B719" s="40">
        <f t="shared" si="24"/>
        <v>256</v>
      </c>
      <c r="C719" s="41" t="s">
        <v>9</v>
      </c>
      <c r="D719" s="41"/>
      <c r="E719" s="41"/>
      <c r="F719" s="41"/>
      <c r="G719" s="41"/>
      <c r="H719" s="41"/>
      <c r="I719" s="42"/>
      <c r="J719" s="41"/>
      <c r="K719" s="41"/>
      <c r="L719" s="43"/>
    </row>
    <row r="720" spans="2:12" outlineLevel="2">
      <c r="B720" s="40">
        <f t="shared" si="24"/>
        <v>257</v>
      </c>
      <c r="C720" s="41" t="s">
        <v>9</v>
      </c>
      <c r="D720" s="41"/>
      <c r="E720" s="41"/>
      <c r="F720" s="41"/>
      <c r="G720" s="41"/>
      <c r="H720" s="41"/>
      <c r="I720" s="42"/>
      <c r="J720" s="41"/>
      <c r="K720" s="41"/>
      <c r="L720" s="43"/>
    </row>
    <row r="721" spans="2:12" outlineLevel="2">
      <c r="B721" s="40">
        <f t="shared" si="24"/>
        <v>258</v>
      </c>
      <c r="C721" s="41" t="s">
        <v>9</v>
      </c>
      <c r="D721" s="41"/>
      <c r="E721" s="41"/>
      <c r="F721" s="41"/>
      <c r="G721" s="41"/>
      <c r="H721" s="41"/>
      <c r="I721" s="42"/>
      <c r="J721" s="41"/>
      <c r="K721" s="41"/>
      <c r="L721" s="43"/>
    </row>
    <row r="722" spans="2:12" outlineLevel="2">
      <c r="B722" s="40">
        <f t="shared" si="24"/>
        <v>259</v>
      </c>
      <c r="C722" s="41" t="s">
        <v>9</v>
      </c>
      <c r="D722" s="41"/>
      <c r="E722" s="41"/>
      <c r="F722" s="41"/>
      <c r="G722" s="41"/>
      <c r="H722" s="41"/>
      <c r="I722" s="42"/>
      <c r="J722" s="41"/>
      <c r="K722" s="41"/>
      <c r="L722" s="43"/>
    </row>
    <row r="723" spans="2:12" outlineLevel="2">
      <c r="B723" s="40">
        <f t="shared" si="24"/>
        <v>260</v>
      </c>
      <c r="C723" s="41" t="s">
        <v>9</v>
      </c>
      <c r="D723" s="41"/>
      <c r="E723" s="41"/>
      <c r="F723" s="41"/>
      <c r="G723" s="41"/>
      <c r="H723" s="41"/>
      <c r="I723" s="42"/>
      <c r="J723" s="41"/>
      <c r="K723" s="41"/>
      <c r="L723" s="43"/>
    </row>
    <row r="724" spans="2:12" outlineLevel="2">
      <c r="B724" s="40">
        <f t="shared" si="24"/>
        <v>261</v>
      </c>
      <c r="C724" s="41" t="s">
        <v>9</v>
      </c>
      <c r="D724" s="41"/>
      <c r="E724" s="41"/>
      <c r="F724" s="41"/>
      <c r="G724" s="41"/>
      <c r="H724" s="41"/>
      <c r="I724" s="42"/>
      <c r="J724" s="41"/>
      <c r="K724" s="41"/>
      <c r="L724" s="43"/>
    </row>
    <row r="725" spans="2:12" outlineLevel="2">
      <c r="B725" s="40">
        <f t="shared" si="24"/>
        <v>262</v>
      </c>
      <c r="C725" s="41" t="s">
        <v>9</v>
      </c>
      <c r="D725" s="41"/>
      <c r="E725" s="41"/>
      <c r="F725" s="41"/>
      <c r="G725" s="41"/>
      <c r="H725" s="41"/>
      <c r="I725" s="42"/>
      <c r="J725" s="41"/>
      <c r="K725" s="41"/>
      <c r="L725" s="43"/>
    </row>
    <row r="726" spans="2:12" outlineLevel="2">
      <c r="B726" s="40">
        <f t="shared" si="24"/>
        <v>263</v>
      </c>
      <c r="C726" s="41" t="s">
        <v>9</v>
      </c>
      <c r="D726" s="41"/>
      <c r="E726" s="41"/>
      <c r="F726" s="41"/>
      <c r="G726" s="41"/>
      <c r="H726" s="41"/>
      <c r="I726" s="42"/>
      <c r="J726" s="41"/>
      <c r="K726" s="41"/>
      <c r="L726" s="43"/>
    </row>
    <row r="727" spans="2:12" outlineLevel="2">
      <c r="B727" s="40">
        <f t="shared" si="24"/>
        <v>264</v>
      </c>
      <c r="C727" s="41" t="s">
        <v>9</v>
      </c>
      <c r="D727" s="41"/>
      <c r="E727" s="41"/>
      <c r="F727" s="41"/>
      <c r="G727" s="41"/>
      <c r="H727" s="41"/>
      <c r="I727" s="42"/>
      <c r="J727" s="41"/>
      <c r="K727" s="41"/>
      <c r="L727" s="43"/>
    </row>
    <row r="728" spans="2:12" outlineLevel="2">
      <c r="B728" s="40">
        <f t="shared" si="24"/>
        <v>265</v>
      </c>
      <c r="C728" s="41" t="s">
        <v>9</v>
      </c>
      <c r="D728" s="41"/>
      <c r="E728" s="41"/>
      <c r="F728" s="41"/>
      <c r="G728" s="41"/>
      <c r="H728" s="41"/>
      <c r="I728" s="42"/>
      <c r="J728" s="41"/>
      <c r="K728" s="41"/>
      <c r="L728" s="43"/>
    </row>
    <row r="729" spans="2:12" outlineLevel="2">
      <c r="B729" s="40">
        <f t="shared" si="24"/>
        <v>266</v>
      </c>
      <c r="C729" s="41" t="s">
        <v>9</v>
      </c>
      <c r="D729" s="41"/>
      <c r="E729" s="41"/>
      <c r="F729" s="41"/>
      <c r="G729" s="41"/>
      <c r="H729" s="41"/>
      <c r="I729" s="42"/>
      <c r="J729" s="41"/>
      <c r="K729" s="41"/>
      <c r="L729" s="43"/>
    </row>
    <row r="730" spans="2:12" outlineLevel="2">
      <c r="B730" s="40">
        <f t="shared" si="24"/>
        <v>267</v>
      </c>
      <c r="C730" s="41" t="s">
        <v>9</v>
      </c>
      <c r="D730" s="41"/>
      <c r="E730" s="41"/>
      <c r="F730" s="41"/>
      <c r="G730" s="41"/>
      <c r="H730" s="41"/>
      <c r="I730" s="42"/>
      <c r="J730" s="41"/>
      <c r="K730" s="41"/>
      <c r="L730" s="43"/>
    </row>
    <row r="731" spans="2:12" outlineLevel="2">
      <c r="B731" s="40">
        <f t="shared" si="24"/>
        <v>268</v>
      </c>
      <c r="C731" s="41" t="s">
        <v>9</v>
      </c>
      <c r="D731" s="41"/>
      <c r="E731" s="41"/>
      <c r="F731" s="41"/>
      <c r="G731" s="41"/>
      <c r="H731" s="41"/>
      <c r="I731" s="42"/>
      <c r="J731" s="41"/>
      <c r="K731" s="41"/>
      <c r="L731" s="43"/>
    </row>
    <row r="732" spans="2:12" outlineLevel="2">
      <c r="B732" s="40">
        <f t="shared" si="24"/>
        <v>269</v>
      </c>
      <c r="C732" s="41" t="s">
        <v>9</v>
      </c>
      <c r="D732" s="41"/>
      <c r="E732" s="41"/>
      <c r="F732" s="41"/>
      <c r="G732" s="41"/>
      <c r="H732" s="41"/>
      <c r="I732" s="42"/>
      <c r="J732" s="41"/>
      <c r="K732" s="41"/>
      <c r="L732" s="43"/>
    </row>
    <row r="733" spans="2:12" outlineLevel="2">
      <c r="B733" s="40">
        <f t="shared" si="24"/>
        <v>270</v>
      </c>
      <c r="C733" s="41" t="s">
        <v>9</v>
      </c>
      <c r="D733" s="41"/>
      <c r="E733" s="41"/>
      <c r="F733" s="41"/>
      <c r="G733" s="41"/>
      <c r="H733" s="41"/>
      <c r="I733" s="42"/>
      <c r="J733" s="41"/>
      <c r="K733" s="41"/>
      <c r="L733" s="43"/>
    </row>
    <row r="734" spans="2:12" outlineLevel="2">
      <c r="B734" s="40">
        <f t="shared" si="24"/>
        <v>271</v>
      </c>
      <c r="C734" s="41" t="s">
        <v>9</v>
      </c>
      <c r="D734" s="41"/>
      <c r="E734" s="41"/>
      <c r="F734" s="41"/>
      <c r="G734" s="41"/>
      <c r="H734" s="41"/>
      <c r="I734" s="42"/>
      <c r="J734" s="41"/>
      <c r="K734" s="41"/>
      <c r="L734" s="43"/>
    </row>
    <row r="735" spans="2:12" outlineLevel="2">
      <c r="B735" s="40">
        <f t="shared" si="24"/>
        <v>272</v>
      </c>
      <c r="C735" s="41" t="s">
        <v>9</v>
      </c>
      <c r="D735" s="41"/>
      <c r="E735" s="41"/>
      <c r="F735" s="41"/>
      <c r="G735" s="41"/>
      <c r="H735" s="41"/>
      <c r="I735" s="42"/>
      <c r="J735" s="41"/>
      <c r="K735" s="41"/>
      <c r="L735" s="43"/>
    </row>
    <row r="736" spans="2:12" outlineLevel="2">
      <c r="B736" s="40">
        <f t="shared" si="24"/>
        <v>273</v>
      </c>
      <c r="C736" s="41" t="s">
        <v>9</v>
      </c>
      <c r="D736" s="41"/>
      <c r="E736" s="41"/>
      <c r="F736" s="41"/>
      <c r="G736" s="41"/>
      <c r="H736" s="41"/>
      <c r="I736" s="42"/>
      <c r="J736" s="41"/>
      <c r="K736" s="41"/>
      <c r="L736" s="43"/>
    </row>
    <row r="737" spans="2:12" outlineLevel="2">
      <c r="B737" s="40">
        <f t="shared" si="24"/>
        <v>274</v>
      </c>
      <c r="C737" s="41" t="s">
        <v>9</v>
      </c>
      <c r="D737" s="41"/>
      <c r="E737" s="41"/>
      <c r="F737" s="41"/>
      <c r="G737" s="41"/>
      <c r="H737" s="41"/>
      <c r="I737" s="42"/>
      <c r="J737" s="41"/>
      <c r="K737" s="41"/>
      <c r="L737" s="43"/>
    </row>
    <row r="738" spans="2:12" outlineLevel="2">
      <c r="B738" s="40">
        <f t="shared" si="24"/>
        <v>275</v>
      </c>
      <c r="C738" s="41" t="s">
        <v>9</v>
      </c>
      <c r="D738" s="41"/>
      <c r="E738" s="41"/>
      <c r="F738" s="41"/>
      <c r="G738" s="41"/>
      <c r="H738" s="41"/>
      <c r="I738" s="42"/>
      <c r="J738" s="41"/>
      <c r="K738" s="41"/>
      <c r="L738" s="43"/>
    </row>
    <row r="739" spans="2:12" outlineLevel="2">
      <c r="B739" s="40">
        <f t="shared" si="24"/>
        <v>276</v>
      </c>
      <c r="C739" s="41" t="s">
        <v>9</v>
      </c>
      <c r="D739" s="41"/>
      <c r="E739" s="41"/>
      <c r="F739" s="41"/>
      <c r="G739" s="41"/>
      <c r="H739" s="41"/>
      <c r="I739" s="42"/>
      <c r="J739" s="41"/>
      <c r="K739" s="41"/>
      <c r="L739" s="43"/>
    </row>
    <row r="740" spans="2:12" outlineLevel="2">
      <c r="B740" s="40">
        <f t="shared" si="24"/>
        <v>277</v>
      </c>
      <c r="C740" s="41" t="s">
        <v>9</v>
      </c>
      <c r="D740" s="41"/>
      <c r="E740" s="41"/>
      <c r="F740" s="41"/>
      <c r="G740" s="41"/>
      <c r="H740" s="41"/>
      <c r="I740" s="42"/>
      <c r="J740" s="41"/>
      <c r="K740" s="41"/>
      <c r="L740" s="43"/>
    </row>
    <row r="741" spans="2:12" outlineLevel="2">
      <c r="B741" s="40">
        <f t="shared" si="24"/>
        <v>278</v>
      </c>
      <c r="C741" s="41" t="s">
        <v>9</v>
      </c>
      <c r="D741" s="41"/>
      <c r="E741" s="41"/>
      <c r="F741" s="41"/>
      <c r="G741" s="41"/>
      <c r="H741" s="41"/>
      <c r="I741" s="42"/>
      <c r="J741" s="41"/>
      <c r="K741" s="41"/>
      <c r="L741" s="43"/>
    </row>
    <row r="742" spans="2:12" outlineLevel="2">
      <c r="B742" s="40">
        <f t="shared" si="24"/>
        <v>279</v>
      </c>
      <c r="C742" s="41" t="s">
        <v>9</v>
      </c>
      <c r="D742" s="41"/>
      <c r="E742" s="41"/>
      <c r="F742" s="41"/>
      <c r="G742" s="41"/>
      <c r="H742" s="41"/>
      <c r="I742" s="42"/>
      <c r="J742" s="41"/>
      <c r="K742" s="41"/>
      <c r="L742" s="43"/>
    </row>
    <row r="743" spans="2:12" outlineLevel="2">
      <c r="B743" s="40">
        <f t="shared" si="24"/>
        <v>280</v>
      </c>
      <c r="C743" s="41" t="s">
        <v>9</v>
      </c>
      <c r="D743" s="41"/>
      <c r="E743" s="41"/>
      <c r="F743" s="41"/>
      <c r="G743" s="41"/>
      <c r="H743" s="41"/>
      <c r="I743" s="42"/>
      <c r="J743" s="41"/>
      <c r="K743" s="41"/>
      <c r="L743" s="43"/>
    </row>
    <row r="744" spans="2:12" outlineLevel="2">
      <c r="B744" s="40">
        <f t="shared" si="24"/>
        <v>281</v>
      </c>
      <c r="C744" s="41" t="s">
        <v>9</v>
      </c>
      <c r="D744" s="41"/>
      <c r="E744" s="41"/>
      <c r="F744" s="41"/>
      <c r="G744" s="41"/>
      <c r="H744" s="41"/>
      <c r="I744" s="42"/>
      <c r="J744" s="41"/>
      <c r="K744" s="41"/>
      <c r="L744" s="43"/>
    </row>
    <row r="745" spans="2:12" outlineLevel="2">
      <c r="B745" s="40">
        <f t="shared" si="24"/>
        <v>282</v>
      </c>
      <c r="C745" s="41" t="s">
        <v>9</v>
      </c>
      <c r="D745" s="41"/>
      <c r="E745" s="41"/>
      <c r="F745" s="41"/>
      <c r="G745" s="41"/>
      <c r="H745" s="41"/>
      <c r="I745" s="42"/>
      <c r="J745" s="41"/>
      <c r="K745" s="41"/>
      <c r="L745" s="43"/>
    </row>
    <row r="746" spans="2:12" outlineLevel="2">
      <c r="B746" s="40">
        <f t="shared" si="24"/>
        <v>283</v>
      </c>
      <c r="C746" s="41" t="s">
        <v>9</v>
      </c>
      <c r="D746" s="41"/>
      <c r="E746" s="41"/>
      <c r="F746" s="41"/>
      <c r="G746" s="41"/>
      <c r="H746" s="41"/>
      <c r="I746" s="42"/>
      <c r="J746" s="41"/>
      <c r="K746" s="41"/>
      <c r="L746" s="43"/>
    </row>
    <row r="747" spans="2:12" outlineLevel="2">
      <c r="B747" s="40">
        <f t="shared" si="24"/>
        <v>284</v>
      </c>
      <c r="C747" s="41" t="s">
        <v>9</v>
      </c>
      <c r="D747" s="41"/>
      <c r="E747" s="41"/>
      <c r="F747" s="41"/>
      <c r="G747" s="41"/>
      <c r="H747" s="41"/>
      <c r="I747" s="42"/>
      <c r="J747" s="41"/>
      <c r="K747" s="41"/>
      <c r="L747" s="43"/>
    </row>
    <row r="748" spans="2:12" outlineLevel="2">
      <c r="B748" s="40">
        <f t="shared" si="24"/>
        <v>285</v>
      </c>
      <c r="C748" s="41" t="s">
        <v>9</v>
      </c>
      <c r="D748" s="41"/>
      <c r="E748" s="41"/>
      <c r="F748" s="41"/>
      <c r="G748" s="41"/>
      <c r="H748" s="41"/>
      <c r="I748" s="42"/>
      <c r="J748" s="41"/>
      <c r="K748" s="41"/>
      <c r="L748" s="43"/>
    </row>
    <row r="749" spans="2:12" outlineLevel="2">
      <c r="B749" s="40">
        <f t="shared" si="24"/>
        <v>286</v>
      </c>
      <c r="C749" s="41" t="s">
        <v>9</v>
      </c>
      <c r="D749" s="41"/>
      <c r="E749" s="41"/>
      <c r="F749" s="41"/>
      <c r="G749" s="41"/>
      <c r="H749" s="41"/>
      <c r="I749" s="42"/>
      <c r="J749" s="41"/>
      <c r="K749" s="41"/>
      <c r="L749" s="43"/>
    </row>
    <row r="750" spans="2:12" outlineLevel="2">
      <c r="B750" s="40">
        <f t="shared" si="24"/>
        <v>287</v>
      </c>
      <c r="C750" s="41" t="s">
        <v>9</v>
      </c>
      <c r="D750" s="41"/>
      <c r="E750" s="41"/>
      <c r="F750" s="41"/>
      <c r="G750" s="41"/>
      <c r="H750" s="41"/>
      <c r="I750" s="42"/>
      <c r="J750" s="41"/>
      <c r="K750" s="41"/>
      <c r="L750" s="43"/>
    </row>
    <row r="751" spans="2:12" outlineLevel="2">
      <c r="B751" s="40">
        <f t="shared" si="24"/>
        <v>288</v>
      </c>
      <c r="C751" s="41" t="s">
        <v>9</v>
      </c>
      <c r="D751" s="41"/>
      <c r="E751" s="41"/>
      <c r="F751" s="41"/>
      <c r="G751" s="41"/>
      <c r="H751" s="41"/>
      <c r="I751" s="42"/>
      <c r="J751" s="41"/>
      <c r="K751" s="41"/>
      <c r="L751" s="43"/>
    </row>
    <row r="752" spans="2:12" outlineLevel="2">
      <c r="B752" s="40">
        <f t="shared" si="24"/>
        <v>289</v>
      </c>
      <c r="C752" s="41" t="s">
        <v>9</v>
      </c>
      <c r="D752" s="41"/>
      <c r="E752" s="41"/>
      <c r="F752" s="41"/>
      <c r="G752" s="41"/>
      <c r="H752" s="41"/>
      <c r="I752" s="42"/>
      <c r="J752" s="41"/>
      <c r="K752" s="41"/>
      <c r="L752" s="43"/>
    </row>
    <row r="753" spans="2:12" outlineLevel="2">
      <c r="B753" s="40">
        <f t="shared" si="24"/>
        <v>290</v>
      </c>
      <c r="C753" s="41" t="s">
        <v>9</v>
      </c>
      <c r="D753" s="41"/>
      <c r="E753" s="41"/>
      <c r="F753" s="41"/>
      <c r="G753" s="41"/>
      <c r="H753" s="41"/>
      <c r="I753" s="42"/>
      <c r="J753" s="41"/>
      <c r="K753" s="41"/>
      <c r="L753" s="43"/>
    </row>
    <row r="754" spans="2:12" outlineLevel="2">
      <c r="B754" s="40">
        <f t="shared" si="24"/>
        <v>291</v>
      </c>
      <c r="C754" s="41" t="s">
        <v>9</v>
      </c>
      <c r="D754" s="41"/>
      <c r="E754" s="41"/>
      <c r="F754" s="41"/>
      <c r="G754" s="41"/>
      <c r="H754" s="41"/>
      <c r="I754" s="42"/>
      <c r="J754" s="41"/>
      <c r="K754" s="41"/>
      <c r="L754" s="43"/>
    </row>
    <row r="755" spans="2:12" outlineLevel="2">
      <c r="B755" s="40">
        <f t="shared" si="24"/>
        <v>292</v>
      </c>
      <c r="C755" s="41" t="s">
        <v>9</v>
      </c>
      <c r="D755" s="41"/>
      <c r="E755" s="41"/>
      <c r="F755" s="41"/>
      <c r="G755" s="41"/>
      <c r="H755" s="41"/>
      <c r="I755" s="42"/>
      <c r="J755" s="41"/>
      <c r="K755" s="41"/>
      <c r="L755" s="43"/>
    </row>
    <row r="756" spans="2:12" outlineLevel="2">
      <c r="B756" s="40">
        <f t="shared" ref="B756:B819" si="25">ROW(A293)</f>
        <v>293</v>
      </c>
      <c r="C756" s="41" t="s">
        <v>9</v>
      </c>
      <c r="D756" s="41"/>
      <c r="E756" s="41"/>
      <c r="F756" s="41"/>
      <c r="G756" s="41"/>
      <c r="H756" s="41"/>
      <c r="I756" s="42"/>
      <c r="J756" s="41"/>
      <c r="K756" s="41"/>
      <c r="L756" s="43"/>
    </row>
    <row r="757" spans="2:12" outlineLevel="2">
      <c r="B757" s="40">
        <f t="shared" si="25"/>
        <v>294</v>
      </c>
      <c r="C757" s="41" t="s">
        <v>9</v>
      </c>
      <c r="D757" s="41"/>
      <c r="E757" s="41"/>
      <c r="F757" s="41"/>
      <c r="G757" s="41"/>
      <c r="H757" s="41"/>
      <c r="I757" s="42"/>
      <c r="J757" s="41"/>
      <c r="K757" s="41"/>
      <c r="L757" s="43"/>
    </row>
    <row r="758" spans="2:12" outlineLevel="2">
      <c r="B758" s="40">
        <f t="shared" si="25"/>
        <v>295</v>
      </c>
      <c r="C758" s="41" t="s">
        <v>9</v>
      </c>
      <c r="D758" s="41"/>
      <c r="E758" s="41"/>
      <c r="F758" s="41"/>
      <c r="G758" s="41"/>
      <c r="H758" s="41"/>
      <c r="I758" s="42"/>
      <c r="J758" s="41"/>
      <c r="K758" s="41"/>
      <c r="L758" s="43"/>
    </row>
    <row r="759" spans="2:12" outlineLevel="2">
      <c r="B759" s="40">
        <f t="shared" si="25"/>
        <v>296</v>
      </c>
      <c r="C759" s="41" t="s">
        <v>9</v>
      </c>
      <c r="D759" s="41"/>
      <c r="E759" s="41"/>
      <c r="F759" s="41"/>
      <c r="G759" s="41"/>
      <c r="H759" s="41"/>
      <c r="I759" s="42"/>
      <c r="J759" s="41"/>
      <c r="K759" s="41"/>
      <c r="L759" s="43"/>
    </row>
    <row r="760" spans="2:12" outlineLevel="2">
      <c r="B760" s="40">
        <f t="shared" si="25"/>
        <v>297</v>
      </c>
      <c r="C760" s="41" t="s">
        <v>9</v>
      </c>
      <c r="D760" s="41"/>
      <c r="E760" s="41"/>
      <c r="F760" s="41"/>
      <c r="G760" s="41"/>
      <c r="H760" s="41"/>
      <c r="I760" s="42"/>
      <c r="J760" s="41"/>
      <c r="K760" s="41"/>
      <c r="L760" s="43"/>
    </row>
    <row r="761" spans="2:12" outlineLevel="2">
      <c r="B761" s="40">
        <f t="shared" si="25"/>
        <v>298</v>
      </c>
      <c r="C761" s="41" t="s">
        <v>9</v>
      </c>
      <c r="D761" s="41"/>
      <c r="E761" s="41"/>
      <c r="F761" s="41"/>
      <c r="G761" s="41"/>
      <c r="H761" s="41"/>
      <c r="I761" s="42"/>
      <c r="J761" s="41"/>
      <c r="K761" s="41"/>
      <c r="L761" s="43"/>
    </row>
    <row r="762" spans="2:12" outlineLevel="2">
      <c r="B762" s="40">
        <f t="shared" si="25"/>
        <v>299</v>
      </c>
      <c r="C762" s="41" t="s">
        <v>9</v>
      </c>
      <c r="D762" s="41"/>
      <c r="E762" s="41"/>
      <c r="F762" s="41"/>
      <c r="G762" s="41"/>
      <c r="H762" s="41"/>
      <c r="I762" s="42"/>
      <c r="J762" s="41"/>
      <c r="K762" s="41"/>
      <c r="L762" s="43"/>
    </row>
    <row r="763" spans="2:12" outlineLevel="2">
      <c r="B763" s="40">
        <f t="shared" si="25"/>
        <v>300</v>
      </c>
      <c r="C763" s="41" t="s">
        <v>9</v>
      </c>
      <c r="D763" s="41"/>
      <c r="E763" s="41"/>
      <c r="F763" s="41"/>
      <c r="G763" s="41"/>
      <c r="H763" s="41"/>
      <c r="I763" s="42"/>
      <c r="J763" s="41"/>
      <c r="K763" s="41"/>
      <c r="L763" s="43"/>
    </row>
    <row r="764" spans="2:12" outlineLevel="2">
      <c r="B764" s="40">
        <f t="shared" si="25"/>
        <v>301</v>
      </c>
      <c r="C764" s="41" t="s">
        <v>9</v>
      </c>
      <c r="D764" s="41"/>
      <c r="E764" s="41"/>
      <c r="F764" s="41"/>
      <c r="G764" s="41"/>
      <c r="H764" s="41"/>
      <c r="I764" s="42"/>
      <c r="J764" s="41"/>
      <c r="K764" s="41"/>
      <c r="L764" s="43"/>
    </row>
    <row r="765" spans="2:12" outlineLevel="2">
      <c r="B765" s="40">
        <f t="shared" si="25"/>
        <v>302</v>
      </c>
      <c r="C765" s="41" t="s">
        <v>9</v>
      </c>
      <c r="D765" s="41"/>
      <c r="E765" s="41"/>
      <c r="F765" s="41"/>
      <c r="G765" s="41"/>
      <c r="H765" s="41"/>
      <c r="I765" s="42"/>
      <c r="J765" s="41"/>
      <c r="K765" s="41"/>
      <c r="L765" s="43"/>
    </row>
    <row r="766" spans="2:12" outlineLevel="2">
      <c r="B766" s="40">
        <f t="shared" si="25"/>
        <v>303</v>
      </c>
      <c r="C766" s="41" t="s">
        <v>9</v>
      </c>
      <c r="D766" s="41"/>
      <c r="E766" s="41"/>
      <c r="F766" s="41"/>
      <c r="G766" s="41"/>
      <c r="H766" s="41"/>
      <c r="I766" s="42"/>
      <c r="J766" s="41"/>
      <c r="K766" s="41"/>
      <c r="L766" s="43"/>
    </row>
    <row r="767" spans="2:12" outlineLevel="2">
      <c r="B767" s="40">
        <f t="shared" si="25"/>
        <v>304</v>
      </c>
      <c r="C767" s="41" t="s">
        <v>9</v>
      </c>
      <c r="D767" s="41"/>
      <c r="E767" s="41"/>
      <c r="F767" s="41"/>
      <c r="G767" s="41"/>
      <c r="H767" s="41"/>
      <c r="I767" s="42"/>
      <c r="J767" s="41"/>
      <c r="K767" s="41"/>
      <c r="L767" s="43"/>
    </row>
    <row r="768" spans="2:12" outlineLevel="2">
      <c r="B768" s="40">
        <f t="shared" si="25"/>
        <v>305</v>
      </c>
      <c r="C768" s="41" t="s">
        <v>9</v>
      </c>
      <c r="D768" s="41"/>
      <c r="E768" s="41"/>
      <c r="F768" s="41"/>
      <c r="G768" s="41"/>
      <c r="H768" s="41"/>
      <c r="I768" s="42"/>
      <c r="J768" s="41"/>
      <c r="K768" s="41"/>
      <c r="L768" s="43"/>
    </row>
    <row r="769" spans="2:12" outlineLevel="2">
      <c r="B769" s="40">
        <f t="shared" si="25"/>
        <v>306</v>
      </c>
      <c r="C769" s="41" t="s">
        <v>9</v>
      </c>
      <c r="D769" s="41"/>
      <c r="E769" s="41"/>
      <c r="F769" s="41"/>
      <c r="G769" s="41"/>
      <c r="H769" s="41"/>
      <c r="I769" s="42"/>
      <c r="J769" s="41"/>
      <c r="K769" s="41"/>
      <c r="L769" s="43"/>
    </row>
    <row r="770" spans="2:12" outlineLevel="2">
      <c r="B770" s="40">
        <f t="shared" si="25"/>
        <v>307</v>
      </c>
      <c r="C770" s="41" t="s">
        <v>9</v>
      </c>
      <c r="D770" s="41"/>
      <c r="E770" s="41"/>
      <c r="F770" s="41"/>
      <c r="G770" s="41"/>
      <c r="H770" s="41"/>
      <c r="I770" s="42"/>
      <c r="J770" s="41"/>
      <c r="K770" s="41"/>
      <c r="L770" s="43"/>
    </row>
    <row r="771" spans="2:12" outlineLevel="2">
      <c r="B771" s="40">
        <f t="shared" si="25"/>
        <v>308</v>
      </c>
      <c r="C771" s="41" t="s">
        <v>9</v>
      </c>
      <c r="D771" s="41"/>
      <c r="E771" s="41"/>
      <c r="F771" s="41"/>
      <c r="G771" s="41"/>
      <c r="H771" s="41"/>
      <c r="I771" s="42"/>
      <c r="J771" s="41"/>
      <c r="K771" s="41"/>
      <c r="L771" s="43"/>
    </row>
    <row r="772" spans="2:12" outlineLevel="2">
      <c r="B772" s="40">
        <f t="shared" si="25"/>
        <v>309</v>
      </c>
      <c r="C772" s="41" t="s">
        <v>9</v>
      </c>
      <c r="D772" s="41"/>
      <c r="E772" s="41"/>
      <c r="F772" s="41"/>
      <c r="G772" s="41"/>
      <c r="H772" s="41"/>
      <c r="I772" s="42"/>
      <c r="J772" s="41"/>
      <c r="K772" s="41"/>
      <c r="L772" s="43"/>
    </row>
    <row r="773" spans="2:12" outlineLevel="2">
      <c r="B773" s="40">
        <f t="shared" si="25"/>
        <v>310</v>
      </c>
      <c r="C773" s="41" t="s">
        <v>9</v>
      </c>
      <c r="D773" s="41"/>
      <c r="E773" s="41"/>
      <c r="F773" s="41"/>
      <c r="G773" s="41"/>
      <c r="H773" s="41"/>
      <c r="I773" s="42"/>
      <c r="J773" s="41"/>
      <c r="K773" s="41"/>
      <c r="L773" s="43"/>
    </row>
    <row r="774" spans="2:12" outlineLevel="2">
      <c r="B774" s="40">
        <f t="shared" si="25"/>
        <v>311</v>
      </c>
      <c r="C774" s="41" t="s">
        <v>9</v>
      </c>
      <c r="D774" s="41"/>
      <c r="E774" s="41"/>
      <c r="F774" s="41"/>
      <c r="G774" s="41"/>
      <c r="H774" s="41"/>
      <c r="I774" s="42"/>
      <c r="J774" s="41"/>
      <c r="K774" s="41"/>
      <c r="L774" s="43"/>
    </row>
    <row r="775" spans="2:12" outlineLevel="2">
      <c r="B775" s="40">
        <f t="shared" si="25"/>
        <v>312</v>
      </c>
      <c r="C775" s="41" t="s">
        <v>9</v>
      </c>
      <c r="D775" s="41"/>
      <c r="E775" s="41"/>
      <c r="F775" s="41"/>
      <c r="G775" s="41"/>
      <c r="H775" s="41"/>
      <c r="I775" s="42"/>
      <c r="J775" s="41"/>
      <c r="K775" s="41"/>
      <c r="L775" s="43"/>
    </row>
    <row r="776" spans="2:12" outlineLevel="2">
      <c r="B776" s="40">
        <f t="shared" si="25"/>
        <v>313</v>
      </c>
      <c r="C776" s="41" t="s">
        <v>9</v>
      </c>
      <c r="D776" s="41"/>
      <c r="E776" s="41"/>
      <c r="F776" s="41"/>
      <c r="G776" s="41"/>
      <c r="H776" s="41"/>
      <c r="I776" s="42"/>
      <c r="J776" s="41"/>
      <c r="K776" s="41"/>
      <c r="L776" s="43"/>
    </row>
    <row r="777" spans="2:12" outlineLevel="2">
      <c r="B777" s="40">
        <f t="shared" si="25"/>
        <v>314</v>
      </c>
      <c r="C777" s="41" t="s">
        <v>9</v>
      </c>
      <c r="D777" s="41"/>
      <c r="E777" s="41"/>
      <c r="F777" s="41"/>
      <c r="G777" s="41"/>
      <c r="H777" s="41"/>
      <c r="I777" s="42"/>
      <c r="J777" s="41"/>
      <c r="K777" s="41"/>
      <c r="L777" s="43"/>
    </row>
    <row r="778" spans="2:12" outlineLevel="2">
      <c r="B778" s="40">
        <f t="shared" si="25"/>
        <v>315</v>
      </c>
      <c r="C778" s="41" t="s">
        <v>9</v>
      </c>
      <c r="D778" s="41"/>
      <c r="E778" s="41"/>
      <c r="F778" s="41"/>
      <c r="G778" s="41"/>
      <c r="H778" s="41"/>
      <c r="I778" s="42"/>
      <c r="J778" s="41"/>
      <c r="K778" s="41"/>
      <c r="L778" s="43"/>
    </row>
    <row r="779" spans="2:12" outlineLevel="2">
      <c r="B779" s="40">
        <f t="shared" si="25"/>
        <v>316</v>
      </c>
      <c r="C779" s="41" t="s">
        <v>9</v>
      </c>
      <c r="D779" s="41"/>
      <c r="E779" s="41"/>
      <c r="F779" s="41"/>
      <c r="G779" s="41"/>
      <c r="H779" s="41"/>
      <c r="I779" s="42"/>
      <c r="J779" s="41"/>
      <c r="K779" s="41"/>
      <c r="L779" s="43"/>
    </row>
    <row r="780" spans="2:12" outlineLevel="2">
      <c r="B780" s="40">
        <f t="shared" si="25"/>
        <v>317</v>
      </c>
      <c r="C780" s="41" t="s">
        <v>9</v>
      </c>
      <c r="D780" s="41"/>
      <c r="E780" s="41"/>
      <c r="F780" s="41"/>
      <c r="G780" s="41"/>
      <c r="H780" s="41"/>
      <c r="I780" s="42"/>
      <c r="J780" s="41"/>
      <c r="K780" s="41"/>
      <c r="L780" s="43"/>
    </row>
    <row r="781" spans="2:12" outlineLevel="2">
      <c r="B781" s="40">
        <f t="shared" si="25"/>
        <v>318</v>
      </c>
      <c r="C781" s="41" t="s">
        <v>9</v>
      </c>
      <c r="D781" s="41"/>
      <c r="E781" s="41"/>
      <c r="F781" s="41"/>
      <c r="G781" s="41"/>
      <c r="H781" s="41"/>
      <c r="I781" s="42"/>
      <c r="J781" s="41"/>
      <c r="K781" s="41"/>
      <c r="L781" s="43"/>
    </row>
    <row r="782" spans="2:12" outlineLevel="2">
      <c r="B782" s="40">
        <f t="shared" si="25"/>
        <v>319</v>
      </c>
      <c r="C782" s="41" t="s">
        <v>9</v>
      </c>
      <c r="D782" s="41"/>
      <c r="E782" s="41"/>
      <c r="F782" s="41"/>
      <c r="G782" s="41"/>
      <c r="H782" s="41"/>
      <c r="I782" s="42"/>
      <c r="J782" s="41"/>
      <c r="K782" s="41"/>
      <c r="L782" s="43"/>
    </row>
    <row r="783" spans="2:12" outlineLevel="2">
      <c r="B783" s="40">
        <f t="shared" si="25"/>
        <v>320</v>
      </c>
      <c r="C783" s="41" t="s">
        <v>9</v>
      </c>
      <c r="D783" s="41"/>
      <c r="E783" s="41"/>
      <c r="F783" s="41"/>
      <c r="G783" s="41"/>
      <c r="H783" s="41"/>
      <c r="I783" s="42"/>
      <c r="J783" s="41"/>
      <c r="K783" s="41"/>
      <c r="L783" s="43"/>
    </row>
    <row r="784" spans="2:12" outlineLevel="2">
      <c r="B784" s="40">
        <f t="shared" si="25"/>
        <v>321</v>
      </c>
      <c r="C784" s="41" t="s">
        <v>9</v>
      </c>
      <c r="D784" s="41"/>
      <c r="E784" s="41"/>
      <c r="F784" s="41"/>
      <c r="G784" s="41"/>
      <c r="H784" s="41"/>
      <c r="I784" s="42"/>
      <c r="J784" s="41"/>
      <c r="K784" s="41"/>
      <c r="L784" s="43"/>
    </row>
    <row r="785" spans="2:12" outlineLevel="2">
      <c r="B785" s="40">
        <f t="shared" si="25"/>
        <v>322</v>
      </c>
      <c r="C785" s="41" t="s">
        <v>9</v>
      </c>
      <c r="D785" s="41"/>
      <c r="E785" s="41"/>
      <c r="F785" s="41"/>
      <c r="G785" s="41"/>
      <c r="H785" s="41"/>
      <c r="I785" s="42"/>
      <c r="J785" s="41"/>
      <c r="K785" s="41"/>
      <c r="L785" s="43"/>
    </row>
    <row r="786" spans="2:12" outlineLevel="2">
      <c r="B786" s="40">
        <f t="shared" si="25"/>
        <v>323</v>
      </c>
      <c r="C786" s="41" t="s">
        <v>9</v>
      </c>
      <c r="D786" s="41"/>
      <c r="E786" s="41"/>
      <c r="F786" s="41"/>
      <c r="G786" s="41"/>
      <c r="H786" s="41"/>
      <c r="I786" s="42"/>
      <c r="J786" s="41"/>
      <c r="K786" s="41"/>
      <c r="L786" s="43"/>
    </row>
    <row r="787" spans="2:12" outlineLevel="2">
      <c r="B787" s="40">
        <f t="shared" si="25"/>
        <v>324</v>
      </c>
      <c r="C787" s="41" t="s">
        <v>9</v>
      </c>
      <c r="D787" s="41"/>
      <c r="E787" s="41"/>
      <c r="F787" s="41"/>
      <c r="G787" s="41"/>
      <c r="H787" s="41"/>
      <c r="I787" s="42"/>
      <c r="J787" s="41"/>
      <c r="K787" s="41"/>
      <c r="L787" s="43"/>
    </row>
    <row r="788" spans="2:12" outlineLevel="2">
      <c r="B788" s="40">
        <f t="shared" si="25"/>
        <v>325</v>
      </c>
      <c r="C788" s="41" t="s">
        <v>9</v>
      </c>
      <c r="D788" s="41"/>
      <c r="E788" s="41"/>
      <c r="F788" s="41"/>
      <c r="G788" s="41"/>
      <c r="H788" s="41"/>
      <c r="I788" s="42"/>
      <c r="J788" s="41"/>
      <c r="K788" s="41"/>
      <c r="L788" s="43"/>
    </row>
    <row r="789" spans="2:12" outlineLevel="2">
      <c r="B789" s="40">
        <f t="shared" si="25"/>
        <v>326</v>
      </c>
      <c r="C789" s="41" t="s">
        <v>9</v>
      </c>
      <c r="D789" s="41"/>
      <c r="E789" s="41"/>
      <c r="F789" s="41"/>
      <c r="G789" s="41"/>
      <c r="H789" s="41"/>
      <c r="I789" s="42"/>
      <c r="J789" s="41"/>
      <c r="K789" s="41"/>
      <c r="L789" s="43"/>
    </row>
    <row r="790" spans="2:12" outlineLevel="2">
      <c r="B790" s="40">
        <f t="shared" si="25"/>
        <v>327</v>
      </c>
      <c r="C790" s="41" t="s">
        <v>9</v>
      </c>
      <c r="D790" s="41"/>
      <c r="E790" s="41"/>
      <c r="F790" s="41"/>
      <c r="G790" s="41"/>
      <c r="H790" s="41"/>
      <c r="I790" s="42"/>
      <c r="J790" s="41"/>
      <c r="K790" s="41"/>
      <c r="L790" s="43"/>
    </row>
    <row r="791" spans="2:12" outlineLevel="2">
      <c r="B791" s="40">
        <f t="shared" si="25"/>
        <v>328</v>
      </c>
      <c r="C791" s="41" t="s">
        <v>9</v>
      </c>
      <c r="D791" s="41"/>
      <c r="E791" s="41"/>
      <c r="F791" s="41"/>
      <c r="G791" s="41"/>
      <c r="H791" s="41"/>
      <c r="I791" s="42"/>
      <c r="J791" s="41"/>
      <c r="K791" s="41"/>
      <c r="L791" s="43"/>
    </row>
    <row r="792" spans="2:12" outlineLevel="2">
      <c r="B792" s="40">
        <f t="shared" si="25"/>
        <v>329</v>
      </c>
      <c r="C792" s="41" t="s">
        <v>9</v>
      </c>
      <c r="D792" s="41"/>
      <c r="E792" s="41"/>
      <c r="F792" s="41"/>
      <c r="G792" s="41"/>
      <c r="H792" s="41"/>
      <c r="I792" s="42"/>
      <c r="J792" s="41"/>
      <c r="K792" s="41"/>
      <c r="L792" s="43"/>
    </row>
    <row r="793" spans="2:12" outlineLevel="2">
      <c r="B793" s="40">
        <f t="shared" si="25"/>
        <v>330</v>
      </c>
      <c r="C793" s="41" t="s">
        <v>9</v>
      </c>
      <c r="D793" s="41"/>
      <c r="E793" s="41"/>
      <c r="F793" s="41"/>
      <c r="G793" s="41"/>
      <c r="H793" s="41"/>
      <c r="I793" s="42"/>
      <c r="J793" s="41"/>
      <c r="K793" s="41"/>
      <c r="L793" s="43"/>
    </row>
    <row r="794" spans="2:12" outlineLevel="2">
      <c r="B794" s="40">
        <f t="shared" si="25"/>
        <v>331</v>
      </c>
      <c r="C794" s="41" t="s">
        <v>9</v>
      </c>
      <c r="D794" s="41"/>
      <c r="E794" s="41"/>
      <c r="F794" s="41"/>
      <c r="G794" s="41"/>
      <c r="H794" s="41"/>
      <c r="I794" s="42"/>
      <c r="J794" s="41"/>
      <c r="K794" s="41"/>
      <c r="L794" s="43"/>
    </row>
    <row r="795" spans="2:12" outlineLevel="2">
      <c r="B795" s="40">
        <f t="shared" si="25"/>
        <v>332</v>
      </c>
      <c r="C795" s="41" t="s">
        <v>9</v>
      </c>
      <c r="D795" s="41"/>
      <c r="E795" s="41"/>
      <c r="F795" s="41"/>
      <c r="G795" s="41"/>
      <c r="H795" s="41"/>
      <c r="I795" s="42"/>
      <c r="J795" s="41"/>
      <c r="K795" s="41"/>
      <c r="L795" s="43"/>
    </row>
    <row r="796" spans="2:12" outlineLevel="2">
      <c r="B796" s="40">
        <f t="shared" si="25"/>
        <v>333</v>
      </c>
      <c r="C796" s="41" t="s">
        <v>9</v>
      </c>
      <c r="D796" s="41"/>
      <c r="E796" s="41"/>
      <c r="F796" s="41"/>
      <c r="G796" s="41"/>
      <c r="H796" s="41"/>
      <c r="I796" s="42"/>
      <c r="J796" s="41"/>
      <c r="K796" s="41"/>
      <c r="L796" s="43"/>
    </row>
    <row r="797" spans="2:12" outlineLevel="2">
      <c r="B797" s="40">
        <f t="shared" si="25"/>
        <v>334</v>
      </c>
      <c r="C797" s="41" t="s">
        <v>9</v>
      </c>
      <c r="D797" s="41"/>
      <c r="E797" s="41"/>
      <c r="F797" s="41"/>
      <c r="G797" s="41"/>
      <c r="H797" s="41"/>
      <c r="I797" s="42"/>
      <c r="J797" s="41"/>
      <c r="K797" s="41"/>
      <c r="L797" s="43"/>
    </row>
    <row r="798" spans="2:12" outlineLevel="2">
      <c r="B798" s="40">
        <f t="shared" si="25"/>
        <v>335</v>
      </c>
      <c r="C798" s="41" t="s">
        <v>9</v>
      </c>
      <c r="D798" s="41"/>
      <c r="E798" s="41"/>
      <c r="F798" s="41"/>
      <c r="G798" s="41"/>
      <c r="H798" s="41"/>
      <c r="I798" s="42"/>
      <c r="J798" s="41"/>
      <c r="K798" s="41"/>
      <c r="L798" s="43"/>
    </row>
    <row r="799" spans="2:12" outlineLevel="2">
      <c r="B799" s="40">
        <f t="shared" si="25"/>
        <v>336</v>
      </c>
      <c r="C799" s="41" t="s">
        <v>9</v>
      </c>
      <c r="D799" s="41"/>
      <c r="E799" s="41"/>
      <c r="F799" s="41"/>
      <c r="G799" s="41"/>
      <c r="H799" s="41"/>
      <c r="I799" s="42"/>
      <c r="J799" s="41"/>
      <c r="K799" s="41"/>
      <c r="L799" s="43"/>
    </row>
    <row r="800" spans="2:12" outlineLevel="2">
      <c r="B800" s="40">
        <f t="shared" si="25"/>
        <v>337</v>
      </c>
      <c r="C800" s="41" t="s">
        <v>9</v>
      </c>
      <c r="D800" s="41"/>
      <c r="E800" s="41"/>
      <c r="F800" s="41"/>
      <c r="G800" s="41"/>
      <c r="H800" s="41"/>
      <c r="I800" s="42"/>
      <c r="J800" s="41"/>
      <c r="K800" s="41"/>
      <c r="L800" s="43"/>
    </row>
    <row r="801" spans="2:12" outlineLevel="2">
      <c r="B801" s="40">
        <f t="shared" si="25"/>
        <v>338</v>
      </c>
      <c r="C801" s="41" t="s">
        <v>9</v>
      </c>
      <c r="D801" s="41"/>
      <c r="E801" s="41"/>
      <c r="F801" s="41"/>
      <c r="G801" s="41"/>
      <c r="H801" s="41"/>
      <c r="I801" s="42"/>
      <c r="J801" s="41"/>
      <c r="K801" s="41"/>
      <c r="L801" s="43"/>
    </row>
    <row r="802" spans="2:12" outlineLevel="2">
      <c r="B802" s="40">
        <f t="shared" si="25"/>
        <v>339</v>
      </c>
      <c r="C802" s="41" t="s">
        <v>9</v>
      </c>
      <c r="D802" s="41"/>
      <c r="E802" s="41"/>
      <c r="F802" s="41"/>
      <c r="G802" s="41"/>
      <c r="H802" s="41"/>
      <c r="I802" s="42"/>
      <c r="J802" s="41"/>
      <c r="K802" s="41"/>
      <c r="L802" s="43"/>
    </row>
    <row r="803" spans="2:12" outlineLevel="2">
      <c r="B803" s="40">
        <f t="shared" si="25"/>
        <v>340</v>
      </c>
      <c r="C803" s="41" t="s">
        <v>9</v>
      </c>
      <c r="D803" s="41"/>
      <c r="E803" s="41"/>
      <c r="F803" s="41"/>
      <c r="G803" s="41"/>
      <c r="H803" s="41"/>
      <c r="I803" s="42"/>
      <c r="J803" s="41"/>
      <c r="K803" s="41"/>
      <c r="L803" s="43"/>
    </row>
    <row r="804" spans="2:12" outlineLevel="2">
      <c r="B804" s="40">
        <f t="shared" si="25"/>
        <v>341</v>
      </c>
      <c r="C804" s="41" t="s">
        <v>9</v>
      </c>
      <c r="D804" s="41"/>
      <c r="E804" s="41"/>
      <c r="F804" s="41"/>
      <c r="G804" s="41"/>
      <c r="H804" s="41"/>
      <c r="I804" s="42"/>
      <c r="J804" s="41"/>
      <c r="K804" s="41"/>
      <c r="L804" s="43"/>
    </row>
    <row r="805" spans="2:12" outlineLevel="2">
      <c r="B805" s="40">
        <f t="shared" si="25"/>
        <v>342</v>
      </c>
      <c r="C805" s="41" t="s">
        <v>9</v>
      </c>
      <c r="D805" s="41"/>
      <c r="E805" s="41"/>
      <c r="F805" s="41"/>
      <c r="G805" s="41"/>
      <c r="H805" s="41"/>
      <c r="I805" s="42"/>
      <c r="J805" s="41"/>
      <c r="K805" s="41"/>
      <c r="L805" s="43"/>
    </row>
    <row r="806" spans="2:12" outlineLevel="2">
      <c r="B806" s="40">
        <f t="shared" si="25"/>
        <v>343</v>
      </c>
      <c r="C806" s="41" t="s">
        <v>9</v>
      </c>
      <c r="D806" s="41"/>
      <c r="E806" s="41"/>
      <c r="F806" s="41"/>
      <c r="G806" s="41"/>
      <c r="H806" s="41"/>
      <c r="I806" s="42"/>
      <c r="J806" s="41"/>
      <c r="K806" s="41"/>
      <c r="L806" s="43"/>
    </row>
    <row r="807" spans="2:12" outlineLevel="2">
      <c r="B807" s="40">
        <f t="shared" si="25"/>
        <v>344</v>
      </c>
      <c r="C807" s="41" t="s">
        <v>9</v>
      </c>
      <c r="D807" s="41"/>
      <c r="E807" s="41"/>
      <c r="F807" s="41"/>
      <c r="G807" s="41"/>
      <c r="H807" s="41"/>
      <c r="I807" s="42"/>
      <c r="J807" s="41"/>
      <c r="K807" s="41"/>
      <c r="L807" s="43"/>
    </row>
    <row r="808" spans="2:12" outlineLevel="2">
      <c r="B808" s="40">
        <f t="shared" si="25"/>
        <v>345</v>
      </c>
      <c r="C808" s="41" t="s">
        <v>9</v>
      </c>
      <c r="D808" s="41"/>
      <c r="E808" s="41"/>
      <c r="F808" s="41"/>
      <c r="G808" s="41"/>
      <c r="H808" s="41"/>
      <c r="I808" s="42"/>
      <c r="J808" s="41"/>
      <c r="K808" s="41"/>
      <c r="L808" s="43"/>
    </row>
    <row r="809" spans="2:12" outlineLevel="2">
      <c r="B809" s="40">
        <f t="shared" si="25"/>
        <v>346</v>
      </c>
      <c r="C809" s="41" t="s">
        <v>9</v>
      </c>
      <c r="D809" s="41"/>
      <c r="E809" s="41"/>
      <c r="F809" s="41"/>
      <c r="G809" s="41"/>
      <c r="H809" s="41"/>
      <c r="I809" s="42"/>
      <c r="J809" s="41"/>
      <c r="K809" s="41"/>
      <c r="L809" s="43"/>
    </row>
    <row r="810" spans="2:12" outlineLevel="2">
      <c r="B810" s="40">
        <f t="shared" si="25"/>
        <v>347</v>
      </c>
      <c r="C810" s="41" t="s">
        <v>9</v>
      </c>
      <c r="D810" s="41"/>
      <c r="E810" s="41"/>
      <c r="F810" s="41"/>
      <c r="G810" s="41"/>
      <c r="H810" s="41"/>
      <c r="I810" s="42"/>
      <c r="J810" s="41"/>
      <c r="K810" s="41"/>
      <c r="L810" s="43"/>
    </row>
    <row r="811" spans="2:12" outlineLevel="2">
      <c r="B811" s="40">
        <f t="shared" si="25"/>
        <v>348</v>
      </c>
      <c r="C811" s="41" t="s">
        <v>9</v>
      </c>
      <c r="D811" s="41"/>
      <c r="E811" s="41"/>
      <c r="F811" s="41"/>
      <c r="G811" s="41"/>
      <c r="H811" s="41"/>
      <c r="I811" s="42"/>
      <c r="J811" s="41"/>
      <c r="K811" s="41"/>
      <c r="L811" s="43"/>
    </row>
    <row r="812" spans="2:12" outlineLevel="2">
      <c r="B812" s="40">
        <f t="shared" si="25"/>
        <v>349</v>
      </c>
      <c r="C812" s="41" t="s">
        <v>9</v>
      </c>
      <c r="D812" s="41"/>
      <c r="E812" s="41"/>
      <c r="F812" s="41"/>
      <c r="G812" s="41"/>
      <c r="H812" s="41"/>
      <c r="I812" s="42"/>
      <c r="J812" s="41"/>
      <c r="K812" s="41"/>
      <c r="L812" s="43"/>
    </row>
    <row r="813" spans="2:12" outlineLevel="2">
      <c r="B813" s="40">
        <f t="shared" si="25"/>
        <v>350</v>
      </c>
      <c r="C813" s="41" t="s">
        <v>9</v>
      </c>
      <c r="D813" s="41"/>
      <c r="E813" s="41"/>
      <c r="F813" s="41"/>
      <c r="G813" s="41"/>
      <c r="H813" s="41"/>
      <c r="I813" s="42"/>
      <c r="J813" s="41"/>
      <c r="K813" s="41"/>
      <c r="L813" s="43"/>
    </row>
    <row r="814" spans="2:12" outlineLevel="2">
      <c r="B814" s="40">
        <f t="shared" si="25"/>
        <v>351</v>
      </c>
      <c r="C814" s="41" t="s">
        <v>9</v>
      </c>
      <c r="D814" s="41"/>
      <c r="E814" s="41"/>
      <c r="F814" s="41"/>
      <c r="G814" s="41"/>
      <c r="H814" s="41"/>
      <c r="I814" s="42"/>
      <c r="J814" s="41"/>
      <c r="K814" s="41"/>
      <c r="L814" s="43"/>
    </row>
    <row r="815" spans="2:12" outlineLevel="2">
      <c r="B815" s="40">
        <f t="shared" si="25"/>
        <v>352</v>
      </c>
      <c r="C815" s="41" t="s">
        <v>9</v>
      </c>
      <c r="D815" s="41"/>
      <c r="E815" s="41"/>
      <c r="F815" s="41"/>
      <c r="G815" s="41"/>
      <c r="H815" s="41"/>
      <c r="I815" s="42"/>
      <c r="J815" s="41"/>
      <c r="K815" s="41"/>
      <c r="L815" s="43"/>
    </row>
    <row r="816" spans="2:12" outlineLevel="2">
      <c r="B816" s="40">
        <f t="shared" si="25"/>
        <v>353</v>
      </c>
      <c r="C816" s="41" t="s">
        <v>9</v>
      </c>
      <c r="D816" s="41"/>
      <c r="E816" s="41"/>
      <c r="F816" s="41"/>
      <c r="G816" s="41"/>
      <c r="H816" s="41"/>
      <c r="I816" s="42"/>
      <c r="J816" s="41"/>
      <c r="K816" s="41"/>
      <c r="L816" s="43"/>
    </row>
    <row r="817" spans="2:12" outlineLevel="2">
      <c r="B817" s="40">
        <f t="shared" si="25"/>
        <v>354</v>
      </c>
      <c r="C817" s="41" t="s">
        <v>9</v>
      </c>
      <c r="D817" s="41"/>
      <c r="E817" s="41"/>
      <c r="F817" s="41"/>
      <c r="G817" s="41"/>
      <c r="H817" s="41"/>
      <c r="I817" s="42"/>
      <c r="J817" s="41"/>
      <c r="K817" s="41"/>
      <c r="L817" s="43"/>
    </row>
    <row r="818" spans="2:12" outlineLevel="2">
      <c r="B818" s="40">
        <f t="shared" si="25"/>
        <v>355</v>
      </c>
      <c r="C818" s="41" t="s">
        <v>9</v>
      </c>
      <c r="D818" s="41"/>
      <c r="E818" s="41"/>
      <c r="F818" s="41"/>
      <c r="G818" s="41"/>
      <c r="H818" s="41"/>
      <c r="I818" s="42"/>
      <c r="J818" s="41"/>
      <c r="K818" s="41"/>
      <c r="L818" s="43"/>
    </row>
    <row r="819" spans="2:12" outlineLevel="2">
      <c r="B819" s="40">
        <f t="shared" si="25"/>
        <v>356</v>
      </c>
      <c r="C819" s="41" t="s">
        <v>9</v>
      </c>
      <c r="D819" s="41"/>
      <c r="E819" s="41"/>
      <c r="F819" s="41"/>
      <c r="G819" s="41"/>
      <c r="H819" s="41"/>
      <c r="I819" s="42"/>
      <c r="J819" s="41"/>
      <c r="K819" s="41"/>
      <c r="L819" s="43"/>
    </row>
    <row r="820" spans="2:12" outlineLevel="2">
      <c r="B820" s="40">
        <f t="shared" ref="B820:B883" si="26">ROW(A357)</f>
        <v>357</v>
      </c>
      <c r="C820" s="41" t="s">
        <v>9</v>
      </c>
      <c r="D820" s="41"/>
      <c r="E820" s="41"/>
      <c r="F820" s="41"/>
      <c r="G820" s="41"/>
      <c r="H820" s="41"/>
      <c r="I820" s="42"/>
      <c r="J820" s="41"/>
      <c r="K820" s="41"/>
      <c r="L820" s="43"/>
    </row>
    <row r="821" spans="2:12" outlineLevel="2">
      <c r="B821" s="40">
        <f t="shared" si="26"/>
        <v>358</v>
      </c>
      <c r="C821" s="41" t="s">
        <v>9</v>
      </c>
      <c r="D821" s="41"/>
      <c r="E821" s="41"/>
      <c r="F821" s="41"/>
      <c r="G821" s="41"/>
      <c r="H821" s="41"/>
      <c r="I821" s="42"/>
      <c r="J821" s="41"/>
      <c r="K821" s="41"/>
      <c r="L821" s="43"/>
    </row>
    <row r="822" spans="2:12" outlineLevel="2">
      <c r="B822" s="40">
        <f t="shared" si="26"/>
        <v>359</v>
      </c>
      <c r="C822" s="41" t="s">
        <v>9</v>
      </c>
      <c r="D822" s="41"/>
      <c r="E822" s="41"/>
      <c r="F822" s="41"/>
      <c r="G822" s="41"/>
      <c r="H822" s="41"/>
      <c r="I822" s="42"/>
      <c r="J822" s="41"/>
      <c r="K822" s="41"/>
      <c r="L822" s="43"/>
    </row>
    <row r="823" spans="2:12" outlineLevel="2">
      <c r="B823" s="40">
        <f t="shared" si="26"/>
        <v>360</v>
      </c>
      <c r="C823" s="41" t="s">
        <v>9</v>
      </c>
      <c r="D823" s="41"/>
      <c r="E823" s="41"/>
      <c r="F823" s="41"/>
      <c r="G823" s="41"/>
      <c r="H823" s="41"/>
      <c r="I823" s="42"/>
      <c r="J823" s="41"/>
      <c r="K823" s="41"/>
      <c r="L823" s="43"/>
    </row>
    <row r="824" spans="2:12" outlineLevel="2">
      <c r="B824" s="40">
        <f t="shared" si="26"/>
        <v>361</v>
      </c>
      <c r="C824" s="41" t="s">
        <v>9</v>
      </c>
      <c r="D824" s="41"/>
      <c r="E824" s="41"/>
      <c r="F824" s="41"/>
      <c r="G824" s="41"/>
      <c r="H824" s="41"/>
      <c r="I824" s="42"/>
      <c r="J824" s="41"/>
      <c r="K824" s="41"/>
      <c r="L824" s="43"/>
    </row>
    <row r="825" spans="2:12" outlineLevel="2">
      <c r="B825" s="40">
        <f t="shared" si="26"/>
        <v>362</v>
      </c>
      <c r="C825" s="41" t="s">
        <v>9</v>
      </c>
      <c r="D825" s="41"/>
      <c r="E825" s="41"/>
      <c r="F825" s="41"/>
      <c r="G825" s="41"/>
      <c r="H825" s="41"/>
      <c r="I825" s="42"/>
      <c r="J825" s="41"/>
      <c r="K825" s="41"/>
      <c r="L825" s="43"/>
    </row>
    <row r="826" spans="2:12" outlineLevel="2">
      <c r="B826" s="40">
        <f t="shared" si="26"/>
        <v>363</v>
      </c>
      <c r="C826" s="41" t="s">
        <v>9</v>
      </c>
      <c r="D826" s="41"/>
      <c r="E826" s="41"/>
      <c r="F826" s="41"/>
      <c r="G826" s="41"/>
      <c r="H826" s="41"/>
      <c r="I826" s="42"/>
      <c r="J826" s="41"/>
      <c r="K826" s="41"/>
      <c r="L826" s="43"/>
    </row>
    <row r="827" spans="2:12" outlineLevel="2">
      <c r="B827" s="40">
        <f t="shared" si="26"/>
        <v>364</v>
      </c>
      <c r="C827" s="41" t="s">
        <v>9</v>
      </c>
      <c r="D827" s="41"/>
      <c r="E827" s="41"/>
      <c r="F827" s="41"/>
      <c r="G827" s="41"/>
      <c r="H827" s="41"/>
      <c r="I827" s="42"/>
      <c r="J827" s="41"/>
      <c r="K827" s="41"/>
      <c r="L827" s="43"/>
    </row>
    <row r="828" spans="2:12" outlineLevel="2">
      <c r="B828" s="40">
        <f t="shared" si="26"/>
        <v>365</v>
      </c>
      <c r="C828" s="41" t="s">
        <v>9</v>
      </c>
      <c r="D828" s="41"/>
      <c r="E828" s="41"/>
      <c r="F828" s="41"/>
      <c r="G828" s="41"/>
      <c r="H828" s="41"/>
      <c r="I828" s="42"/>
      <c r="J828" s="41"/>
      <c r="K828" s="41"/>
      <c r="L828" s="43"/>
    </row>
    <row r="829" spans="2:12" outlineLevel="2">
      <c r="B829" s="40">
        <f t="shared" si="26"/>
        <v>366</v>
      </c>
      <c r="C829" s="41" t="s">
        <v>9</v>
      </c>
      <c r="D829" s="41"/>
      <c r="E829" s="41"/>
      <c r="F829" s="41"/>
      <c r="G829" s="41"/>
      <c r="H829" s="41"/>
      <c r="I829" s="42"/>
      <c r="J829" s="41"/>
      <c r="K829" s="41"/>
      <c r="L829" s="43"/>
    </row>
    <row r="830" spans="2:12" outlineLevel="2">
      <c r="B830" s="40">
        <f t="shared" si="26"/>
        <v>367</v>
      </c>
      <c r="C830" s="41" t="s">
        <v>9</v>
      </c>
      <c r="D830" s="41"/>
      <c r="E830" s="41"/>
      <c r="F830" s="41"/>
      <c r="G830" s="41"/>
      <c r="H830" s="41"/>
      <c r="I830" s="42"/>
      <c r="J830" s="41"/>
      <c r="K830" s="41"/>
      <c r="L830" s="43"/>
    </row>
    <row r="831" spans="2:12" outlineLevel="2">
      <c r="B831" s="40">
        <f t="shared" si="26"/>
        <v>368</v>
      </c>
      <c r="C831" s="41" t="s">
        <v>9</v>
      </c>
      <c r="D831" s="41"/>
      <c r="E831" s="41"/>
      <c r="F831" s="41"/>
      <c r="G831" s="41"/>
      <c r="H831" s="41"/>
      <c r="I831" s="42"/>
      <c r="J831" s="41"/>
      <c r="K831" s="41"/>
      <c r="L831" s="43"/>
    </row>
    <row r="832" spans="2:12" outlineLevel="2">
      <c r="B832" s="40">
        <f t="shared" si="26"/>
        <v>369</v>
      </c>
      <c r="C832" s="41" t="s">
        <v>9</v>
      </c>
      <c r="D832" s="41"/>
      <c r="E832" s="41"/>
      <c r="F832" s="41"/>
      <c r="G832" s="41"/>
      <c r="H832" s="41"/>
      <c r="I832" s="42"/>
      <c r="J832" s="41"/>
      <c r="K832" s="41"/>
      <c r="L832" s="43"/>
    </row>
    <row r="833" spans="2:12" outlineLevel="2">
      <c r="B833" s="40">
        <f t="shared" si="26"/>
        <v>370</v>
      </c>
      <c r="C833" s="41" t="s">
        <v>9</v>
      </c>
      <c r="D833" s="41"/>
      <c r="E833" s="41"/>
      <c r="F833" s="41"/>
      <c r="G833" s="41"/>
      <c r="H833" s="41"/>
      <c r="I833" s="42"/>
      <c r="J833" s="41"/>
      <c r="K833" s="41"/>
      <c r="L833" s="43"/>
    </row>
    <row r="834" spans="2:12" outlineLevel="2">
      <c r="B834" s="40">
        <f t="shared" si="26"/>
        <v>371</v>
      </c>
      <c r="C834" s="41" t="s">
        <v>9</v>
      </c>
      <c r="D834" s="41"/>
      <c r="E834" s="41"/>
      <c r="F834" s="41"/>
      <c r="G834" s="41"/>
      <c r="H834" s="41"/>
      <c r="I834" s="42"/>
      <c r="J834" s="41"/>
      <c r="K834" s="41"/>
      <c r="L834" s="43"/>
    </row>
    <row r="835" spans="2:12" outlineLevel="2">
      <c r="B835" s="40">
        <f t="shared" si="26"/>
        <v>372</v>
      </c>
      <c r="C835" s="41" t="s">
        <v>9</v>
      </c>
      <c r="D835" s="41"/>
      <c r="E835" s="41"/>
      <c r="F835" s="41"/>
      <c r="G835" s="41"/>
      <c r="H835" s="41"/>
      <c r="I835" s="42"/>
      <c r="J835" s="41"/>
      <c r="K835" s="41"/>
      <c r="L835" s="43"/>
    </row>
    <row r="836" spans="2:12" outlineLevel="2">
      <c r="B836" s="40">
        <f t="shared" si="26"/>
        <v>373</v>
      </c>
      <c r="C836" s="41" t="s">
        <v>9</v>
      </c>
      <c r="D836" s="41"/>
      <c r="E836" s="41"/>
      <c r="F836" s="41"/>
      <c r="G836" s="41"/>
      <c r="H836" s="41"/>
      <c r="I836" s="42"/>
      <c r="J836" s="41"/>
      <c r="K836" s="41"/>
      <c r="L836" s="43"/>
    </row>
    <row r="837" spans="2:12" outlineLevel="2">
      <c r="B837" s="40">
        <f t="shared" si="26"/>
        <v>374</v>
      </c>
      <c r="C837" s="41" t="s">
        <v>9</v>
      </c>
      <c r="D837" s="41"/>
      <c r="E837" s="41"/>
      <c r="F837" s="41"/>
      <c r="G837" s="41"/>
      <c r="H837" s="41"/>
      <c r="I837" s="42"/>
      <c r="J837" s="41"/>
      <c r="K837" s="41"/>
      <c r="L837" s="43"/>
    </row>
    <row r="838" spans="2:12" outlineLevel="2">
      <c r="B838" s="40">
        <f t="shared" si="26"/>
        <v>375</v>
      </c>
      <c r="C838" s="41" t="s">
        <v>9</v>
      </c>
      <c r="D838" s="41"/>
      <c r="E838" s="41"/>
      <c r="F838" s="41"/>
      <c r="G838" s="41"/>
      <c r="H838" s="41"/>
      <c r="I838" s="42"/>
      <c r="J838" s="41"/>
      <c r="K838" s="41"/>
      <c r="L838" s="43"/>
    </row>
    <row r="839" spans="2:12" outlineLevel="2">
      <c r="B839" s="40">
        <f t="shared" si="26"/>
        <v>376</v>
      </c>
      <c r="C839" s="41" t="s">
        <v>9</v>
      </c>
      <c r="D839" s="41"/>
      <c r="E839" s="41"/>
      <c r="F839" s="41"/>
      <c r="G839" s="41"/>
      <c r="H839" s="41"/>
      <c r="I839" s="42"/>
      <c r="J839" s="41"/>
      <c r="K839" s="41"/>
      <c r="L839" s="43"/>
    </row>
    <row r="840" spans="2:12" outlineLevel="2">
      <c r="B840" s="40">
        <f t="shared" si="26"/>
        <v>377</v>
      </c>
      <c r="C840" s="41" t="s">
        <v>9</v>
      </c>
      <c r="D840" s="41"/>
      <c r="E840" s="41"/>
      <c r="F840" s="41"/>
      <c r="G840" s="41"/>
      <c r="H840" s="41"/>
      <c r="I840" s="42"/>
      <c r="J840" s="41"/>
      <c r="K840" s="41"/>
      <c r="L840" s="43"/>
    </row>
    <row r="841" spans="2:12" outlineLevel="2">
      <c r="B841" s="40">
        <f t="shared" si="26"/>
        <v>378</v>
      </c>
      <c r="C841" s="41" t="s">
        <v>9</v>
      </c>
      <c r="D841" s="41"/>
      <c r="E841" s="41"/>
      <c r="F841" s="41"/>
      <c r="G841" s="41"/>
      <c r="H841" s="41"/>
      <c r="I841" s="42"/>
      <c r="J841" s="41"/>
      <c r="K841" s="41"/>
      <c r="L841" s="43"/>
    </row>
    <row r="842" spans="2:12" outlineLevel="2">
      <c r="B842" s="40">
        <f t="shared" si="26"/>
        <v>379</v>
      </c>
      <c r="C842" s="41" t="s">
        <v>9</v>
      </c>
      <c r="D842" s="41"/>
      <c r="E842" s="41"/>
      <c r="F842" s="41"/>
      <c r="G842" s="41"/>
      <c r="H842" s="41"/>
      <c r="I842" s="42"/>
      <c r="J842" s="41"/>
      <c r="K842" s="41"/>
      <c r="L842" s="43"/>
    </row>
    <row r="843" spans="2:12" outlineLevel="2">
      <c r="B843" s="40">
        <f t="shared" si="26"/>
        <v>380</v>
      </c>
      <c r="C843" s="41" t="s">
        <v>9</v>
      </c>
      <c r="D843" s="41"/>
      <c r="E843" s="41"/>
      <c r="F843" s="41"/>
      <c r="G843" s="41"/>
      <c r="H843" s="41"/>
      <c r="I843" s="42"/>
      <c r="J843" s="41"/>
      <c r="K843" s="41"/>
      <c r="L843" s="43"/>
    </row>
    <row r="844" spans="2:12" outlineLevel="2">
      <c r="B844" s="40">
        <f t="shared" si="26"/>
        <v>381</v>
      </c>
      <c r="C844" s="41" t="s">
        <v>9</v>
      </c>
      <c r="D844" s="41"/>
      <c r="E844" s="41"/>
      <c r="F844" s="41"/>
      <c r="G844" s="41"/>
      <c r="H844" s="41"/>
      <c r="I844" s="42"/>
      <c r="J844" s="41"/>
      <c r="K844" s="41"/>
      <c r="L844" s="43"/>
    </row>
    <row r="845" spans="2:12" outlineLevel="2">
      <c r="B845" s="40">
        <f t="shared" si="26"/>
        <v>382</v>
      </c>
      <c r="C845" s="41" t="s">
        <v>9</v>
      </c>
      <c r="D845" s="41"/>
      <c r="E845" s="41"/>
      <c r="F845" s="41"/>
      <c r="G845" s="41"/>
      <c r="H845" s="41"/>
      <c r="I845" s="42"/>
      <c r="J845" s="41"/>
      <c r="K845" s="41"/>
      <c r="L845" s="43"/>
    </row>
    <row r="846" spans="2:12" outlineLevel="2">
      <c r="B846" s="40">
        <f t="shared" si="26"/>
        <v>383</v>
      </c>
      <c r="C846" s="41" t="s">
        <v>9</v>
      </c>
      <c r="D846" s="41"/>
      <c r="E846" s="41"/>
      <c r="F846" s="41"/>
      <c r="G846" s="41"/>
      <c r="H846" s="41"/>
      <c r="I846" s="42"/>
      <c r="J846" s="41"/>
      <c r="K846" s="41"/>
      <c r="L846" s="43"/>
    </row>
    <row r="847" spans="2:12" outlineLevel="2">
      <c r="B847" s="40">
        <f t="shared" si="26"/>
        <v>384</v>
      </c>
      <c r="C847" s="41" t="s">
        <v>9</v>
      </c>
      <c r="D847" s="41"/>
      <c r="E847" s="41"/>
      <c r="F847" s="41"/>
      <c r="G847" s="41"/>
      <c r="H847" s="41"/>
      <c r="I847" s="42"/>
      <c r="J847" s="41"/>
      <c r="K847" s="41"/>
      <c r="L847" s="43"/>
    </row>
    <row r="848" spans="2:12" outlineLevel="2">
      <c r="B848" s="40">
        <f t="shared" si="26"/>
        <v>385</v>
      </c>
      <c r="C848" s="41" t="s">
        <v>9</v>
      </c>
      <c r="D848" s="41"/>
      <c r="E848" s="41"/>
      <c r="F848" s="41"/>
      <c r="G848" s="41"/>
      <c r="H848" s="41"/>
      <c r="I848" s="42"/>
      <c r="J848" s="41"/>
      <c r="K848" s="41"/>
      <c r="L848" s="43"/>
    </row>
    <row r="849" spans="2:12" outlineLevel="2">
      <c r="B849" s="40">
        <f t="shared" si="26"/>
        <v>386</v>
      </c>
      <c r="C849" s="41" t="s">
        <v>9</v>
      </c>
      <c r="D849" s="41"/>
      <c r="E849" s="41"/>
      <c r="F849" s="41"/>
      <c r="G849" s="41"/>
      <c r="H849" s="41"/>
      <c r="I849" s="42"/>
      <c r="J849" s="41"/>
      <c r="K849" s="41"/>
      <c r="L849" s="43"/>
    </row>
    <row r="850" spans="2:12" outlineLevel="2">
      <c r="B850" s="40">
        <f t="shared" si="26"/>
        <v>387</v>
      </c>
      <c r="C850" s="41" t="s">
        <v>9</v>
      </c>
      <c r="D850" s="41"/>
      <c r="E850" s="41"/>
      <c r="F850" s="41"/>
      <c r="G850" s="41"/>
      <c r="H850" s="41"/>
      <c r="I850" s="42"/>
      <c r="J850" s="41"/>
      <c r="K850" s="41"/>
      <c r="L850" s="43"/>
    </row>
    <row r="851" spans="2:12" outlineLevel="2">
      <c r="B851" s="40">
        <f t="shared" si="26"/>
        <v>388</v>
      </c>
      <c r="C851" s="41" t="s">
        <v>9</v>
      </c>
      <c r="D851" s="41"/>
      <c r="E851" s="41"/>
      <c r="F851" s="41"/>
      <c r="G851" s="41"/>
      <c r="H851" s="41"/>
      <c r="I851" s="42"/>
      <c r="J851" s="41"/>
      <c r="K851" s="41"/>
      <c r="L851" s="43"/>
    </row>
    <row r="852" spans="2:12" outlineLevel="2">
      <c r="B852" s="40">
        <f t="shared" si="26"/>
        <v>389</v>
      </c>
      <c r="C852" s="41" t="s">
        <v>9</v>
      </c>
      <c r="D852" s="41"/>
      <c r="E852" s="41"/>
      <c r="F852" s="41"/>
      <c r="G852" s="41"/>
      <c r="H852" s="41"/>
      <c r="I852" s="42"/>
      <c r="J852" s="41"/>
      <c r="K852" s="41"/>
      <c r="L852" s="43"/>
    </row>
    <row r="853" spans="2:12" outlineLevel="2">
      <c r="B853" s="40">
        <f t="shared" si="26"/>
        <v>390</v>
      </c>
      <c r="C853" s="41" t="s">
        <v>9</v>
      </c>
      <c r="D853" s="41"/>
      <c r="E853" s="41"/>
      <c r="F853" s="41"/>
      <c r="G853" s="41"/>
      <c r="H853" s="41"/>
      <c r="I853" s="42"/>
      <c r="J853" s="41"/>
      <c r="K853" s="41"/>
      <c r="L853" s="43"/>
    </row>
    <row r="854" spans="2:12" outlineLevel="2">
      <c r="B854" s="40">
        <f t="shared" si="26"/>
        <v>391</v>
      </c>
      <c r="C854" s="41" t="s">
        <v>9</v>
      </c>
      <c r="D854" s="41"/>
      <c r="E854" s="41"/>
      <c r="F854" s="41"/>
      <c r="G854" s="41"/>
      <c r="H854" s="41"/>
      <c r="I854" s="42"/>
      <c r="J854" s="41"/>
      <c r="K854" s="41"/>
      <c r="L854" s="43"/>
    </row>
    <row r="855" spans="2:12" outlineLevel="2">
      <c r="B855" s="40">
        <f t="shared" si="26"/>
        <v>392</v>
      </c>
      <c r="C855" s="41" t="s">
        <v>9</v>
      </c>
      <c r="D855" s="41"/>
      <c r="E855" s="41"/>
      <c r="F855" s="41"/>
      <c r="G855" s="41"/>
      <c r="H855" s="41"/>
      <c r="I855" s="42"/>
      <c r="J855" s="41"/>
      <c r="K855" s="41"/>
      <c r="L855" s="43"/>
    </row>
    <row r="856" spans="2:12" outlineLevel="2">
      <c r="B856" s="40">
        <f t="shared" si="26"/>
        <v>393</v>
      </c>
      <c r="C856" s="41" t="s">
        <v>9</v>
      </c>
      <c r="D856" s="41"/>
      <c r="E856" s="41"/>
      <c r="F856" s="41"/>
      <c r="G856" s="41"/>
      <c r="H856" s="41"/>
      <c r="I856" s="42"/>
      <c r="J856" s="41"/>
      <c r="K856" s="41"/>
      <c r="L856" s="43"/>
    </row>
    <row r="857" spans="2:12" outlineLevel="2">
      <c r="B857" s="40">
        <f t="shared" si="26"/>
        <v>394</v>
      </c>
      <c r="C857" s="41" t="s">
        <v>9</v>
      </c>
      <c r="D857" s="41"/>
      <c r="E857" s="41"/>
      <c r="F857" s="41"/>
      <c r="G857" s="41"/>
      <c r="H857" s="41"/>
      <c r="I857" s="42"/>
      <c r="J857" s="41"/>
      <c r="K857" s="41"/>
      <c r="L857" s="43"/>
    </row>
    <row r="858" spans="2:12" outlineLevel="2">
      <c r="B858" s="40">
        <f t="shared" si="26"/>
        <v>395</v>
      </c>
      <c r="C858" s="41" t="s">
        <v>9</v>
      </c>
      <c r="D858" s="41"/>
      <c r="E858" s="41"/>
      <c r="F858" s="41"/>
      <c r="G858" s="41"/>
      <c r="H858" s="41"/>
      <c r="I858" s="42"/>
      <c r="J858" s="41"/>
      <c r="K858" s="41"/>
      <c r="L858" s="43"/>
    </row>
    <row r="859" spans="2:12" outlineLevel="2">
      <c r="B859" s="40">
        <f t="shared" si="26"/>
        <v>396</v>
      </c>
      <c r="C859" s="41" t="s">
        <v>9</v>
      </c>
      <c r="D859" s="41"/>
      <c r="E859" s="41"/>
      <c r="F859" s="41"/>
      <c r="G859" s="41"/>
      <c r="H859" s="41"/>
      <c r="I859" s="42"/>
      <c r="J859" s="41"/>
      <c r="K859" s="41"/>
      <c r="L859" s="43"/>
    </row>
    <row r="860" spans="2:12" outlineLevel="2">
      <c r="B860" s="40">
        <f t="shared" si="26"/>
        <v>397</v>
      </c>
      <c r="C860" s="41" t="s">
        <v>9</v>
      </c>
      <c r="D860" s="41"/>
      <c r="E860" s="41"/>
      <c r="F860" s="41"/>
      <c r="G860" s="41"/>
      <c r="H860" s="41"/>
      <c r="I860" s="42"/>
      <c r="J860" s="41"/>
      <c r="K860" s="41"/>
      <c r="L860" s="43"/>
    </row>
    <row r="861" spans="2:12" outlineLevel="2">
      <c r="B861" s="40">
        <f t="shared" si="26"/>
        <v>398</v>
      </c>
      <c r="C861" s="41" t="s">
        <v>9</v>
      </c>
      <c r="D861" s="41"/>
      <c r="E861" s="41"/>
      <c r="F861" s="41"/>
      <c r="G861" s="41"/>
      <c r="H861" s="41"/>
      <c r="I861" s="42"/>
      <c r="J861" s="41"/>
      <c r="K861" s="41"/>
      <c r="L861" s="43"/>
    </row>
    <row r="862" spans="2:12" outlineLevel="2">
      <c r="B862" s="40">
        <f t="shared" si="26"/>
        <v>399</v>
      </c>
      <c r="C862" s="41" t="s">
        <v>9</v>
      </c>
      <c r="D862" s="41"/>
      <c r="E862" s="41"/>
      <c r="F862" s="41"/>
      <c r="G862" s="41"/>
      <c r="H862" s="41"/>
      <c r="I862" s="42"/>
      <c r="J862" s="41"/>
      <c r="K862" s="41"/>
      <c r="L862" s="43"/>
    </row>
    <row r="863" spans="2:12" outlineLevel="2">
      <c r="B863" s="40">
        <f t="shared" si="26"/>
        <v>400</v>
      </c>
      <c r="C863" s="41" t="s">
        <v>9</v>
      </c>
      <c r="D863" s="41"/>
      <c r="E863" s="41"/>
      <c r="F863" s="41"/>
      <c r="G863" s="41"/>
      <c r="H863" s="41"/>
      <c r="I863" s="42"/>
      <c r="J863" s="41"/>
      <c r="K863" s="41"/>
      <c r="L863" s="43"/>
    </row>
    <row r="864" spans="2:12" outlineLevel="2">
      <c r="B864" s="40">
        <f t="shared" si="26"/>
        <v>401</v>
      </c>
      <c r="C864" s="41" t="s">
        <v>9</v>
      </c>
      <c r="D864" s="41"/>
      <c r="E864" s="41"/>
      <c r="F864" s="41"/>
      <c r="G864" s="41"/>
      <c r="H864" s="41"/>
      <c r="I864" s="42"/>
      <c r="J864" s="41"/>
      <c r="K864" s="41"/>
      <c r="L864" s="43"/>
    </row>
    <row r="865" spans="2:12" outlineLevel="2">
      <c r="B865" s="40">
        <f t="shared" si="26"/>
        <v>402</v>
      </c>
      <c r="C865" s="41" t="s">
        <v>9</v>
      </c>
      <c r="D865" s="41"/>
      <c r="E865" s="41"/>
      <c r="F865" s="41"/>
      <c r="G865" s="41"/>
      <c r="H865" s="41"/>
      <c r="I865" s="42"/>
      <c r="J865" s="41"/>
      <c r="K865" s="41"/>
      <c r="L865" s="43"/>
    </row>
    <row r="866" spans="2:12" outlineLevel="2">
      <c r="B866" s="40">
        <f t="shared" si="26"/>
        <v>403</v>
      </c>
      <c r="C866" s="41" t="s">
        <v>9</v>
      </c>
      <c r="D866" s="41"/>
      <c r="E866" s="41"/>
      <c r="F866" s="41"/>
      <c r="G866" s="41"/>
      <c r="H866" s="41"/>
      <c r="I866" s="42"/>
      <c r="J866" s="41"/>
      <c r="K866" s="41"/>
      <c r="L866" s="43"/>
    </row>
    <row r="867" spans="2:12" outlineLevel="2">
      <c r="B867" s="40">
        <f t="shared" si="26"/>
        <v>404</v>
      </c>
      <c r="C867" s="41" t="s">
        <v>9</v>
      </c>
      <c r="D867" s="41"/>
      <c r="E867" s="41"/>
      <c r="F867" s="41"/>
      <c r="G867" s="41"/>
      <c r="H867" s="41"/>
      <c r="I867" s="42"/>
      <c r="J867" s="41"/>
      <c r="K867" s="41"/>
      <c r="L867" s="43"/>
    </row>
    <row r="868" spans="2:12" outlineLevel="2">
      <c r="B868" s="40">
        <f t="shared" si="26"/>
        <v>405</v>
      </c>
      <c r="C868" s="41" t="s">
        <v>9</v>
      </c>
      <c r="D868" s="41"/>
      <c r="E868" s="41"/>
      <c r="F868" s="41"/>
      <c r="G868" s="41"/>
      <c r="H868" s="41"/>
      <c r="I868" s="42"/>
      <c r="J868" s="41"/>
      <c r="K868" s="41"/>
      <c r="L868" s="43"/>
    </row>
    <row r="869" spans="2:12" outlineLevel="2">
      <c r="B869" s="40">
        <f t="shared" si="26"/>
        <v>406</v>
      </c>
      <c r="C869" s="41" t="s">
        <v>9</v>
      </c>
      <c r="D869" s="41"/>
      <c r="E869" s="41"/>
      <c r="F869" s="41"/>
      <c r="G869" s="41"/>
      <c r="H869" s="41"/>
      <c r="I869" s="42"/>
      <c r="J869" s="41"/>
      <c r="K869" s="41"/>
      <c r="L869" s="43"/>
    </row>
    <row r="870" spans="2:12" outlineLevel="2">
      <c r="B870" s="40">
        <f t="shared" si="26"/>
        <v>407</v>
      </c>
      <c r="C870" s="41" t="s">
        <v>9</v>
      </c>
      <c r="D870" s="41"/>
      <c r="E870" s="41"/>
      <c r="F870" s="41"/>
      <c r="G870" s="41"/>
      <c r="H870" s="41"/>
      <c r="I870" s="42"/>
      <c r="J870" s="41"/>
      <c r="K870" s="41"/>
      <c r="L870" s="43"/>
    </row>
    <row r="871" spans="2:12" outlineLevel="2">
      <c r="B871" s="40">
        <f t="shared" si="26"/>
        <v>408</v>
      </c>
      <c r="C871" s="41" t="s">
        <v>9</v>
      </c>
      <c r="D871" s="41"/>
      <c r="E871" s="41"/>
      <c r="F871" s="41"/>
      <c r="G871" s="41"/>
      <c r="H871" s="41"/>
      <c r="I871" s="42"/>
      <c r="J871" s="41"/>
      <c r="K871" s="41"/>
      <c r="L871" s="43"/>
    </row>
    <row r="872" spans="2:12" outlineLevel="2">
      <c r="B872" s="40">
        <f t="shared" si="26"/>
        <v>409</v>
      </c>
      <c r="C872" s="41" t="s">
        <v>9</v>
      </c>
      <c r="D872" s="41"/>
      <c r="E872" s="41"/>
      <c r="F872" s="41"/>
      <c r="G872" s="41"/>
      <c r="H872" s="41"/>
      <c r="I872" s="42"/>
      <c r="J872" s="41"/>
      <c r="K872" s="41"/>
      <c r="L872" s="43"/>
    </row>
    <row r="873" spans="2:12" outlineLevel="2">
      <c r="B873" s="40">
        <f t="shared" si="26"/>
        <v>410</v>
      </c>
      <c r="C873" s="41" t="s">
        <v>9</v>
      </c>
      <c r="D873" s="41"/>
      <c r="E873" s="41"/>
      <c r="F873" s="41"/>
      <c r="G873" s="41"/>
      <c r="H873" s="41"/>
      <c r="I873" s="42"/>
      <c r="J873" s="41"/>
      <c r="K873" s="41"/>
      <c r="L873" s="43"/>
    </row>
    <row r="874" spans="2:12" outlineLevel="2">
      <c r="B874" s="40">
        <f t="shared" si="26"/>
        <v>411</v>
      </c>
      <c r="C874" s="41" t="s">
        <v>9</v>
      </c>
      <c r="D874" s="41"/>
      <c r="E874" s="41"/>
      <c r="F874" s="41"/>
      <c r="G874" s="41"/>
      <c r="H874" s="41"/>
      <c r="I874" s="42"/>
      <c r="J874" s="41"/>
      <c r="K874" s="41"/>
      <c r="L874" s="43"/>
    </row>
    <row r="875" spans="2:12" outlineLevel="2">
      <c r="B875" s="40">
        <f t="shared" si="26"/>
        <v>412</v>
      </c>
      <c r="C875" s="41" t="s">
        <v>9</v>
      </c>
      <c r="D875" s="41"/>
      <c r="E875" s="41"/>
      <c r="F875" s="41"/>
      <c r="G875" s="41"/>
      <c r="H875" s="41"/>
      <c r="I875" s="42"/>
      <c r="J875" s="41"/>
      <c r="K875" s="41"/>
      <c r="L875" s="43"/>
    </row>
    <row r="876" spans="2:12" outlineLevel="2">
      <c r="B876" s="40">
        <f t="shared" si="26"/>
        <v>413</v>
      </c>
      <c r="C876" s="41" t="s">
        <v>9</v>
      </c>
      <c r="D876" s="41"/>
      <c r="E876" s="41"/>
      <c r="F876" s="41"/>
      <c r="G876" s="41"/>
      <c r="H876" s="41"/>
      <c r="I876" s="42"/>
      <c r="J876" s="41"/>
      <c r="K876" s="41"/>
      <c r="L876" s="43"/>
    </row>
    <row r="877" spans="2:12" outlineLevel="2">
      <c r="B877" s="40">
        <f t="shared" si="26"/>
        <v>414</v>
      </c>
      <c r="C877" s="41" t="s">
        <v>9</v>
      </c>
      <c r="D877" s="41"/>
      <c r="E877" s="41"/>
      <c r="F877" s="41"/>
      <c r="G877" s="41"/>
      <c r="H877" s="41"/>
      <c r="I877" s="42"/>
      <c r="J877" s="41"/>
      <c r="K877" s="41"/>
      <c r="L877" s="43"/>
    </row>
    <row r="878" spans="2:12" outlineLevel="2">
      <c r="B878" s="40">
        <f t="shared" si="26"/>
        <v>415</v>
      </c>
      <c r="C878" s="41" t="s">
        <v>9</v>
      </c>
      <c r="D878" s="41"/>
      <c r="E878" s="41"/>
      <c r="F878" s="41"/>
      <c r="G878" s="41"/>
      <c r="H878" s="41"/>
      <c r="I878" s="42"/>
      <c r="J878" s="41"/>
      <c r="K878" s="41"/>
      <c r="L878" s="43"/>
    </row>
    <row r="879" spans="2:12" outlineLevel="2">
      <c r="B879" s="40">
        <f t="shared" si="26"/>
        <v>416</v>
      </c>
      <c r="C879" s="41" t="s">
        <v>9</v>
      </c>
      <c r="D879" s="41"/>
      <c r="E879" s="41"/>
      <c r="F879" s="41"/>
      <c r="G879" s="41"/>
      <c r="H879" s="41"/>
      <c r="I879" s="42"/>
      <c r="J879" s="41"/>
      <c r="K879" s="41"/>
      <c r="L879" s="43"/>
    </row>
    <row r="880" spans="2:12" outlineLevel="2">
      <c r="B880" s="40">
        <f t="shared" si="26"/>
        <v>417</v>
      </c>
      <c r="C880" s="41" t="s">
        <v>9</v>
      </c>
      <c r="D880" s="41"/>
      <c r="E880" s="41"/>
      <c r="F880" s="41"/>
      <c r="G880" s="41"/>
      <c r="H880" s="41"/>
      <c r="I880" s="42"/>
      <c r="J880" s="41"/>
      <c r="K880" s="41"/>
      <c r="L880" s="43"/>
    </row>
    <row r="881" spans="2:12" outlineLevel="2">
      <c r="B881" s="40">
        <f t="shared" si="26"/>
        <v>418</v>
      </c>
      <c r="C881" s="41" t="s">
        <v>9</v>
      </c>
      <c r="D881" s="41"/>
      <c r="E881" s="41"/>
      <c r="F881" s="41"/>
      <c r="G881" s="41"/>
      <c r="H881" s="41"/>
      <c r="I881" s="42"/>
      <c r="J881" s="41"/>
      <c r="K881" s="41"/>
      <c r="L881" s="43"/>
    </row>
    <row r="882" spans="2:12" outlineLevel="2">
      <c r="B882" s="40">
        <f t="shared" si="26"/>
        <v>419</v>
      </c>
      <c r="C882" s="41" t="s">
        <v>9</v>
      </c>
      <c r="D882" s="41"/>
      <c r="E882" s="41"/>
      <c r="F882" s="41"/>
      <c r="G882" s="41"/>
      <c r="H882" s="41"/>
      <c r="I882" s="42"/>
      <c r="J882" s="41"/>
      <c r="K882" s="41"/>
      <c r="L882" s="43"/>
    </row>
    <row r="883" spans="2:12" outlineLevel="2">
      <c r="B883" s="40">
        <f t="shared" si="26"/>
        <v>420</v>
      </c>
      <c r="C883" s="41" t="s">
        <v>9</v>
      </c>
      <c r="D883" s="41"/>
      <c r="E883" s="41"/>
      <c r="F883" s="41"/>
      <c r="G883" s="41"/>
      <c r="H883" s="41"/>
      <c r="I883" s="42"/>
      <c r="J883" s="41"/>
      <c r="K883" s="41"/>
      <c r="L883" s="43"/>
    </row>
    <row r="884" spans="2:12" outlineLevel="2">
      <c r="B884" s="40">
        <f t="shared" ref="B884:B919" si="27">ROW(A421)</f>
        <v>421</v>
      </c>
      <c r="C884" s="41" t="s">
        <v>9</v>
      </c>
      <c r="D884" s="41"/>
      <c r="E884" s="41"/>
      <c r="F884" s="41"/>
      <c r="G884" s="41"/>
      <c r="H884" s="41"/>
      <c r="I884" s="42"/>
      <c r="J884" s="41"/>
      <c r="K884" s="41"/>
      <c r="L884" s="43"/>
    </row>
    <row r="885" spans="2:12" outlineLevel="2">
      <c r="B885" s="40">
        <f t="shared" si="27"/>
        <v>422</v>
      </c>
      <c r="C885" s="41" t="s">
        <v>9</v>
      </c>
      <c r="D885" s="41"/>
      <c r="E885" s="41"/>
      <c r="F885" s="41"/>
      <c r="G885" s="41"/>
      <c r="H885" s="41"/>
      <c r="I885" s="42"/>
      <c r="J885" s="41"/>
      <c r="K885" s="41"/>
      <c r="L885" s="43"/>
    </row>
    <row r="886" spans="2:12" outlineLevel="2">
      <c r="B886" s="40">
        <f t="shared" si="27"/>
        <v>423</v>
      </c>
      <c r="C886" s="41" t="s">
        <v>9</v>
      </c>
      <c r="D886" s="41"/>
      <c r="E886" s="41"/>
      <c r="F886" s="41"/>
      <c r="G886" s="41"/>
      <c r="H886" s="41"/>
      <c r="I886" s="42"/>
      <c r="J886" s="41"/>
      <c r="K886" s="41"/>
      <c r="L886" s="43"/>
    </row>
    <row r="887" spans="2:12" outlineLevel="2">
      <c r="B887" s="40">
        <f t="shared" si="27"/>
        <v>424</v>
      </c>
      <c r="C887" s="41" t="s">
        <v>9</v>
      </c>
      <c r="D887" s="41"/>
      <c r="E887" s="41"/>
      <c r="F887" s="41"/>
      <c r="G887" s="41"/>
      <c r="H887" s="41"/>
      <c r="I887" s="42"/>
      <c r="J887" s="41"/>
      <c r="K887" s="41"/>
      <c r="L887" s="43"/>
    </row>
    <row r="888" spans="2:12" outlineLevel="2">
      <c r="B888" s="40">
        <f t="shared" si="27"/>
        <v>425</v>
      </c>
      <c r="C888" s="41" t="s">
        <v>9</v>
      </c>
      <c r="D888" s="41"/>
      <c r="E888" s="41"/>
      <c r="F888" s="41"/>
      <c r="G888" s="41"/>
      <c r="H888" s="41"/>
      <c r="I888" s="42"/>
      <c r="J888" s="41"/>
      <c r="K888" s="41"/>
      <c r="L888" s="43"/>
    </row>
    <row r="889" spans="2:12" outlineLevel="2">
      <c r="B889" s="40">
        <f t="shared" si="27"/>
        <v>426</v>
      </c>
      <c r="C889" s="41" t="s">
        <v>9</v>
      </c>
      <c r="D889" s="41"/>
      <c r="E889" s="41"/>
      <c r="F889" s="41"/>
      <c r="G889" s="41"/>
      <c r="H889" s="41"/>
      <c r="I889" s="42"/>
      <c r="J889" s="41"/>
      <c r="K889" s="41"/>
      <c r="L889" s="43"/>
    </row>
    <row r="890" spans="2:12" outlineLevel="2">
      <c r="B890" s="40">
        <f t="shared" si="27"/>
        <v>427</v>
      </c>
      <c r="C890" s="41" t="s">
        <v>9</v>
      </c>
      <c r="D890" s="41"/>
      <c r="E890" s="41"/>
      <c r="F890" s="41"/>
      <c r="G890" s="41"/>
      <c r="H890" s="41"/>
      <c r="I890" s="42"/>
      <c r="J890" s="41"/>
      <c r="K890" s="41"/>
      <c r="L890" s="43"/>
    </row>
    <row r="891" spans="2:12" outlineLevel="2">
      <c r="B891" s="40">
        <f t="shared" si="27"/>
        <v>428</v>
      </c>
      <c r="C891" s="41" t="s">
        <v>9</v>
      </c>
      <c r="D891" s="41"/>
      <c r="E891" s="41"/>
      <c r="F891" s="41"/>
      <c r="G891" s="41"/>
      <c r="H891" s="41"/>
      <c r="I891" s="42"/>
      <c r="J891" s="41"/>
      <c r="K891" s="41"/>
      <c r="L891" s="43"/>
    </row>
    <row r="892" spans="2:12" outlineLevel="2">
      <c r="B892" s="40">
        <f t="shared" si="27"/>
        <v>429</v>
      </c>
      <c r="C892" s="41" t="s">
        <v>9</v>
      </c>
      <c r="D892" s="41"/>
      <c r="E892" s="41"/>
      <c r="F892" s="41"/>
      <c r="G892" s="41"/>
      <c r="H892" s="41"/>
      <c r="I892" s="42"/>
      <c r="J892" s="41"/>
      <c r="K892" s="41"/>
      <c r="L892" s="43"/>
    </row>
    <row r="893" spans="2:12" outlineLevel="2">
      <c r="B893" s="40">
        <f t="shared" si="27"/>
        <v>430</v>
      </c>
      <c r="C893" s="41" t="s">
        <v>9</v>
      </c>
      <c r="D893" s="41"/>
      <c r="E893" s="41"/>
      <c r="F893" s="41"/>
      <c r="G893" s="41"/>
      <c r="H893" s="41"/>
      <c r="I893" s="42"/>
      <c r="J893" s="41"/>
      <c r="K893" s="41"/>
      <c r="L893" s="43"/>
    </row>
    <row r="894" spans="2:12" outlineLevel="2">
      <c r="B894" s="40">
        <f t="shared" si="27"/>
        <v>431</v>
      </c>
      <c r="C894" s="41" t="s">
        <v>9</v>
      </c>
      <c r="D894" s="41"/>
      <c r="E894" s="41"/>
      <c r="F894" s="41"/>
      <c r="G894" s="41"/>
      <c r="H894" s="41"/>
      <c r="I894" s="42"/>
      <c r="J894" s="41"/>
      <c r="K894" s="41"/>
      <c r="L894" s="43"/>
    </row>
    <row r="895" spans="2:12" outlineLevel="2">
      <c r="B895" s="40">
        <f t="shared" si="27"/>
        <v>432</v>
      </c>
      <c r="C895" s="41" t="s">
        <v>9</v>
      </c>
      <c r="D895" s="41"/>
      <c r="E895" s="41"/>
      <c r="F895" s="41"/>
      <c r="G895" s="41"/>
      <c r="H895" s="41"/>
      <c r="I895" s="42"/>
      <c r="J895" s="41"/>
      <c r="K895" s="41"/>
      <c r="L895" s="43"/>
    </row>
    <row r="896" spans="2:12" outlineLevel="2">
      <c r="B896" s="40">
        <f t="shared" si="27"/>
        <v>433</v>
      </c>
      <c r="C896" s="41" t="s">
        <v>9</v>
      </c>
      <c r="D896" s="41"/>
      <c r="E896" s="41"/>
      <c r="F896" s="41"/>
      <c r="G896" s="41"/>
      <c r="H896" s="41"/>
      <c r="I896" s="42"/>
      <c r="J896" s="41"/>
      <c r="K896" s="41"/>
      <c r="L896" s="43"/>
    </row>
    <row r="897" spans="2:12" outlineLevel="2">
      <c r="B897" s="40">
        <f t="shared" si="27"/>
        <v>434</v>
      </c>
      <c r="C897" s="41" t="s">
        <v>9</v>
      </c>
      <c r="D897" s="41"/>
      <c r="E897" s="41"/>
      <c r="F897" s="41"/>
      <c r="G897" s="41"/>
      <c r="H897" s="41"/>
      <c r="I897" s="42"/>
      <c r="J897" s="41"/>
      <c r="K897" s="41"/>
      <c r="L897" s="43"/>
    </row>
    <row r="898" spans="2:12" outlineLevel="2">
      <c r="B898" s="40">
        <f t="shared" si="27"/>
        <v>435</v>
      </c>
      <c r="C898" s="41" t="s">
        <v>9</v>
      </c>
      <c r="D898" s="41"/>
      <c r="E898" s="41"/>
      <c r="F898" s="41"/>
      <c r="G898" s="41"/>
      <c r="H898" s="41"/>
      <c r="I898" s="42"/>
      <c r="J898" s="41"/>
      <c r="K898" s="41"/>
      <c r="L898" s="43"/>
    </row>
    <row r="899" spans="2:12" outlineLevel="2">
      <c r="B899" s="40">
        <f t="shared" si="27"/>
        <v>436</v>
      </c>
      <c r="C899" s="41" t="s">
        <v>9</v>
      </c>
      <c r="D899" s="41"/>
      <c r="E899" s="41"/>
      <c r="F899" s="41"/>
      <c r="G899" s="41"/>
      <c r="H899" s="41"/>
      <c r="I899" s="42"/>
      <c r="J899" s="41"/>
      <c r="K899" s="41"/>
      <c r="L899" s="43"/>
    </row>
    <row r="900" spans="2:12" outlineLevel="2">
      <c r="B900" s="40">
        <f t="shared" si="27"/>
        <v>437</v>
      </c>
      <c r="C900" s="41" t="s">
        <v>9</v>
      </c>
      <c r="D900" s="41"/>
      <c r="E900" s="41"/>
      <c r="F900" s="41"/>
      <c r="G900" s="41"/>
      <c r="H900" s="41"/>
      <c r="I900" s="42"/>
      <c r="J900" s="41"/>
      <c r="K900" s="41"/>
      <c r="L900" s="43"/>
    </row>
    <row r="901" spans="2:12" outlineLevel="2">
      <c r="B901" s="40">
        <f t="shared" si="27"/>
        <v>438</v>
      </c>
      <c r="C901" s="41" t="s">
        <v>9</v>
      </c>
      <c r="D901" s="41"/>
      <c r="E901" s="41"/>
      <c r="F901" s="41"/>
      <c r="G901" s="41"/>
      <c r="H901" s="41"/>
      <c r="I901" s="42"/>
      <c r="J901" s="41"/>
      <c r="K901" s="41"/>
      <c r="L901" s="43"/>
    </row>
    <row r="902" spans="2:12" outlineLevel="2">
      <c r="B902" s="40">
        <f t="shared" si="27"/>
        <v>439</v>
      </c>
      <c r="C902" s="41" t="s">
        <v>9</v>
      </c>
      <c r="D902" s="41"/>
      <c r="E902" s="41"/>
      <c r="F902" s="41"/>
      <c r="G902" s="41"/>
      <c r="H902" s="41"/>
      <c r="I902" s="42"/>
      <c r="J902" s="41"/>
      <c r="K902" s="41"/>
      <c r="L902" s="43"/>
    </row>
    <row r="903" spans="2:12" outlineLevel="2">
      <c r="B903" s="40">
        <f t="shared" si="27"/>
        <v>440</v>
      </c>
      <c r="C903" s="41" t="s">
        <v>9</v>
      </c>
      <c r="D903" s="41"/>
      <c r="E903" s="41"/>
      <c r="F903" s="41"/>
      <c r="G903" s="41"/>
      <c r="H903" s="41"/>
      <c r="I903" s="42"/>
      <c r="J903" s="41"/>
      <c r="K903" s="41"/>
      <c r="L903" s="43"/>
    </row>
    <row r="904" spans="2:12" outlineLevel="2">
      <c r="B904" s="40">
        <f t="shared" si="27"/>
        <v>441</v>
      </c>
      <c r="C904" s="41" t="s">
        <v>9</v>
      </c>
      <c r="D904" s="41"/>
      <c r="E904" s="41"/>
      <c r="F904" s="41"/>
      <c r="G904" s="41"/>
      <c r="H904" s="41"/>
      <c r="I904" s="42"/>
      <c r="J904" s="41"/>
      <c r="K904" s="41"/>
      <c r="L904" s="43"/>
    </row>
    <row r="905" spans="2:12" outlineLevel="2">
      <c r="B905" s="40">
        <f t="shared" si="27"/>
        <v>442</v>
      </c>
      <c r="C905" s="41" t="s">
        <v>9</v>
      </c>
      <c r="D905" s="41"/>
      <c r="E905" s="41"/>
      <c r="F905" s="41"/>
      <c r="G905" s="41"/>
      <c r="H905" s="41"/>
      <c r="I905" s="42"/>
      <c r="J905" s="41"/>
      <c r="K905" s="41"/>
      <c r="L905" s="43"/>
    </row>
    <row r="906" spans="2:12" outlineLevel="2">
      <c r="B906" s="40">
        <f t="shared" si="27"/>
        <v>443</v>
      </c>
      <c r="C906" s="41" t="s">
        <v>9</v>
      </c>
      <c r="D906" s="41"/>
      <c r="E906" s="41"/>
      <c r="F906" s="41"/>
      <c r="G906" s="41"/>
      <c r="H906" s="41"/>
      <c r="I906" s="42"/>
      <c r="J906" s="41"/>
      <c r="K906" s="41"/>
      <c r="L906" s="43"/>
    </row>
    <row r="907" spans="2:12" outlineLevel="2">
      <c r="B907" s="40">
        <f t="shared" si="27"/>
        <v>444</v>
      </c>
      <c r="C907" s="41" t="s">
        <v>9</v>
      </c>
      <c r="D907" s="41"/>
      <c r="E907" s="41"/>
      <c r="F907" s="41"/>
      <c r="G907" s="41"/>
      <c r="H907" s="41"/>
      <c r="I907" s="42"/>
      <c r="J907" s="41"/>
      <c r="K907" s="41"/>
      <c r="L907" s="43"/>
    </row>
    <row r="908" spans="2:12" outlineLevel="2">
      <c r="B908" s="40">
        <f t="shared" si="27"/>
        <v>445</v>
      </c>
      <c r="C908" s="41" t="s">
        <v>9</v>
      </c>
      <c r="D908" s="41"/>
      <c r="E908" s="41"/>
      <c r="F908" s="41"/>
      <c r="G908" s="41"/>
      <c r="H908" s="41"/>
      <c r="I908" s="42"/>
      <c r="J908" s="41"/>
      <c r="K908" s="41"/>
      <c r="L908" s="43"/>
    </row>
    <row r="909" spans="2:12" outlineLevel="2">
      <c r="B909" s="40">
        <f t="shared" si="27"/>
        <v>446</v>
      </c>
      <c r="C909" s="41" t="s">
        <v>9</v>
      </c>
      <c r="D909" s="41"/>
      <c r="E909" s="41"/>
      <c r="F909" s="41"/>
      <c r="G909" s="41"/>
      <c r="H909" s="41"/>
      <c r="I909" s="42"/>
      <c r="J909" s="41"/>
      <c r="K909" s="41"/>
      <c r="L909" s="43"/>
    </row>
    <row r="910" spans="2:12" outlineLevel="2">
      <c r="B910" s="40">
        <f t="shared" si="27"/>
        <v>447</v>
      </c>
      <c r="C910" s="41" t="s">
        <v>9</v>
      </c>
      <c r="D910" s="41"/>
      <c r="E910" s="41"/>
      <c r="F910" s="41"/>
      <c r="G910" s="41"/>
      <c r="H910" s="41"/>
      <c r="I910" s="42"/>
      <c r="J910" s="41"/>
      <c r="K910" s="41"/>
      <c r="L910" s="43"/>
    </row>
    <row r="911" spans="2:12" outlineLevel="2">
      <c r="B911" s="40">
        <f t="shared" si="27"/>
        <v>448</v>
      </c>
      <c r="C911" s="41" t="s">
        <v>9</v>
      </c>
      <c r="D911" s="41"/>
      <c r="E911" s="41"/>
      <c r="F911" s="41"/>
      <c r="G911" s="41"/>
      <c r="H911" s="41"/>
      <c r="I911" s="42"/>
      <c r="J911" s="41"/>
      <c r="K911" s="41"/>
      <c r="L911" s="43"/>
    </row>
    <row r="912" spans="2:12" outlineLevel="2">
      <c r="B912" s="40">
        <f t="shared" si="27"/>
        <v>449</v>
      </c>
      <c r="C912" s="41" t="s">
        <v>9</v>
      </c>
      <c r="D912" s="41"/>
      <c r="E912" s="41"/>
      <c r="F912" s="41"/>
      <c r="G912" s="41"/>
      <c r="H912" s="41"/>
      <c r="I912" s="42"/>
      <c r="J912" s="41"/>
      <c r="K912" s="41"/>
      <c r="L912" s="43"/>
    </row>
    <row r="913" spans="2:12" outlineLevel="2">
      <c r="B913" s="40">
        <f t="shared" si="27"/>
        <v>450</v>
      </c>
      <c r="C913" s="41" t="s">
        <v>9</v>
      </c>
      <c r="D913" s="41"/>
      <c r="E913" s="41"/>
      <c r="F913" s="41"/>
      <c r="G913" s="41"/>
      <c r="H913" s="41"/>
      <c r="I913" s="42"/>
      <c r="J913" s="41"/>
      <c r="K913" s="41"/>
      <c r="L913" s="43"/>
    </row>
    <row r="914" spans="2:12" outlineLevel="2">
      <c r="B914" s="40">
        <f t="shared" si="27"/>
        <v>451</v>
      </c>
      <c r="C914" s="41" t="s">
        <v>9</v>
      </c>
      <c r="D914" s="41"/>
      <c r="E914" s="41"/>
      <c r="F914" s="41"/>
      <c r="G914" s="41"/>
      <c r="H914" s="41"/>
      <c r="I914" s="42"/>
      <c r="J914" s="41"/>
      <c r="K914" s="41"/>
      <c r="L914" s="43"/>
    </row>
    <row r="915" spans="2:12" outlineLevel="2">
      <c r="B915" s="40">
        <f t="shared" si="27"/>
        <v>452</v>
      </c>
      <c r="C915" s="41" t="s">
        <v>9</v>
      </c>
      <c r="D915" s="41"/>
      <c r="E915" s="41"/>
      <c r="F915" s="41"/>
      <c r="G915" s="41"/>
      <c r="H915" s="41"/>
      <c r="I915" s="42"/>
      <c r="J915" s="41"/>
      <c r="K915" s="41"/>
      <c r="L915" s="43"/>
    </row>
    <row r="916" spans="2:12" outlineLevel="2">
      <c r="B916" s="40">
        <f t="shared" si="27"/>
        <v>453</v>
      </c>
      <c r="C916" s="41" t="s">
        <v>9</v>
      </c>
      <c r="D916" s="41"/>
      <c r="E916" s="41"/>
      <c r="F916" s="41"/>
      <c r="G916" s="41"/>
      <c r="H916" s="41"/>
      <c r="I916" s="42"/>
      <c r="J916" s="41"/>
      <c r="K916" s="41"/>
      <c r="L916" s="43"/>
    </row>
    <row r="917" spans="2:12" outlineLevel="2">
      <c r="B917" s="40">
        <f t="shared" si="27"/>
        <v>454</v>
      </c>
      <c r="C917" s="41" t="s">
        <v>9</v>
      </c>
      <c r="D917" s="41"/>
      <c r="E917" s="41"/>
      <c r="F917" s="41"/>
      <c r="G917" s="41"/>
      <c r="H917" s="41"/>
      <c r="I917" s="42"/>
      <c r="J917" s="41"/>
      <c r="K917" s="41"/>
      <c r="L917" s="43"/>
    </row>
    <row r="918" spans="2:12" outlineLevel="2">
      <c r="B918" s="40">
        <f t="shared" si="27"/>
        <v>455</v>
      </c>
      <c r="C918" s="41" t="s">
        <v>9</v>
      </c>
      <c r="D918" s="41"/>
      <c r="E918" s="41"/>
      <c r="F918" s="41"/>
      <c r="G918" s="41"/>
      <c r="H918" s="41"/>
      <c r="I918" s="42"/>
      <c r="J918" s="41"/>
      <c r="K918" s="41"/>
      <c r="L918" s="43"/>
    </row>
    <row r="919" spans="2:12" outlineLevel="2">
      <c r="B919" s="40">
        <f t="shared" si="27"/>
        <v>456</v>
      </c>
      <c r="C919" s="41" t="s">
        <v>9</v>
      </c>
      <c r="D919" s="41"/>
      <c r="E919" s="41"/>
      <c r="F919" s="41"/>
      <c r="G919" s="41"/>
      <c r="H919" s="41"/>
      <c r="I919" s="42"/>
      <c r="J919" s="41"/>
      <c r="K919" s="41"/>
      <c r="L919" s="43"/>
    </row>
    <row r="920" spans="2:12" outlineLevel="1">
      <c r="B920" s="59" t="s">
        <v>255</v>
      </c>
      <c r="C920" s="41">
        <f>SUBTOTAL(3,C692:C919)</f>
        <v>228</v>
      </c>
      <c r="D920" s="41"/>
      <c r="E920" s="41"/>
      <c r="F920" s="41"/>
      <c r="G920" s="41"/>
      <c r="H920" s="41"/>
      <c r="I920" s="42"/>
      <c r="J920" s="41"/>
      <c r="K920" s="41"/>
      <c r="L920" s="43"/>
    </row>
    <row r="921" spans="2:12" outlineLevel="2">
      <c r="B921" s="40">
        <f t="shared" ref="B921:B952" si="28">ROW(A457)</f>
        <v>457</v>
      </c>
      <c r="C921" s="41" t="s">
        <v>175</v>
      </c>
      <c r="D921" s="41"/>
      <c r="E921" s="41"/>
      <c r="F921" s="41"/>
      <c r="G921" s="41"/>
      <c r="H921" s="41"/>
      <c r="I921" s="42"/>
      <c r="J921" s="41"/>
      <c r="K921" s="41"/>
      <c r="L921" s="43"/>
    </row>
    <row r="922" spans="2:12" outlineLevel="2">
      <c r="B922" s="40">
        <f t="shared" si="28"/>
        <v>458</v>
      </c>
      <c r="C922" s="41" t="s">
        <v>175</v>
      </c>
      <c r="D922" s="41"/>
      <c r="E922" s="41"/>
      <c r="F922" s="41"/>
      <c r="G922" s="41"/>
      <c r="H922" s="41"/>
      <c r="I922" s="42"/>
      <c r="J922" s="41"/>
      <c r="K922" s="41"/>
      <c r="L922" s="43"/>
    </row>
    <row r="923" spans="2:12" outlineLevel="2">
      <c r="B923" s="40">
        <f t="shared" si="28"/>
        <v>459</v>
      </c>
      <c r="C923" s="41" t="s">
        <v>175</v>
      </c>
      <c r="D923" s="41"/>
      <c r="E923" s="41"/>
      <c r="F923" s="41"/>
      <c r="G923" s="41"/>
      <c r="H923" s="41"/>
      <c r="I923" s="42"/>
      <c r="J923" s="41"/>
      <c r="K923" s="41"/>
      <c r="L923" s="43"/>
    </row>
    <row r="924" spans="2:12" outlineLevel="2">
      <c r="B924" s="40">
        <f t="shared" si="28"/>
        <v>460</v>
      </c>
      <c r="C924" s="41" t="s">
        <v>175</v>
      </c>
      <c r="D924" s="41"/>
      <c r="E924" s="41"/>
      <c r="F924" s="41"/>
      <c r="G924" s="41"/>
      <c r="H924" s="41"/>
      <c r="I924" s="42"/>
      <c r="J924" s="41"/>
      <c r="K924" s="41"/>
      <c r="L924" s="43"/>
    </row>
    <row r="925" spans="2:12" outlineLevel="2">
      <c r="B925" s="40">
        <f t="shared" si="28"/>
        <v>461</v>
      </c>
      <c r="C925" s="41" t="s">
        <v>175</v>
      </c>
      <c r="D925" s="41"/>
      <c r="E925" s="41"/>
      <c r="F925" s="41"/>
      <c r="G925" s="41"/>
      <c r="H925" s="41"/>
      <c r="I925" s="42"/>
      <c r="J925" s="41"/>
      <c r="K925" s="41"/>
      <c r="L925" s="43"/>
    </row>
    <row r="926" spans="2:12" outlineLevel="2">
      <c r="B926" s="40">
        <f t="shared" si="28"/>
        <v>462</v>
      </c>
      <c r="C926" s="41" t="s">
        <v>175</v>
      </c>
      <c r="D926" s="41"/>
      <c r="E926" s="41"/>
      <c r="F926" s="41"/>
      <c r="G926" s="41"/>
      <c r="H926" s="41"/>
      <c r="I926" s="42"/>
      <c r="J926" s="41"/>
      <c r="K926" s="41"/>
      <c r="L926" s="43"/>
    </row>
    <row r="927" spans="2:12" outlineLevel="2">
      <c r="B927" s="40">
        <f t="shared" si="28"/>
        <v>463</v>
      </c>
      <c r="C927" s="41" t="s">
        <v>175</v>
      </c>
      <c r="D927" s="41"/>
      <c r="E927" s="41"/>
      <c r="F927" s="41"/>
      <c r="G927" s="41"/>
      <c r="H927" s="41"/>
      <c r="I927" s="42"/>
      <c r="J927" s="41"/>
      <c r="K927" s="41"/>
      <c r="L927" s="43"/>
    </row>
    <row r="928" spans="2:12" outlineLevel="2">
      <c r="B928" s="40">
        <f t="shared" si="28"/>
        <v>464</v>
      </c>
      <c r="C928" s="41" t="s">
        <v>175</v>
      </c>
      <c r="D928" s="41"/>
      <c r="E928" s="41"/>
      <c r="F928" s="41"/>
      <c r="G928" s="41"/>
      <c r="H928" s="41"/>
      <c r="I928" s="42"/>
      <c r="J928" s="41"/>
      <c r="K928" s="41"/>
      <c r="L928" s="43"/>
    </row>
    <row r="929" spans="2:12" outlineLevel="2">
      <c r="B929" s="40">
        <f t="shared" si="28"/>
        <v>465</v>
      </c>
      <c r="C929" s="41" t="s">
        <v>175</v>
      </c>
      <c r="D929" s="41"/>
      <c r="E929" s="41"/>
      <c r="F929" s="41"/>
      <c r="G929" s="41"/>
      <c r="H929" s="41"/>
      <c r="I929" s="42"/>
      <c r="J929" s="41"/>
      <c r="K929" s="41"/>
      <c r="L929" s="43"/>
    </row>
    <row r="930" spans="2:12" outlineLevel="2">
      <c r="B930" s="40">
        <f t="shared" si="28"/>
        <v>466</v>
      </c>
      <c r="C930" s="41" t="s">
        <v>175</v>
      </c>
      <c r="D930" s="41"/>
      <c r="E930" s="41"/>
      <c r="F930" s="41"/>
      <c r="G930" s="41"/>
      <c r="H930" s="41"/>
      <c r="I930" s="42"/>
      <c r="J930" s="41"/>
      <c r="K930" s="41"/>
      <c r="L930" s="43"/>
    </row>
    <row r="931" spans="2:12" outlineLevel="2">
      <c r="B931" s="40">
        <f t="shared" si="28"/>
        <v>467</v>
      </c>
      <c r="C931" s="41" t="s">
        <v>175</v>
      </c>
      <c r="D931" s="41"/>
      <c r="E931" s="41"/>
      <c r="F931" s="41"/>
      <c r="G931" s="41"/>
      <c r="H931" s="41"/>
      <c r="I931" s="42"/>
      <c r="J931" s="41"/>
      <c r="K931" s="41"/>
      <c r="L931" s="43"/>
    </row>
    <row r="932" spans="2:12" outlineLevel="2">
      <c r="B932" s="40">
        <f t="shared" si="28"/>
        <v>468</v>
      </c>
      <c r="C932" s="41" t="s">
        <v>175</v>
      </c>
      <c r="D932" s="41"/>
      <c r="E932" s="41"/>
      <c r="F932" s="41"/>
      <c r="G932" s="41"/>
      <c r="H932" s="41"/>
      <c r="I932" s="42"/>
      <c r="J932" s="41"/>
      <c r="K932" s="41"/>
      <c r="L932" s="43"/>
    </row>
    <row r="933" spans="2:12" outlineLevel="2">
      <c r="B933" s="40">
        <f t="shared" si="28"/>
        <v>469</v>
      </c>
      <c r="C933" s="41" t="s">
        <v>175</v>
      </c>
      <c r="D933" s="41"/>
      <c r="E933" s="41"/>
      <c r="F933" s="41"/>
      <c r="G933" s="41"/>
      <c r="H933" s="41"/>
      <c r="I933" s="42"/>
      <c r="J933" s="41"/>
      <c r="K933" s="41"/>
      <c r="L933" s="43"/>
    </row>
    <row r="934" spans="2:12" outlineLevel="2">
      <c r="B934" s="40">
        <f t="shared" si="28"/>
        <v>470</v>
      </c>
      <c r="C934" s="41" t="s">
        <v>175</v>
      </c>
      <c r="D934" s="41"/>
      <c r="E934" s="41"/>
      <c r="F934" s="41"/>
      <c r="G934" s="41"/>
      <c r="H934" s="41"/>
      <c r="I934" s="42"/>
      <c r="J934" s="41"/>
      <c r="K934" s="41"/>
      <c r="L934" s="43"/>
    </row>
    <row r="935" spans="2:12" outlineLevel="2">
      <c r="B935" s="40">
        <f t="shared" si="28"/>
        <v>471</v>
      </c>
      <c r="C935" s="41" t="s">
        <v>175</v>
      </c>
      <c r="D935" s="41"/>
      <c r="E935" s="41"/>
      <c r="F935" s="41"/>
      <c r="G935" s="41"/>
      <c r="H935" s="41"/>
      <c r="I935" s="42"/>
      <c r="J935" s="41"/>
      <c r="K935" s="41"/>
      <c r="L935" s="43"/>
    </row>
    <row r="936" spans="2:12" outlineLevel="2">
      <c r="B936" s="40">
        <f t="shared" si="28"/>
        <v>472</v>
      </c>
      <c r="C936" s="41" t="s">
        <v>175</v>
      </c>
      <c r="D936" s="41"/>
      <c r="E936" s="41"/>
      <c r="F936" s="41"/>
      <c r="G936" s="41"/>
      <c r="H936" s="41"/>
      <c r="I936" s="42"/>
      <c r="J936" s="41"/>
      <c r="K936" s="41"/>
      <c r="L936" s="43"/>
    </row>
    <row r="937" spans="2:12" outlineLevel="2">
      <c r="B937" s="40">
        <f t="shared" si="28"/>
        <v>473</v>
      </c>
      <c r="C937" s="41" t="s">
        <v>175</v>
      </c>
      <c r="D937" s="41"/>
      <c r="E937" s="41"/>
      <c r="F937" s="41"/>
      <c r="G937" s="41"/>
      <c r="H937" s="41"/>
      <c r="I937" s="42"/>
      <c r="J937" s="41"/>
      <c r="K937" s="41"/>
      <c r="L937" s="43"/>
    </row>
    <row r="938" spans="2:12" outlineLevel="2">
      <c r="B938" s="40">
        <f t="shared" si="28"/>
        <v>474</v>
      </c>
      <c r="C938" s="41" t="s">
        <v>175</v>
      </c>
      <c r="D938" s="41"/>
      <c r="E938" s="41"/>
      <c r="F938" s="41"/>
      <c r="G938" s="41"/>
      <c r="H938" s="41"/>
      <c r="I938" s="42"/>
      <c r="J938" s="41"/>
      <c r="K938" s="41"/>
      <c r="L938" s="43"/>
    </row>
    <row r="939" spans="2:12" outlineLevel="2">
      <c r="B939" s="40">
        <f t="shared" si="28"/>
        <v>475</v>
      </c>
      <c r="C939" s="41" t="s">
        <v>175</v>
      </c>
      <c r="D939" s="41"/>
      <c r="E939" s="41"/>
      <c r="F939" s="41"/>
      <c r="G939" s="41"/>
      <c r="H939" s="41"/>
      <c r="I939" s="42"/>
      <c r="J939" s="41"/>
      <c r="K939" s="41"/>
      <c r="L939" s="43"/>
    </row>
    <row r="940" spans="2:12" outlineLevel="2">
      <c r="B940" s="40">
        <f t="shared" si="28"/>
        <v>476</v>
      </c>
      <c r="C940" s="41" t="s">
        <v>175</v>
      </c>
      <c r="D940" s="41"/>
      <c r="E940" s="41"/>
      <c r="F940" s="41"/>
      <c r="G940" s="41"/>
      <c r="H940" s="41"/>
      <c r="I940" s="42"/>
      <c r="J940" s="41"/>
      <c r="K940" s="41"/>
      <c r="L940" s="43"/>
    </row>
    <row r="941" spans="2:12" outlineLevel="2">
      <c r="B941" s="40">
        <f t="shared" si="28"/>
        <v>477</v>
      </c>
      <c r="C941" s="41" t="s">
        <v>175</v>
      </c>
      <c r="D941" s="41"/>
      <c r="E941" s="41"/>
      <c r="F941" s="41"/>
      <c r="G941" s="41"/>
      <c r="H941" s="41"/>
      <c r="I941" s="42"/>
      <c r="J941" s="41"/>
      <c r="K941" s="41"/>
      <c r="L941" s="43"/>
    </row>
    <row r="942" spans="2:12" outlineLevel="2">
      <c r="B942" s="40">
        <f t="shared" si="28"/>
        <v>478</v>
      </c>
      <c r="C942" s="41" t="s">
        <v>175</v>
      </c>
      <c r="D942" s="41"/>
      <c r="E942" s="41"/>
      <c r="F942" s="41"/>
      <c r="G942" s="41"/>
      <c r="H942" s="41"/>
      <c r="I942" s="42"/>
      <c r="J942" s="41"/>
      <c r="K942" s="41"/>
      <c r="L942" s="43"/>
    </row>
    <row r="943" spans="2:12" outlineLevel="2">
      <c r="B943" s="40">
        <f t="shared" si="28"/>
        <v>479</v>
      </c>
      <c r="C943" s="41" t="s">
        <v>175</v>
      </c>
      <c r="D943" s="41"/>
      <c r="E943" s="41"/>
      <c r="F943" s="41"/>
      <c r="G943" s="41"/>
      <c r="H943" s="41"/>
      <c r="I943" s="42"/>
      <c r="J943" s="41"/>
      <c r="K943" s="41"/>
      <c r="L943" s="43"/>
    </row>
    <row r="944" spans="2:12" outlineLevel="2">
      <c r="B944" s="40">
        <f t="shared" si="28"/>
        <v>480</v>
      </c>
      <c r="C944" s="41" t="s">
        <v>175</v>
      </c>
      <c r="D944" s="41"/>
      <c r="E944" s="41"/>
      <c r="F944" s="41"/>
      <c r="G944" s="41"/>
      <c r="H944" s="41"/>
      <c r="I944" s="42"/>
      <c r="J944" s="41"/>
      <c r="K944" s="41"/>
      <c r="L944" s="43"/>
    </row>
    <row r="945" spans="2:12" outlineLevel="2">
      <c r="B945" s="40">
        <f t="shared" si="28"/>
        <v>481</v>
      </c>
      <c r="C945" s="41" t="s">
        <v>175</v>
      </c>
      <c r="D945" s="41"/>
      <c r="E945" s="41"/>
      <c r="F945" s="41"/>
      <c r="G945" s="41"/>
      <c r="H945" s="41"/>
      <c r="I945" s="42"/>
      <c r="J945" s="41"/>
      <c r="K945" s="41"/>
      <c r="L945" s="43"/>
    </row>
    <row r="946" spans="2:12" outlineLevel="2">
      <c r="B946" s="40">
        <f t="shared" si="28"/>
        <v>482</v>
      </c>
      <c r="C946" s="41" t="s">
        <v>175</v>
      </c>
      <c r="D946" s="41"/>
      <c r="E946" s="41"/>
      <c r="F946" s="41"/>
      <c r="G946" s="41"/>
      <c r="H946" s="41"/>
      <c r="I946" s="42"/>
      <c r="J946" s="41"/>
      <c r="K946" s="41"/>
      <c r="L946" s="43"/>
    </row>
    <row r="947" spans="2:12" outlineLevel="2">
      <c r="B947" s="40">
        <f t="shared" si="28"/>
        <v>483</v>
      </c>
      <c r="C947" s="41" t="s">
        <v>175</v>
      </c>
      <c r="D947" s="41"/>
      <c r="E947" s="41"/>
      <c r="F947" s="41"/>
      <c r="G947" s="41"/>
      <c r="H947" s="41"/>
      <c r="I947" s="42"/>
      <c r="J947" s="41"/>
      <c r="K947" s="41"/>
      <c r="L947" s="43"/>
    </row>
    <row r="948" spans="2:12" outlineLevel="2">
      <c r="B948" s="40">
        <f t="shared" si="28"/>
        <v>484</v>
      </c>
      <c r="C948" s="41" t="s">
        <v>175</v>
      </c>
      <c r="D948" s="41"/>
      <c r="E948" s="41"/>
      <c r="F948" s="41"/>
      <c r="G948" s="41"/>
      <c r="H948" s="41"/>
      <c r="I948" s="42"/>
      <c r="J948" s="41"/>
      <c r="K948" s="41"/>
      <c r="L948" s="43"/>
    </row>
    <row r="949" spans="2:12" outlineLevel="2">
      <c r="B949" s="40">
        <f t="shared" si="28"/>
        <v>485</v>
      </c>
      <c r="C949" s="41" t="s">
        <v>175</v>
      </c>
      <c r="D949" s="41"/>
      <c r="E949" s="41"/>
      <c r="F949" s="41"/>
      <c r="G949" s="41"/>
      <c r="H949" s="41"/>
      <c r="I949" s="42"/>
      <c r="J949" s="41"/>
      <c r="K949" s="41"/>
      <c r="L949" s="43"/>
    </row>
    <row r="950" spans="2:12" outlineLevel="2">
      <c r="B950" s="40">
        <f t="shared" si="28"/>
        <v>486</v>
      </c>
      <c r="C950" s="41" t="s">
        <v>175</v>
      </c>
      <c r="D950" s="41"/>
      <c r="E950" s="41"/>
      <c r="F950" s="41"/>
      <c r="G950" s="41"/>
      <c r="H950" s="41"/>
      <c r="I950" s="42"/>
      <c r="J950" s="41"/>
      <c r="K950" s="41"/>
      <c r="L950" s="43"/>
    </row>
    <row r="951" spans="2:12" outlineLevel="2">
      <c r="B951" s="40">
        <f t="shared" si="28"/>
        <v>487</v>
      </c>
      <c r="C951" s="41" t="s">
        <v>175</v>
      </c>
      <c r="D951" s="41"/>
      <c r="E951" s="41"/>
      <c r="F951" s="41"/>
      <c r="G951" s="41"/>
      <c r="H951" s="41"/>
      <c r="I951" s="42"/>
      <c r="J951" s="41"/>
      <c r="K951" s="41"/>
      <c r="L951" s="43"/>
    </row>
    <row r="952" spans="2:12" outlineLevel="2">
      <c r="B952" s="40">
        <f t="shared" si="28"/>
        <v>488</v>
      </c>
      <c r="C952" s="41" t="s">
        <v>175</v>
      </c>
      <c r="D952" s="41"/>
      <c r="E952" s="41"/>
      <c r="F952" s="41"/>
      <c r="G952" s="41"/>
      <c r="H952" s="41"/>
      <c r="I952" s="42"/>
      <c r="J952" s="41"/>
      <c r="K952" s="41"/>
      <c r="L952" s="43"/>
    </row>
    <row r="953" spans="2:12" outlineLevel="2">
      <c r="B953" s="40">
        <f t="shared" ref="B953:B984" si="29">ROW(A489)</f>
        <v>489</v>
      </c>
      <c r="C953" s="41" t="s">
        <v>175</v>
      </c>
      <c r="D953" s="41"/>
      <c r="E953" s="41"/>
      <c r="F953" s="41"/>
      <c r="G953" s="41"/>
      <c r="H953" s="41"/>
      <c r="I953" s="42"/>
      <c r="J953" s="41"/>
      <c r="K953" s="41"/>
      <c r="L953" s="43"/>
    </row>
    <row r="954" spans="2:12" outlineLevel="2">
      <c r="B954" s="40">
        <f t="shared" si="29"/>
        <v>490</v>
      </c>
      <c r="C954" s="41" t="s">
        <v>175</v>
      </c>
      <c r="D954" s="41"/>
      <c r="E954" s="41"/>
      <c r="F954" s="41"/>
      <c r="G954" s="41"/>
      <c r="H954" s="41"/>
      <c r="I954" s="42"/>
      <c r="J954" s="41"/>
      <c r="K954" s="41"/>
      <c r="L954" s="43"/>
    </row>
    <row r="955" spans="2:12" outlineLevel="2">
      <c r="B955" s="40">
        <f t="shared" si="29"/>
        <v>491</v>
      </c>
      <c r="C955" s="41" t="s">
        <v>175</v>
      </c>
      <c r="D955" s="41"/>
      <c r="E955" s="41"/>
      <c r="F955" s="41"/>
      <c r="G955" s="41"/>
      <c r="H955" s="41"/>
      <c r="I955" s="42"/>
      <c r="J955" s="41"/>
      <c r="K955" s="41"/>
      <c r="L955" s="43"/>
    </row>
    <row r="956" spans="2:12" outlineLevel="2">
      <c r="B956" s="40">
        <f t="shared" si="29"/>
        <v>492</v>
      </c>
      <c r="C956" s="41" t="s">
        <v>175</v>
      </c>
      <c r="D956" s="41"/>
      <c r="E956" s="41"/>
      <c r="F956" s="41"/>
      <c r="G956" s="41"/>
      <c r="H956" s="41"/>
      <c r="I956" s="42"/>
      <c r="J956" s="41"/>
      <c r="K956" s="41"/>
      <c r="L956" s="43"/>
    </row>
    <row r="957" spans="2:12" outlineLevel="2">
      <c r="B957" s="40">
        <f t="shared" si="29"/>
        <v>493</v>
      </c>
      <c r="C957" s="41" t="s">
        <v>175</v>
      </c>
      <c r="D957" s="41"/>
      <c r="E957" s="41"/>
      <c r="F957" s="41"/>
      <c r="G957" s="41"/>
      <c r="H957" s="41"/>
      <c r="I957" s="42"/>
      <c r="J957" s="41"/>
      <c r="K957" s="41"/>
      <c r="L957" s="43"/>
    </row>
    <row r="958" spans="2:12" outlineLevel="2">
      <c r="B958" s="40">
        <f t="shared" si="29"/>
        <v>494</v>
      </c>
      <c r="C958" s="41" t="s">
        <v>175</v>
      </c>
      <c r="D958" s="41"/>
      <c r="E958" s="41"/>
      <c r="F958" s="41"/>
      <c r="G958" s="41"/>
      <c r="H958" s="41"/>
      <c r="I958" s="42"/>
      <c r="J958" s="41"/>
      <c r="K958" s="41"/>
      <c r="L958" s="43"/>
    </row>
    <row r="959" spans="2:12" outlineLevel="2">
      <c r="B959" s="40">
        <f t="shared" si="29"/>
        <v>495</v>
      </c>
      <c r="C959" s="41" t="s">
        <v>175</v>
      </c>
      <c r="D959" s="41"/>
      <c r="E959" s="41"/>
      <c r="F959" s="41"/>
      <c r="G959" s="41"/>
      <c r="H959" s="41"/>
      <c r="I959" s="42"/>
      <c r="J959" s="41"/>
      <c r="K959" s="41"/>
      <c r="L959" s="43"/>
    </row>
    <row r="960" spans="2:12" outlineLevel="2">
      <c r="B960" s="40">
        <f t="shared" si="29"/>
        <v>496</v>
      </c>
      <c r="C960" s="41" t="s">
        <v>175</v>
      </c>
      <c r="D960" s="41"/>
      <c r="E960" s="41"/>
      <c r="F960" s="41"/>
      <c r="G960" s="41"/>
      <c r="H960" s="41"/>
      <c r="I960" s="42"/>
      <c r="J960" s="41"/>
      <c r="K960" s="41"/>
      <c r="L960" s="43"/>
    </row>
    <row r="961" spans="2:12" outlineLevel="2">
      <c r="B961" s="40">
        <f t="shared" si="29"/>
        <v>497</v>
      </c>
      <c r="C961" s="41" t="s">
        <v>175</v>
      </c>
      <c r="D961" s="41"/>
      <c r="E961" s="41"/>
      <c r="F961" s="41"/>
      <c r="G961" s="41"/>
      <c r="H961" s="41"/>
      <c r="I961" s="42"/>
      <c r="J961" s="41"/>
      <c r="K961" s="41"/>
      <c r="L961" s="43"/>
    </row>
    <row r="962" spans="2:12" outlineLevel="2">
      <c r="B962" s="40">
        <f t="shared" si="29"/>
        <v>498</v>
      </c>
      <c r="C962" s="41" t="s">
        <v>175</v>
      </c>
      <c r="D962" s="41"/>
      <c r="E962" s="41"/>
      <c r="F962" s="41"/>
      <c r="G962" s="41"/>
      <c r="H962" s="41"/>
      <c r="I962" s="42"/>
      <c r="J962" s="41"/>
      <c r="K962" s="41"/>
      <c r="L962" s="43"/>
    </row>
    <row r="963" spans="2:12" outlineLevel="2">
      <c r="B963" s="40">
        <f t="shared" si="29"/>
        <v>499</v>
      </c>
      <c r="C963" s="41" t="s">
        <v>175</v>
      </c>
      <c r="D963" s="41"/>
      <c r="E963" s="41"/>
      <c r="F963" s="41"/>
      <c r="G963" s="41"/>
      <c r="H963" s="41"/>
      <c r="I963" s="42"/>
      <c r="J963" s="41"/>
      <c r="K963" s="41"/>
      <c r="L963" s="43"/>
    </row>
    <row r="964" spans="2:12" outlineLevel="2">
      <c r="B964" s="40">
        <f t="shared" si="29"/>
        <v>500</v>
      </c>
      <c r="C964" s="41" t="s">
        <v>175</v>
      </c>
      <c r="D964" s="41"/>
      <c r="E964" s="41"/>
      <c r="F964" s="41"/>
      <c r="G964" s="41"/>
      <c r="H964" s="41"/>
      <c r="I964" s="42"/>
      <c r="J964" s="41"/>
      <c r="K964" s="41"/>
      <c r="L964" s="43"/>
    </row>
    <row r="965" spans="2:12" outlineLevel="2">
      <c r="B965" s="40">
        <f t="shared" si="29"/>
        <v>501</v>
      </c>
      <c r="C965" s="41" t="s">
        <v>175</v>
      </c>
      <c r="D965" s="41"/>
      <c r="E965" s="41"/>
      <c r="F965" s="41"/>
      <c r="G965" s="41"/>
      <c r="H965" s="41"/>
      <c r="I965" s="42"/>
      <c r="J965" s="41"/>
      <c r="K965" s="41"/>
      <c r="L965" s="43"/>
    </row>
    <row r="966" spans="2:12" outlineLevel="2">
      <c r="B966" s="40">
        <f t="shared" si="29"/>
        <v>502</v>
      </c>
      <c r="C966" s="41" t="s">
        <v>175</v>
      </c>
      <c r="D966" s="41"/>
      <c r="E966" s="41"/>
      <c r="F966" s="41"/>
      <c r="G966" s="41"/>
      <c r="H966" s="41"/>
      <c r="I966" s="42"/>
      <c r="J966" s="41"/>
      <c r="K966" s="41"/>
      <c r="L966" s="43"/>
    </row>
    <row r="967" spans="2:12" outlineLevel="2">
      <c r="B967" s="40">
        <f t="shared" si="29"/>
        <v>503</v>
      </c>
      <c r="C967" s="41" t="s">
        <v>175</v>
      </c>
      <c r="D967" s="41"/>
      <c r="E967" s="41"/>
      <c r="F967" s="41"/>
      <c r="G967" s="41"/>
      <c r="H967" s="41"/>
      <c r="I967" s="42"/>
      <c r="J967" s="41"/>
      <c r="K967" s="41"/>
      <c r="L967" s="43"/>
    </row>
    <row r="968" spans="2:12" outlineLevel="2">
      <c r="B968" s="40">
        <f t="shared" si="29"/>
        <v>504</v>
      </c>
      <c r="C968" s="41" t="s">
        <v>175</v>
      </c>
      <c r="D968" s="41"/>
      <c r="E968" s="41"/>
      <c r="F968" s="41"/>
      <c r="G968" s="41"/>
      <c r="H968" s="41"/>
      <c r="I968" s="42"/>
      <c r="J968" s="41"/>
      <c r="K968" s="41"/>
      <c r="L968" s="43"/>
    </row>
    <row r="969" spans="2:12" outlineLevel="2">
      <c r="B969" s="40">
        <f t="shared" si="29"/>
        <v>505</v>
      </c>
      <c r="C969" s="41" t="s">
        <v>175</v>
      </c>
      <c r="D969" s="41"/>
      <c r="E969" s="41"/>
      <c r="F969" s="41"/>
      <c r="G969" s="41"/>
      <c r="H969" s="41"/>
      <c r="I969" s="42"/>
      <c r="J969" s="41"/>
      <c r="K969" s="41"/>
      <c r="L969" s="43"/>
    </row>
    <row r="970" spans="2:12" outlineLevel="2">
      <c r="B970" s="40">
        <f t="shared" si="29"/>
        <v>506</v>
      </c>
      <c r="C970" s="41" t="s">
        <v>175</v>
      </c>
      <c r="D970" s="41"/>
      <c r="E970" s="41"/>
      <c r="F970" s="41"/>
      <c r="G970" s="41"/>
      <c r="H970" s="41"/>
      <c r="I970" s="42"/>
      <c r="J970" s="41"/>
      <c r="K970" s="41"/>
      <c r="L970" s="43"/>
    </row>
    <row r="971" spans="2:12" outlineLevel="2">
      <c r="B971" s="40">
        <f t="shared" si="29"/>
        <v>507</v>
      </c>
      <c r="C971" s="41" t="s">
        <v>175</v>
      </c>
      <c r="D971" s="41"/>
      <c r="E971" s="41"/>
      <c r="F971" s="41"/>
      <c r="G971" s="41"/>
      <c r="H971" s="41"/>
      <c r="I971" s="42"/>
      <c r="J971" s="41"/>
      <c r="K971" s="41"/>
      <c r="L971" s="43"/>
    </row>
    <row r="972" spans="2:12" outlineLevel="2">
      <c r="B972" s="40">
        <f t="shared" si="29"/>
        <v>508</v>
      </c>
      <c r="C972" s="41" t="s">
        <v>175</v>
      </c>
      <c r="D972" s="41"/>
      <c r="E972" s="41"/>
      <c r="F972" s="41"/>
      <c r="G972" s="41"/>
      <c r="H972" s="41"/>
      <c r="I972" s="42"/>
      <c r="J972" s="41"/>
      <c r="K972" s="41"/>
      <c r="L972" s="43"/>
    </row>
    <row r="973" spans="2:12" outlineLevel="2">
      <c r="B973" s="40">
        <f t="shared" si="29"/>
        <v>509</v>
      </c>
      <c r="C973" s="41" t="s">
        <v>175</v>
      </c>
      <c r="D973" s="41"/>
      <c r="E973" s="41"/>
      <c r="F973" s="41"/>
      <c r="G973" s="41"/>
      <c r="H973" s="41"/>
      <c r="I973" s="42"/>
      <c r="J973" s="41"/>
      <c r="K973" s="41"/>
      <c r="L973" s="43"/>
    </row>
    <row r="974" spans="2:12" outlineLevel="2">
      <c r="B974" s="40">
        <f t="shared" si="29"/>
        <v>510</v>
      </c>
      <c r="C974" s="41" t="s">
        <v>175</v>
      </c>
      <c r="D974" s="41"/>
      <c r="E974" s="41"/>
      <c r="F974" s="41"/>
      <c r="G974" s="41"/>
      <c r="H974" s="41"/>
      <c r="I974" s="42"/>
      <c r="J974" s="41"/>
      <c r="K974" s="41"/>
      <c r="L974" s="43"/>
    </row>
    <row r="975" spans="2:12" outlineLevel="2">
      <c r="B975" s="40">
        <f t="shared" si="29"/>
        <v>511</v>
      </c>
      <c r="C975" s="41" t="s">
        <v>175</v>
      </c>
      <c r="D975" s="41"/>
      <c r="E975" s="41"/>
      <c r="F975" s="41"/>
      <c r="G975" s="41"/>
      <c r="H975" s="41"/>
      <c r="I975" s="42"/>
      <c r="J975" s="41"/>
      <c r="K975" s="41"/>
      <c r="L975" s="43"/>
    </row>
    <row r="976" spans="2:12" outlineLevel="2">
      <c r="B976" s="40">
        <f t="shared" si="29"/>
        <v>512</v>
      </c>
      <c r="C976" s="41" t="s">
        <v>175</v>
      </c>
      <c r="D976" s="41"/>
      <c r="E976" s="41"/>
      <c r="F976" s="41"/>
      <c r="G976" s="41"/>
      <c r="H976" s="41"/>
      <c r="I976" s="42"/>
      <c r="J976" s="41"/>
      <c r="K976" s="41"/>
      <c r="L976" s="43"/>
    </row>
    <row r="977" spans="2:12" outlineLevel="2">
      <c r="B977" s="40">
        <f t="shared" si="29"/>
        <v>513</v>
      </c>
      <c r="C977" s="41" t="s">
        <v>175</v>
      </c>
      <c r="D977" s="41"/>
      <c r="E977" s="41"/>
      <c r="F977" s="41"/>
      <c r="G977" s="41"/>
      <c r="H977" s="41"/>
      <c r="I977" s="42"/>
      <c r="J977" s="41"/>
      <c r="K977" s="41"/>
      <c r="L977" s="43"/>
    </row>
    <row r="978" spans="2:12" outlineLevel="2">
      <c r="B978" s="40">
        <f t="shared" si="29"/>
        <v>514</v>
      </c>
      <c r="C978" s="41" t="s">
        <v>175</v>
      </c>
      <c r="D978" s="41"/>
      <c r="E978" s="41"/>
      <c r="F978" s="41"/>
      <c r="G978" s="41"/>
      <c r="H978" s="41"/>
      <c r="I978" s="42"/>
      <c r="J978" s="41"/>
      <c r="K978" s="41"/>
      <c r="L978" s="43"/>
    </row>
    <row r="979" spans="2:12" outlineLevel="2">
      <c r="B979" s="40">
        <f t="shared" si="29"/>
        <v>515</v>
      </c>
      <c r="C979" s="41" t="s">
        <v>175</v>
      </c>
      <c r="D979" s="41"/>
      <c r="E979" s="41"/>
      <c r="F979" s="41"/>
      <c r="G979" s="41"/>
      <c r="H979" s="41"/>
      <c r="I979" s="42"/>
      <c r="J979" s="41"/>
      <c r="K979" s="41"/>
      <c r="L979" s="43"/>
    </row>
    <row r="980" spans="2:12" outlineLevel="2">
      <c r="B980" s="40">
        <f t="shared" si="29"/>
        <v>516</v>
      </c>
      <c r="C980" s="41" t="s">
        <v>175</v>
      </c>
      <c r="D980" s="41"/>
      <c r="E980" s="41"/>
      <c r="F980" s="41"/>
      <c r="G980" s="41"/>
      <c r="H980" s="41"/>
      <c r="I980" s="42"/>
      <c r="J980" s="41"/>
      <c r="K980" s="41"/>
      <c r="L980" s="43"/>
    </row>
    <row r="981" spans="2:12" outlineLevel="2">
      <c r="B981" s="40">
        <f t="shared" si="29"/>
        <v>517</v>
      </c>
      <c r="C981" s="41" t="s">
        <v>175</v>
      </c>
      <c r="D981" s="41"/>
      <c r="E981" s="41"/>
      <c r="F981" s="41"/>
      <c r="G981" s="41"/>
      <c r="H981" s="41"/>
      <c r="I981" s="42"/>
      <c r="J981" s="41"/>
      <c r="K981" s="41"/>
      <c r="L981" s="43"/>
    </row>
    <row r="982" spans="2:12" outlineLevel="2">
      <c r="B982" s="40">
        <f t="shared" si="29"/>
        <v>518</v>
      </c>
      <c r="C982" s="41" t="s">
        <v>175</v>
      </c>
      <c r="D982" s="41"/>
      <c r="E982" s="41"/>
      <c r="F982" s="41"/>
      <c r="G982" s="41"/>
      <c r="H982" s="41"/>
      <c r="I982" s="42"/>
      <c r="J982" s="41"/>
      <c r="K982" s="41"/>
      <c r="L982" s="43"/>
    </row>
    <row r="983" spans="2:12" outlineLevel="2">
      <c r="B983" s="40">
        <f t="shared" si="29"/>
        <v>519</v>
      </c>
      <c r="C983" s="41" t="s">
        <v>175</v>
      </c>
      <c r="D983" s="41"/>
      <c r="E983" s="41"/>
      <c r="F983" s="41"/>
      <c r="G983" s="41"/>
      <c r="H983" s="41"/>
      <c r="I983" s="42"/>
      <c r="J983" s="41"/>
      <c r="K983" s="41"/>
      <c r="L983" s="43"/>
    </row>
    <row r="984" spans="2:12" outlineLevel="2">
      <c r="B984" s="40">
        <f t="shared" si="29"/>
        <v>520</v>
      </c>
      <c r="C984" s="41" t="s">
        <v>175</v>
      </c>
      <c r="D984" s="41"/>
      <c r="E984" s="41"/>
      <c r="F984" s="41"/>
      <c r="G984" s="41"/>
      <c r="H984" s="41"/>
      <c r="I984" s="42"/>
      <c r="J984" s="41"/>
      <c r="K984" s="41"/>
      <c r="L984" s="43"/>
    </row>
    <row r="985" spans="2:12" outlineLevel="2">
      <c r="B985" s="40">
        <f t="shared" ref="B985" si="30">ROW(A521)</f>
        <v>521</v>
      </c>
      <c r="C985" s="41" t="s">
        <v>175</v>
      </c>
      <c r="D985" s="41"/>
      <c r="E985" s="41"/>
      <c r="F985" s="41"/>
      <c r="G985" s="41"/>
      <c r="H985" s="41"/>
      <c r="I985" s="42"/>
      <c r="J985" s="41"/>
      <c r="K985" s="41"/>
      <c r="L985" s="43"/>
    </row>
    <row r="986" spans="2:12" outlineLevel="2">
      <c r="B986" s="35">
        <f t="shared" ref="B986:B1017" si="31">(B985+1)</f>
        <v>522</v>
      </c>
      <c r="C986" s="41" t="s">
        <v>175</v>
      </c>
      <c r="D986" s="41"/>
      <c r="E986" s="41"/>
      <c r="F986" s="41"/>
      <c r="G986" s="41"/>
      <c r="H986" s="41"/>
      <c r="I986" s="42"/>
      <c r="J986" s="41"/>
      <c r="K986" s="41"/>
      <c r="L986" s="43"/>
    </row>
    <row r="987" spans="2:12" outlineLevel="2">
      <c r="B987" s="35">
        <f t="shared" si="31"/>
        <v>523</v>
      </c>
      <c r="C987" s="41" t="s">
        <v>175</v>
      </c>
      <c r="D987" s="41"/>
      <c r="E987" s="41"/>
      <c r="F987" s="41"/>
      <c r="G987" s="41"/>
      <c r="H987" s="41"/>
      <c r="I987" s="42"/>
      <c r="J987" s="41"/>
      <c r="K987" s="41"/>
      <c r="L987" s="43"/>
    </row>
    <row r="988" spans="2:12" outlineLevel="2">
      <c r="B988" s="35">
        <f t="shared" si="31"/>
        <v>524</v>
      </c>
      <c r="C988" s="41" t="s">
        <v>175</v>
      </c>
      <c r="D988" s="41"/>
      <c r="E988" s="41"/>
      <c r="F988" s="41"/>
      <c r="G988" s="41"/>
      <c r="H988" s="41"/>
      <c r="I988" s="42"/>
      <c r="J988" s="41"/>
      <c r="K988" s="41"/>
      <c r="L988" s="43"/>
    </row>
    <row r="989" spans="2:12" outlineLevel="2">
      <c r="B989" s="35">
        <f t="shared" si="31"/>
        <v>525</v>
      </c>
      <c r="C989" s="41" t="s">
        <v>175</v>
      </c>
      <c r="D989" s="41"/>
      <c r="E989" s="41"/>
      <c r="F989" s="41"/>
      <c r="G989" s="41"/>
      <c r="H989" s="41"/>
      <c r="I989" s="42"/>
      <c r="J989" s="41"/>
      <c r="K989" s="41"/>
      <c r="L989" s="43"/>
    </row>
    <row r="990" spans="2:12" outlineLevel="2">
      <c r="B990" s="35">
        <f t="shared" si="31"/>
        <v>526</v>
      </c>
      <c r="C990" s="41" t="s">
        <v>175</v>
      </c>
      <c r="D990" s="41"/>
      <c r="E990" s="41"/>
      <c r="F990" s="41"/>
      <c r="G990" s="41"/>
      <c r="H990" s="41"/>
      <c r="I990" s="42"/>
      <c r="J990" s="41"/>
      <c r="K990" s="41"/>
      <c r="L990" s="43"/>
    </row>
    <row r="991" spans="2:12" outlineLevel="2">
      <c r="B991" s="35">
        <f t="shared" si="31"/>
        <v>527</v>
      </c>
      <c r="C991" s="41" t="s">
        <v>175</v>
      </c>
      <c r="D991" s="41"/>
      <c r="E991" s="41"/>
      <c r="F991" s="41"/>
      <c r="G991" s="41"/>
      <c r="H991" s="41"/>
      <c r="I991" s="42"/>
      <c r="J991" s="41"/>
      <c r="K991" s="41"/>
      <c r="L991" s="43"/>
    </row>
    <row r="992" spans="2:12" outlineLevel="2">
      <c r="B992" s="35">
        <f t="shared" si="31"/>
        <v>528</v>
      </c>
      <c r="C992" s="41" t="s">
        <v>175</v>
      </c>
      <c r="D992" s="41"/>
      <c r="E992" s="41"/>
      <c r="F992" s="41"/>
      <c r="G992" s="41"/>
      <c r="H992" s="41"/>
      <c r="I992" s="42"/>
      <c r="J992" s="41"/>
      <c r="K992" s="41"/>
      <c r="L992" s="43"/>
    </row>
    <row r="993" spans="2:12" outlineLevel="2">
      <c r="B993" s="35">
        <f t="shared" si="31"/>
        <v>529</v>
      </c>
      <c r="C993" s="41" t="s">
        <v>175</v>
      </c>
      <c r="D993" s="41"/>
      <c r="E993" s="41"/>
      <c r="F993" s="41"/>
      <c r="G993" s="41"/>
      <c r="H993" s="41"/>
      <c r="I993" s="42"/>
      <c r="J993" s="41"/>
      <c r="K993" s="41"/>
      <c r="L993" s="43"/>
    </row>
    <row r="994" spans="2:12" outlineLevel="2">
      <c r="B994" s="35">
        <f t="shared" si="31"/>
        <v>530</v>
      </c>
      <c r="C994" s="41" t="s">
        <v>175</v>
      </c>
      <c r="D994" s="41"/>
      <c r="E994" s="41"/>
      <c r="F994" s="41"/>
      <c r="G994" s="41"/>
      <c r="H994" s="41"/>
      <c r="I994" s="42"/>
      <c r="J994" s="41"/>
      <c r="K994" s="41"/>
      <c r="L994" s="43"/>
    </row>
    <row r="995" spans="2:12" outlineLevel="2">
      <c r="B995" s="35">
        <f t="shared" si="31"/>
        <v>531</v>
      </c>
      <c r="C995" s="41" t="s">
        <v>175</v>
      </c>
      <c r="D995" s="41"/>
      <c r="E995" s="41"/>
      <c r="F995" s="41"/>
      <c r="G995" s="41"/>
      <c r="H995" s="41"/>
      <c r="I995" s="42"/>
      <c r="J995" s="41"/>
      <c r="K995" s="41"/>
      <c r="L995" s="43"/>
    </row>
    <row r="996" spans="2:12" outlineLevel="2">
      <c r="B996" s="35">
        <f t="shared" si="31"/>
        <v>532</v>
      </c>
      <c r="C996" s="41" t="s">
        <v>175</v>
      </c>
      <c r="D996" s="41"/>
      <c r="E996" s="41"/>
      <c r="F996" s="41"/>
      <c r="G996" s="41"/>
      <c r="H996" s="41"/>
      <c r="I996" s="42"/>
      <c r="J996" s="41"/>
      <c r="K996" s="41"/>
      <c r="L996" s="43"/>
    </row>
    <row r="997" spans="2:12" outlineLevel="2">
      <c r="B997" s="35">
        <f t="shared" si="31"/>
        <v>533</v>
      </c>
      <c r="C997" s="41" t="s">
        <v>175</v>
      </c>
      <c r="D997" s="41"/>
      <c r="E997" s="41"/>
      <c r="F997" s="41"/>
      <c r="G997" s="41"/>
      <c r="H997" s="41"/>
      <c r="I997" s="42"/>
      <c r="J997" s="41"/>
      <c r="K997" s="41"/>
      <c r="L997" s="43"/>
    </row>
    <row r="998" spans="2:12" outlineLevel="2">
      <c r="B998" s="35">
        <f t="shared" si="31"/>
        <v>534</v>
      </c>
      <c r="C998" s="41" t="s">
        <v>175</v>
      </c>
      <c r="D998" s="41"/>
      <c r="E998" s="41"/>
      <c r="F998" s="41"/>
      <c r="G998" s="41"/>
      <c r="H998" s="41"/>
      <c r="I998" s="42"/>
      <c r="J998" s="41"/>
      <c r="K998" s="41"/>
      <c r="L998" s="43"/>
    </row>
    <row r="999" spans="2:12" outlineLevel="2">
      <c r="B999" s="35">
        <f t="shared" si="31"/>
        <v>535</v>
      </c>
      <c r="C999" s="41" t="s">
        <v>175</v>
      </c>
      <c r="D999" s="41"/>
      <c r="E999" s="41"/>
      <c r="F999" s="41"/>
      <c r="G999" s="41"/>
      <c r="H999" s="41"/>
      <c r="I999" s="42"/>
      <c r="J999" s="41"/>
      <c r="K999" s="41"/>
      <c r="L999" s="43"/>
    </row>
    <row r="1000" spans="2:12" outlineLevel="2">
      <c r="B1000" s="35">
        <f t="shared" si="31"/>
        <v>536</v>
      </c>
      <c r="C1000" s="41" t="s">
        <v>175</v>
      </c>
      <c r="D1000" s="41"/>
      <c r="E1000" s="41"/>
      <c r="F1000" s="41"/>
      <c r="G1000" s="41"/>
      <c r="H1000" s="41"/>
      <c r="I1000" s="42"/>
      <c r="J1000" s="41"/>
      <c r="K1000" s="41"/>
      <c r="L1000" s="43"/>
    </row>
    <row r="1001" spans="2:12" outlineLevel="2">
      <c r="B1001" s="35">
        <f t="shared" si="31"/>
        <v>537</v>
      </c>
      <c r="C1001" s="41" t="s">
        <v>175</v>
      </c>
      <c r="D1001" s="41"/>
      <c r="E1001" s="41"/>
      <c r="F1001" s="41"/>
      <c r="G1001" s="41"/>
      <c r="H1001" s="41"/>
      <c r="I1001" s="42"/>
      <c r="J1001" s="41"/>
      <c r="K1001" s="41"/>
      <c r="L1001" s="43"/>
    </row>
    <row r="1002" spans="2:12" outlineLevel="2">
      <c r="B1002" s="35">
        <f t="shared" si="31"/>
        <v>538</v>
      </c>
      <c r="C1002" s="41" t="s">
        <v>175</v>
      </c>
      <c r="D1002" s="41"/>
      <c r="E1002" s="41"/>
      <c r="F1002" s="41"/>
      <c r="G1002" s="41"/>
      <c r="H1002" s="41"/>
      <c r="I1002" s="42"/>
      <c r="J1002" s="41"/>
      <c r="K1002" s="41"/>
      <c r="L1002" s="43"/>
    </row>
    <row r="1003" spans="2:12" outlineLevel="2">
      <c r="B1003" s="35">
        <f t="shared" si="31"/>
        <v>539</v>
      </c>
      <c r="C1003" s="41" t="s">
        <v>175</v>
      </c>
      <c r="D1003" s="41"/>
      <c r="E1003" s="41"/>
      <c r="F1003" s="41"/>
      <c r="G1003" s="41"/>
      <c r="H1003" s="41"/>
      <c r="I1003" s="42"/>
      <c r="J1003" s="41"/>
      <c r="K1003" s="41"/>
      <c r="L1003" s="43"/>
    </row>
    <row r="1004" spans="2:12" outlineLevel="2">
      <c r="B1004" s="35">
        <f t="shared" si="31"/>
        <v>540</v>
      </c>
      <c r="C1004" s="41" t="s">
        <v>175</v>
      </c>
      <c r="D1004" s="41"/>
      <c r="E1004" s="41"/>
      <c r="F1004" s="41"/>
      <c r="G1004" s="41"/>
      <c r="H1004" s="41"/>
      <c r="I1004" s="42"/>
      <c r="J1004" s="41"/>
      <c r="K1004" s="41"/>
      <c r="L1004" s="43"/>
    </row>
    <row r="1005" spans="2:12" outlineLevel="2">
      <c r="B1005" s="35">
        <f t="shared" si="31"/>
        <v>541</v>
      </c>
      <c r="C1005" s="41" t="s">
        <v>175</v>
      </c>
      <c r="D1005" s="41"/>
      <c r="E1005" s="41"/>
      <c r="F1005" s="41"/>
      <c r="G1005" s="41"/>
      <c r="H1005" s="41"/>
      <c r="I1005" s="42"/>
      <c r="J1005" s="41"/>
      <c r="K1005" s="41"/>
      <c r="L1005" s="43"/>
    </row>
    <row r="1006" spans="2:12" outlineLevel="2">
      <c r="B1006" s="35">
        <f t="shared" si="31"/>
        <v>542</v>
      </c>
      <c r="C1006" s="41" t="s">
        <v>175</v>
      </c>
      <c r="D1006" s="41"/>
      <c r="E1006" s="41"/>
      <c r="F1006" s="41"/>
      <c r="G1006" s="41"/>
      <c r="H1006" s="41"/>
      <c r="I1006" s="42"/>
      <c r="J1006" s="41"/>
      <c r="K1006" s="41"/>
      <c r="L1006" s="43"/>
    </row>
    <row r="1007" spans="2:12" outlineLevel="2">
      <c r="B1007" s="35">
        <f t="shared" si="31"/>
        <v>543</v>
      </c>
      <c r="C1007" s="41" t="s">
        <v>175</v>
      </c>
      <c r="D1007" s="41"/>
      <c r="E1007" s="41"/>
      <c r="F1007" s="41"/>
      <c r="G1007" s="41"/>
      <c r="H1007" s="41"/>
      <c r="I1007" s="42"/>
      <c r="J1007" s="41"/>
      <c r="K1007" s="41"/>
      <c r="L1007" s="43"/>
    </row>
    <row r="1008" spans="2:12" outlineLevel="2">
      <c r="B1008" s="35">
        <f t="shared" si="31"/>
        <v>544</v>
      </c>
      <c r="C1008" s="41" t="s">
        <v>175</v>
      </c>
      <c r="D1008" s="41"/>
      <c r="E1008" s="41"/>
      <c r="F1008" s="41"/>
      <c r="G1008" s="41"/>
      <c r="H1008" s="41"/>
      <c r="I1008" s="42"/>
      <c r="J1008" s="41"/>
      <c r="K1008" s="41"/>
      <c r="L1008" s="43"/>
    </row>
    <row r="1009" spans="2:12" outlineLevel="2">
      <c r="B1009" s="35">
        <f t="shared" si="31"/>
        <v>545</v>
      </c>
      <c r="C1009" s="41" t="s">
        <v>175</v>
      </c>
      <c r="D1009" s="41"/>
      <c r="E1009" s="41"/>
      <c r="F1009" s="41"/>
      <c r="G1009" s="41"/>
      <c r="H1009" s="41"/>
      <c r="I1009" s="42"/>
      <c r="J1009" s="41"/>
      <c r="K1009" s="41"/>
      <c r="L1009" s="43"/>
    </row>
    <row r="1010" spans="2:12" outlineLevel="2">
      <c r="B1010" s="35">
        <f t="shared" si="31"/>
        <v>546</v>
      </c>
      <c r="C1010" s="41" t="s">
        <v>175</v>
      </c>
      <c r="D1010" s="41"/>
      <c r="E1010" s="41"/>
      <c r="F1010" s="41"/>
      <c r="G1010" s="41"/>
      <c r="H1010" s="41"/>
      <c r="I1010" s="42"/>
      <c r="J1010" s="41"/>
      <c r="K1010" s="41"/>
      <c r="L1010" s="43"/>
    </row>
    <row r="1011" spans="2:12" outlineLevel="2">
      <c r="B1011" s="35">
        <f t="shared" si="31"/>
        <v>547</v>
      </c>
      <c r="C1011" s="41" t="s">
        <v>175</v>
      </c>
      <c r="D1011" s="41"/>
      <c r="E1011" s="41"/>
      <c r="F1011" s="41"/>
      <c r="G1011" s="41"/>
      <c r="H1011" s="41"/>
      <c r="I1011" s="42"/>
      <c r="J1011" s="41"/>
      <c r="K1011" s="41"/>
      <c r="L1011" s="43"/>
    </row>
    <row r="1012" spans="2:12" outlineLevel="2">
      <c r="B1012" s="35">
        <f t="shared" si="31"/>
        <v>548</v>
      </c>
      <c r="C1012" s="41" t="s">
        <v>175</v>
      </c>
      <c r="D1012" s="41"/>
      <c r="E1012" s="41"/>
      <c r="F1012" s="41"/>
      <c r="G1012" s="41"/>
      <c r="H1012" s="41"/>
      <c r="I1012" s="42"/>
      <c r="J1012" s="41"/>
      <c r="K1012" s="41"/>
      <c r="L1012" s="43"/>
    </row>
    <row r="1013" spans="2:12" outlineLevel="2">
      <c r="B1013" s="35">
        <f t="shared" si="31"/>
        <v>549</v>
      </c>
      <c r="C1013" s="41" t="s">
        <v>175</v>
      </c>
      <c r="D1013" s="41"/>
      <c r="E1013" s="41"/>
      <c r="F1013" s="41"/>
      <c r="G1013" s="41"/>
      <c r="H1013" s="41"/>
      <c r="I1013" s="42"/>
      <c r="J1013" s="41"/>
      <c r="K1013" s="41"/>
      <c r="L1013" s="43"/>
    </row>
    <row r="1014" spans="2:12" outlineLevel="2">
      <c r="B1014" s="35">
        <f t="shared" si="31"/>
        <v>550</v>
      </c>
      <c r="C1014" s="41" t="s">
        <v>175</v>
      </c>
      <c r="D1014" s="41"/>
      <c r="E1014" s="41"/>
      <c r="F1014" s="41"/>
      <c r="G1014" s="41"/>
      <c r="H1014" s="41"/>
      <c r="I1014" s="42"/>
      <c r="J1014" s="41"/>
      <c r="K1014" s="41"/>
      <c r="L1014" s="43"/>
    </row>
    <row r="1015" spans="2:12" outlineLevel="2">
      <c r="B1015" s="35">
        <f t="shared" si="31"/>
        <v>551</v>
      </c>
      <c r="C1015" s="41" t="s">
        <v>175</v>
      </c>
      <c r="D1015" s="41"/>
      <c r="E1015" s="41"/>
      <c r="F1015" s="41"/>
      <c r="G1015" s="41"/>
      <c r="H1015" s="41"/>
      <c r="I1015" s="42"/>
      <c r="J1015" s="41"/>
      <c r="K1015" s="41"/>
      <c r="L1015" s="43"/>
    </row>
    <row r="1016" spans="2:12" outlineLevel="2">
      <c r="B1016" s="35">
        <f t="shared" si="31"/>
        <v>552</v>
      </c>
      <c r="C1016" s="41" t="s">
        <v>175</v>
      </c>
      <c r="D1016" s="41"/>
      <c r="E1016" s="41"/>
      <c r="F1016" s="41"/>
      <c r="G1016" s="41"/>
      <c r="H1016" s="41"/>
      <c r="I1016" s="42"/>
      <c r="J1016" s="41"/>
      <c r="K1016" s="41"/>
      <c r="L1016" s="43"/>
    </row>
    <row r="1017" spans="2:12" outlineLevel="2">
      <c r="B1017" s="35">
        <f t="shared" si="31"/>
        <v>553</v>
      </c>
      <c r="C1017" s="41" t="s">
        <v>175</v>
      </c>
      <c r="D1017" s="41"/>
      <c r="E1017" s="41"/>
      <c r="F1017" s="41"/>
      <c r="G1017" s="41"/>
      <c r="H1017" s="41"/>
      <c r="I1017" s="42"/>
      <c r="J1017" s="41"/>
      <c r="K1017" s="41"/>
      <c r="L1017" s="43"/>
    </row>
    <row r="1018" spans="2:12" outlineLevel="2">
      <c r="B1018" s="35">
        <f t="shared" ref="B1018:B1049" si="32">(B1017+1)</f>
        <v>554</v>
      </c>
      <c r="C1018" s="41" t="s">
        <v>175</v>
      </c>
      <c r="D1018" s="41"/>
      <c r="E1018" s="41"/>
      <c r="F1018" s="41"/>
      <c r="G1018" s="41"/>
      <c r="H1018" s="41"/>
      <c r="I1018" s="42"/>
      <c r="J1018" s="41"/>
      <c r="K1018" s="41"/>
      <c r="L1018" s="43"/>
    </row>
    <row r="1019" spans="2:12" outlineLevel="2">
      <c r="B1019" s="35">
        <f t="shared" si="32"/>
        <v>555</v>
      </c>
      <c r="C1019" s="41" t="s">
        <v>175</v>
      </c>
      <c r="D1019" s="41"/>
      <c r="E1019" s="41"/>
      <c r="F1019" s="41"/>
      <c r="G1019" s="41"/>
      <c r="H1019" s="41"/>
      <c r="I1019" s="42"/>
      <c r="J1019" s="41"/>
      <c r="K1019" s="41"/>
      <c r="L1019" s="43"/>
    </row>
    <row r="1020" spans="2:12" outlineLevel="2">
      <c r="B1020" s="35">
        <f t="shared" si="32"/>
        <v>556</v>
      </c>
      <c r="C1020" s="41" t="s">
        <v>175</v>
      </c>
      <c r="D1020" s="41"/>
      <c r="E1020" s="41"/>
      <c r="F1020" s="41"/>
      <c r="G1020" s="41"/>
      <c r="H1020" s="41"/>
      <c r="I1020" s="42"/>
      <c r="J1020" s="41"/>
      <c r="K1020" s="41"/>
      <c r="L1020" s="43"/>
    </row>
    <row r="1021" spans="2:12" outlineLevel="2">
      <c r="B1021" s="35">
        <f t="shared" si="32"/>
        <v>557</v>
      </c>
      <c r="C1021" s="41" t="s">
        <v>175</v>
      </c>
      <c r="D1021" s="41"/>
      <c r="E1021" s="41"/>
      <c r="F1021" s="41"/>
      <c r="G1021" s="41"/>
      <c r="H1021" s="41"/>
      <c r="I1021" s="42"/>
      <c r="J1021" s="41"/>
      <c r="K1021" s="41"/>
      <c r="L1021" s="43"/>
    </row>
    <row r="1022" spans="2:12" outlineLevel="2">
      <c r="B1022" s="35">
        <f t="shared" si="32"/>
        <v>558</v>
      </c>
      <c r="C1022" s="41" t="s">
        <v>175</v>
      </c>
      <c r="D1022" s="41"/>
      <c r="E1022" s="41"/>
      <c r="F1022" s="41"/>
      <c r="G1022" s="41"/>
      <c r="H1022" s="41"/>
      <c r="I1022" s="42"/>
      <c r="J1022" s="41"/>
      <c r="K1022" s="41"/>
      <c r="L1022" s="43"/>
    </row>
    <row r="1023" spans="2:12" outlineLevel="2">
      <c r="B1023" s="35">
        <f t="shared" si="32"/>
        <v>559</v>
      </c>
      <c r="C1023" s="41" t="s">
        <v>175</v>
      </c>
      <c r="D1023" s="41"/>
      <c r="E1023" s="41"/>
      <c r="F1023" s="41"/>
      <c r="G1023" s="41"/>
      <c r="H1023" s="41"/>
      <c r="I1023" s="42"/>
      <c r="J1023" s="41"/>
      <c r="K1023" s="41"/>
      <c r="L1023" s="43"/>
    </row>
    <row r="1024" spans="2:12" outlineLevel="2">
      <c r="B1024" s="35">
        <f t="shared" si="32"/>
        <v>560</v>
      </c>
      <c r="C1024" s="41" t="s">
        <v>175</v>
      </c>
      <c r="D1024" s="41"/>
      <c r="E1024" s="41"/>
      <c r="F1024" s="41"/>
      <c r="G1024" s="41"/>
      <c r="H1024" s="41"/>
      <c r="I1024" s="42"/>
      <c r="J1024" s="41"/>
      <c r="K1024" s="41"/>
      <c r="L1024" s="43"/>
    </row>
    <row r="1025" spans="2:12" outlineLevel="2">
      <c r="B1025" s="35">
        <f t="shared" si="32"/>
        <v>561</v>
      </c>
      <c r="C1025" s="41" t="s">
        <v>175</v>
      </c>
      <c r="D1025" s="41"/>
      <c r="E1025" s="41"/>
      <c r="F1025" s="41"/>
      <c r="G1025" s="41"/>
      <c r="H1025" s="41"/>
      <c r="I1025" s="42"/>
      <c r="J1025" s="41"/>
      <c r="K1025" s="41"/>
      <c r="L1025" s="43"/>
    </row>
    <row r="1026" spans="2:12" outlineLevel="2">
      <c r="B1026" s="35">
        <f t="shared" si="32"/>
        <v>562</v>
      </c>
      <c r="C1026" s="41" t="s">
        <v>175</v>
      </c>
      <c r="D1026" s="41"/>
      <c r="E1026" s="41"/>
      <c r="F1026" s="41"/>
      <c r="G1026" s="41"/>
      <c r="H1026" s="41"/>
      <c r="I1026" s="42"/>
      <c r="J1026" s="41"/>
      <c r="K1026" s="41"/>
      <c r="L1026" s="43"/>
    </row>
    <row r="1027" spans="2:12" outlineLevel="2">
      <c r="B1027" s="35">
        <f t="shared" si="32"/>
        <v>563</v>
      </c>
      <c r="C1027" s="41" t="s">
        <v>175</v>
      </c>
      <c r="D1027" s="41"/>
      <c r="E1027" s="41"/>
      <c r="F1027" s="41"/>
      <c r="G1027" s="41"/>
      <c r="H1027" s="41"/>
      <c r="I1027" s="42"/>
      <c r="J1027" s="41"/>
      <c r="K1027" s="41"/>
      <c r="L1027" s="43"/>
    </row>
    <row r="1028" spans="2:12" outlineLevel="2">
      <c r="B1028" s="35">
        <f t="shared" si="32"/>
        <v>564</v>
      </c>
      <c r="C1028" s="41" t="s">
        <v>175</v>
      </c>
      <c r="D1028" s="41"/>
      <c r="E1028" s="41"/>
      <c r="F1028" s="41"/>
      <c r="G1028" s="41"/>
      <c r="H1028" s="41"/>
      <c r="I1028" s="42"/>
      <c r="J1028" s="41"/>
      <c r="K1028" s="41"/>
      <c r="L1028" s="43"/>
    </row>
    <row r="1029" spans="2:12" outlineLevel="2">
      <c r="B1029" s="35">
        <f t="shared" si="32"/>
        <v>565</v>
      </c>
      <c r="C1029" s="41" t="s">
        <v>175</v>
      </c>
      <c r="D1029" s="41"/>
      <c r="E1029" s="41"/>
      <c r="F1029" s="41"/>
      <c r="G1029" s="41"/>
      <c r="H1029" s="41"/>
      <c r="I1029" s="42"/>
      <c r="J1029" s="41"/>
      <c r="K1029" s="41"/>
      <c r="L1029" s="43"/>
    </row>
    <row r="1030" spans="2:12" outlineLevel="2">
      <c r="B1030" s="35">
        <f t="shared" si="32"/>
        <v>566</v>
      </c>
      <c r="C1030" s="41" t="s">
        <v>175</v>
      </c>
      <c r="D1030" s="41"/>
      <c r="E1030" s="41"/>
      <c r="F1030" s="41"/>
      <c r="G1030" s="41"/>
      <c r="H1030" s="41"/>
      <c r="I1030" s="42"/>
      <c r="J1030" s="41"/>
      <c r="K1030" s="41"/>
      <c r="L1030" s="43"/>
    </row>
    <row r="1031" spans="2:12" outlineLevel="2">
      <c r="B1031" s="35">
        <f t="shared" si="32"/>
        <v>567</v>
      </c>
      <c r="C1031" s="41" t="s">
        <v>175</v>
      </c>
      <c r="D1031" s="41"/>
      <c r="E1031" s="41"/>
      <c r="F1031" s="41"/>
      <c r="G1031" s="41"/>
      <c r="H1031" s="41"/>
      <c r="I1031" s="42"/>
      <c r="J1031" s="41"/>
      <c r="K1031" s="41"/>
      <c r="L1031" s="43"/>
    </row>
    <row r="1032" spans="2:12" outlineLevel="2">
      <c r="B1032" s="35">
        <f t="shared" si="32"/>
        <v>568</v>
      </c>
      <c r="C1032" s="41" t="s">
        <v>175</v>
      </c>
      <c r="D1032" s="41"/>
      <c r="E1032" s="41"/>
      <c r="F1032" s="41"/>
      <c r="G1032" s="41"/>
      <c r="H1032" s="41"/>
      <c r="I1032" s="42"/>
      <c r="J1032" s="41"/>
      <c r="K1032" s="41"/>
      <c r="L1032" s="43"/>
    </row>
    <row r="1033" spans="2:12" outlineLevel="2">
      <c r="B1033" s="35">
        <f t="shared" si="32"/>
        <v>569</v>
      </c>
      <c r="C1033" s="41" t="s">
        <v>175</v>
      </c>
      <c r="D1033" s="41"/>
      <c r="E1033" s="41"/>
      <c r="F1033" s="41"/>
      <c r="G1033" s="41"/>
      <c r="H1033" s="41"/>
      <c r="I1033" s="42"/>
      <c r="J1033" s="41"/>
      <c r="K1033" s="41"/>
      <c r="L1033" s="43"/>
    </row>
    <row r="1034" spans="2:12" outlineLevel="2">
      <c r="B1034" s="35">
        <f t="shared" si="32"/>
        <v>570</v>
      </c>
      <c r="C1034" s="41" t="s">
        <v>175</v>
      </c>
      <c r="D1034" s="41"/>
      <c r="E1034" s="41"/>
      <c r="F1034" s="41"/>
      <c r="G1034" s="41"/>
      <c r="H1034" s="41"/>
      <c r="I1034" s="42"/>
      <c r="J1034" s="41"/>
      <c r="K1034" s="41"/>
      <c r="L1034" s="43"/>
    </row>
    <row r="1035" spans="2:12" outlineLevel="2">
      <c r="B1035" s="35">
        <f t="shared" si="32"/>
        <v>571</v>
      </c>
      <c r="C1035" s="41" t="s">
        <v>175</v>
      </c>
      <c r="D1035" s="41"/>
      <c r="E1035" s="41"/>
      <c r="F1035" s="41"/>
      <c r="G1035" s="41"/>
      <c r="H1035" s="41"/>
      <c r="I1035" s="42"/>
      <c r="J1035" s="41"/>
      <c r="K1035" s="41"/>
      <c r="L1035" s="43"/>
    </row>
    <row r="1036" spans="2:12" outlineLevel="2">
      <c r="B1036" s="35">
        <f t="shared" si="32"/>
        <v>572</v>
      </c>
      <c r="C1036" s="41" t="s">
        <v>175</v>
      </c>
      <c r="D1036" s="41"/>
      <c r="E1036" s="41"/>
      <c r="F1036" s="41"/>
      <c r="G1036" s="41"/>
      <c r="H1036" s="41"/>
      <c r="I1036" s="42"/>
      <c r="J1036" s="41"/>
      <c r="K1036" s="41"/>
      <c r="L1036" s="43"/>
    </row>
    <row r="1037" spans="2:12" outlineLevel="2">
      <c r="B1037" s="35">
        <f t="shared" si="32"/>
        <v>573</v>
      </c>
      <c r="C1037" s="41" t="s">
        <v>175</v>
      </c>
      <c r="D1037" s="41"/>
      <c r="E1037" s="41"/>
      <c r="F1037" s="41"/>
      <c r="G1037" s="41"/>
      <c r="H1037" s="41"/>
      <c r="I1037" s="42"/>
      <c r="J1037" s="41"/>
      <c r="K1037" s="41"/>
      <c r="L1037" s="43"/>
    </row>
    <row r="1038" spans="2:12" outlineLevel="2">
      <c r="B1038" s="35">
        <f t="shared" si="32"/>
        <v>574</v>
      </c>
      <c r="C1038" s="41" t="s">
        <v>175</v>
      </c>
      <c r="D1038" s="41"/>
      <c r="E1038" s="41"/>
      <c r="F1038" s="41"/>
      <c r="G1038" s="41"/>
      <c r="H1038" s="41"/>
      <c r="I1038" s="42"/>
      <c r="J1038" s="41"/>
      <c r="K1038" s="41"/>
      <c r="L1038" s="43"/>
    </row>
    <row r="1039" spans="2:12" outlineLevel="2">
      <c r="B1039" s="35">
        <f t="shared" si="32"/>
        <v>575</v>
      </c>
      <c r="C1039" s="41" t="s">
        <v>175</v>
      </c>
      <c r="D1039" s="41"/>
      <c r="E1039" s="41"/>
      <c r="F1039" s="41"/>
      <c r="G1039" s="41"/>
      <c r="H1039" s="41"/>
      <c r="I1039" s="42"/>
      <c r="J1039" s="41"/>
      <c r="K1039" s="41"/>
      <c r="L1039" s="43"/>
    </row>
    <row r="1040" spans="2:12" outlineLevel="2">
      <c r="B1040" s="35">
        <f t="shared" si="32"/>
        <v>576</v>
      </c>
      <c r="C1040" s="41" t="s">
        <v>175</v>
      </c>
      <c r="D1040" s="41"/>
      <c r="E1040" s="41"/>
      <c r="F1040" s="41"/>
      <c r="G1040" s="41"/>
      <c r="H1040" s="41"/>
      <c r="I1040" s="42"/>
      <c r="J1040" s="41"/>
      <c r="K1040" s="41"/>
      <c r="L1040" s="43"/>
    </row>
    <row r="1041" spans="2:12" outlineLevel="2">
      <c r="B1041" s="35">
        <f t="shared" si="32"/>
        <v>577</v>
      </c>
      <c r="C1041" s="41" t="s">
        <v>175</v>
      </c>
      <c r="D1041" s="41"/>
      <c r="E1041" s="41"/>
      <c r="F1041" s="41"/>
      <c r="G1041" s="41"/>
      <c r="H1041" s="41"/>
      <c r="I1041" s="42"/>
      <c r="J1041" s="41"/>
      <c r="K1041" s="41"/>
      <c r="L1041" s="43"/>
    </row>
    <row r="1042" spans="2:12" outlineLevel="2">
      <c r="B1042" s="35">
        <f t="shared" si="32"/>
        <v>578</v>
      </c>
      <c r="C1042" s="41" t="s">
        <v>175</v>
      </c>
      <c r="D1042" s="41"/>
      <c r="E1042" s="41"/>
      <c r="F1042" s="41"/>
      <c r="G1042" s="41"/>
      <c r="H1042" s="41"/>
      <c r="I1042" s="42"/>
      <c r="J1042" s="41"/>
      <c r="K1042" s="41"/>
      <c r="L1042" s="43"/>
    </row>
    <row r="1043" spans="2:12" outlineLevel="2">
      <c r="B1043" s="35">
        <f t="shared" si="32"/>
        <v>579</v>
      </c>
      <c r="C1043" s="41" t="s">
        <v>175</v>
      </c>
      <c r="D1043" s="41"/>
      <c r="E1043" s="41"/>
      <c r="F1043" s="41"/>
      <c r="G1043" s="41"/>
      <c r="H1043" s="41"/>
      <c r="I1043" s="42"/>
      <c r="J1043" s="41"/>
      <c r="K1043" s="41"/>
      <c r="L1043" s="43"/>
    </row>
    <row r="1044" spans="2:12" outlineLevel="2">
      <c r="B1044" s="35">
        <f t="shared" si="32"/>
        <v>580</v>
      </c>
      <c r="C1044" s="41" t="s">
        <v>175</v>
      </c>
      <c r="D1044" s="41"/>
      <c r="E1044" s="41"/>
      <c r="F1044" s="41"/>
      <c r="G1044" s="41"/>
      <c r="H1044" s="41"/>
      <c r="I1044" s="42"/>
      <c r="J1044" s="41"/>
      <c r="K1044" s="41"/>
      <c r="L1044" s="43"/>
    </row>
    <row r="1045" spans="2:12" outlineLevel="2">
      <c r="B1045" s="35">
        <f t="shared" si="32"/>
        <v>581</v>
      </c>
      <c r="C1045" s="41" t="s">
        <v>175</v>
      </c>
      <c r="D1045" s="41"/>
      <c r="E1045" s="41"/>
      <c r="F1045" s="41"/>
      <c r="G1045" s="41"/>
      <c r="H1045" s="41"/>
      <c r="I1045" s="42"/>
      <c r="J1045" s="41"/>
      <c r="K1045" s="41"/>
      <c r="L1045" s="43"/>
    </row>
    <row r="1046" spans="2:12" outlineLevel="2">
      <c r="B1046" s="35">
        <f t="shared" si="32"/>
        <v>582</v>
      </c>
      <c r="C1046" s="41" t="s">
        <v>175</v>
      </c>
      <c r="D1046" s="41"/>
      <c r="E1046" s="41"/>
      <c r="F1046" s="41"/>
      <c r="G1046" s="41"/>
      <c r="H1046" s="41"/>
      <c r="I1046" s="42"/>
      <c r="J1046" s="41"/>
      <c r="K1046" s="41"/>
      <c r="L1046" s="43"/>
    </row>
    <row r="1047" spans="2:12" outlineLevel="2">
      <c r="B1047" s="35">
        <f t="shared" si="32"/>
        <v>583</v>
      </c>
      <c r="C1047" s="41" t="s">
        <v>175</v>
      </c>
      <c r="D1047" s="41"/>
      <c r="E1047" s="41"/>
      <c r="F1047" s="41"/>
      <c r="G1047" s="41"/>
      <c r="H1047" s="41"/>
      <c r="I1047" s="42"/>
      <c r="J1047" s="41"/>
      <c r="K1047" s="41"/>
      <c r="L1047" s="43"/>
    </row>
    <row r="1048" spans="2:12" outlineLevel="2">
      <c r="B1048" s="35">
        <f t="shared" si="32"/>
        <v>584</v>
      </c>
      <c r="C1048" s="41" t="s">
        <v>175</v>
      </c>
      <c r="D1048" s="41"/>
      <c r="E1048" s="41"/>
      <c r="F1048" s="41"/>
      <c r="G1048" s="41"/>
      <c r="H1048" s="41"/>
      <c r="I1048" s="42"/>
      <c r="J1048" s="41"/>
      <c r="K1048" s="41"/>
      <c r="L1048" s="43"/>
    </row>
    <row r="1049" spans="2:12" outlineLevel="2">
      <c r="B1049" s="35">
        <f t="shared" si="32"/>
        <v>585</v>
      </c>
      <c r="C1049" s="41" t="s">
        <v>175</v>
      </c>
      <c r="D1049" s="41"/>
      <c r="E1049" s="41"/>
      <c r="F1049" s="41"/>
      <c r="G1049" s="41"/>
      <c r="H1049" s="41"/>
      <c r="I1049" s="42"/>
      <c r="J1049" s="41"/>
      <c r="K1049" s="41"/>
      <c r="L1049" s="43"/>
    </row>
    <row r="1050" spans="2:12" outlineLevel="2">
      <c r="B1050" s="35">
        <f t="shared" ref="B1050:B1081" si="33">(B1049+1)</f>
        <v>586</v>
      </c>
      <c r="C1050" s="41" t="s">
        <v>175</v>
      </c>
      <c r="D1050" s="41"/>
      <c r="E1050" s="41"/>
      <c r="F1050" s="41"/>
      <c r="G1050" s="41"/>
      <c r="H1050" s="41"/>
      <c r="I1050" s="42"/>
      <c r="J1050" s="41"/>
      <c r="K1050" s="41"/>
      <c r="L1050" s="43"/>
    </row>
    <row r="1051" spans="2:12" outlineLevel="2">
      <c r="B1051" s="35">
        <f t="shared" si="33"/>
        <v>587</v>
      </c>
      <c r="C1051" s="41" t="s">
        <v>175</v>
      </c>
      <c r="D1051" s="41"/>
      <c r="E1051" s="41"/>
      <c r="F1051" s="41"/>
      <c r="G1051" s="41"/>
      <c r="H1051" s="41"/>
      <c r="I1051" s="42"/>
      <c r="J1051" s="41"/>
      <c r="K1051" s="41"/>
      <c r="L1051" s="43"/>
    </row>
    <row r="1052" spans="2:12" outlineLevel="2">
      <c r="B1052" s="35">
        <f t="shared" si="33"/>
        <v>588</v>
      </c>
      <c r="C1052" s="41" t="s">
        <v>175</v>
      </c>
      <c r="D1052" s="41"/>
      <c r="E1052" s="41"/>
      <c r="F1052" s="41"/>
      <c r="G1052" s="41"/>
      <c r="H1052" s="41"/>
      <c r="I1052" s="42"/>
      <c r="J1052" s="41"/>
      <c r="K1052" s="41"/>
      <c r="L1052" s="43"/>
    </row>
    <row r="1053" spans="2:12" outlineLevel="2">
      <c r="B1053" s="35">
        <f t="shared" si="33"/>
        <v>589</v>
      </c>
      <c r="C1053" s="41" t="s">
        <v>175</v>
      </c>
      <c r="D1053" s="41"/>
      <c r="E1053" s="41"/>
      <c r="F1053" s="41"/>
      <c r="G1053" s="41"/>
      <c r="H1053" s="41"/>
      <c r="I1053" s="42"/>
      <c r="J1053" s="41"/>
      <c r="K1053" s="41"/>
      <c r="L1053" s="43"/>
    </row>
    <row r="1054" spans="2:12" outlineLevel="2">
      <c r="B1054" s="35">
        <f t="shared" si="33"/>
        <v>590</v>
      </c>
      <c r="C1054" s="41" t="s">
        <v>175</v>
      </c>
      <c r="D1054" s="41"/>
      <c r="E1054" s="41"/>
      <c r="F1054" s="41"/>
      <c r="G1054" s="41"/>
      <c r="H1054" s="41"/>
      <c r="I1054" s="42"/>
      <c r="J1054" s="41"/>
      <c r="K1054" s="41"/>
      <c r="L1054" s="43"/>
    </row>
    <row r="1055" spans="2:12" outlineLevel="2">
      <c r="B1055" s="35">
        <f t="shared" si="33"/>
        <v>591</v>
      </c>
      <c r="C1055" s="41" t="s">
        <v>175</v>
      </c>
      <c r="D1055" s="41"/>
      <c r="E1055" s="41"/>
      <c r="F1055" s="41"/>
      <c r="G1055" s="41"/>
      <c r="H1055" s="41"/>
      <c r="I1055" s="42"/>
      <c r="J1055" s="41"/>
      <c r="K1055" s="41"/>
      <c r="L1055" s="43"/>
    </row>
    <row r="1056" spans="2:12" outlineLevel="2">
      <c r="B1056" s="35">
        <f t="shared" si="33"/>
        <v>592</v>
      </c>
      <c r="C1056" s="41" t="s">
        <v>175</v>
      </c>
      <c r="D1056" s="41"/>
      <c r="E1056" s="41"/>
      <c r="F1056" s="41"/>
      <c r="G1056" s="41"/>
      <c r="H1056" s="41"/>
      <c r="I1056" s="42"/>
      <c r="J1056" s="41"/>
      <c r="K1056" s="41"/>
      <c r="L1056" s="43"/>
    </row>
    <row r="1057" spans="2:12" outlineLevel="2">
      <c r="B1057" s="35">
        <f t="shared" si="33"/>
        <v>593</v>
      </c>
      <c r="C1057" s="41" t="s">
        <v>175</v>
      </c>
      <c r="D1057" s="41"/>
      <c r="E1057" s="41"/>
      <c r="F1057" s="41"/>
      <c r="G1057" s="41"/>
      <c r="H1057" s="41"/>
      <c r="I1057" s="42"/>
      <c r="J1057" s="41"/>
      <c r="K1057" s="41"/>
      <c r="L1057" s="43"/>
    </row>
    <row r="1058" spans="2:12" outlineLevel="2">
      <c r="B1058" s="35">
        <f t="shared" si="33"/>
        <v>594</v>
      </c>
      <c r="C1058" s="41" t="s">
        <v>175</v>
      </c>
      <c r="D1058" s="41"/>
      <c r="E1058" s="41"/>
      <c r="F1058" s="41"/>
      <c r="G1058" s="41"/>
      <c r="H1058" s="41"/>
      <c r="I1058" s="42"/>
      <c r="J1058" s="41"/>
      <c r="K1058" s="41"/>
      <c r="L1058" s="43"/>
    </row>
    <row r="1059" spans="2:12" outlineLevel="2">
      <c r="B1059" s="35">
        <f t="shared" si="33"/>
        <v>595</v>
      </c>
      <c r="C1059" s="41" t="s">
        <v>175</v>
      </c>
      <c r="D1059" s="41"/>
      <c r="E1059" s="41"/>
      <c r="F1059" s="41"/>
      <c r="G1059" s="41"/>
      <c r="H1059" s="41"/>
      <c r="I1059" s="42"/>
      <c r="J1059" s="41"/>
      <c r="K1059" s="41"/>
      <c r="L1059" s="43"/>
    </row>
    <row r="1060" spans="2:12" outlineLevel="2">
      <c r="B1060" s="35">
        <f t="shared" si="33"/>
        <v>596</v>
      </c>
      <c r="C1060" s="41" t="s">
        <v>175</v>
      </c>
      <c r="D1060" s="41"/>
      <c r="E1060" s="41"/>
      <c r="F1060" s="41"/>
      <c r="G1060" s="41"/>
      <c r="H1060" s="41"/>
      <c r="I1060" s="42"/>
      <c r="J1060" s="41"/>
      <c r="K1060" s="41"/>
      <c r="L1060" s="43"/>
    </row>
    <row r="1061" spans="2:12" outlineLevel="2">
      <c r="B1061" s="35">
        <f t="shared" si="33"/>
        <v>597</v>
      </c>
      <c r="C1061" s="41" t="s">
        <v>175</v>
      </c>
      <c r="D1061" s="41"/>
      <c r="E1061" s="41"/>
      <c r="F1061" s="41"/>
      <c r="G1061" s="41"/>
      <c r="H1061" s="41"/>
      <c r="I1061" s="42"/>
      <c r="J1061" s="41"/>
      <c r="K1061" s="41"/>
      <c r="L1061" s="43"/>
    </row>
    <row r="1062" spans="2:12" outlineLevel="2">
      <c r="B1062" s="35">
        <f t="shared" si="33"/>
        <v>598</v>
      </c>
      <c r="C1062" s="41" t="s">
        <v>175</v>
      </c>
      <c r="D1062" s="41"/>
      <c r="E1062" s="41"/>
      <c r="F1062" s="41"/>
      <c r="G1062" s="41"/>
      <c r="H1062" s="41"/>
      <c r="I1062" s="42"/>
      <c r="J1062" s="41"/>
      <c r="K1062" s="41"/>
      <c r="L1062" s="43"/>
    </row>
    <row r="1063" spans="2:12" outlineLevel="2">
      <c r="B1063" s="35">
        <f t="shared" si="33"/>
        <v>599</v>
      </c>
      <c r="C1063" s="41" t="s">
        <v>175</v>
      </c>
      <c r="D1063" s="41"/>
      <c r="E1063" s="41"/>
      <c r="F1063" s="41"/>
      <c r="G1063" s="41"/>
      <c r="H1063" s="41"/>
      <c r="I1063" s="42"/>
      <c r="J1063" s="41"/>
      <c r="K1063" s="41"/>
      <c r="L1063" s="43"/>
    </row>
    <row r="1064" spans="2:12" outlineLevel="2">
      <c r="B1064" s="35">
        <f t="shared" si="33"/>
        <v>600</v>
      </c>
      <c r="C1064" s="41" t="s">
        <v>175</v>
      </c>
      <c r="D1064" s="41"/>
      <c r="E1064" s="41"/>
      <c r="F1064" s="41"/>
      <c r="G1064" s="41"/>
      <c r="H1064" s="41"/>
      <c r="I1064" s="42"/>
      <c r="J1064" s="41"/>
      <c r="K1064" s="41"/>
      <c r="L1064" s="43"/>
    </row>
    <row r="1065" spans="2:12" outlineLevel="2">
      <c r="B1065" s="35">
        <f t="shared" si="33"/>
        <v>601</v>
      </c>
      <c r="C1065" s="41" t="s">
        <v>175</v>
      </c>
      <c r="D1065" s="41"/>
      <c r="E1065" s="41"/>
      <c r="F1065" s="41"/>
      <c r="G1065" s="41"/>
      <c r="H1065" s="41"/>
      <c r="I1065" s="42"/>
      <c r="J1065" s="41"/>
      <c r="K1065" s="41"/>
      <c r="L1065" s="43"/>
    </row>
    <row r="1066" spans="2:12" outlineLevel="2">
      <c r="B1066" s="35">
        <f t="shared" si="33"/>
        <v>602</v>
      </c>
      <c r="C1066" s="41" t="s">
        <v>175</v>
      </c>
      <c r="D1066" s="41"/>
      <c r="E1066" s="41"/>
      <c r="F1066" s="41"/>
      <c r="G1066" s="41"/>
      <c r="H1066" s="41"/>
      <c r="I1066" s="42"/>
      <c r="J1066" s="41"/>
      <c r="K1066" s="41"/>
      <c r="L1066" s="43"/>
    </row>
    <row r="1067" spans="2:12" outlineLevel="2">
      <c r="B1067" s="35">
        <f t="shared" si="33"/>
        <v>603</v>
      </c>
      <c r="C1067" s="41" t="s">
        <v>175</v>
      </c>
      <c r="D1067" s="41"/>
      <c r="E1067" s="41"/>
      <c r="F1067" s="41"/>
      <c r="G1067" s="41"/>
      <c r="H1067" s="41"/>
      <c r="I1067" s="42"/>
      <c r="J1067" s="41"/>
      <c r="K1067" s="41"/>
      <c r="L1067" s="43"/>
    </row>
    <row r="1068" spans="2:12" outlineLevel="2">
      <c r="B1068" s="35">
        <f t="shared" si="33"/>
        <v>604</v>
      </c>
      <c r="C1068" s="41" t="s">
        <v>175</v>
      </c>
      <c r="D1068" s="41"/>
      <c r="E1068" s="41"/>
      <c r="F1068" s="41"/>
      <c r="G1068" s="41"/>
      <c r="H1068" s="41"/>
      <c r="I1068" s="42"/>
      <c r="J1068" s="41"/>
      <c r="K1068" s="41"/>
      <c r="L1068" s="43"/>
    </row>
    <row r="1069" spans="2:12" outlineLevel="2">
      <c r="B1069" s="35">
        <f t="shared" si="33"/>
        <v>605</v>
      </c>
      <c r="C1069" s="41" t="s">
        <v>175</v>
      </c>
      <c r="D1069" s="41"/>
      <c r="E1069" s="41"/>
      <c r="F1069" s="41"/>
      <c r="G1069" s="41"/>
      <c r="H1069" s="41"/>
      <c r="I1069" s="42"/>
      <c r="J1069" s="41"/>
      <c r="K1069" s="41"/>
      <c r="L1069" s="43"/>
    </row>
    <row r="1070" spans="2:12" outlineLevel="2">
      <c r="B1070" s="35">
        <f t="shared" si="33"/>
        <v>606</v>
      </c>
      <c r="C1070" s="41" t="s">
        <v>175</v>
      </c>
      <c r="D1070" s="41"/>
      <c r="E1070" s="41"/>
      <c r="F1070" s="41"/>
      <c r="G1070" s="41"/>
      <c r="H1070" s="41"/>
      <c r="I1070" s="42"/>
      <c r="J1070" s="41"/>
      <c r="K1070" s="41"/>
      <c r="L1070" s="43"/>
    </row>
    <row r="1071" spans="2:12" outlineLevel="2">
      <c r="B1071" s="35">
        <f t="shared" si="33"/>
        <v>607</v>
      </c>
      <c r="C1071" s="41" t="s">
        <v>175</v>
      </c>
      <c r="D1071" s="41"/>
      <c r="E1071" s="41"/>
      <c r="F1071" s="41"/>
      <c r="G1071" s="41"/>
      <c r="H1071" s="41"/>
      <c r="I1071" s="42"/>
      <c r="J1071" s="41"/>
      <c r="K1071" s="41"/>
      <c r="L1071" s="43"/>
    </row>
    <row r="1072" spans="2:12" outlineLevel="2">
      <c r="B1072" s="35">
        <f t="shared" si="33"/>
        <v>608</v>
      </c>
      <c r="C1072" s="41" t="s">
        <v>175</v>
      </c>
      <c r="D1072" s="41"/>
      <c r="E1072" s="41"/>
      <c r="F1072" s="41"/>
      <c r="G1072" s="41"/>
      <c r="H1072" s="41"/>
      <c r="I1072" s="42"/>
      <c r="J1072" s="41"/>
      <c r="K1072" s="41"/>
      <c r="L1072" s="43"/>
    </row>
    <row r="1073" spans="2:12" outlineLevel="2">
      <c r="B1073" s="35">
        <f t="shared" si="33"/>
        <v>609</v>
      </c>
      <c r="C1073" s="41" t="s">
        <v>175</v>
      </c>
      <c r="D1073" s="41"/>
      <c r="E1073" s="41"/>
      <c r="F1073" s="41"/>
      <c r="G1073" s="41"/>
      <c r="H1073" s="41"/>
      <c r="I1073" s="42"/>
      <c r="J1073" s="41"/>
      <c r="K1073" s="41"/>
      <c r="L1073" s="43"/>
    </row>
    <row r="1074" spans="2:12" outlineLevel="2">
      <c r="B1074" s="35">
        <f t="shared" si="33"/>
        <v>610</v>
      </c>
      <c r="C1074" s="41" t="s">
        <v>175</v>
      </c>
      <c r="D1074" s="41"/>
      <c r="E1074" s="41"/>
      <c r="F1074" s="41"/>
      <c r="G1074" s="41"/>
      <c r="H1074" s="41"/>
      <c r="I1074" s="42"/>
      <c r="J1074" s="41"/>
      <c r="K1074" s="41"/>
      <c r="L1074" s="43"/>
    </row>
    <row r="1075" spans="2:12" outlineLevel="2">
      <c r="B1075" s="35">
        <f t="shared" si="33"/>
        <v>611</v>
      </c>
      <c r="C1075" s="41" t="s">
        <v>175</v>
      </c>
      <c r="D1075" s="41"/>
      <c r="E1075" s="41"/>
      <c r="F1075" s="41"/>
      <c r="G1075" s="41"/>
      <c r="H1075" s="41"/>
      <c r="I1075" s="42"/>
      <c r="J1075" s="41"/>
      <c r="K1075" s="41"/>
      <c r="L1075" s="43"/>
    </row>
    <row r="1076" spans="2:12" outlineLevel="2">
      <c r="B1076" s="35">
        <f t="shared" si="33"/>
        <v>612</v>
      </c>
      <c r="C1076" s="41" t="s">
        <v>175</v>
      </c>
      <c r="D1076" s="41"/>
      <c r="E1076" s="41"/>
      <c r="F1076" s="41"/>
      <c r="G1076" s="41"/>
      <c r="H1076" s="41"/>
      <c r="I1076" s="42"/>
      <c r="J1076" s="41"/>
      <c r="K1076" s="41"/>
      <c r="L1076" s="43"/>
    </row>
    <row r="1077" spans="2:12" outlineLevel="2">
      <c r="B1077" s="35">
        <f t="shared" si="33"/>
        <v>613</v>
      </c>
      <c r="C1077" s="41" t="s">
        <v>175</v>
      </c>
      <c r="D1077" s="41"/>
      <c r="E1077" s="41"/>
      <c r="F1077" s="41"/>
      <c r="G1077" s="41"/>
      <c r="H1077" s="41"/>
      <c r="I1077" s="42"/>
      <c r="J1077" s="41"/>
      <c r="K1077" s="41"/>
      <c r="L1077" s="43"/>
    </row>
    <row r="1078" spans="2:12" outlineLevel="2">
      <c r="B1078" s="35">
        <f t="shared" si="33"/>
        <v>614</v>
      </c>
      <c r="C1078" s="41" t="s">
        <v>175</v>
      </c>
      <c r="D1078" s="41"/>
      <c r="E1078" s="41"/>
      <c r="F1078" s="41"/>
      <c r="G1078" s="41"/>
      <c r="H1078" s="41"/>
      <c r="I1078" s="42"/>
      <c r="J1078" s="41"/>
      <c r="K1078" s="41"/>
      <c r="L1078" s="43"/>
    </row>
    <row r="1079" spans="2:12" outlineLevel="2">
      <c r="B1079" s="35">
        <f t="shared" si="33"/>
        <v>615</v>
      </c>
      <c r="C1079" s="41" t="s">
        <v>175</v>
      </c>
      <c r="D1079" s="41"/>
      <c r="E1079" s="41"/>
      <c r="F1079" s="41"/>
      <c r="G1079" s="41"/>
      <c r="H1079" s="41"/>
      <c r="I1079" s="42"/>
      <c r="J1079" s="41"/>
      <c r="K1079" s="41"/>
      <c r="L1079" s="43"/>
    </row>
    <row r="1080" spans="2:12" outlineLevel="2">
      <c r="B1080" s="35">
        <f t="shared" si="33"/>
        <v>616</v>
      </c>
      <c r="C1080" s="41" t="s">
        <v>175</v>
      </c>
      <c r="D1080" s="41"/>
      <c r="E1080" s="41"/>
      <c r="F1080" s="41"/>
      <c r="G1080" s="41"/>
      <c r="H1080" s="41"/>
      <c r="I1080" s="42"/>
      <c r="J1080" s="41"/>
      <c r="K1080" s="41"/>
      <c r="L1080" s="43"/>
    </row>
    <row r="1081" spans="2:12" outlineLevel="2">
      <c r="B1081" s="35">
        <f t="shared" si="33"/>
        <v>617</v>
      </c>
      <c r="C1081" s="41" t="s">
        <v>175</v>
      </c>
      <c r="D1081" s="41"/>
      <c r="E1081" s="41"/>
      <c r="F1081" s="41"/>
      <c r="G1081" s="41"/>
      <c r="H1081" s="41"/>
      <c r="I1081" s="42"/>
      <c r="J1081" s="41"/>
      <c r="K1081" s="41"/>
      <c r="L1081" s="43"/>
    </row>
    <row r="1082" spans="2:12" outlineLevel="2">
      <c r="B1082" s="35">
        <f t="shared" ref="B1082:B1113" si="34">(B1081+1)</f>
        <v>618</v>
      </c>
      <c r="C1082" s="41" t="s">
        <v>175</v>
      </c>
      <c r="D1082" s="41"/>
      <c r="E1082" s="41"/>
      <c r="F1082" s="41"/>
      <c r="G1082" s="41"/>
      <c r="H1082" s="41"/>
      <c r="I1082" s="42"/>
      <c r="J1082" s="41"/>
      <c r="K1082" s="41"/>
      <c r="L1082" s="43"/>
    </row>
    <row r="1083" spans="2:12" outlineLevel="2">
      <c r="B1083" s="35">
        <f t="shared" si="34"/>
        <v>619</v>
      </c>
      <c r="C1083" s="41" t="s">
        <v>175</v>
      </c>
      <c r="D1083" s="41"/>
      <c r="E1083" s="41"/>
      <c r="F1083" s="41"/>
      <c r="G1083" s="41"/>
      <c r="H1083" s="41"/>
      <c r="I1083" s="42"/>
      <c r="J1083" s="41"/>
      <c r="K1083" s="41"/>
      <c r="L1083" s="43"/>
    </row>
    <row r="1084" spans="2:12" outlineLevel="2">
      <c r="B1084" s="35">
        <f t="shared" si="34"/>
        <v>620</v>
      </c>
      <c r="C1084" s="41" t="s">
        <v>175</v>
      </c>
      <c r="D1084" s="41"/>
      <c r="E1084" s="41"/>
      <c r="F1084" s="41"/>
      <c r="G1084" s="41"/>
      <c r="H1084" s="41"/>
      <c r="I1084" s="42"/>
      <c r="J1084" s="41"/>
      <c r="K1084" s="41"/>
      <c r="L1084" s="43"/>
    </row>
    <row r="1085" spans="2:12" outlineLevel="2">
      <c r="B1085" s="35">
        <f t="shared" si="34"/>
        <v>621</v>
      </c>
      <c r="C1085" s="41" t="s">
        <v>175</v>
      </c>
      <c r="D1085" s="41"/>
      <c r="E1085" s="41"/>
      <c r="F1085" s="41"/>
      <c r="G1085" s="41"/>
      <c r="H1085" s="41"/>
      <c r="I1085" s="42"/>
      <c r="J1085" s="41"/>
      <c r="K1085" s="41"/>
      <c r="L1085" s="43"/>
    </row>
    <row r="1086" spans="2:12" outlineLevel="2">
      <c r="B1086" s="35">
        <f t="shared" si="34"/>
        <v>622</v>
      </c>
      <c r="C1086" s="41" t="s">
        <v>175</v>
      </c>
      <c r="D1086" s="41"/>
      <c r="E1086" s="41"/>
      <c r="F1086" s="41"/>
      <c r="G1086" s="41"/>
      <c r="H1086" s="41"/>
      <c r="I1086" s="42"/>
      <c r="J1086" s="41"/>
      <c r="K1086" s="41"/>
      <c r="L1086" s="43"/>
    </row>
    <row r="1087" spans="2:12" outlineLevel="2">
      <c r="B1087" s="35">
        <f t="shared" si="34"/>
        <v>623</v>
      </c>
      <c r="C1087" s="41" t="s">
        <v>175</v>
      </c>
      <c r="D1087" s="41"/>
      <c r="E1087" s="41"/>
      <c r="F1087" s="41"/>
      <c r="G1087" s="41"/>
      <c r="H1087" s="41"/>
      <c r="I1087" s="42"/>
      <c r="J1087" s="41"/>
      <c r="K1087" s="41"/>
      <c r="L1087" s="43"/>
    </row>
    <row r="1088" spans="2:12" outlineLevel="2">
      <c r="B1088" s="35">
        <f t="shared" si="34"/>
        <v>624</v>
      </c>
      <c r="C1088" s="41" t="s">
        <v>175</v>
      </c>
      <c r="D1088" s="41"/>
      <c r="E1088" s="41"/>
      <c r="F1088" s="41"/>
      <c r="G1088" s="41"/>
      <c r="H1088" s="41"/>
      <c r="I1088" s="42"/>
      <c r="J1088" s="41"/>
      <c r="K1088" s="41"/>
      <c r="L1088" s="43"/>
    </row>
    <row r="1089" spans="2:12" outlineLevel="2">
      <c r="B1089" s="35">
        <f t="shared" si="34"/>
        <v>625</v>
      </c>
      <c r="C1089" s="41" t="s">
        <v>175</v>
      </c>
      <c r="D1089" s="41"/>
      <c r="E1089" s="41"/>
      <c r="F1089" s="41"/>
      <c r="G1089" s="41"/>
      <c r="H1089" s="41"/>
      <c r="I1089" s="42"/>
      <c r="J1089" s="41"/>
      <c r="K1089" s="41"/>
      <c r="L1089" s="43"/>
    </row>
    <row r="1090" spans="2:12" outlineLevel="2">
      <c r="B1090" s="35">
        <f t="shared" si="34"/>
        <v>626</v>
      </c>
      <c r="C1090" s="41" t="s">
        <v>175</v>
      </c>
      <c r="D1090" s="41"/>
      <c r="E1090" s="41"/>
      <c r="F1090" s="41"/>
      <c r="G1090" s="41"/>
      <c r="H1090" s="41"/>
      <c r="I1090" s="42"/>
      <c r="J1090" s="41"/>
      <c r="K1090" s="41"/>
      <c r="L1090" s="43"/>
    </row>
    <row r="1091" spans="2:12" outlineLevel="2">
      <c r="B1091" s="35">
        <f t="shared" si="34"/>
        <v>627</v>
      </c>
      <c r="C1091" s="41" t="s">
        <v>175</v>
      </c>
      <c r="D1091" s="41"/>
      <c r="E1091" s="41"/>
      <c r="F1091" s="41"/>
      <c r="G1091" s="41"/>
      <c r="H1091" s="41"/>
      <c r="I1091" s="42"/>
      <c r="J1091" s="41"/>
      <c r="K1091" s="41"/>
      <c r="L1091" s="43"/>
    </row>
    <row r="1092" spans="2:12" outlineLevel="2">
      <c r="B1092" s="35">
        <f t="shared" si="34"/>
        <v>628</v>
      </c>
      <c r="C1092" s="41" t="s">
        <v>175</v>
      </c>
      <c r="D1092" s="41"/>
      <c r="E1092" s="41"/>
      <c r="F1092" s="41"/>
      <c r="G1092" s="41"/>
      <c r="H1092" s="41"/>
      <c r="I1092" s="42"/>
      <c r="J1092" s="41"/>
      <c r="K1092" s="41"/>
      <c r="L1092" s="43"/>
    </row>
    <row r="1093" spans="2:12" outlineLevel="2">
      <c r="B1093" s="35">
        <f t="shared" si="34"/>
        <v>629</v>
      </c>
      <c r="C1093" s="41" t="s">
        <v>175</v>
      </c>
      <c r="D1093" s="41"/>
      <c r="E1093" s="41"/>
      <c r="F1093" s="41"/>
      <c r="G1093" s="41"/>
      <c r="H1093" s="41"/>
      <c r="I1093" s="42"/>
      <c r="J1093" s="41"/>
      <c r="K1093" s="41"/>
      <c r="L1093" s="43"/>
    </row>
    <row r="1094" spans="2:12" outlineLevel="2">
      <c r="B1094" s="35">
        <f t="shared" si="34"/>
        <v>630</v>
      </c>
      <c r="C1094" s="41" t="s">
        <v>175</v>
      </c>
      <c r="D1094" s="41"/>
      <c r="E1094" s="41"/>
      <c r="F1094" s="41"/>
      <c r="G1094" s="41"/>
      <c r="H1094" s="41"/>
      <c r="I1094" s="42"/>
      <c r="J1094" s="41"/>
      <c r="K1094" s="41"/>
      <c r="L1094" s="43"/>
    </row>
    <row r="1095" spans="2:12" outlineLevel="2">
      <c r="B1095" s="35">
        <f t="shared" si="34"/>
        <v>631</v>
      </c>
      <c r="C1095" s="41" t="s">
        <v>175</v>
      </c>
      <c r="D1095" s="41"/>
      <c r="E1095" s="41"/>
      <c r="F1095" s="41"/>
      <c r="G1095" s="41"/>
      <c r="H1095" s="41"/>
      <c r="I1095" s="42"/>
      <c r="J1095" s="41"/>
      <c r="K1095" s="41"/>
      <c r="L1095" s="43"/>
    </row>
    <row r="1096" spans="2:12" outlineLevel="2">
      <c r="B1096" s="35">
        <f t="shared" si="34"/>
        <v>632</v>
      </c>
      <c r="C1096" s="41" t="s">
        <v>175</v>
      </c>
      <c r="D1096" s="41"/>
      <c r="E1096" s="41"/>
      <c r="F1096" s="41"/>
      <c r="G1096" s="41"/>
      <c r="H1096" s="41"/>
      <c r="I1096" s="42"/>
      <c r="J1096" s="41"/>
      <c r="K1096" s="41"/>
      <c r="L1096" s="43"/>
    </row>
    <row r="1097" spans="2:12" outlineLevel="2">
      <c r="B1097" s="35">
        <f t="shared" si="34"/>
        <v>633</v>
      </c>
      <c r="C1097" s="41" t="s">
        <v>175</v>
      </c>
      <c r="D1097" s="41"/>
      <c r="E1097" s="41"/>
      <c r="F1097" s="41"/>
      <c r="G1097" s="41"/>
      <c r="H1097" s="41"/>
      <c r="I1097" s="42"/>
      <c r="J1097" s="41"/>
      <c r="K1097" s="41"/>
      <c r="L1097" s="43"/>
    </row>
    <row r="1098" spans="2:12" outlineLevel="2">
      <c r="B1098" s="35">
        <f t="shared" si="34"/>
        <v>634</v>
      </c>
      <c r="C1098" s="41" t="s">
        <v>175</v>
      </c>
      <c r="D1098" s="41"/>
      <c r="E1098" s="41"/>
      <c r="F1098" s="41"/>
      <c r="G1098" s="41"/>
      <c r="H1098" s="41"/>
      <c r="I1098" s="42"/>
      <c r="J1098" s="41"/>
      <c r="K1098" s="41"/>
      <c r="L1098" s="43"/>
    </row>
    <row r="1099" spans="2:12" outlineLevel="2">
      <c r="B1099" s="35">
        <f t="shared" si="34"/>
        <v>635</v>
      </c>
      <c r="C1099" s="41" t="s">
        <v>175</v>
      </c>
      <c r="D1099" s="41"/>
      <c r="E1099" s="41"/>
      <c r="F1099" s="41"/>
      <c r="G1099" s="41"/>
      <c r="H1099" s="41"/>
      <c r="I1099" s="42"/>
      <c r="J1099" s="41"/>
      <c r="K1099" s="41"/>
      <c r="L1099" s="43"/>
    </row>
    <row r="1100" spans="2:12" outlineLevel="2">
      <c r="B1100" s="35">
        <f t="shared" si="34"/>
        <v>636</v>
      </c>
      <c r="C1100" s="41" t="s">
        <v>175</v>
      </c>
      <c r="D1100" s="41"/>
      <c r="E1100" s="41"/>
      <c r="F1100" s="41"/>
      <c r="G1100" s="41"/>
      <c r="H1100" s="41"/>
      <c r="I1100" s="42"/>
      <c r="J1100" s="41"/>
      <c r="K1100" s="41"/>
      <c r="L1100" s="43"/>
    </row>
    <row r="1101" spans="2:12" outlineLevel="2">
      <c r="B1101" s="35">
        <f t="shared" si="34"/>
        <v>637</v>
      </c>
      <c r="C1101" s="41" t="s">
        <v>175</v>
      </c>
      <c r="D1101" s="41"/>
      <c r="E1101" s="41"/>
      <c r="F1101" s="41"/>
      <c r="G1101" s="41"/>
      <c r="H1101" s="41"/>
      <c r="I1101" s="42"/>
      <c r="J1101" s="41"/>
      <c r="K1101" s="41"/>
      <c r="L1101" s="43"/>
    </row>
    <row r="1102" spans="2:12" outlineLevel="2">
      <c r="B1102" s="35">
        <f t="shared" si="34"/>
        <v>638</v>
      </c>
      <c r="C1102" s="41" t="s">
        <v>175</v>
      </c>
      <c r="D1102" s="41"/>
      <c r="E1102" s="41"/>
      <c r="F1102" s="41"/>
      <c r="G1102" s="41"/>
      <c r="H1102" s="41"/>
      <c r="I1102" s="42"/>
      <c r="J1102" s="41"/>
      <c r="K1102" s="41"/>
      <c r="L1102" s="43"/>
    </row>
    <row r="1103" spans="2:12" outlineLevel="2">
      <c r="B1103" s="35">
        <f t="shared" si="34"/>
        <v>639</v>
      </c>
      <c r="C1103" s="41" t="s">
        <v>175</v>
      </c>
      <c r="D1103" s="41"/>
      <c r="E1103" s="41"/>
      <c r="F1103" s="41"/>
      <c r="G1103" s="41"/>
      <c r="H1103" s="41"/>
      <c r="I1103" s="42"/>
      <c r="J1103" s="41"/>
      <c r="K1103" s="41"/>
      <c r="L1103" s="43"/>
    </row>
    <row r="1104" spans="2:12" outlineLevel="2">
      <c r="B1104" s="35">
        <f t="shared" si="34"/>
        <v>640</v>
      </c>
      <c r="C1104" s="41" t="s">
        <v>175</v>
      </c>
      <c r="D1104" s="41"/>
      <c r="E1104" s="41"/>
      <c r="F1104" s="41"/>
      <c r="G1104" s="41"/>
      <c r="H1104" s="41"/>
      <c r="I1104" s="42"/>
      <c r="J1104" s="41"/>
      <c r="K1104" s="41"/>
      <c r="L1104" s="43"/>
    </row>
    <row r="1105" spans="2:12" outlineLevel="2">
      <c r="B1105" s="35">
        <f t="shared" si="34"/>
        <v>641</v>
      </c>
      <c r="C1105" s="41" t="s">
        <v>175</v>
      </c>
      <c r="D1105" s="41"/>
      <c r="E1105" s="41"/>
      <c r="F1105" s="41"/>
      <c r="G1105" s="41"/>
      <c r="H1105" s="41"/>
      <c r="I1105" s="42"/>
      <c r="J1105" s="41"/>
      <c r="K1105" s="41"/>
      <c r="L1105" s="43"/>
    </row>
    <row r="1106" spans="2:12" outlineLevel="2">
      <c r="B1106" s="35">
        <f t="shared" si="34"/>
        <v>642</v>
      </c>
      <c r="C1106" s="41" t="s">
        <v>175</v>
      </c>
      <c r="D1106" s="41"/>
      <c r="E1106" s="41"/>
      <c r="F1106" s="41"/>
      <c r="G1106" s="41"/>
      <c r="H1106" s="41"/>
      <c r="I1106" s="42"/>
      <c r="J1106" s="41"/>
      <c r="K1106" s="41"/>
      <c r="L1106" s="43"/>
    </row>
    <row r="1107" spans="2:12" outlineLevel="2">
      <c r="B1107" s="35">
        <f t="shared" si="34"/>
        <v>643</v>
      </c>
      <c r="C1107" s="41" t="s">
        <v>175</v>
      </c>
      <c r="D1107" s="41"/>
      <c r="E1107" s="41"/>
      <c r="F1107" s="41"/>
      <c r="G1107" s="41"/>
      <c r="H1107" s="41"/>
      <c r="I1107" s="42"/>
      <c r="J1107" s="41"/>
      <c r="K1107" s="41"/>
      <c r="L1107" s="43"/>
    </row>
    <row r="1108" spans="2:12" outlineLevel="2">
      <c r="B1108" s="35">
        <f t="shared" si="34"/>
        <v>644</v>
      </c>
      <c r="C1108" s="41" t="s">
        <v>175</v>
      </c>
      <c r="D1108" s="41"/>
      <c r="E1108" s="41"/>
      <c r="F1108" s="41"/>
      <c r="G1108" s="41"/>
      <c r="H1108" s="41"/>
      <c r="I1108" s="42"/>
      <c r="J1108" s="41"/>
      <c r="K1108" s="41"/>
      <c r="L1108" s="43"/>
    </row>
    <row r="1109" spans="2:12" outlineLevel="2">
      <c r="B1109" s="35">
        <f t="shared" si="34"/>
        <v>645</v>
      </c>
      <c r="C1109" s="41" t="s">
        <v>175</v>
      </c>
      <c r="D1109" s="41"/>
      <c r="E1109" s="41"/>
      <c r="F1109" s="41"/>
      <c r="G1109" s="41"/>
      <c r="H1109" s="41"/>
      <c r="I1109" s="42"/>
      <c r="J1109" s="41"/>
      <c r="K1109" s="41"/>
      <c r="L1109" s="43"/>
    </row>
    <row r="1110" spans="2:12" outlineLevel="2">
      <c r="B1110" s="35">
        <f t="shared" si="34"/>
        <v>646</v>
      </c>
      <c r="C1110" s="41" t="s">
        <v>175</v>
      </c>
      <c r="D1110" s="41"/>
      <c r="E1110" s="41"/>
      <c r="F1110" s="41"/>
      <c r="G1110" s="41"/>
      <c r="H1110" s="41"/>
      <c r="I1110" s="42"/>
      <c r="J1110" s="41"/>
      <c r="K1110" s="41"/>
      <c r="L1110" s="43"/>
    </row>
    <row r="1111" spans="2:12" outlineLevel="2">
      <c r="B1111" s="35">
        <f t="shared" si="34"/>
        <v>647</v>
      </c>
      <c r="C1111" s="41" t="s">
        <v>175</v>
      </c>
      <c r="D1111" s="41"/>
      <c r="E1111" s="41"/>
      <c r="F1111" s="41"/>
      <c r="G1111" s="41"/>
      <c r="H1111" s="41"/>
      <c r="I1111" s="42"/>
      <c r="J1111" s="41"/>
      <c r="K1111" s="41"/>
      <c r="L1111" s="43"/>
    </row>
    <row r="1112" spans="2:12" outlineLevel="2">
      <c r="B1112" s="35">
        <f t="shared" si="34"/>
        <v>648</v>
      </c>
      <c r="C1112" s="41" t="s">
        <v>175</v>
      </c>
      <c r="D1112" s="41"/>
      <c r="E1112" s="41"/>
      <c r="F1112" s="41"/>
      <c r="G1112" s="41"/>
      <c r="H1112" s="41"/>
      <c r="I1112" s="42"/>
      <c r="J1112" s="41"/>
      <c r="K1112" s="41"/>
      <c r="L1112" s="43"/>
    </row>
    <row r="1113" spans="2:12" outlineLevel="2">
      <c r="B1113" s="35">
        <f t="shared" si="34"/>
        <v>649</v>
      </c>
      <c r="C1113" s="41" t="s">
        <v>175</v>
      </c>
      <c r="D1113" s="41"/>
      <c r="E1113" s="41"/>
      <c r="F1113" s="41"/>
      <c r="G1113" s="41"/>
      <c r="H1113" s="41"/>
      <c r="I1113" s="42"/>
      <c r="J1113" s="41"/>
      <c r="K1113" s="41"/>
      <c r="L1113" s="43"/>
    </row>
    <row r="1114" spans="2:12" outlineLevel="2">
      <c r="B1114" s="35">
        <f t="shared" ref="B1114:B1148" si="35">(B1113+1)</f>
        <v>650</v>
      </c>
      <c r="C1114" s="41" t="s">
        <v>175</v>
      </c>
      <c r="D1114" s="41"/>
      <c r="E1114" s="41"/>
      <c r="F1114" s="41"/>
      <c r="G1114" s="41"/>
      <c r="H1114" s="41"/>
      <c r="I1114" s="42"/>
      <c r="J1114" s="41"/>
      <c r="K1114" s="41"/>
      <c r="L1114" s="43"/>
    </row>
    <row r="1115" spans="2:12" outlineLevel="2">
      <c r="B1115" s="35">
        <f t="shared" si="35"/>
        <v>651</v>
      </c>
      <c r="C1115" s="41" t="s">
        <v>175</v>
      </c>
      <c r="D1115" s="41"/>
      <c r="E1115" s="41"/>
      <c r="F1115" s="41"/>
      <c r="G1115" s="41"/>
      <c r="H1115" s="41"/>
      <c r="I1115" s="42"/>
      <c r="J1115" s="41"/>
      <c r="K1115" s="41"/>
      <c r="L1115" s="43"/>
    </row>
    <row r="1116" spans="2:12" outlineLevel="2">
      <c r="B1116" s="35">
        <f t="shared" si="35"/>
        <v>652</v>
      </c>
      <c r="C1116" s="41" t="s">
        <v>175</v>
      </c>
      <c r="D1116" s="41"/>
      <c r="E1116" s="41"/>
      <c r="F1116" s="41"/>
      <c r="G1116" s="41"/>
      <c r="H1116" s="41"/>
      <c r="I1116" s="42"/>
      <c r="J1116" s="41"/>
      <c r="K1116" s="41"/>
      <c r="L1116" s="43"/>
    </row>
    <row r="1117" spans="2:12" outlineLevel="2">
      <c r="B1117" s="35">
        <f t="shared" si="35"/>
        <v>653</v>
      </c>
      <c r="C1117" s="41" t="s">
        <v>175</v>
      </c>
      <c r="D1117" s="41"/>
      <c r="E1117" s="41"/>
      <c r="F1117" s="41"/>
      <c r="G1117" s="41"/>
      <c r="H1117" s="41"/>
      <c r="I1117" s="42"/>
      <c r="J1117" s="41"/>
      <c r="K1117" s="41"/>
      <c r="L1117" s="43"/>
    </row>
    <row r="1118" spans="2:12" outlineLevel="2">
      <c r="B1118" s="35">
        <f t="shared" si="35"/>
        <v>654</v>
      </c>
      <c r="C1118" s="41" t="s">
        <v>175</v>
      </c>
      <c r="D1118" s="41"/>
      <c r="E1118" s="41"/>
      <c r="F1118" s="41"/>
      <c r="G1118" s="41"/>
      <c r="H1118" s="41"/>
      <c r="I1118" s="42"/>
      <c r="J1118" s="41"/>
      <c r="K1118" s="41"/>
      <c r="L1118" s="43"/>
    </row>
    <row r="1119" spans="2:12" outlineLevel="2">
      <c r="B1119" s="35">
        <f t="shared" si="35"/>
        <v>655</v>
      </c>
      <c r="C1119" s="41" t="s">
        <v>175</v>
      </c>
      <c r="D1119" s="41"/>
      <c r="E1119" s="41"/>
      <c r="F1119" s="41"/>
      <c r="G1119" s="41"/>
      <c r="H1119" s="41"/>
      <c r="I1119" s="42"/>
      <c r="J1119" s="41"/>
      <c r="K1119" s="41"/>
      <c r="L1119" s="43"/>
    </row>
    <row r="1120" spans="2:12" outlineLevel="2">
      <c r="B1120" s="35">
        <f t="shared" si="35"/>
        <v>656</v>
      </c>
      <c r="C1120" s="41" t="s">
        <v>175</v>
      </c>
      <c r="D1120" s="41"/>
      <c r="E1120" s="41"/>
      <c r="F1120" s="41"/>
      <c r="G1120" s="41"/>
      <c r="H1120" s="41"/>
      <c r="I1120" s="42"/>
      <c r="J1120" s="41"/>
      <c r="K1120" s="41"/>
      <c r="L1120" s="43"/>
    </row>
    <row r="1121" spans="2:12" outlineLevel="2">
      <c r="B1121" s="35">
        <f t="shared" si="35"/>
        <v>657</v>
      </c>
      <c r="C1121" s="41" t="s">
        <v>175</v>
      </c>
      <c r="D1121" s="41"/>
      <c r="E1121" s="41"/>
      <c r="F1121" s="41"/>
      <c r="G1121" s="41"/>
      <c r="H1121" s="41"/>
      <c r="I1121" s="42"/>
      <c r="J1121" s="41"/>
      <c r="K1121" s="41"/>
      <c r="L1121" s="43"/>
    </row>
    <row r="1122" spans="2:12" outlineLevel="2">
      <c r="B1122" s="35">
        <f t="shared" si="35"/>
        <v>658</v>
      </c>
      <c r="C1122" s="41" t="s">
        <v>175</v>
      </c>
      <c r="D1122" s="41"/>
      <c r="E1122" s="41"/>
      <c r="F1122" s="41"/>
      <c r="G1122" s="41"/>
      <c r="H1122" s="41"/>
      <c r="I1122" s="42"/>
      <c r="J1122" s="41"/>
      <c r="K1122" s="41"/>
      <c r="L1122" s="43"/>
    </row>
    <row r="1123" spans="2:12" outlineLevel="2">
      <c r="B1123" s="35">
        <f t="shared" si="35"/>
        <v>659</v>
      </c>
      <c r="C1123" s="41" t="s">
        <v>175</v>
      </c>
      <c r="D1123" s="41"/>
      <c r="E1123" s="41"/>
      <c r="F1123" s="41"/>
      <c r="G1123" s="41"/>
      <c r="H1123" s="41"/>
      <c r="I1123" s="42"/>
      <c r="J1123" s="41"/>
      <c r="K1123" s="41"/>
      <c r="L1123" s="43"/>
    </row>
    <row r="1124" spans="2:12" outlineLevel="2">
      <c r="B1124" s="35">
        <f t="shared" si="35"/>
        <v>660</v>
      </c>
      <c r="C1124" s="41" t="s">
        <v>175</v>
      </c>
      <c r="D1124" s="41"/>
      <c r="E1124" s="41"/>
      <c r="F1124" s="41"/>
      <c r="G1124" s="41"/>
      <c r="H1124" s="41"/>
      <c r="I1124" s="42"/>
      <c r="J1124" s="41"/>
      <c r="K1124" s="41"/>
      <c r="L1124" s="43"/>
    </row>
    <row r="1125" spans="2:12" outlineLevel="2">
      <c r="B1125" s="35">
        <f t="shared" si="35"/>
        <v>661</v>
      </c>
      <c r="C1125" s="41" t="s">
        <v>175</v>
      </c>
      <c r="D1125" s="41"/>
      <c r="E1125" s="41"/>
      <c r="F1125" s="41"/>
      <c r="G1125" s="41"/>
      <c r="H1125" s="41"/>
      <c r="I1125" s="42"/>
      <c r="J1125" s="41"/>
      <c r="K1125" s="41"/>
      <c r="L1125" s="43"/>
    </row>
    <row r="1126" spans="2:12" outlineLevel="2">
      <c r="B1126" s="35">
        <f t="shared" si="35"/>
        <v>662</v>
      </c>
      <c r="C1126" s="41" t="s">
        <v>175</v>
      </c>
      <c r="D1126" s="41"/>
      <c r="E1126" s="41"/>
      <c r="F1126" s="41"/>
      <c r="G1126" s="41"/>
      <c r="H1126" s="41"/>
      <c r="I1126" s="42"/>
      <c r="J1126" s="41"/>
      <c r="K1126" s="41"/>
      <c r="L1126" s="43"/>
    </row>
    <row r="1127" spans="2:12" outlineLevel="2">
      <c r="B1127" s="35">
        <f t="shared" si="35"/>
        <v>663</v>
      </c>
      <c r="C1127" s="41" t="s">
        <v>175</v>
      </c>
      <c r="D1127" s="41"/>
      <c r="E1127" s="41"/>
      <c r="F1127" s="41"/>
      <c r="G1127" s="41"/>
      <c r="H1127" s="41"/>
      <c r="I1127" s="42"/>
      <c r="J1127" s="41"/>
      <c r="K1127" s="41"/>
      <c r="L1127" s="43"/>
    </row>
    <row r="1128" spans="2:12" outlineLevel="2">
      <c r="B1128" s="35">
        <f t="shared" si="35"/>
        <v>664</v>
      </c>
      <c r="C1128" s="41" t="s">
        <v>175</v>
      </c>
      <c r="D1128" s="41"/>
      <c r="E1128" s="41"/>
      <c r="F1128" s="41"/>
      <c r="G1128" s="41"/>
      <c r="H1128" s="41"/>
      <c r="I1128" s="42"/>
      <c r="J1128" s="41"/>
      <c r="K1128" s="41"/>
      <c r="L1128" s="43"/>
    </row>
    <row r="1129" spans="2:12" outlineLevel="2">
      <c r="B1129" s="35">
        <f t="shared" si="35"/>
        <v>665</v>
      </c>
      <c r="C1129" s="41" t="s">
        <v>175</v>
      </c>
      <c r="D1129" s="41"/>
      <c r="E1129" s="41"/>
      <c r="F1129" s="41"/>
      <c r="G1129" s="41"/>
      <c r="H1129" s="41"/>
      <c r="I1129" s="42"/>
      <c r="J1129" s="41"/>
      <c r="K1129" s="41"/>
      <c r="L1129" s="43"/>
    </row>
    <row r="1130" spans="2:12" outlineLevel="2">
      <c r="B1130" s="35">
        <f t="shared" si="35"/>
        <v>666</v>
      </c>
      <c r="C1130" s="41" t="s">
        <v>175</v>
      </c>
      <c r="D1130" s="41"/>
      <c r="E1130" s="41"/>
      <c r="F1130" s="41"/>
      <c r="G1130" s="41"/>
      <c r="H1130" s="41"/>
      <c r="I1130" s="42"/>
      <c r="J1130" s="41"/>
      <c r="K1130" s="41"/>
      <c r="L1130" s="43"/>
    </row>
    <row r="1131" spans="2:12" outlineLevel="2">
      <c r="B1131" s="35">
        <f t="shared" si="35"/>
        <v>667</v>
      </c>
      <c r="C1131" s="41" t="s">
        <v>175</v>
      </c>
      <c r="D1131" s="41"/>
      <c r="E1131" s="41"/>
      <c r="F1131" s="41"/>
      <c r="G1131" s="41"/>
      <c r="H1131" s="41"/>
      <c r="I1131" s="42"/>
      <c r="J1131" s="41"/>
      <c r="K1131" s="41"/>
      <c r="L1131" s="43"/>
    </row>
    <row r="1132" spans="2:12" outlineLevel="2">
      <c r="B1132" s="35">
        <f t="shared" si="35"/>
        <v>668</v>
      </c>
      <c r="C1132" s="41" t="s">
        <v>175</v>
      </c>
      <c r="D1132" s="41"/>
      <c r="E1132" s="41"/>
      <c r="F1132" s="41"/>
      <c r="G1132" s="41"/>
      <c r="H1132" s="41"/>
      <c r="I1132" s="42"/>
      <c r="J1132" s="41"/>
      <c r="K1132" s="41"/>
      <c r="L1132" s="43"/>
    </row>
    <row r="1133" spans="2:12" outlineLevel="2">
      <c r="B1133" s="35">
        <f t="shared" si="35"/>
        <v>669</v>
      </c>
      <c r="C1133" s="41" t="s">
        <v>175</v>
      </c>
      <c r="D1133" s="41"/>
      <c r="E1133" s="41"/>
      <c r="F1133" s="41"/>
      <c r="G1133" s="41"/>
      <c r="H1133" s="41"/>
      <c r="I1133" s="42"/>
      <c r="J1133" s="41"/>
      <c r="K1133" s="41"/>
      <c r="L1133" s="43"/>
    </row>
    <row r="1134" spans="2:12" outlineLevel="2">
      <c r="B1134" s="35">
        <f t="shared" si="35"/>
        <v>670</v>
      </c>
      <c r="C1134" s="41" t="s">
        <v>175</v>
      </c>
      <c r="D1134" s="41"/>
      <c r="E1134" s="41"/>
      <c r="F1134" s="41"/>
      <c r="G1134" s="41"/>
      <c r="H1134" s="41"/>
      <c r="I1134" s="42"/>
      <c r="J1134" s="41"/>
      <c r="K1134" s="41"/>
      <c r="L1134" s="43"/>
    </row>
    <row r="1135" spans="2:12" outlineLevel="2">
      <c r="B1135" s="35">
        <f t="shared" si="35"/>
        <v>671</v>
      </c>
      <c r="C1135" s="41" t="s">
        <v>175</v>
      </c>
      <c r="D1135" s="41"/>
      <c r="E1135" s="41"/>
      <c r="F1135" s="41"/>
      <c r="G1135" s="41"/>
      <c r="H1135" s="41"/>
      <c r="I1135" s="42"/>
      <c r="J1135" s="41"/>
      <c r="K1135" s="41"/>
      <c r="L1135" s="43"/>
    </row>
    <row r="1136" spans="2:12" outlineLevel="2">
      <c r="B1136" s="35">
        <f t="shared" si="35"/>
        <v>672</v>
      </c>
      <c r="C1136" s="41" t="s">
        <v>175</v>
      </c>
      <c r="D1136" s="41"/>
      <c r="E1136" s="41"/>
      <c r="F1136" s="41"/>
      <c r="G1136" s="41"/>
      <c r="H1136" s="41"/>
      <c r="I1136" s="42"/>
      <c r="J1136" s="41"/>
      <c r="K1136" s="41"/>
      <c r="L1136" s="43"/>
    </row>
    <row r="1137" spans="2:12" outlineLevel="2">
      <c r="B1137" s="35">
        <f t="shared" si="35"/>
        <v>673</v>
      </c>
      <c r="C1137" s="41" t="s">
        <v>175</v>
      </c>
      <c r="D1137" s="41"/>
      <c r="E1137" s="41"/>
      <c r="F1137" s="41"/>
      <c r="G1137" s="41"/>
      <c r="H1137" s="41"/>
      <c r="I1137" s="42"/>
      <c r="J1137" s="41"/>
      <c r="K1137" s="41"/>
      <c r="L1137" s="43"/>
    </row>
    <row r="1138" spans="2:12" outlineLevel="2">
      <c r="B1138" s="35">
        <f t="shared" si="35"/>
        <v>674</v>
      </c>
      <c r="C1138" s="41" t="s">
        <v>175</v>
      </c>
      <c r="D1138" s="41"/>
      <c r="E1138" s="41"/>
      <c r="F1138" s="41"/>
      <c r="G1138" s="41"/>
      <c r="H1138" s="41"/>
      <c r="I1138" s="42"/>
      <c r="J1138" s="41"/>
      <c r="K1138" s="41"/>
      <c r="L1138" s="43"/>
    </row>
    <row r="1139" spans="2:12" outlineLevel="2">
      <c r="B1139" s="35">
        <f t="shared" si="35"/>
        <v>675</v>
      </c>
      <c r="C1139" s="41" t="s">
        <v>175</v>
      </c>
      <c r="D1139" s="41"/>
      <c r="E1139" s="41"/>
      <c r="F1139" s="41"/>
      <c r="G1139" s="41"/>
      <c r="H1139" s="41"/>
      <c r="I1139" s="42"/>
      <c r="J1139" s="41"/>
      <c r="K1139" s="41"/>
      <c r="L1139" s="43"/>
    </row>
    <row r="1140" spans="2:12" outlineLevel="2">
      <c r="B1140" s="35">
        <f t="shared" si="35"/>
        <v>676</v>
      </c>
      <c r="C1140" s="41" t="s">
        <v>175</v>
      </c>
      <c r="D1140" s="41"/>
      <c r="E1140" s="41"/>
      <c r="F1140" s="41"/>
      <c r="G1140" s="41"/>
      <c r="H1140" s="41"/>
      <c r="I1140" s="42"/>
      <c r="J1140" s="41"/>
      <c r="K1140" s="41"/>
      <c r="L1140" s="43"/>
    </row>
    <row r="1141" spans="2:12" outlineLevel="2">
      <c r="B1141" s="35">
        <f t="shared" si="35"/>
        <v>677</v>
      </c>
      <c r="C1141" s="41" t="s">
        <v>175</v>
      </c>
      <c r="D1141" s="41"/>
      <c r="E1141" s="41"/>
      <c r="F1141" s="41"/>
      <c r="G1141" s="41"/>
      <c r="H1141" s="41"/>
      <c r="I1141" s="42"/>
      <c r="J1141" s="41"/>
      <c r="K1141" s="41"/>
      <c r="L1141" s="43"/>
    </row>
    <row r="1142" spans="2:12" outlineLevel="2">
      <c r="B1142" s="35">
        <f t="shared" si="35"/>
        <v>678</v>
      </c>
      <c r="C1142" s="41" t="s">
        <v>175</v>
      </c>
      <c r="D1142" s="41"/>
      <c r="E1142" s="41"/>
      <c r="F1142" s="41"/>
      <c r="G1142" s="41"/>
      <c r="H1142" s="41"/>
      <c r="I1142" s="42"/>
      <c r="J1142" s="41"/>
      <c r="K1142" s="41"/>
      <c r="L1142" s="43"/>
    </row>
    <row r="1143" spans="2:12" outlineLevel="2">
      <c r="B1143" s="35">
        <f t="shared" si="35"/>
        <v>679</v>
      </c>
      <c r="C1143" s="41" t="s">
        <v>175</v>
      </c>
      <c r="D1143" s="41"/>
      <c r="E1143" s="41"/>
      <c r="F1143" s="41"/>
      <c r="G1143" s="41"/>
      <c r="H1143" s="41"/>
      <c r="I1143" s="42"/>
      <c r="J1143" s="41"/>
      <c r="K1143" s="41"/>
      <c r="L1143" s="43"/>
    </row>
    <row r="1144" spans="2:12" outlineLevel="2">
      <c r="B1144" s="35">
        <f t="shared" si="35"/>
        <v>680</v>
      </c>
      <c r="C1144" s="41" t="s">
        <v>175</v>
      </c>
      <c r="D1144" s="41"/>
      <c r="E1144" s="41"/>
      <c r="F1144" s="41"/>
      <c r="G1144" s="41"/>
      <c r="H1144" s="41"/>
      <c r="I1144" s="42"/>
      <c r="J1144" s="41"/>
      <c r="K1144" s="41"/>
      <c r="L1144" s="43"/>
    </row>
    <row r="1145" spans="2:12" outlineLevel="2">
      <c r="B1145" s="35">
        <f t="shared" si="35"/>
        <v>681</v>
      </c>
      <c r="C1145" s="41" t="s">
        <v>175</v>
      </c>
      <c r="D1145" s="41"/>
      <c r="E1145" s="41"/>
      <c r="F1145" s="41"/>
      <c r="G1145" s="41"/>
      <c r="H1145" s="41"/>
      <c r="I1145" s="42"/>
      <c r="J1145" s="41"/>
      <c r="K1145" s="41"/>
      <c r="L1145" s="43"/>
    </row>
    <row r="1146" spans="2:12" outlineLevel="2">
      <c r="B1146" s="35">
        <f t="shared" si="35"/>
        <v>682</v>
      </c>
      <c r="C1146" s="41" t="s">
        <v>175</v>
      </c>
      <c r="D1146" s="41"/>
      <c r="E1146" s="41"/>
      <c r="F1146" s="41"/>
      <c r="G1146" s="41"/>
      <c r="H1146" s="41"/>
      <c r="I1146" s="42"/>
      <c r="J1146" s="41"/>
      <c r="K1146" s="41"/>
      <c r="L1146" s="43"/>
    </row>
    <row r="1147" spans="2:12" outlineLevel="2">
      <c r="B1147" s="35">
        <f t="shared" si="35"/>
        <v>683</v>
      </c>
      <c r="C1147" s="41" t="s">
        <v>175</v>
      </c>
      <c r="D1147" s="41"/>
      <c r="E1147" s="41"/>
      <c r="F1147" s="41"/>
      <c r="G1147" s="41"/>
      <c r="H1147" s="41"/>
      <c r="I1147" s="42"/>
      <c r="J1147" s="41"/>
      <c r="K1147" s="41"/>
      <c r="L1147" s="43"/>
    </row>
    <row r="1148" spans="2:12" outlineLevel="2">
      <c r="B1148" s="35">
        <f t="shared" si="35"/>
        <v>684</v>
      </c>
      <c r="C1148" s="41" t="s">
        <v>175</v>
      </c>
      <c r="D1148" s="41"/>
      <c r="E1148" s="41"/>
      <c r="F1148" s="41"/>
      <c r="G1148" s="41"/>
      <c r="H1148" s="41"/>
      <c r="I1148" s="42"/>
      <c r="J1148" s="41"/>
      <c r="K1148" s="41"/>
      <c r="L1148" s="43"/>
    </row>
    <row r="1149" spans="2:12" outlineLevel="1">
      <c r="B1149" s="60" t="s">
        <v>296</v>
      </c>
      <c r="C1149" s="41">
        <f>SUBTOTAL(3,C921:C1148)</f>
        <v>228</v>
      </c>
      <c r="D1149" s="41"/>
      <c r="E1149" s="41"/>
      <c r="F1149" s="41"/>
      <c r="G1149" s="41"/>
      <c r="H1149" s="41"/>
      <c r="I1149" s="42"/>
      <c r="J1149" s="41"/>
      <c r="K1149" s="41"/>
      <c r="L1149" s="43"/>
    </row>
    <row r="1150" spans="2:12" outlineLevel="2">
      <c r="B1150" s="35">
        <f>(B1148+1)</f>
        <v>685</v>
      </c>
      <c r="C1150" s="41" t="s">
        <v>69</v>
      </c>
      <c r="D1150" s="41"/>
      <c r="E1150" s="41"/>
      <c r="F1150" s="41"/>
      <c r="G1150" s="41"/>
      <c r="H1150" s="41"/>
      <c r="I1150" s="42"/>
      <c r="J1150" s="41"/>
      <c r="K1150" s="41"/>
      <c r="L1150" s="43"/>
    </row>
    <row r="1151" spans="2:12" outlineLevel="2">
      <c r="B1151" s="35">
        <f t="shared" ref="B1151:B1214" si="36">(B1150+1)</f>
        <v>686</v>
      </c>
      <c r="C1151" s="41" t="s">
        <v>69</v>
      </c>
      <c r="D1151" s="41"/>
      <c r="E1151" s="41"/>
      <c r="F1151" s="41"/>
      <c r="G1151" s="41"/>
      <c r="H1151" s="41"/>
      <c r="I1151" s="42"/>
      <c r="J1151" s="41"/>
      <c r="K1151" s="41"/>
      <c r="L1151" s="43"/>
    </row>
    <row r="1152" spans="2:12" outlineLevel="2">
      <c r="B1152" s="35">
        <f t="shared" si="36"/>
        <v>687</v>
      </c>
      <c r="C1152" s="41" t="s">
        <v>69</v>
      </c>
      <c r="D1152" s="41"/>
      <c r="E1152" s="41"/>
      <c r="F1152" s="41"/>
      <c r="G1152" s="41"/>
      <c r="H1152" s="41"/>
      <c r="I1152" s="42"/>
      <c r="J1152" s="41"/>
      <c r="K1152" s="41"/>
      <c r="L1152" s="43"/>
    </row>
    <row r="1153" spans="2:12" outlineLevel="2">
      <c r="B1153" s="35">
        <f t="shared" si="36"/>
        <v>688</v>
      </c>
      <c r="C1153" s="41" t="s">
        <v>69</v>
      </c>
      <c r="D1153" s="41"/>
      <c r="E1153" s="41"/>
      <c r="F1153" s="41"/>
      <c r="G1153" s="41"/>
      <c r="H1153" s="41"/>
      <c r="I1153" s="42"/>
      <c r="J1153" s="41"/>
      <c r="K1153" s="41"/>
      <c r="L1153" s="43"/>
    </row>
    <row r="1154" spans="2:12" outlineLevel="2">
      <c r="B1154" s="35">
        <f t="shared" si="36"/>
        <v>689</v>
      </c>
      <c r="C1154" s="41" t="s">
        <v>69</v>
      </c>
      <c r="D1154" s="41"/>
      <c r="E1154" s="41"/>
      <c r="F1154" s="41"/>
      <c r="G1154" s="41"/>
      <c r="H1154" s="41"/>
      <c r="I1154" s="42"/>
      <c r="J1154" s="41"/>
      <c r="K1154" s="41"/>
      <c r="L1154" s="43"/>
    </row>
    <row r="1155" spans="2:12" outlineLevel="2">
      <c r="B1155" s="35">
        <f t="shared" si="36"/>
        <v>690</v>
      </c>
      <c r="C1155" s="41" t="s">
        <v>69</v>
      </c>
      <c r="D1155" s="41"/>
      <c r="E1155" s="41"/>
      <c r="F1155" s="41"/>
      <c r="G1155" s="41"/>
      <c r="H1155" s="41"/>
      <c r="I1155" s="42"/>
      <c r="J1155" s="41"/>
      <c r="K1155" s="41"/>
      <c r="L1155" s="43"/>
    </row>
    <row r="1156" spans="2:12" outlineLevel="2">
      <c r="B1156" s="35">
        <f t="shared" si="36"/>
        <v>691</v>
      </c>
      <c r="C1156" s="41" t="s">
        <v>69</v>
      </c>
      <c r="D1156" s="41"/>
      <c r="E1156" s="41"/>
      <c r="F1156" s="41"/>
      <c r="G1156" s="41"/>
      <c r="H1156" s="41"/>
      <c r="I1156" s="42"/>
      <c r="J1156" s="41"/>
      <c r="K1156" s="41"/>
      <c r="L1156" s="43"/>
    </row>
    <row r="1157" spans="2:12" outlineLevel="2">
      <c r="B1157" s="35">
        <f t="shared" si="36"/>
        <v>692</v>
      </c>
      <c r="C1157" s="41" t="s">
        <v>69</v>
      </c>
      <c r="D1157" s="41"/>
      <c r="E1157" s="41"/>
      <c r="F1157" s="41"/>
      <c r="G1157" s="41"/>
      <c r="H1157" s="41"/>
      <c r="I1157" s="42"/>
      <c r="J1157" s="41"/>
      <c r="K1157" s="41"/>
      <c r="L1157" s="43"/>
    </row>
    <row r="1158" spans="2:12" outlineLevel="2">
      <c r="B1158" s="35">
        <f t="shared" si="36"/>
        <v>693</v>
      </c>
      <c r="C1158" s="41" t="s">
        <v>69</v>
      </c>
      <c r="D1158" s="41"/>
      <c r="E1158" s="41"/>
      <c r="F1158" s="41"/>
      <c r="G1158" s="41"/>
      <c r="H1158" s="41"/>
      <c r="I1158" s="42"/>
      <c r="J1158" s="41"/>
      <c r="K1158" s="41"/>
      <c r="L1158" s="43"/>
    </row>
    <row r="1159" spans="2:12" outlineLevel="2">
      <c r="B1159" s="35">
        <f t="shared" si="36"/>
        <v>694</v>
      </c>
      <c r="C1159" s="41" t="s">
        <v>69</v>
      </c>
      <c r="D1159" s="41"/>
      <c r="E1159" s="41"/>
      <c r="F1159" s="41"/>
      <c r="G1159" s="41"/>
      <c r="H1159" s="41"/>
      <c r="I1159" s="42"/>
      <c r="J1159" s="41"/>
      <c r="K1159" s="41"/>
      <c r="L1159" s="43"/>
    </row>
    <row r="1160" spans="2:12" outlineLevel="2">
      <c r="B1160" s="35">
        <f t="shared" si="36"/>
        <v>695</v>
      </c>
      <c r="C1160" s="41" t="s">
        <v>69</v>
      </c>
      <c r="D1160" s="41"/>
      <c r="E1160" s="41"/>
      <c r="F1160" s="41"/>
      <c r="G1160" s="41"/>
      <c r="H1160" s="41"/>
      <c r="I1160" s="42"/>
      <c r="J1160" s="41"/>
      <c r="K1160" s="41"/>
      <c r="L1160" s="43"/>
    </row>
    <row r="1161" spans="2:12" outlineLevel="2">
      <c r="B1161" s="35">
        <f t="shared" si="36"/>
        <v>696</v>
      </c>
      <c r="C1161" s="41" t="s">
        <v>69</v>
      </c>
      <c r="D1161" s="41"/>
      <c r="E1161" s="41"/>
      <c r="F1161" s="41"/>
      <c r="G1161" s="41"/>
      <c r="H1161" s="41"/>
      <c r="I1161" s="42"/>
      <c r="J1161" s="41"/>
      <c r="K1161" s="41"/>
      <c r="L1161" s="43"/>
    </row>
    <row r="1162" spans="2:12" outlineLevel="2">
      <c r="B1162" s="35">
        <f t="shared" si="36"/>
        <v>697</v>
      </c>
      <c r="C1162" s="41" t="s">
        <v>69</v>
      </c>
      <c r="D1162" s="41"/>
      <c r="E1162" s="41"/>
      <c r="F1162" s="41"/>
      <c r="G1162" s="41"/>
      <c r="H1162" s="41"/>
      <c r="I1162" s="42"/>
      <c r="J1162" s="41"/>
      <c r="K1162" s="41"/>
      <c r="L1162" s="43"/>
    </row>
    <row r="1163" spans="2:12" outlineLevel="2">
      <c r="B1163" s="35">
        <f t="shared" si="36"/>
        <v>698</v>
      </c>
      <c r="C1163" s="41" t="s">
        <v>69</v>
      </c>
      <c r="D1163" s="41"/>
      <c r="E1163" s="41"/>
      <c r="F1163" s="41"/>
      <c r="G1163" s="41"/>
      <c r="H1163" s="41"/>
      <c r="I1163" s="42"/>
      <c r="J1163" s="41"/>
      <c r="K1163" s="41"/>
      <c r="L1163" s="43"/>
    </row>
    <row r="1164" spans="2:12" outlineLevel="2">
      <c r="B1164" s="35">
        <f t="shared" si="36"/>
        <v>699</v>
      </c>
      <c r="C1164" s="41" t="s">
        <v>69</v>
      </c>
      <c r="D1164" s="41"/>
      <c r="E1164" s="41"/>
      <c r="F1164" s="41"/>
      <c r="G1164" s="41"/>
      <c r="H1164" s="41"/>
      <c r="I1164" s="42"/>
      <c r="J1164" s="41"/>
      <c r="K1164" s="41"/>
      <c r="L1164" s="43"/>
    </row>
    <row r="1165" spans="2:12" outlineLevel="2">
      <c r="B1165" s="35">
        <f t="shared" si="36"/>
        <v>700</v>
      </c>
      <c r="C1165" s="41" t="s">
        <v>69</v>
      </c>
      <c r="D1165" s="41"/>
      <c r="E1165" s="41"/>
      <c r="F1165" s="41"/>
      <c r="G1165" s="41"/>
      <c r="H1165" s="41"/>
      <c r="I1165" s="42"/>
      <c r="J1165" s="41"/>
      <c r="K1165" s="41"/>
      <c r="L1165" s="43"/>
    </row>
    <row r="1166" spans="2:12" outlineLevel="2">
      <c r="B1166" s="35">
        <f t="shared" si="36"/>
        <v>701</v>
      </c>
      <c r="C1166" s="41" t="s">
        <v>69</v>
      </c>
      <c r="D1166" s="41"/>
      <c r="E1166" s="41"/>
      <c r="F1166" s="41"/>
      <c r="G1166" s="41"/>
      <c r="H1166" s="41"/>
      <c r="I1166" s="42"/>
      <c r="J1166" s="41"/>
      <c r="K1166" s="41"/>
      <c r="L1166" s="43"/>
    </row>
    <row r="1167" spans="2:12" outlineLevel="2">
      <c r="B1167" s="35">
        <f t="shared" si="36"/>
        <v>702</v>
      </c>
      <c r="C1167" s="41" t="s">
        <v>69</v>
      </c>
      <c r="D1167" s="41"/>
      <c r="E1167" s="41"/>
      <c r="F1167" s="41"/>
      <c r="G1167" s="41"/>
      <c r="H1167" s="41"/>
      <c r="I1167" s="42"/>
      <c r="J1167" s="41"/>
      <c r="K1167" s="41"/>
      <c r="L1167" s="43"/>
    </row>
    <row r="1168" spans="2:12" outlineLevel="2">
      <c r="B1168" s="35">
        <f t="shared" si="36"/>
        <v>703</v>
      </c>
      <c r="C1168" s="41" t="s">
        <v>69</v>
      </c>
      <c r="D1168" s="41"/>
      <c r="E1168" s="41"/>
      <c r="F1168" s="41"/>
      <c r="G1168" s="41"/>
      <c r="H1168" s="41"/>
      <c r="I1168" s="42"/>
      <c r="J1168" s="41"/>
      <c r="K1168" s="41"/>
      <c r="L1168" s="43"/>
    </row>
    <row r="1169" spans="2:12" outlineLevel="2">
      <c r="B1169" s="35">
        <f t="shared" si="36"/>
        <v>704</v>
      </c>
      <c r="C1169" s="41" t="s">
        <v>69</v>
      </c>
      <c r="D1169" s="41"/>
      <c r="E1169" s="41"/>
      <c r="F1169" s="41"/>
      <c r="G1169" s="41"/>
      <c r="H1169" s="41"/>
      <c r="I1169" s="42"/>
      <c r="J1169" s="41"/>
      <c r="K1169" s="41"/>
      <c r="L1169" s="43"/>
    </row>
    <row r="1170" spans="2:12" outlineLevel="2">
      <c r="B1170" s="35">
        <f t="shared" si="36"/>
        <v>705</v>
      </c>
      <c r="C1170" s="41" t="s">
        <v>69</v>
      </c>
      <c r="D1170" s="41"/>
      <c r="E1170" s="41"/>
      <c r="F1170" s="41"/>
      <c r="G1170" s="41"/>
      <c r="H1170" s="41"/>
      <c r="I1170" s="42"/>
      <c r="J1170" s="41"/>
      <c r="K1170" s="41"/>
      <c r="L1170" s="43"/>
    </row>
    <row r="1171" spans="2:12" outlineLevel="2">
      <c r="B1171" s="35">
        <f t="shared" si="36"/>
        <v>706</v>
      </c>
      <c r="C1171" s="41" t="s">
        <v>69</v>
      </c>
      <c r="D1171" s="41"/>
      <c r="E1171" s="41"/>
      <c r="F1171" s="41"/>
      <c r="G1171" s="41"/>
      <c r="H1171" s="41"/>
      <c r="I1171" s="42"/>
      <c r="J1171" s="41"/>
      <c r="K1171" s="41"/>
      <c r="L1171" s="43"/>
    </row>
    <row r="1172" spans="2:12" outlineLevel="2">
      <c r="B1172" s="35">
        <f t="shared" si="36"/>
        <v>707</v>
      </c>
      <c r="C1172" s="41" t="s">
        <v>69</v>
      </c>
      <c r="D1172" s="41"/>
      <c r="E1172" s="41"/>
      <c r="F1172" s="41"/>
      <c r="G1172" s="41"/>
      <c r="H1172" s="41"/>
      <c r="I1172" s="42"/>
      <c r="J1172" s="41"/>
      <c r="K1172" s="41"/>
      <c r="L1172" s="43"/>
    </row>
    <row r="1173" spans="2:12" outlineLevel="2">
      <c r="B1173" s="35">
        <f t="shared" si="36"/>
        <v>708</v>
      </c>
      <c r="C1173" s="41" t="s">
        <v>69</v>
      </c>
      <c r="D1173" s="41"/>
      <c r="E1173" s="41"/>
      <c r="F1173" s="41"/>
      <c r="G1173" s="41"/>
      <c r="H1173" s="41"/>
      <c r="I1173" s="42"/>
      <c r="J1173" s="41"/>
      <c r="K1173" s="41"/>
      <c r="L1173" s="43"/>
    </row>
    <row r="1174" spans="2:12" outlineLevel="2">
      <c r="B1174" s="35">
        <f t="shared" si="36"/>
        <v>709</v>
      </c>
      <c r="C1174" s="41" t="s">
        <v>69</v>
      </c>
      <c r="D1174" s="41"/>
      <c r="E1174" s="41"/>
      <c r="F1174" s="41"/>
      <c r="G1174" s="41"/>
      <c r="H1174" s="41"/>
      <c r="I1174" s="42"/>
      <c r="J1174" s="41"/>
      <c r="K1174" s="41"/>
      <c r="L1174" s="43"/>
    </row>
    <row r="1175" spans="2:12" outlineLevel="2">
      <c r="B1175" s="35">
        <f t="shared" si="36"/>
        <v>710</v>
      </c>
      <c r="C1175" s="41" t="s">
        <v>69</v>
      </c>
      <c r="D1175" s="41"/>
      <c r="E1175" s="41"/>
      <c r="F1175" s="41"/>
      <c r="G1175" s="41"/>
      <c r="H1175" s="41"/>
      <c r="I1175" s="42"/>
      <c r="J1175" s="41"/>
      <c r="K1175" s="41"/>
      <c r="L1175" s="43"/>
    </row>
    <row r="1176" spans="2:12" outlineLevel="2">
      <c r="B1176" s="35">
        <f t="shared" si="36"/>
        <v>711</v>
      </c>
      <c r="C1176" s="41" t="s">
        <v>69</v>
      </c>
      <c r="D1176" s="41"/>
      <c r="E1176" s="41"/>
      <c r="F1176" s="41"/>
      <c r="G1176" s="41"/>
      <c r="H1176" s="41"/>
      <c r="I1176" s="42"/>
      <c r="J1176" s="41"/>
      <c r="K1176" s="41"/>
      <c r="L1176" s="43"/>
    </row>
    <row r="1177" spans="2:12" outlineLevel="2">
      <c r="B1177" s="35">
        <f t="shared" si="36"/>
        <v>712</v>
      </c>
      <c r="C1177" s="41" t="s">
        <v>69</v>
      </c>
      <c r="D1177" s="41"/>
      <c r="E1177" s="41"/>
      <c r="F1177" s="41"/>
      <c r="G1177" s="41"/>
      <c r="H1177" s="41"/>
      <c r="I1177" s="42"/>
      <c r="J1177" s="41"/>
      <c r="K1177" s="41"/>
      <c r="L1177" s="43"/>
    </row>
    <row r="1178" spans="2:12" outlineLevel="2">
      <c r="B1178" s="35">
        <f t="shared" si="36"/>
        <v>713</v>
      </c>
      <c r="C1178" s="41" t="s">
        <v>69</v>
      </c>
      <c r="D1178" s="41"/>
      <c r="E1178" s="41"/>
      <c r="F1178" s="41"/>
      <c r="G1178" s="41"/>
      <c r="H1178" s="41"/>
      <c r="I1178" s="42"/>
      <c r="J1178" s="41"/>
      <c r="K1178" s="41"/>
      <c r="L1178" s="43"/>
    </row>
    <row r="1179" spans="2:12" outlineLevel="2">
      <c r="B1179" s="35">
        <f t="shared" si="36"/>
        <v>714</v>
      </c>
      <c r="C1179" s="41" t="s">
        <v>69</v>
      </c>
      <c r="D1179" s="41"/>
      <c r="E1179" s="41"/>
      <c r="F1179" s="41"/>
      <c r="G1179" s="41"/>
      <c r="H1179" s="41"/>
      <c r="I1179" s="42"/>
      <c r="J1179" s="41"/>
      <c r="K1179" s="41"/>
      <c r="L1179" s="43"/>
    </row>
    <row r="1180" spans="2:12" outlineLevel="2">
      <c r="B1180" s="35">
        <f t="shared" si="36"/>
        <v>715</v>
      </c>
      <c r="C1180" s="41" t="s">
        <v>69</v>
      </c>
      <c r="D1180" s="41"/>
      <c r="E1180" s="41"/>
      <c r="F1180" s="41"/>
      <c r="G1180" s="41"/>
      <c r="H1180" s="41"/>
      <c r="I1180" s="42"/>
      <c r="J1180" s="41"/>
      <c r="K1180" s="41"/>
      <c r="L1180" s="43"/>
    </row>
    <row r="1181" spans="2:12" outlineLevel="2">
      <c r="B1181" s="35">
        <f t="shared" si="36"/>
        <v>716</v>
      </c>
      <c r="C1181" s="41" t="s">
        <v>69</v>
      </c>
      <c r="D1181" s="41"/>
      <c r="E1181" s="41"/>
      <c r="F1181" s="41"/>
      <c r="G1181" s="41"/>
      <c r="H1181" s="41"/>
      <c r="I1181" s="42"/>
      <c r="J1181" s="41"/>
      <c r="K1181" s="41"/>
      <c r="L1181" s="43"/>
    </row>
    <row r="1182" spans="2:12" outlineLevel="2">
      <c r="B1182" s="35">
        <f t="shared" si="36"/>
        <v>717</v>
      </c>
      <c r="C1182" s="41" t="s">
        <v>69</v>
      </c>
      <c r="D1182" s="41"/>
      <c r="E1182" s="41"/>
      <c r="F1182" s="41"/>
      <c r="G1182" s="41"/>
      <c r="H1182" s="41"/>
      <c r="I1182" s="42"/>
      <c r="J1182" s="41"/>
      <c r="K1182" s="41"/>
      <c r="L1182" s="43"/>
    </row>
    <row r="1183" spans="2:12" outlineLevel="2">
      <c r="B1183" s="35">
        <f t="shared" si="36"/>
        <v>718</v>
      </c>
      <c r="C1183" s="41" t="s">
        <v>69</v>
      </c>
      <c r="D1183" s="41"/>
      <c r="E1183" s="41"/>
      <c r="F1183" s="41"/>
      <c r="G1183" s="41"/>
      <c r="H1183" s="41"/>
      <c r="I1183" s="42"/>
      <c r="J1183" s="41"/>
      <c r="K1183" s="41"/>
      <c r="L1183" s="43"/>
    </row>
    <row r="1184" spans="2:12" outlineLevel="2">
      <c r="B1184" s="35">
        <f t="shared" si="36"/>
        <v>719</v>
      </c>
      <c r="C1184" s="41" t="s">
        <v>69</v>
      </c>
      <c r="D1184" s="41"/>
      <c r="E1184" s="41"/>
      <c r="F1184" s="41"/>
      <c r="G1184" s="41"/>
      <c r="H1184" s="41"/>
      <c r="I1184" s="42"/>
      <c r="J1184" s="41"/>
      <c r="K1184" s="41"/>
      <c r="L1184" s="43"/>
    </row>
    <row r="1185" spans="2:12" outlineLevel="2">
      <c r="B1185" s="35">
        <f t="shared" si="36"/>
        <v>720</v>
      </c>
      <c r="C1185" s="41" t="s">
        <v>69</v>
      </c>
      <c r="D1185" s="41"/>
      <c r="E1185" s="41"/>
      <c r="F1185" s="41"/>
      <c r="G1185" s="41"/>
      <c r="H1185" s="41"/>
      <c r="I1185" s="42"/>
      <c r="J1185" s="41"/>
      <c r="K1185" s="41"/>
      <c r="L1185" s="43"/>
    </row>
    <row r="1186" spans="2:12" outlineLevel="2">
      <c r="B1186" s="35">
        <f t="shared" si="36"/>
        <v>721</v>
      </c>
      <c r="C1186" s="41" t="s">
        <v>69</v>
      </c>
      <c r="D1186" s="41"/>
      <c r="E1186" s="41"/>
      <c r="F1186" s="41"/>
      <c r="G1186" s="41"/>
      <c r="H1186" s="41"/>
      <c r="I1186" s="42"/>
      <c r="J1186" s="41"/>
      <c r="K1186" s="41"/>
      <c r="L1186" s="43"/>
    </row>
    <row r="1187" spans="2:12" outlineLevel="2">
      <c r="B1187" s="35">
        <f t="shared" si="36"/>
        <v>722</v>
      </c>
      <c r="C1187" s="41" t="s">
        <v>69</v>
      </c>
      <c r="D1187" s="41"/>
      <c r="E1187" s="41"/>
      <c r="F1187" s="41"/>
      <c r="G1187" s="41"/>
      <c r="H1187" s="41"/>
      <c r="I1187" s="42"/>
      <c r="J1187" s="41"/>
      <c r="K1187" s="41"/>
      <c r="L1187" s="43"/>
    </row>
    <row r="1188" spans="2:12" outlineLevel="2">
      <c r="B1188" s="35">
        <f t="shared" si="36"/>
        <v>723</v>
      </c>
      <c r="C1188" s="41" t="s">
        <v>69</v>
      </c>
      <c r="D1188" s="41"/>
      <c r="E1188" s="41"/>
      <c r="F1188" s="41"/>
      <c r="G1188" s="41"/>
      <c r="H1188" s="41"/>
      <c r="I1188" s="42"/>
      <c r="J1188" s="41"/>
      <c r="K1188" s="41"/>
      <c r="L1188" s="43"/>
    </row>
    <row r="1189" spans="2:12" outlineLevel="2">
      <c r="B1189" s="35">
        <f t="shared" si="36"/>
        <v>724</v>
      </c>
      <c r="C1189" s="41" t="s">
        <v>69</v>
      </c>
      <c r="D1189" s="41"/>
      <c r="E1189" s="41"/>
      <c r="F1189" s="41"/>
      <c r="G1189" s="41"/>
      <c r="H1189" s="41"/>
      <c r="I1189" s="42"/>
      <c r="J1189" s="41"/>
      <c r="K1189" s="41"/>
      <c r="L1189" s="43"/>
    </row>
    <row r="1190" spans="2:12" outlineLevel="2">
      <c r="B1190" s="35">
        <f t="shared" si="36"/>
        <v>725</v>
      </c>
      <c r="C1190" s="41" t="s">
        <v>69</v>
      </c>
      <c r="D1190" s="41"/>
      <c r="E1190" s="41"/>
      <c r="F1190" s="41"/>
      <c r="G1190" s="41"/>
      <c r="H1190" s="41"/>
      <c r="I1190" s="42"/>
      <c r="J1190" s="41"/>
      <c r="K1190" s="41"/>
      <c r="L1190" s="43"/>
    </row>
    <row r="1191" spans="2:12" outlineLevel="2">
      <c r="B1191" s="35">
        <f t="shared" si="36"/>
        <v>726</v>
      </c>
      <c r="C1191" s="41" t="s">
        <v>69</v>
      </c>
      <c r="D1191" s="41"/>
      <c r="E1191" s="41"/>
      <c r="F1191" s="41"/>
      <c r="G1191" s="41"/>
      <c r="H1191" s="41"/>
      <c r="I1191" s="42"/>
      <c r="J1191" s="41"/>
      <c r="K1191" s="41"/>
      <c r="L1191" s="43"/>
    </row>
    <row r="1192" spans="2:12" outlineLevel="2">
      <c r="B1192" s="35">
        <f t="shared" si="36"/>
        <v>727</v>
      </c>
      <c r="C1192" s="41" t="s">
        <v>69</v>
      </c>
      <c r="D1192" s="41"/>
      <c r="E1192" s="41"/>
      <c r="F1192" s="41"/>
      <c r="G1192" s="41"/>
      <c r="H1192" s="41"/>
      <c r="I1192" s="42"/>
      <c r="J1192" s="41"/>
      <c r="K1192" s="41"/>
      <c r="L1192" s="43"/>
    </row>
    <row r="1193" spans="2:12" outlineLevel="2">
      <c r="B1193" s="35">
        <f t="shared" si="36"/>
        <v>728</v>
      </c>
      <c r="C1193" s="41" t="s">
        <v>69</v>
      </c>
      <c r="D1193" s="41"/>
      <c r="E1193" s="41"/>
      <c r="F1193" s="41"/>
      <c r="G1193" s="41"/>
      <c r="H1193" s="41"/>
      <c r="I1193" s="42"/>
      <c r="J1193" s="41"/>
      <c r="K1193" s="41"/>
      <c r="L1193" s="43"/>
    </row>
    <row r="1194" spans="2:12" outlineLevel="2">
      <c r="B1194" s="35">
        <f t="shared" si="36"/>
        <v>729</v>
      </c>
      <c r="C1194" s="41" t="s">
        <v>69</v>
      </c>
      <c r="D1194" s="41"/>
      <c r="E1194" s="41"/>
      <c r="F1194" s="41"/>
      <c r="G1194" s="41"/>
      <c r="H1194" s="41"/>
      <c r="I1194" s="42"/>
      <c r="J1194" s="41"/>
      <c r="K1194" s="41"/>
      <c r="L1194" s="43"/>
    </row>
    <row r="1195" spans="2:12" outlineLevel="2">
      <c r="B1195" s="35">
        <f t="shared" si="36"/>
        <v>730</v>
      </c>
      <c r="C1195" s="41" t="s">
        <v>69</v>
      </c>
      <c r="D1195" s="41"/>
      <c r="E1195" s="41"/>
      <c r="F1195" s="41"/>
      <c r="G1195" s="41"/>
      <c r="H1195" s="41"/>
      <c r="I1195" s="42"/>
      <c r="J1195" s="41"/>
      <c r="K1195" s="41"/>
      <c r="L1195" s="43"/>
    </row>
    <row r="1196" spans="2:12" outlineLevel="2">
      <c r="B1196" s="35">
        <f t="shared" si="36"/>
        <v>731</v>
      </c>
      <c r="C1196" s="41" t="s">
        <v>69</v>
      </c>
      <c r="D1196" s="41"/>
      <c r="E1196" s="41"/>
      <c r="F1196" s="41"/>
      <c r="G1196" s="41"/>
      <c r="H1196" s="41"/>
      <c r="I1196" s="42"/>
      <c r="J1196" s="41"/>
      <c r="K1196" s="41"/>
      <c r="L1196" s="43"/>
    </row>
    <row r="1197" spans="2:12" outlineLevel="2">
      <c r="B1197" s="35">
        <f t="shared" si="36"/>
        <v>732</v>
      </c>
      <c r="C1197" s="41" t="s">
        <v>69</v>
      </c>
      <c r="D1197" s="41"/>
      <c r="E1197" s="41"/>
      <c r="F1197" s="41"/>
      <c r="G1197" s="41"/>
      <c r="H1197" s="41"/>
      <c r="I1197" s="42"/>
      <c r="J1197" s="41"/>
      <c r="K1197" s="41"/>
      <c r="L1197" s="43"/>
    </row>
    <row r="1198" spans="2:12" outlineLevel="2">
      <c r="B1198" s="35">
        <f t="shared" si="36"/>
        <v>733</v>
      </c>
      <c r="C1198" s="41" t="s">
        <v>69</v>
      </c>
      <c r="D1198" s="41"/>
      <c r="E1198" s="41"/>
      <c r="F1198" s="41"/>
      <c r="G1198" s="41"/>
      <c r="H1198" s="41"/>
      <c r="I1198" s="42"/>
      <c r="J1198" s="41"/>
      <c r="K1198" s="41"/>
      <c r="L1198" s="43"/>
    </row>
    <row r="1199" spans="2:12" outlineLevel="2">
      <c r="B1199" s="35">
        <f t="shared" si="36"/>
        <v>734</v>
      </c>
      <c r="C1199" s="41" t="s">
        <v>69</v>
      </c>
      <c r="D1199" s="41"/>
      <c r="E1199" s="41"/>
      <c r="F1199" s="41"/>
      <c r="G1199" s="41"/>
      <c r="H1199" s="41"/>
      <c r="I1199" s="42"/>
      <c r="J1199" s="41"/>
      <c r="K1199" s="41"/>
      <c r="L1199" s="43"/>
    </row>
    <row r="1200" spans="2:12" outlineLevel="2">
      <c r="B1200" s="35">
        <f t="shared" si="36"/>
        <v>735</v>
      </c>
      <c r="C1200" s="41" t="s">
        <v>69</v>
      </c>
      <c r="D1200" s="41"/>
      <c r="E1200" s="41"/>
      <c r="F1200" s="41"/>
      <c r="G1200" s="41"/>
      <c r="H1200" s="41"/>
      <c r="I1200" s="42"/>
      <c r="J1200" s="41"/>
      <c r="K1200" s="41"/>
      <c r="L1200" s="43"/>
    </row>
    <row r="1201" spans="2:12" outlineLevel="2">
      <c r="B1201" s="35">
        <f t="shared" si="36"/>
        <v>736</v>
      </c>
      <c r="C1201" s="41" t="s">
        <v>69</v>
      </c>
      <c r="D1201" s="41"/>
      <c r="E1201" s="41"/>
      <c r="F1201" s="41"/>
      <c r="G1201" s="41"/>
      <c r="H1201" s="41"/>
      <c r="I1201" s="42"/>
      <c r="J1201" s="41"/>
      <c r="K1201" s="41"/>
      <c r="L1201" s="43"/>
    </row>
    <row r="1202" spans="2:12" outlineLevel="2">
      <c r="B1202" s="35">
        <f t="shared" si="36"/>
        <v>737</v>
      </c>
      <c r="C1202" s="41" t="s">
        <v>69</v>
      </c>
      <c r="D1202" s="41"/>
      <c r="E1202" s="41"/>
      <c r="F1202" s="41"/>
      <c r="G1202" s="41"/>
      <c r="H1202" s="41"/>
      <c r="I1202" s="42"/>
      <c r="J1202" s="41"/>
      <c r="K1202" s="41"/>
      <c r="L1202" s="43"/>
    </row>
    <row r="1203" spans="2:12" outlineLevel="2">
      <c r="B1203" s="35">
        <f t="shared" si="36"/>
        <v>738</v>
      </c>
      <c r="C1203" s="41" t="s">
        <v>69</v>
      </c>
      <c r="D1203" s="41"/>
      <c r="E1203" s="41"/>
      <c r="F1203" s="41"/>
      <c r="G1203" s="41"/>
      <c r="H1203" s="41"/>
      <c r="I1203" s="42"/>
      <c r="J1203" s="41"/>
      <c r="K1203" s="41"/>
      <c r="L1203" s="43"/>
    </row>
    <row r="1204" spans="2:12" outlineLevel="2">
      <c r="B1204" s="35">
        <f t="shared" si="36"/>
        <v>739</v>
      </c>
      <c r="C1204" s="41" t="s">
        <v>69</v>
      </c>
      <c r="D1204" s="41"/>
      <c r="E1204" s="41"/>
      <c r="F1204" s="41"/>
      <c r="G1204" s="41"/>
      <c r="H1204" s="41"/>
      <c r="I1204" s="42"/>
      <c r="J1204" s="41"/>
      <c r="K1204" s="41"/>
      <c r="L1204" s="43"/>
    </row>
    <row r="1205" spans="2:12" outlineLevel="2">
      <c r="B1205" s="35">
        <f t="shared" si="36"/>
        <v>740</v>
      </c>
      <c r="C1205" s="41" t="s">
        <v>69</v>
      </c>
      <c r="D1205" s="41"/>
      <c r="E1205" s="41"/>
      <c r="F1205" s="41"/>
      <c r="G1205" s="41"/>
      <c r="H1205" s="41"/>
      <c r="I1205" s="42"/>
      <c r="J1205" s="41"/>
      <c r="K1205" s="41"/>
      <c r="L1205" s="43"/>
    </row>
    <row r="1206" spans="2:12" outlineLevel="2">
      <c r="B1206" s="35">
        <f t="shared" si="36"/>
        <v>741</v>
      </c>
      <c r="C1206" s="41" t="s">
        <v>69</v>
      </c>
      <c r="D1206" s="41"/>
      <c r="E1206" s="41"/>
      <c r="F1206" s="41"/>
      <c r="G1206" s="41"/>
      <c r="H1206" s="41"/>
      <c r="I1206" s="42"/>
      <c r="J1206" s="41"/>
      <c r="K1206" s="41"/>
      <c r="L1206" s="43"/>
    </row>
    <row r="1207" spans="2:12" outlineLevel="2">
      <c r="B1207" s="35">
        <f t="shared" si="36"/>
        <v>742</v>
      </c>
      <c r="C1207" s="41" t="s">
        <v>69</v>
      </c>
      <c r="D1207" s="41"/>
      <c r="E1207" s="41"/>
      <c r="F1207" s="41"/>
      <c r="G1207" s="41"/>
      <c r="H1207" s="41"/>
      <c r="I1207" s="42"/>
      <c r="J1207" s="41"/>
      <c r="K1207" s="41"/>
      <c r="L1207" s="43"/>
    </row>
    <row r="1208" spans="2:12" outlineLevel="2">
      <c r="B1208" s="35">
        <f t="shared" si="36"/>
        <v>743</v>
      </c>
      <c r="C1208" s="41" t="s">
        <v>69</v>
      </c>
      <c r="D1208" s="41"/>
      <c r="E1208" s="41"/>
      <c r="F1208" s="41"/>
      <c r="G1208" s="41"/>
      <c r="H1208" s="41"/>
      <c r="I1208" s="42"/>
      <c r="J1208" s="41"/>
      <c r="K1208" s="41"/>
      <c r="L1208" s="43"/>
    </row>
    <row r="1209" spans="2:12" outlineLevel="2">
      <c r="B1209" s="35">
        <f t="shared" si="36"/>
        <v>744</v>
      </c>
      <c r="C1209" s="41" t="s">
        <v>69</v>
      </c>
      <c r="D1209" s="41"/>
      <c r="E1209" s="41"/>
      <c r="F1209" s="41"/>
      <c r="G1209" s="41"/>
      <c r="H1209" s="41"/>
      <c r="I1209" s="42"/>
      <c r="J1209" s="41"/>
      <c r="K1209" s="41"/>
      <c r="L1209" s="43"/>
    </row>
    <row r="1210" spans="2:12" outlineLevel="2">
      <c r="B1210" s="35">
        <f t="shared" si="36"/>
        <v>745</v>
      </c>
      <c r="C1210" s="41" t="s">
        <v>69</v>
      </c>
      <c r="D1210" s="41"/>
      <c r="E1210" s="41"/>
      <c r="F1210" s="41"/>
      <c r="G1210" s="41"/>
      <c r="H1210" s="41"/>
      <c r="I1210" s="42"/>
      <c r="J1210" s="41"/>
      <c r="K1210" s="41"/>
      <c r="L1210" s="43"/>
    </row>
    <row r="1211" spans="2:12" outlineLevel="2">
      <c r="B1211" s="35">
        <f t="shared" si="36"/>
        <v>746</v>
      </c>
      <c r="C1211" s="41" t="s">
        <v>69</v>
      </c>
      <c r="D1211" s="41"/>
      <c r="E1211" s="41"/>
      <c r="F1211" s="41"/>
      <c r="G1211" s="41"/>
      <c r="H1211" s="41"/>
      <c r="I1211" s="42"/>
      <c r="J1211" s="41"/>
      <c r="K1211" s="41"/>
      <c r="L1211" s="43"/>
    </row>
    <row r="1212" spans="2:12" outlineLevel="2">
      <c r="B1212" s="35">
        <f t="shared" si="36"/>
        <v>747</v>
      </c>
      <c r="C1212" s="41" t="s">
        <v>69</v>
      </c>
      <c r="D1212" s="41"/>
      <c r="E1212" s="41"/>
      <c r="F1212" s="41"/>
      <c r="G1212" s="41"/>
      <c r="H1212" s="41"/>
      <c r="I1212" s="42"/>
      <c r="J1212" s="41"/>
      <c r="K1212" s="41"/>
      <c r="L1212" s="43"/>
    </row>
    <row r="1213" spans="2:12" outlineLevel="2">
      <c r="B1213" s="35">
        <f t="shared" si="36"/>
        <v>748</v>
      </c>
      <c r="C1213" s="41" t="s">
        <v>69</v>
      </c>
      <c r="D1213" s="41"/>
      <c r="E1213" s="41"/>
      <c r="F1213" s="41"/>
      <c r="G1213" s="41"/>
      <c r="H1213" s="41"/>
      <c r="I1213" s="42"/>
      <c r="J1213" s="41"/>
      <c r="K1213" s="41"/>
      <c r="L1213" s="43"/>
    </row>
    <row r="1214" spans="2:12" outlineLevel="2">
      <c r="B1214" s="35">
        <f t="shared" si="36"/>
        <v>749</v>
      </c>
      <c r="C1214" s="41" t="s">
        <v>69</v>
      </c>
      <c r="D1214" s="41"/>
      <c r="E1214" s="41"/>
      <c r="F1214" s="41"/>
      <c r="G1214" s="41"/>
      <c r="H1214" s="41"/>
      <c r="I1214" s="42"/>
      <c r="J1214" s="41"/>
      <c r="K1214" s="41"/>
      <c r="L1214" s="43"/>
    </row>
    <row r="1215" spans="2:12" outlineLevel="2">
      <c r="B1215" s="35">
        <f t="shared" ref="B1215:B1278" si="37">(B1214+1)</f>
        <v>750</v>
      </c>
      <c r="C1215" s="41" t="s">
        <v>69</v>
      </c>
      <c r="D1215" s="41"/>
      <c r="E1215" s="41"/>
      <c r="F1215" s="41"/>
      <c r="G1215" s="41"/>
      <c r="H1215" s="41"/>
      <c r="I1215" s="42"/>
      <c r="J1215" s="41"/>
      <c r="K1215" s="41"/>
      <c r="L1215" s="43"/>
    </row>
    <row r="1216" spans="2:12" outlineLevel="2">
      <c r="B1216" s="35">
        <f t="shared" si="37"/>
        <v>751</v>
      </c>
      <c r="C1216" s="41" t="s">
        <v>69</v>
      </c>
      <c r="D1216" s="41"/>
      <c r="E1216" s="41"/>
      <c r="F1216" s="41"/>
      <c r="G1216" s="41"/>
      <c r="H1216" s="41"/>
      <c r="I1216" s="42"/>
      <c r="J1216" s="41"/>
      <c r="K1216" s="41"/>
      <c r="L1216" s="43"/>
    </row>
    <row r="1217" spans="2:12" outlineLevel="2">
      <c r="B1217" s="35">
        <f t="shared" si="37"/>
        <v>752</v>
      </c>
      <c r="C1217" s="41" t="s">
        <v>69</v>
      </c>
      <c r="D1217" s="41"/>
      <c r="E1217" s="41"/>
      <c r="F1217" s="41"/>
      <c r="G1217" s="41"/>
      <c r="H1217" s="41"/>
      <c r="I1217" s="42"/>
      <c r="J1217" s="41"/>
      <c r="K1217" s="41"/>
      <c r="L1217" s="43"/>
    </row>
    <row r="1218" spans="2:12" outlineLevel="2">
      <c r="B1218" s="35">
        <f t="shared" si="37"/>
        <v>753</v>
      </c>
      <c r="C1218" s="41" t="s">
        <v>69</v>
      </c>
      <c r="D1218" s="41"/>
      <c r="E1218" s="41"/>
      <c r="F1218" s="41"/>
      <c r="G1218" s="41"/>
      <c r="H1218" s="41"/>
      <c r="I1218" s="42"/>
      <c r="J1218" s="41"/>
      <c r="K1218" s="41"/>
      <c r="L1218" s="43"/>
    </row>
    <row r="1219" spans="2:12" outlineLevel="2">
      <c r="B1219" s="35">
        <f t="shared" si="37"/>
        <v>754</v>
      </c>
      <c r="C1219" s="41" t="s">
        <v>69</v>
      </c>
      <c r="D1219" s="41"/>
      <c r="E1219" s="41"/>
      <c r="F1219" s="41"/>
      <c r="G1219" s="41"/>
      <c r="H1219" s="41"/>
      <c r="I1219" s="42"/>
      <c r="J1219" s="41"/>
      <c r="K1219" s="41"/>
      <c r="L1219" s="43"/>
    </row>
    <row r="1220" spans="2:12" outlineLevel="2">
      <c r="B1220" s="35">
        <f t="shared" si="37"/>
        <v>755</v>
      </c>
      <c r="C1220" s="41" t="s">
        <v>69</v>
      </c>
      <c r="D1220" s="41"/>
      <c r="E1220" s="41"/>
      <c r="F1220" s="41"/>
      <c r="G1220" s="41"/>
      <c r="H1220" s="41"/>
      <c r="I1220" s="42"/>
      <c r="J1220" s="41"/>
      <c r="K1220" s="41"/>
      <c r="L1220" s="43"/>
    </row>
    <row r="1221" spans="2:12" outlineLevel="2">
      <c r="B1221" s="35">
        <f t="shared" si="37"/>
        <v>756</v>
      </c>
      <c r="C1221" s="41" t="s">
        <v>69</v>
      </c>
      <c r="D1221" s="41"/>
      <c r="E1221" s="41"/>
      <c r="F1221" s="41"/>
      <c r="G1221" s="41"/>
      <c r="H1221" s="41"/>
      <c r="I1221" s="42"/>
      <c r="J1221" s="41"/>
      <c r="K1221" s="41"/>
      <c r="L1221" s="43"/>
    </row>
    <row r="1222" spans="2:12" outlineLevel="2">
      <c r="B1222" s="35">
        <f t="shared" si="37"/>
        <v>757</v>
      </c>
      <c r="C1222" s="41" t="s">
        <v>69</v>
      </c>
      <c r="D1222" s="41"/>
      <c r="E1222" s="41"/>
      <c r="F1222" s="41"/>
      <c r="G1222" s="41"/>
      <c r="H1222" s="41"/>
      <c r="I1222" s="42"/>
      <c r="J1222" s="41"/>
      <c r="K1222" s="41"/>
      <c r="L1222" s="43"/>
    </row>
    <row r="1223" spans="2:12" outlineLevel="2">
      <c r="B1223" s="35">
        <f t="shared" si="37"/>
        <v>758</v>
      </c>
      <c r="C1223" s="41" t="s">
        <v>69</v>
      </c>
      <c r="D1223" s="41"/>
      <c r="E1223" s="41"/>
      <c r="F1223" s="41"/>
      <c r="G1223" s="41"/>
      <c r="H1223" s="41"/>
      <c r="I1223" s="42"/>
      <c r="J1223" s="41"/>
      <c r="K1223" s="41"/>
      <c r="L1223" s="43"/>
    </row>
    <row r="1224" spans="2:12" outlineLevel="2">
      <c r="B1224" s="35">
        <f t="shared" si="37"/>
        <v>759</v>
      </c>
      <c r="C1224" s="41" t="s">
        <v>69</v>
      </c>
      <c r="D1224" s="41"/>
      <c r="E1224" s="41"/>
      <c r="F1224" s="41"/>
      <c r="G1224" s="41"/>
      <c r="H1224" s="41"/>
      <c r="I1224" s="42"/>
      <c r="J1224" s="41"/>
      <c r="K1224" s="41"/>
      <c r="L1224" s="43"/>
    </row>
    <row r="1225" spans="2:12" outlineLevel="2">
      <c r="B1225" s="35">
        <f t="shared" si="37"/>
        <v>760</v>
      </c>
      <c r="C1225" s="41" t="s">
        <v>69</v>
      </c>
      <c r="D1225" s="41"/>
      <c r="E1225" s="41"/>
      <c r="F1225" s="41"/>
      <c r="G1225" s="41"/>
      <c r="H1225" s="41"/>
      <c r="I1225" s="42"/>
      <c r="J1225" s="41"/>
      <c r="K1225" s="41"/>
      <c r="L1225" s="43"/>
    </row>
    <row r="1226" spans="2:12" outlineLevel="2">
      <c r="B1226" s="35">
        <f t="shared" si="37"/>
        <v>761</v>
      </c>
      <c r="C1226" s="41" t="s">
        <v>69</v>
      </c>
      <c r="D1226" s="41"/>
      <c r="E1226" s="41"/>
      <c r="F1226" s="41"/>
      <c r="G1226" s="41"/>
      <c r="H1226" s="41"/>
      <c r="I1226" s="42"/>
      <c r="J1226" s="41"/>
      <c r="K1226" s="41"/>
      <c r="L1226" s="43"/>
    </row>
    <row r="1227" spans="2:12" outlineLevel="2">
      <c r="B1227" s="35">
        <f t="shared" si="37"/>
        <v>762</v>
      </c>
      <c r="C1227" s="41" t="s">
        <v>69</v>
      </c>
      <c r="D1227" s="41"/>
      <c r="E1227" s="41"/>
      <c r="F1227" s="41"/>
      <c r="G1227" s="41"/>
      <c r="H1227" s="41"/>
      <c r="I1227" s="42"/>
      <c r="J1227" s="41"/>
      <c r="K1227" s="41"/>
      <c r="L1227" s="43"/>
    </row>
    <row r="1228" spans="2:12" outlineLevel="2">
      <c r="B1228" s="35">
        <f t="shared" si="37"/>
        <v>763</v>
      </c>
      <c r="C1228" s="41" t="s">
        <v>69</v>
      </c>
      <c r="D1228" s="41"/>
      <c r="E1228" s="41"/>
      <c r="F1228" s="41"/>
      <c r="G1228" s="41"/>
      <c r="H1228" s="41"/>
      <c r="I1228" s="42"/>
      <c r="J1228" s="41"/>
      <c r="K1228" s="41"/>
      <c r="L1228" s="43"/>
    </row>
    <row r="1229" spans="2:12" outlineLevel="2">
      <c r="B1229" s="35">
        <f t="shared" si="37"/>
        <v>764</v>
      </c>
      <c r="C1229" s="41" t="s">
        <v>69</v>
      </c>
      <c r="D1229" s="41"/>
      <c r="E1229" s="41"/>
      <c r="F1229" s="41"/>
      <c r="G1229" s="41"/>
      <c r="H1229" s="41"/>
      <c r="I1229" s="42"/>
      <c r="J1229" s="41"/>
      <c r="K1229" s="41"/>
      <c r="L1229" s="43"/>
    </row>
    <row r="1230" spans="2:12" outlineLevel="2">
      <c r="B1230" s="35">
        <f t="shared" si="37"/>
        <v>765</v>
      </c>
      <c r="C1230" s="41" t="s">
        <v>69</v>
      </c>
      <c r="D1230" s="41"/>
      <c r="E1230" s="41"/>
      <c r="F1230" s="41"/>
      <c r="G1230" s="41"/>
      <c r="H1230" s="41"/>
      <c r="I1230" s="42"/>
      <c r="J1230" s="41"/>
      <c r="K1230" s="41"/>
      <c r="L1230" s="43"/>
    </row>
    <row r="1231" spans="2:12" outlineLevel="2">
      <c r="B1231" s="35">
        <f t="shared" si="37"/>
        <v>766</v>
      </c>
      <c r="C1231" s="41" t="s">
        <v>69</v>
      </c>
      <c r="D1231" s="41"/>
      <c r="E1231" s="41"/>
      <c r="F1231" s="41"/>
      <c r="G1231" s="41"/>
      <c r="H1231" s="41"/>
      <c r="I1231" s="42"/>
      <c r="J1231" s="41"/>
      <c r="K1231" s="41"/>
      <c r="L1231" s="43"/>
    </row>
    <row r="1232" spans="2:12" outlineLevel="2">
      <c r="B1232" s="35">
        <f t="shared" si="37"/>
        <v>767</v>
      </c>
      <c r="C1232" s="41" t="s">
        <v>69</v>
      </c>
      <c r="D1232" s="41"/>
      <c r="E1232" s="41"/>
      <c r="F1232" s="41"/>
      <c r="G1232" s="41"/>
      <c r="H1232" s="41"/>
      <c r="I1232" s="42"/>
      <c r="J1232" s="41"/>
      <c r="K1232" s="41"/>
      <c r="L1232" s="43"/>
    </row>
    <row r="1233" spans="2:12" outlineLevel="2">
      <c r="B1233" s="35">
        <f t="shared" si="37"/>
        <v>768</v>
      </c>
      <c r="C1233" s="41" t="s">
        <v>69</v>
      </c>
      <c r="D1233" s="41"/>
      <c r="E1233" s="41"/>
      <c r="F1233" s="41"/>
      <c r="G1233" s="41"/>
      <c r="H1233" s="41"/>
      <c r="I1233" s="42"/>
      <c r="J1233" s="41"/>
      <c r="K1233" s="41"/>
      <c r="L1233" s="43"/>
    </row>
    <row r="1234" spans="2:12" outlineLevel="2">
      <c r="B1234" s="35">
        <f t="shared" si="37"/>
        <v>769</v>
      </c>
      <c r="C1234" s="41" t="s">
        <v>69</v>
      </c>
      <c r="D1234" s="41"/>
      <c r="E1234" s="41"/>
      <c r="F1234" s="41"/>
      <c r="G1234" s="41"/>
      <c r="H1234" s="41"/>
      <c r="I1234" s="42"/>
      <c r="J1234" s="41"/>
      <c r="K1234" s="41"/>
      <c r="L1234" s="43"/>
    </row>
    <row r="1235" spans="2:12" outlineLevel="2">
      <c r="B1235" s="35">
        <f t="shared" si="37"/>
        <v>770</v>
      </c>
      <c r="C1235" s="41" t="s">
        <v>69</v>
      </c>
      <c r="D1235" s="41"/>
      <c r="E1235" s="41"/>
      <c r="F1235" s="41"/>
      <c r="G1235" s="41"/>
      <c r="H1235" s="41"/>
      <c r="I1235" s="42"/>
      <c r="J1235" s="41"/>
      <c r="K1235" s="41"/>
      <c r="L1235" s="43"/>
    </row>
    <row r="1236" spans="2:12" outlineLevel="2">
      <c r="B1236" s="35">
        <f t="shared" si="37"/>
        <v>771</v>
      </c>
      <c r="C1236" s="41" t="s">
        <v>69</v>
      </c>
      <c r="D1236" s="41"/>
      <c r="E1236" s="41"/>
      <c r="F1236" s="41"/>
      <c r="G1236" s="41"/>
      <c r="H1236" s="41"/>
      <c r="I1236" s="42"/>
      <c r="J1236" s="41"/>
      <c r="K1236" s="41"/>
      <c r="L1236" s="43"/>
    </row>
    <row r="1237" spans="2:12" outlineLevel="2">
      <c r="B1237" s="35">
        <f t="shared" si="37"/>
        <v>772</v>
      </c>
      <c r="C1237" s="41" t="s">
        <v>69</v>
      </c>
      <c r="D1237" s="41"/>
      <c r="E1237" s="41"/>
      <c r="F1237" s="41"/>
      <c r="G1237" s="41"/>
      <c r="H1237" s="41"/>
      <c r="I1237" s="42"/>
      <c r="J1237" s="41"/>
      <c r="K1237" s="41"/>
      <c r="L1237" s="43"/>
    </row>
    <row r="1238" spans="2:12" outlineLevel="2">
      <c r="B1238" s="35">
        <f t="shared" si="37"/>
        <v>773</v>
      </c>
      <c r="C1238" s="41" t="s">
        <v>69</v>
      </c>
      <c r="D1238" s="41"/>
      <c r="E1238" s="41"/>
      <c r="F1238" s="41"/>
      <c r="G1238" s="41"/>
      <c r="H1238" s="41"/>
      <c r="I1238" s="42"/>
      <c r="J1238" s="41"/>
      <c r="K1238" s="41"/>
      <c r="L1238" s="43"/>
    </row>
    <row r="1239" spans="2:12" outlineLevel="2">
      <c r="B1239" s="35">
        <f t="shared" si="37"/>
        <v>774</v>
      </c>
      <c r="C1239" s="41" t="s">
        <v>69</v>
      </c>
      <c r="D1239" s="41"/>
      <c r="E1239" s="41"/>
      <c r="F1239" s="41"/>
      <c r="G1239" s="41"/>
      <c r="H1239" s="41"/>
      <c r="I1239" s="42"/>
      <c r="J1239" s="41"/>
      <c r="K1239" s="41"/>
      <c r="L1239" s="43"/>
    </row>
    <row r="1240" spans="2:12" outlineLevel="2">
      <c r="B1240" s="35">
        <f t="shared" si="37"/>
        <v>775</v>
      </c>
      <c r="C1240" s="41" t="s">
        <v>69</v>
      </c>
      <c r="D1240" s="41"/>
      <c r="E1240" s="41"/>
      <c r="F1240" s="41"/>
      <c r="G1240" s="41"/>
      <c r="H1240" s="41"/>
      <c r="I1240" s="42"/>
      <c r="J1240" s="41"/>
      <c r="K1240" s="41"/>
      <c r="L1240" s="43"/>
    </row>
    <row r="1241" spans="2:12" outlineLevel="2">
      <c r="B1241" s="35">
        <f t="shared" si="37"/>
        <v>776</v>
      </c>
      <c r="C1241" s="41" t="s">
        <v>69</v>
      </c>
      <c r="D1241" s="41"/>
      <c r="E1241" s="41"/>
      <c r="F1241" s="41"/>
      <c r="G1241" s="41"/>
      <c r="H1241" s="41"/>
      <c r="I1241" s="42"/>
      <c r="J1241" s="41"/>
      <c r="K1241" s="41"/>
      <c r="L1241" s="43"/>
    </row>
    <row r="1242" spans="2:12" outlineLevel="2">
      <c r="B1242" s="35">
        <f t="shared" si="37"/>
        <v>777</v>
      </c>
      <c r="C1242" s="41" t="s">
        <v>69</v>
      </c>
      <c r="D1242" s="41"/>
      <c r="E1242" s="41"/>
      <c r="F1242" s="41"/>
      <c r="G1242" s="41"/>
      <c r="H1242" s="41"/>
      <c r="I1242" s="42"/>
      <c r="J1242" s="41"/>
      <c r="K1242" s="41"/>
      <c r="L1242" s="43"/>
    </row>
    <row r="1243" spans="2:12" outlineLevel="2">
      <c r="B1243" s="35">
        <f t="shared" si="37"/>
        <v>778</v>
      </c>
      <c r="C1243" s="41" t="s">
        <v>69</v>
      </c>
      <c r="D1243" s="41"/>
      <c r="E1243" s="41"/>
      <c r="F1243" s="41"/>
      <c r="G1243" s="41"/>
      <c r="H1243" s="41"/>
      <c r="I1243" s="42"/>
      <c r="J1243" s="41"/>
      <c r="K1243" s="41"/>
      <c r="L1243" s="43"/>
    </row>
    <row r="1244" spans="2:12" outlineLevel="2">
      <c r="B1244" s="35">
        <f t="shared" si="37"/>
        <v>779</v>
      </c>
      <c r="C1244" s="41" t="s">
        <v>69</v>
      </c>
      <c r="D1244" s="41"/>
      <c r="E1244" s="41"/>
      <c r="F1244" s="41"/>
      <c r="G1244" s="41"/>
      <c r="H1244" s="41"/>
      <c r="I1244" s="42"/>
      <c r="J1244" s="41"/>
      <c r="K1244" s="41"/>
      <c r="L1244" s="43"/>
    </row>
    <row r="1245" spans="2:12" outlineLevel="2">
      <c r="B1245" s="35">
        <f t="shared" si="37"/>
        <v>780</v>
      </c>
      <c r="C1245" s="41" t="s">
        <v>69</v>
      </c>
      <c r="D1245" s="41"/>
      <c r="E1245" s="41"/>
      <c r="F1245" s="41"/>
      <c r="G1245" s="41"/>
      <c r="H1245" s="41"/>
      <c r="I1245" s="42"/>
      <c r="J1245" s="41"/>
      <c r="K1245" s="41"/>
      <c r="L1245" s="43"/>
    </row>
    <row r="1246" spans="2:12" outlineLevel="2">
      <c r="B1246" s="35">
        <f t="shared" si="37"/>
        <v>781</v>
      </c>
      <c r="C1246" s="41" t="s">
        <v>69</v>
      </c>
      <c r="D1246" s="41"/>
      <c r="E1246" s="41"/>
      <c r="F1246" s="41"/>
      <c r="G1246" s="41"/>
      <c r="H1246" s="41"/>
      <c r="I1246" s="42"/>
      <c r="J1246" s="41"/>
      <c r="K1246" s="41"/>
      <c r="L1246" s="43"/>
    </row>
    <row r="1247" spans="2:12" outlineLevel="2">
      <c r="B1247" s="35">
        <f t="shared" si="37"/>
        <v>782</v>
      </c>
      <c r="C1247" s="41" t="s">
        <v>69</v>
      </c>
      <c r="D1247" s="41"/>
      <c r="E1247" s="41"/>
      <c r="F1247" s="41"/>
      <c r="G1247" s="41"/>
      <c r="H1247" s="41"/>
      <c r="I1247" s="42"/>
      <c r="J1247" s="41"/>
      <c r="K1247" s="41"/>
      <c r="L1247" s="43"/>
    </row>
    <row r="1248" spans="2:12" outlineLevel="2">
      <c r="B1248" s="35">
        <f t="shared" si="37"/>
        <v>783</v>
      </c>
      <c r="C1248" s="41" t="s">
        <v>69</v>
      </c>
      <c r="D1248" s="41"/>
      <c r="E1248" s="41"/>
      <c r="F1248" s="41"/>
      <c r="G1248" s="41"/>
      <c r="H1248" s="41"/>
      <c r="I1248" s="42"/>
      <c r="J1248" s="41"/>
      <c r="K1248" s="41"/>
      <c r="L1248" s="43"/>
    </row>
    <row r="1249" spans="2:12" outlineLevel="2">
      <c r="B1249" s="35">
        <f t="shared" si="37"/>
        <v>784</v>
      </c>
      <c r="C1249" s="41" t="s">
        <v>69</v>
      </c>
      <c r="D1249" s="41"/>
      <c r="E1249" s="41"/>
      <c r="F1249" s="41"/>
      <c r="G1249" s="41"/>
      <c r="H1249" s="41"/>
      <c r="I1249" s="42"/>
      <c r="J1249" s="41"/>
      <c r="K1249" s="41"/>
      <c r="L1249" s="43"/>
    </row>
    <row r="1250" spans="2:12" outlineLevel="2">
      <c r="B1250" s="35">
        <f t="shared" si="37"/>
        <v>785</v>
      </c>
      <c r="C1250" s="41" t="s">
        <v>69</v>
      </c>
      <c r="D1250" s="41"/>
      <c r="E1250" s="41"/>
      <c r="F1250" s="41"/>
      <c r="G1250" s="41"/>
      <c r="H1250" s="41"/>
      <c r="I1250" s="42"/>
      <c r="J1250" s="41"/>
      <c r="K1250" s="41"/>
      <c r="L1250" s="43"/>
    </row>
    <row r="1251" spans="2:12" outlineLevel="2">
      <c r="B1251" s="35">
        <f t="shared" si="37"/>
        <v>786</v>
      </c>
      <c r="C1251" s="41" t="s">
        <v>69</v>
      </c>
      <c r="D1251" s="41"/>
      <c r="E1251" s="41"/>
      <c r="F1251" s="41"/>
      <c r="G1251" s="41"/>
      <c r="H1251" s="41"/>
      <c r="I1251" s="42"/>
      <c r="J1251" s="41"/>
      <c r="K1251" s="41"/>
      <c r="L1251" s="43"/>
    </row>
    <row r="1252" spans="2:12" outlineLevel="2">
      <c r="B1252" s="35">
        <f t="shared" si="37"/>
        <v>787</v>
      </c>
      <c r="C1252" s="41" t="s">
        <v>69</v>
      </c>
      <c r="D1252" s="41"/>
      <c r="E1252" s="41"/>
      <c r="F1252" s="41"/>
      <c r="G1252" s="41"/>
      <c r="H1252" s="41"/>
      <c r="I1252" s="42"/>
      <c r="J1252" s="41"/>
      <c r="K1252" s="41"/>
      <c r="L1252" s="43"/>
    </row>
    <row r="1253" spans="2:12" outlineLevel="2">
      <c r="B1253" s="35">
        <f t="shared" si="37"/>
        <v>788</v>
      </c>
      <c r="C1253" s="41" t="s">
        <v>69</v>
      </c>
      <c r="D1253" s="41"/>
      <c r="E1253" s="41"/>
      <c r="F1253" s="41"/>
      <c r="G1253" s="41"/>
      <c r="H1253" s="41"/>
      <c r="I1253" s="42"/>
      <c r="J1253" s="41"/>
      <c r="K1253" s="41"/>
      <c r="L1253" s="43"/>
    </row>
    <row r="1254" spans="2:12" outlineLevel="2">
      <c r="B1254" s="35">
        <f t="shared" si="37"/>
        <v>789</v>
      </c>
      <c r="C1254" s="41" t="s">
        <v>69</v>
      </c>
      <c r="D1254" s="41"/>
      <c r="E1254" s="41"/>
      <c r="F1254" s="41"/>
      <c r="G1254" s="41"/>
      <c r="H1254" s="41"/>
      <c r="I1254" s="42"/>
      <c r="J1254" s="41"/>
      <c r="K1254" s="41"/>
      <c r="L1254" s="43"/>
    </row>
    <row r="1255" spans="2:12" outlineLevel="2">
      <c r="B1255" s="35">
        <f t="shared" si="37"/>
        <v>790</v>
      </c>
      <c r="C1255" s="41" t="s">
        <v>69</v>
      </c>
      <c r="D1255" s="41"/>
      <c r="E1255" s="41"/>
      <c r="F1255" s="41"/>
      <c r="G1255" s="41"/>
      <c r="H1255" s="41"/>
      <c r="I1255" s="42"/>
      <c r="J1255" s="41"/>
      <c r="K1255" s="41"/>
      <c r="L1255" s="43"/>
    </row>
    <row r="1256" spans="2:12" outlineLevel="2">
      <c r="B1256" s="35">
        <f t="shared" si="37"/>
        <v>791</v>
      </c>
      <c r="C1256" s="41" t="s">
        <v>69</v>
      </c>
      <c r="D1256" s="41"/>
      <c r="E1256" s="41"/>
      <c r="F1256" s="41"/>
      <c r="G1256" s="41"/>
      <c r="H1256" s="41"/>
      <c r="I1256" s="42"/>
      <c r="J1256" s="41"/>
      <c r="K1256" s="41"/>
      <c r="L1256" s="43"/>
    </row>
    <row r="1257" spans="2:12" outlineLevel="2">
      <c r="B1257" s="35">
        <f t="shared" si="37"/>
        <v>792</v>
      </c>
      <c r="C1257" s="41" t="s">
        <v>69</v>
      </c>
      <c r="D1257" s="41"/>
      <c r="E1257" s="41"/>
      <c r="F1257" s="41"/>
      <c r="G1257" s="41"/>
      <c r="H1257" s="41"/>
      <c r="I1257" s="42"/>
      <c r="J1257" s="41"/>
      <c r="K1257" s="41"/>
      <c r="L1257" s="43"/>
    </row>
    <row r="1258" spans="2:12" outlineLevel="2">
      <c r="B1258" s="35">
        <f t="shared" si="37"/>
        <v>793</v>
      </c>
      <c r="C1258" s="41" t="s">
        <v>69</v>
      </c>
      <c r="D1258" s="41"/>
      <c r="E1258" s="41"/>
      <c r="F1258" s="41"/>
      <c r="G1258" s="41"/>
      <c r="H1258" s="41"/>
      <c r="I1258" s="42"/>
      <c r="J1258" s="41"/>
      <c r="K1258" s="41"/>
      <c r="L1258" s="43"/>
    </row>
    <row r="1259" spans="2:12" outlineLevel="2">
      <c r="B1259" s="35">
        <f t="shared" si="37"/>
        <v>794</v>
      </c>
      <c r="C1259" s="41" t="s">
        <v>69</v>
      </c>
      <c r="D1259" s="41"/>
      <c r="E1259" s="41"/>
      <c r="F1259" s="41"/>
      <c r="G1259" s="41"/>
      <c r="H1259" s="41"/>
      <c r="I1259" s="42"/>
      <c r="J1259" s="41"/>
      <c r="K1259" s="41"/>
      <c r="L1259" s="43"/>
    </row>
    <row r="1260" spans="2:12" outlineLevel="2">
      <c r="B1260" s="35">
        <f t="shared" si="37"/>
        <v>795</v>
      </c>
      <c r="C1260" s="41" t="s">
        <v>69</v>
      </c>
      <c r="D1260" s="41"/>
      <c r="E1260" s="41"/>
      <c r="F1260" s="41"/>
      <c r="G1260" s="41"/>
      <c r="H1260" s="41"/>
      <c r="I1260" s="42"/>
      <c r="J1260" s="41"/>
      <c r="K1260" s="41"/>
      <c r="L1260" s="43"/>
    </row>
    <row r="1261" spans="2:12" outlineLevel="2">
      <c r="B1261" s="35">
        <f t="shared" si="37"/>
        <v>796</v>
      </c>
      <c r="C1261" s="41" t="s">
        <v>69</v>
      </c>
      <c r="D1261" s="41"/>
      <c r="E1261" s="41"/>
      <c r="F1261" s="41"/>
      <c r="G1261" s="41"/>
      <c r="H1261" s="41"/>
      <c r="I1261" s="42"/>
      <c r="J1261" s="41"/>
      <c r="K1261" s="41"/>
      <c r="L1261" s="43"/>
    </row>
    <row r="1262" spans="2:12" outlineLevel="2">
      <c r="B1262" s="35">
        <f t="shared" si="37"/>
        <v>797</v>
      </c>
      <c r="C1262" s="41" t="s">
        <v>69</v>
      </c>
      <c r="D1262" s="41"/>
      <c r="E1262" s="41"/>
      <c r="F1262" s="41"/>
      <c r="G1262" s="41"/>
      <c r="H1262" s="41"/>
      <c r="I1262" s="42"/>
      <c r="J1262" s="41"/>
      <c r="K1262" s="41"/>
      <c r="L1262" s="43"/>
    </row>
    <row r="1263" spans="2:12" outlineLevel="2">
      <c r="B1263" s="35">
        <f t="shared" si="37"/>
        <v>798</v>
      </c>
      <c r="C1263" s="41" t="s">
        <v>69</v>
      </c>
      <c r="D1263" s="41"/>
      <c r="E1263" s="41"/>
      <c r="F1263" s="41"/>
      <c r="G1263" s="41"/>
      <c r="H1263" s="41"/>
      <c r="I1263" s="42"/>
      <c r="J1263" s="41"/>
      <c r="K1263" s="41"/>
      <c r="L1263" s="43"/>
    </row>
    <row r="1264" spans="2:12" outlineLevel="2">
      <c r="B1264" s="35">
        <f t="shared" si="37"/>
        <v>799</v>
      </c>
      <c r="C1264" s="41" t="s">
        <v>69</v>
      </c>
      <c r="D1264" s="41"/>
      <c r="E1264" s="41"/>
      <c r="F1264" s="41"/>
      <c r="G1264" s="41"/>
      <c r="H1264" s="41"/>
      <c r="I1264" s="42"/>
      <c r="J1264" s="41"/>
      <c r="K1264" s="41"/>
      <c r="L1264" s="43"/>
    </row>
    <row r="1265" spans="2:12" outlineLevel="2">
      <c r="B1265" s="35">
        <f t="shared" si="37"/>
        <v>800</v>
      </c>
      <c r="C1265" s="41" t="s">
        <v>69</v>
      </c>
      <c r="D1265" s="41"/>
      <c r="E1265" s="41"/>
      <c r="F1265" s="41"/>
      <c r="G1265" s="41"/>
      <c r="H1265" s="41"/>
      <c r="I1265" s="42"/>
      <c r="J1265" s="41"/>
      <c r="K1265" s="41"/>
      <c r="L1265" s="43"/>
    </row>
    <row r="1266" spans="2:12" outlineLevel="2">
      <c r="B1266" s="35">
        <f t="shared" si="37"/>
        <v>801</v>
      </c>
      <c r="C1266" s="41" t="s">
        <v>69</v>
      </c>
      <c r="D1266" s="41"/>
      <c r="E1266" s="41"/>
      <c r="F1266" s="41"/>
      <c r="G1266" s="41"/>
      <c r="H1266" s="41"/>
      <c r="I1266" s="42"/>
      <c r="J1266" s="41"/>
      <c r="K1266" s="41"/>
      <c r="L1266" s="43"/>
    </row>
    <row r="1267" spans="2:12" outlineLevel="2">
      <c r="B1267" s="35">
        <f t="shared" si="37"/>
        <v>802</v>
      </c>
      <c r="C1267" s="41" t="s">
        <v>69</v>
      </c>
      <c r="D1267" s="41"/>
      <c r="E1267" s="41"/>
      <c r="F1267" s="41"/>
      <c r="G1267" s="41"/>
      <c r="H1267" s="41"/>
      <c r="I1267" s="42"/>
      <c r="J1267" s="41"/>
      <c r="K1267" s="41"/>
      <c r="L1267" s="43"/>
    </row>
    <row r="1268" spans="2:12" outlineLevel="2">
      <c r="B1268" s="35">
        <f t="shared" si="37"/>
        <v>803</v>
      </c>
      <c r="C1268" s="41" t="s">
        <v>69</v>
      </c>
      <c r="D1268" s="41"/>
      <c r="E1268" s="41"/>
      <c r="F1268" s="41"/>
      <c r="G1268" s="41"/>
      <c r="H1268" s="41"/>
      <c r="I1268" s="42"/>
      <c r="J1268" s="41"/>
      <c r="K1268" s="41"/>
      <c r="L1268" s="43"/>
    </row>
    <row r="1269" spans="2:12" outlineLevel="2">
      <c r="B1269" s="35">
        <f t="shared" si="37"/>
        <v>804</v>
      </c>
      <c r="C1269" s="41" t="s">
        <v>69</v>
      </c>
      <c r="D1269" s="41"/>
      <c r="E1269" s="41"/>
      <c r="F1269" s="41"/>
      <c r="G1269" s="41"/>
      <c r="H1269" s="41"/>
      <c r="I1269" s="42"/>
      <c r="J1269" s="41"/>
      <c r="K1269" s="41"/>
      <c r="L1269" s="43"/>
    </row>
    <row r="1270" spans="2:12" outlineLevel="2">
      <c r="B1270" s="35">
        <f t="shared" si="37"/>
        <v>805</v>
      </c>
      <c r="C1270" s="41" t="s">
        <v>69</v>
      </c>
      <c r="D1270" s="41"/>
      <c r="E1270" s="41"/>
      <c r="F1270" s="41"/>
      <c r="G1270" s="41"/>
      <c r="H1270" s="41"/>
      <c r="I1270" s="42"/>
      <c r="J1270" s="41"/>
      <c r="K1270" s="41"/>
      <c r="L1270" s="43"/>
    </row>
    <row r="1271" spans="2:12" outlineLevel="2">
      <c r="B1271" s="35">
        <f t="shared" si="37"/>
        <v>806</v>
      </c>
      <c r="C1271" s="41" t="s">
        <v>69</v>
      </c>
      <c r="D1271" s="41"/>
      <c r="E1271" s="41"/>
      <c r="F1271" s="41"/>
      <c r="G1271" s="41"/>
      <c r="H1271" s="41"/>
      <c r="I1271" s="42"/>
      <c r="J1271" s="41"/>
      <c r="K1271" s="41"/>
      <c r="L1271" s="43"/>
    </row>
    <row r="1272" spans="2:12" outlineLevel="2">
      <c r="B1272" s="35">
        <f t="shared" si="37"/>
        <v>807</v>
      </c>
      <c r="C1272" s="41" t="s">
        <v>69</v>
      </c>
      <c r="D1272" s="41"/>
      <c r="E1272" s="41"/>
      <c r="F1272" s="41"/>
      <c r="G1272" s="41"/>
      <c r="H1272" s="41"/>
      <c r="I1272" s="42"/>
      <c r="J1272" s="41"/>
      <c r="K1272" s="41"/>
      <c r="L1272" s="43"/>
    </row>
    <row r="1273" spans="2:12" outlineLevel="2">
      <c r="B1273" s="35">
        <f t="shared" si="37"/>
        <v>808</v>
      </c>
      <c r="C1273" s="41" t="s">
        <v>69</v>
      </c>
      <c r="D1273" s="41"/>
      <c r="E1273" s="41"/>
      <c r="F1273" s="41"/>
      <c r="G1273" s="41"/>
      <c r="H1273" s="41"/>
      <c r="I1273" s="42"/>
      <c r="J1273" s="41"/>
      <c r="K1273" s="41"/>
      <c r="L1273" s="43"/>
    </row>
    <row r="1274" spans="2:12" outlineLevel="2">
      <c r="B1274" s="35">
        <f t="shared" si="37"/>
        <v>809</v>
      </c>
      <c r="C1274" s="41" t="s">
        <v>69</v>
      </c>
      <c r="D1274" s="41"/>
      <c r="E1274" s="41"/>
      <c r="F1274" s="41"/>
      <c r="G1274" s="41"/>
      <c r="H1274" s="41"/>
      <c r="I1274" s="42"/>
      <c r="J1274" s="41"/>
      <c r="K1274" s="41"/>
      <c r="L1274" s="43"/>
    </row>
    <row r="1275" spans="2:12" outlineLevel="2">
      <c r="B1275" s="35">
        <f t="shared" si="37"/>
        <v>810</v>
      </c>
      <c r="C1275" s="41" t="s">
        <v>69</v>
      </c>
      <c r="D1275" s="41"/>
      <c r="E1275" s="41"/>
      <c r="F1275" s="41"/>
      <c r="G1275" s="41"/>
      <c r="H1275" s="41"/>
      <c r="I1275" s="42"/>
      <c r="J1275" s="41"/>
      <c r="K1275" s="41"/>
      <c r="L1275" s="43"/>
    </row>
    <row r="1276" spans="2:12" outlineLevel="2">
      <c r="B1276" s="35">
        <f t="shared" si="37"/>
        <v>811</v>
      </c>
      <c r="C1276" s="41" t="s">
        <v>69</v>
      </c>
      <c r="D1276" s="41"/>
      <c r="E1276" s="41"/>
      <c r="F1276" s="41"/>
      <c r="G1276" s="41"/>
      <c r="H1276" s="41"/>
      <c r="I1276" s="42"/>
      <c r="J1276" s="41"/>
      <c r="K1276" s="41"/>
      <c r="L1276" s="43"/>
    </row>
    <row r="1277" spans="2:12" outlineLevel="2">
      <c r="B1277" s="35">
        <f t="shared" si="37"/>
        <v>812</v>
      </c>
      <c r="C1277" s="41" t="s">
        <v>69</v>
      </c>
      <c r="D1277" s="41"/>
      <c r="E1277" s="41"/>
      <c r="F1277" s="41"/>
      <c r="G1277" s="41"/>
      <c r="H1277" s="41"/>
      <c r="I1277" s="42"/>
      <c r="J1277" s="41"/>
      <c r="K1277" s="41"/>
      <c r="L1277" s="43"/>
    </row>
    <row r="1278" spans="2:12" outlineLevel="2">
      <c r="B1278" s="35">
        <f t="shared" si="37"/>
        <v>813</v>
      </c>
      <c r="C1278" s="41" t="s">
        <v>69</v>
      </c>
      <c r="D1278" s="41"/>
      <c r="E1278" s="41"/>
      <c r="F1278" s="41"/>
      <c r="G1278" s="41"/>
      <c r="H1278" s="41"/>
      <c r="I1278" s="42"/>
      <c r="J1278" s="41"/>
      <c r="K1278" s="41"/>
      <c r="L1278" s="43"/>
    </row>
    <row r="1279" spans="2:12" outlineLevel="2">
      <c r="B1279" s="35">
        <f t="shared" ref="B1279:B1342" si="38">(B1278+1)</f>
        <v>814</v>
      </c>
      <c r="C1279" s="41" t="s">
        <v>69</v>
      </c>
      <c r="D1279" s="41"/>
      <c r="E1279" s="41"/>
      <c r="F1279" s="41"/>
      <c r="G1279" s="41"/>
      <c r="H1279" s="41"/>
      <c r="I1279" s="42"/>
      <c r="J1279" s="41"/>
      <c r="K1279" s="41"/>
      <c r="L1279" s="43"/>
    </row>
    <row r="1280" spans="2:12" outlineLevel="2">
      <c r="B1280" s="35">
        <f t="shared" si="38"/>
        <v>815</v>
      </c>
      <c r="C1280" s="41" t="s">
        <v>69</v>
      </c>
      <c r="D1280" s="41"/>
      <c r="E1280" s="41"/>
      <c r="F1280" s="41"/>
      <c r="G1280" s="41"/>
      <c r="H1280" s="41"/>
      <c r="I1280" s="42"/>
      <c r="J1280" s="41"/>
      <c r="K1280" s="41"/>
      <c r="L1280" s="43"/>
    </row>
    <row r="1281" spans="2:12" outlineLevel="2">
      <c r="B1281" s="35">
        <f t="shared" si="38"/>
        <v>816</v>
      </c>
      <c r="C1281" s="41" t="s">
        <v>69</v>
      </c>
      <c r="D1281" s="41"/>
      <c r="E1281" s="41"/>
      <c r="F1281" s="41"/>
      <c r="G1281" s="41"/>
      <c r="H1281" s="41"/>
      <c r="I1281" s="42"/>
      <c r="J1281" s="41"/>
      <c r="K1281" s="41"/>
      <c r="L1281" s="43"/>
    </row>
    <row r="1282" spans="2:12" outlineLevel="2">
      <c r="B1282" s="35">
        <f t="shared" si="38"/>
        <v>817</v>
      </c>
      <c r="C1282" s="41" t="s">
        <v>69</v>
      </c>
      <c r="D1282" s="41"/>
      <c r="E1282" s="41"/>
      <c r="F1282" s="41"/>
      <c r="G1282" s="41"/>
      <c r="H1282" s="41"/>
      <c r="I1282" s="42"/>
      <c r="J1282" s="41"/>
      <c r="K1282" s="41"/>
      <c r="L1282" s="43"/>
    </row>
    <row r="1283" spans="2:12" outlineLevel="2">
      <c r="B1283" s="35">
        <f t="shared" si="38"/>
        <v>818</v>
      </c>
      <c r="C1283" s="41" t="s">
        <v>69</v>
      </c>
      <c r="D1283" s="41"/>
      <c r="E1283" s="41"/>
      <c r="F1283" s="41"/>
      <c r="G1283" s="41"/>
      <c r="H1283" s="41"/>
      <c r="I1283" s="42"/>
      <c r="J1283" s="41"/>
      <c r="K1283" s="41"/>
      <c r="L1283" s="43"/>
    </row>
    <row r="1284" spans="2:12" outlineLevel="2">
      <c r="B1284" s="35">
        <f t="shared" si="38"/>
        <v>819</v>
      </c>
      <c r="C1284" s="41" t="s">
        <v>69</v>
      </c>
      <c r="D1284" s="41"/>
      <c r="E1284" s="41"/>
      <c r="F1284" s="41"/>
      <c r="G1284" s="41"/>
      <c r="H1284" s="41"/>
      <c r="I1284" s="42"/>
      <c r="J1284" s="41"/>
      <c r="K1284" s="41"/>
      <c r="L1284" s="43"/>
    </row>
    <row r="1285" spans="2:12" outlineLevel="2">
      <c r="B1285" s="35">
        <f t="shared" si="38"/>
        <v>820</v>
      </c>
      <c r="C1285" s="41" t="s">
        <v>69</v>
      </c>
      <c r="D1285" s="41"/>
      <c r="E1285" s="41"/>
      <c r="F1285" s="41"/>
      <c r="G1285" s="41"/>
      <c r="H1285" s="41"/>
      <c r="I1285" s="42"/>
      <c r="J1285" s="41"/>
      <c r="K1285" s="41"/>
      <c r="L1285" s="43"/>
    </row>
    <row r="1286" spans="2:12" outlineLevel="2">
      <c r="B1286" s="35">
        <f t="shared" si="38"/>
        <v>821</v>
      </c>
      <c r="C1286" s="41" t="s">
        <v>69</v>
      </c>
      <c r="D1286" s="41"/>
      <c r="E1286" s="41"/>
      <c r="F1286" s="41"/>
      <c r="G1286" s="41"/>
      <c r="H1286" s="41"/>
      <c r="I1286" s="42"/>
      <c r="J1286" s="41"/>
      <c r="K1286" s="41"/>
      <c r="L1286" s="43"/>
    </row>
    <row r="1287" spans="2:12" outlineLevel="2">
      <c r="B1287" s="35">
        <f t="shared" si="38"/>
        <v>822</v>
      </c>
      <c r="C1287" s="41" t="s">
        <v>69</v>
      </c>
      <c r="D1287" s="41"/>
      <c r="E1287" s="41"/>
      <c r="F1287" s="41"/>
      <c r="G1287" s="41"/>
      <c r="H1287" s="41"/>
      <c r="I1287" s="42"/>
      <c r="J1287" s="41"/>
      <c r="K1287" s="41"/>
      <c r="L1287" s="43"/>
    </row>
    <row r="1288" spans="2:12" outlineLevel="2">
      <c r="B1288" s="35">
        <f t="shared" si="38"/>
        <v>823</v>
      </c>
      <c r="C1288" s="41" t="s">
        <v>69</v>
      </c>
      <c r="D1288" s="41"/>
      <c r="E1288" s="41"/>
      <c r="F1288" s="41"/>
      <c r="G1288" s="41"/>
      <c r="H1288" s="41"/>
      <c r="I1288" s="42"/>
      <c r="J1288" s="41"/>
      <c r="K1288" s="41"/>
      <c r="L1288" s="43"/>
    </row>
    <row r="1289" spans="2:12" outlineLevel="2">
      <c r="B1289" s="35">
        <f t="shared" si="38"/>
        <v>824</v>
      </c>
      <c r="C1289" s="41" t="s">
        <v>69</v>
      </c>
      <c r="D1289" s="41"/>
      <c r="E1289" s="41"/>
      <c r="F1289" s="41"/>
      <c r="G1289" s="41"/>
      <c r="H1289" s="41"/>
      <c r="I1289" s="42"/>
      <c r="J1289" s="41"/>
      <c r="K1289" s="41"/>
      <c r="L1289" s="43"/>
    </row>
    <row r="1290" spans="2:12" outlineLevel="2">
      <c r="B1290" s="35">
        <f t="shared" si="38"/>
        <v>825</v>
      </c>
      <c r="C1290" s="41" t="s">
        <v>69</v>
      </c>
      <c r="D1290" s="41"/>
      <c r="E1290" s="41"/>
      <c r="F1290" s="41"/>
      <c r="G1290" s="41"/>
      <c r="H1290" s="41"/>
      <c r="I1290" s="42"/>
      <c r="J1290" s="41"/>
      <c r="K1290" s="41"/>
      <c r="L1290" s="43"/>
    </row>
    <row r="1291" spans="2:12" outlineLevel="2">
      <c r="B1291" s="35">
        <f t="shared" si="38"/>
        <v>826</v>
      </c>
      <c r="C1291" s="41" t="s">
        <v>69</v>
      </c>
      <c r="D1291" s="41"/>
      <c r="E1291" s="41"/>
      <c r="F1291" s="41"/>
      <c r="G1291" s="41"/>
      <c r="H1291" s="41"/>
      <c r="I1291" s="42"/>
      <c r="J1291" s="41"/>
      <c r="K1291" s="41"/>
      <c r="L1291" s="43"/>
    </row>
    <row r="1292" spans="2:12" outlineLevel="2">
      <c r="B1292" s="35">
        <f t="shared" si="38"/>
        <v>827</v>
      </c>
      <c r="C1292" s="41" t="s">
        <v>69</v>
      </c>
      <c r="D1292" s="41"/>
      <c r="E1292" s="41"/>
      <c r="F1292" s="41"/>
      <c r="G1292" s="41"/>
      <c r="H1292" s="41"/>
      <c r="I1292" s="42"/>
      <c r="J1292" s="41"/>
      <c r="K1292" s="41"/>
      <c r="L1292" s="43"/>
    </row>
    <row r="1293" spans="2:12" outlineLevel="2">
      <c r="B1293" s="35">
        <f t="shared" si="38"/>
        <v>828</v>
      </c>
      <c r="C1293" s="41" t="s">
        <v>69</v>
      </c>
      <c r="D1293" s="41"/>
      <c r="E1293" s="41"/>
      <c r="F1293" s="41"/>
      <c r="G1293" s="41"/>
      <c r="H1293" s="41"/>
      <c r="I1293" s="42"/>
      <c r="J1293" s="41"/>
      <c r="K1293" s="41"/>
      <c r="L1293" s="43"/>
    </row>
    <row r="1294" spans="2:12" outlineLevel="2">
      <c r="B1294" s="35">
        <f t="shared" si="38"/>
        <v>829</v>
      </c>
      <c r="C1294" s="41" t="s">
        <v>69</v>
      </c>
      <c r="D1294" s="41"/>
      <c r="E1294" s="41"/>
      <c r="F1294" s="41"/>
      <c r="G1294" s="41"/>
      <c r="H1294" s="41"/>
      <c r="I1294" s="42"/>
      <c r="J1294" s="41"/>
      <c r="K1294" s="41"/>
      <c r="L1294" s="43"/>
    </row>
    <row r="1295" spans="2:12" outlineLevel="2">
      <c r="B1295" s="35">
        <f t="shared" si="38"/>
        <v>830</v>
      </c>
      <c r="C1295" s="41" t="s">
        <v>69</v>
      </c>
      <c r="D1295" s="41"/>
      <c r="E1295" s="41"/>
      <c r="F1295" s="41"/>
      <c r="G1295" s="41"/>
      <c r="H1295" s="41"/>
      <c r="I1295" s="42"/>
      <c r="J1295" s="41"/>
      <c r="K1295" s="41"/>
      <c r="L1295" s="43"/>
    </row>
    <row r="1296" spans="2:12" outlineLevel="2">
      <c r="B1296" s="35">
        <f t="shared" si="38"/>
        <v>831</v>
      </c>
      <c r="C1296" s="41" t="s">
        <v>69</v>
      </c>
      <c r="D1296" s="41"/>
      <c r="E1296" s="41"/>
      <c r="F1296" s="41"/>
      <c r="G1296" s="41"/>
      <c r="H1296" s="41"/>
      <c r="I1296" s="42"/>
      <c r="J1296" s="41"/>
      <c r="K1296" s="41"/>
      <c r="L1296" s="43"/>
    </row>
    <row r="1297" spans="2:12" outlineLevel="2">
      <c r="B1297" s="35">
        <f t="shared" si="38"/>
        <v>832</v>
      </c>
      <c r="C1297" s="41" t="s">
        <v>69</v>
      </c>
      <c r="D1297" s="41"/>
      <c r="E1297" s="41"/>
      <c r="F1297" s="41"/>
      <c r="G1297" s="41"/>
      <c r="H1297" s="41"/>
      <c r="I1297" s="42"/>
      <c r="J1297" s="41"/>
      <c r="K1297" s="41"/>
      <c r="L1297" s="43"/>
    </row>
    <row r="1298" spans="2:12" outlineLevel="2">
      <c r="B1298" s="35">
        <f t="shared" si="38"/>
        <v>833</v>
      </c>
      <c r="C1298" s="41" t="s">
        <v>69</v>
      </c>
      <c r="D1298" s="41"/>
      <c r="E1298" s="41"/>
      <c r="F1298" s="41"/>
      <c r="G1298" s="41"/>
      <c r="H1298" s="41"/>
      <c r="I1298" s="42"/>
      <c r="J1298" s="41"/>
      <c r="K1298" s="41"/>
      <c r="L1298" s="43"/>
    </row>
    <row r="1299" spans="2:12" outlineLevel="2">
      <c r="B1299" s="35">
        <f t="shared" si="38"/>
        <v>834</v>
      </c>
      <c r="C1299" s="41" t="s">
        <v>69</v>
      </c>
      <c r="D1299" s="41"/>
      <c r="E1299" s="41"/>
      <c r="F1299" s="41"/>
      <c r="G1299" s="41"/>
      <c r="H1299" s="41"/>
      <c r="I1299" s="42"/>
      <c r="J1299" s="41"/>
      <c r="K1299" s="41"/>
      <c r="L1299" s="43"/>
    </row>
    <row r="1300" spans="2:12" outlineLevel="2">
      <c r="B1300" s="35">
        <f t="shared" si="38"/>
        <v>835</v>
      </c>
      <c r="C1300" s="41" t="s">
        <v>69</v>
      </c>
      <c r="D1300" s="41"/>
      <c r="E1300" s="41"/>
      <c r="F1300" s="41"/>
      <c r="G1300" s="41"/>
      <c r="H1300" s="41"/>
      <c r="I1300" s="42"/>
      <c r="J1300" s="41"/>
      <c r="K1300" s="41"/>
      <c r="L1300" s="43"/>
    </row>
    <row r="1301" spans="2:12" outlineLevel="2">
      <c r="B1301" s="35">
        <f t="shared" si="38"/>
        <v>836</v>
      </c>
      <c r="C1301" s="41" t="s">
        <v>69</v>
      </c>
      <c r="D1301" s="41"/>
      <c r="E1301" s="41"/>
      <c r="F1301" s="41"/>
      <c r="G1301" s="41"/>
      <c r="H1301" s="41"/>
      <c r="I1301" s="42"/>
      <c r="J1301" s="41"/>
      <c r="K1301" s="41"/>
      <c r="L1301" s="43"/>
    </row>
    <row r="1302" spans="2:12" outlineLevel="2">
      <c r="B1302" s="35">
        <f t="shared" si="38"/>
        <v>837</v>
      </c>
      <c r="C1302" s="41" t="s">
        <v>69</v>
      </c>
      <c r="D1302" s="41"/>
      <c r="E1302" s="41"/>
      <c r="F1302" s="41"/>
      <c r="G1302" s="41"/>
      <c r="H1302" s="41"/>
      <c r="I1302" s="42"/>
      <c r="J1302" s="41"/>
      <c r="K1302" s="41"/>
      <c r="L1302" s="43"/>
    </row>
    <row r="1303" spans="2:12" outlineLevel="2">
      <c r="B1303" s="35">
        <f t="shared" si="38"/>
        <v>838</v>
      </c>
      <c r="C1303" s="41" t="s">
        <v>69</v>
      </c>
      <c r="D1303" s="41"/>
      <c r="E1303" s="41"/>
      <c r="F1303" s="41"/>
      <c r="G1303" s="41"/>
      <c r="H1303" s="41"/>
      <c r="I1303" s="42"/>
      <c r="J1303" s="41"/>
      <c r="K1303" s="41"/>
      <c r="L1303" s="43"/>
    </row>
    <row r="1304" spans="2:12" outlineLevel="2">
      <c r="B1304" s="35">
        <f t="shared" si="38"/>
        <v>839</v>
      </c>
      <c r="C1304" s="41" t="s">
        <v>69</v>
      </c>
      <c r="D1304" s="41"/>
      <c r="E1304" s="41"/>
      <c r="F1304" s="41"/>
      <c r="G1304" s="41"/>
      <c r="H1304" s="41"/>
      <c r="I1304" s="42"/>
      <c r="J1304" s="41"/>
      <c r="K1304" s="41"/>
      <c r="L1304" s="43"/>
    </row>
    <row r="1305" spans="2:12" outlineLevel="2">
      <c r="B1305" s="35">
        <f t="shared" si="38"/>
        <v>840</v>
      </c>
      <c r="C1305" s="41" t="s">
        <v>69</v>
      </c>
      <c r="D1305" s="41"/>
      <c r="E1305" s="41"/>
      <c r="F1305" s="41"/>
      <c r="G1305" s="41"/>
      <c r="H1305" s="41"/>
      <c r="I1305" s="42"/>
      <c r="J1305" s="41"/>
      <c r="K1305" s="41"/>
      <c r="L1305" s="43"/>
    </row>
    <row r="1306" spans="2:12" outlineLevel="2">
      <c r="B1306" s="35">
        <f t="shared" si="38"/>
        <v>841</v>
      </c>
      <c r="C1306" s="41" t="s">
        <v>69</v>
      </c>
      <c r="D1306" s="41"/>
      <c r="E1306" s="41"/>
      <c r="F1306" s="41"/>
      <c r="G1306" s="41"/>
      <c r="H1306" s="41"/>
      <c r="I1306" s="42"/>
      <c r="J1306" s="41"/>
      <c r="K1306" s="41"/>
      <c r="L1306" s="43"/>
    </row>
    <row r="1307" spans="2:12" outlineLevel="2">
      <c r="B1307" s="35">
        <f t="shared" si="38"/>
        <v>842</v>
      </c>
      <c r="C1307" s="41" t="s">
        <v>69</v>
      </c>
      <c r="D1307" s="41"/>
      <c r="E1307" s="41"/>
      <c r="F1307" s="41"/>
      <c r="G1307" s="41"/>
      <c r="H1307" s="41"/>
      <c r="I1307" s="42"/>
      <c r="J1307" s="41"/>
      <c r="K1307" s="41"/>
      <c r="L1307" s="43"/>
    </row>
    <row r="1308" spans="2:12" outlineLevel="2">
      <c r="B1308" s="35">
        <f t="shared" si="38"/>
        <v>843</v>
      </c>
      <c r="C1308" s="41" t="s">
        <v>69</v>
      </c>
      <c r="D1308" s="41"/>
      <c r="E1308" s="41"/>
      <c r="F1308" s="41"/>
      <c r="G1308" s="41"/>
      <c r="H1308" s="41"/>
      <c r="I1308" s="42"/>
      <c r="J1308" s="41"/>
      <c r="K1308" s="41"/>
      <c r="L1308" s="43"/>
    </row>
    <row r="1309" spans="2:12" outlineLevel="2">
      <c r="B1309" s="35">
        <f t="shared" si="38"/>
        <v>844</v>
      </c>
      <c r="C1309" s="41" t="s">
        <v>69</v>
      </c>
      <c r="D1309" s="41"/>
      <c r="E1309" s="41"/>
      <c r="F1309" s="41"/>
      <c r="G1309" s="41"/>
      <c r="H1309" s="41"/>
      <c r="I1309" s="42"/>
      <c r="J1309" s="41"/>
      <c r="K1309" s="41"/>
      <c r="L1309" s="43"/>
    </row>
    <row r="1310" spans="2:12" outlineLevel="2">
      <c r="B1310" s="35">
        <f t="shared" si="38"/>
        <v>845</v>
      </c>
      <c r="C1310" s="41" t="s">
        <v>69</v>
      </c>
      <c r="D1310" s="41"/>
      <c r="E1310" s="41"/>
      <c r="F1310" s="41"/>
      <c r="G1310" s="41"/>
      <c r="H1310" s="41"/>
      <c r="I1310" s="42"/>
      <c r="J1310" s="41"/>
      <c r="K1310" s="41"/>
      <c r="L1310" s="43"/>
    </row>
    <row r="1311" spans="2:12" outlineLevel="2">
      <c r="B1311" s="35">
        <f t="shared" si="38"/>
        <v>846</v>
      </c>
      <c r="C1311" s="41" t="s">
        <v>69</v>
      </c>
      <c r="D1311" s="41"/>
      <c r="E1311" s="41"/>
      <c r="F1311" s="41"/>
      <c r="G1311" s="41"/>
      <c r="H1311" s="41"/>
      <c r="I1311" s="42"/>
      <c r="J1311" s="41"/>
      <c r="K1311" s="41"/>
      <c r="L1311" s="43"/>
    </row>
    <row r="1312" spans="2:12" outlineLevel="2">
      <c r="B1312" s="35">
        <f t="shared" si="38"/>
        <v>847</v>
      </c>
      <c r="C1312" s="41" t="s">
        <v>69</v>
      </c>
      <c r="D1312" s="41"/>
      <c r="E1312" s="41"/>
      <c r="F1312" s="41"/>
      <c r="G1312" s="41"/>
      <c r="H1312" s="41"/>
      <c r="I1312" s="42"/>
      <c r="J1312" s="41"/>
      <c r="K1312" s="41"/>
      <c r="L1312" s="43"/>
    </row>
    <row r="1313" spans="2:12" outlineLevel="2">
      <c r="B1313" s="35">
        <f t="shared" si="38"/>
        <v>848</v>
      </c>
      <c r="C1313" s="41" t="s">
        <v>69</v>
      </c>
      <c r="D1313" s="41"/>
      <c r="E1313" s="41"/>
      <c r="F1313" s="41"/>
      <c r="G1313" s="41"/>
      <c r="H1313" s="41"/>
      <c r="I1313" s="42"/>
      <c r="J1313" s="41"/>
      <c r="K1313" s="41"/>
      <c r="L1313" s="43"/>
    </row>
    <row r="1314" spans="2:12" outlineLevel="2">
      <c r="B1314" s="35">
        <f t="shared" si="38"/>
        <v>849</v>
      </c>
      <c r="C1314" s="41" t="s">
        <v>69</v>
      </c>
      <c r="D1314" s="41"/>
      <c r="E1314" s="41"/>
      <c r="F1314" s="41"/>
      <c r="G1314" s="41"/>
      <c r="H1314" s="41"/>
      <c r="I1314" s="42"/>
      <c r="J1314" s="41"/>
      <c r="K1314" s="41"/>
      <c r="L1314" s="43"/>
    </row>
    <row r="1315" spans="2:12" outlineLevel="2">
      <c r="B1315" s="35">
        <f t="shared" si="38"/>
        <v>850</v>
      </c>
      <c r="C1315" s="41" t="s">
        <v>69</v>
      </c>
      <c r="D1315" s="41"/>
      <c r="E1315" s="41"/>
      <c r="F1315" s="41"/>
      <c r="G1315" s="41"/>
      <c r="H1315" s="41"/>
      <c r="I1315" s="42"/>
      <c r="J1315" s="41"/>
      <c r="K1315" s="41"/>
      <c r="L1315" s="43"/>
    </row>
    <row r="1316" spans="2:12" outlineLevel="2">
      <c r="B1316" s="35">
        <f t="shared" si="38"/>
        <v>851</v>
      </c>
      <c r="C1316" s="41" t="s">
        <v>69</v>
      </c>
      <c r="D1316" s="41"/>
      <c r="E1316" s="41"/>
      <c r="F1316" s="41"/>
      <c r="G1316" s="41"/>
      <c r="H1316" s="41"/>
      <c r="I1316" s="42"/>
      <c r="J1316" s="41"/>
      <c r="K1316" s="41"/>
      <c r="L1316" s="43"/>
    </row>
    <row r="1317" spans="2:12" outlineLevel="2">
      <c r="B1317" s="35">
        <f t="shared" si="38"/>
        <v>852</v>
      </c>
      <c r="C1317" s="41" t="s">
        <v>69</v>
      </c>
      <c r="D1317" s="41"/>
      <c r="E1317" s="41"/>
      <c r="F1317" s="41"/>
      <c r="G1317" s="41"/>
      <c r="H1317" s="41"/>
      <c r="I1317" s="42"/>
      <c r="J1317" s="41"/>
      <c r="K1317" s="41"/>
      <c r="L1317" s="43"/>
    </row>
    <row r="1318" spans="2:12" outlineLevel="2">
      <c r="B1318" s="35">
        <f t="shared" si="38"/>
        <v>853</v>
      </c>
      <c r="C1318" s="41" t="s">
        <v>69</v>
      </c>
      <c r="D1318" s="41"/>
      <c r="E1318" s="41"/>
      <c r="F1318" s="41"/>
      <c r="G1318" s="41"/>
      <c r="H1318" s="41"/>
      <c r="I1318" s="42"/>
      <c r="J1318" s="41"/>
      <c r="K1318" s="41"/>
      <c r="L1318" s="43"/>
    </row>
    <row r="1319" spans="2:12" outlineLevel="2">
      <c r="B1319" s="35">
        <f t="shared" si="38"/>
        <v>854</v>
      </c>
      <c r="C1319" s="41" t="s">
        <v>69</v>
      </c>
      <c r="D1319" s="41"/>
      <c r="E1319" s="41"/>
      <c r="F1319" s="41"/>
      <c r="G1319" s="41"/>
      <c r="H1319" s="41"/>
      <c r="I1319" s="42"/>
      <c r="J1319" s="41"/>
      <c r="K1319" s="41"/>
      <c r="L1319" s="43"/>
    </row>
    <row r="1320" spans="2:12" outlineLevel="2">
      <c r="B1320" s="35">
        <f t="shared" si="38"/>
        <v>855</v>
      </c>
      <c r="C1320" s="41" t="s">
        <v>69</v>
      </c>
      <c r="D1320" s="41"/>
      <c r="E1320" s="41"/>
      <c r="F1320" s="41"/>
      <c r="G1320" s="41"/>
      <c r="H1320" s="41"/>
      <c r="I1320" s="42"/>
      <c r="J1320" s="41"/>
      <c r="K1320" s="41"/>
      <c r="L1320" s="43"/>
    </row>
    <row r="1321" spans="2:12" outlineLevel="2">
      <c r="B1321" s="35">
        <f t="shared" si="38"/>
        <v>856</v>
      </c>
      <c r="C1321" s="41" t="s">
        <v>69</v>
      </c>
      <c r="D1321" s="41"/>
      <c r="E1321" s="41"/>
      <c r="F1321" s="41"/>
      <c r="G1321" s="41"/>
      <c r="H1321" s="41"/>
      <c r="I1321" s="42"/>
      <c r="J1321" s="41"/>
      <c r="K1321" s="41"/>
      <c r="L1321" s="43"/>
    </row>
    <row r="1322" spans="2:12" outlineLevel="2">
      <c r="B1322" s="35">
        <f t="shared" si="38"/>
        <v>857</v>
      </c>
      <c r="C1322" s="41" t="s">
        <v>69</v>
      </c>
      <c r="D1322" s="41"/>
      <c r="E1322" s="41"/>
      <c r="F1322" s="41"/>
      <c r="G1322" s="41"/>
      <c r="H1322" s="41"/>
      <c r="I1322" s="42"/>
      <c r="J1322" s="41"/>
      <c r="K1322" s="41"/>
      <c r="L1322" s="43"/>
    </row>
    <row r="1323" spans="2:12" outlineLevel="2">
      <c r="B1323" s="35">
        <f t="shared" si="38"/>
        <v>858</v>
      </c>
      <c r="C1323" s="41" t="s">
        <v>69</v>
      </c>
      <c r="D1323" s="41"/>
      <c r="E1323" s="41"/>
      <c r="F1323" s="41"/>
      <c r="G1323" s="41"/>
      <c r="H1323" s="41"/>
      <c r="I1323" s="42"/>
      <c r="J1323" s="41"/>
      <c r="K1323" s="41"/>
      <c r="L1323" s="43"/>
    </row>
    <row r="1324" spans="2:12" outlineLevel="2">
      <c r="B1324" s="35">
        <f t="shared" si="38"/>
        <v>859</v>
      </c>
      <c r="C1324" s="41" t="s">
        <v>69</v>
      </c>
      <c r="D1324" s="41"/>
      <c r="E1324" s="41"/>
      <c r="F1324" s="41"/>
      <c r="G1324" s="41"/>
      <c r="H1324" s="41"/>
      <c r="I1324" s="42"/>
      <c r="J1324" s="41"/>
      <c r="K1324" s="41"/>
      <c r="L1324" s="43"/>
    </row>
    <row r="1325" spans="2:12" outlineLevel="2">
      <c r="B1325" s="35">
        <f t="shared" si="38"/>
        <v>860</v>
      </c>
      <c r="C1325" s="41" t="s">
        <v>69</v>
      </c>
      <c r="D1325" s="41"/>
      <c r="E1325" s="41"/>
      <c r="F1325" s="41"/>
      <c r="G1325" s="41"/>
      <c r="H1325" s="41"/>
      <c r="I1325" s="42"/>
      <c r="J1325" s="41"/>
      <c r="K1325" s="41"/>
      <c r="L1325" s="43"/>
    </row>
    <row r="1326" spans="2:12" outlineLevel="2">
      <c r="B1326" s="35">
        <f t="shared" si="38"/>
        <v>861</v>
      </c>
      <c r="C1326" s="41" t="s">
        <v>69</v>
      </c>
      <c r="D1326" s="41"/>
      <c r="E1326" s="41"/>
      <c r="F1326" s="41"/>
      <c r="G1326" s="41"/>
      <c r="H1326" s="41"/>
      <c r="I1326" s="42"/>
      <c r="J1326" s="41"/>
      <c r="K1326" s="41"/>
      <c r="L1326" s="43"/>
    </row>
    <row r="1327" spans="2:12" outlineLevel="2">
      <c r="B1327" s="35">
        <f t="shared" si="38"/>
        <v>862</v>
      </c>
      <c r="C1327" s="41" t="s">
        <v>69</v>
      </c>
      <c r="D1327" s="41"/>
      <c r="E1327" s="41"/>
      <c r="F1327" s="41"/>
      <c r="G1327" s="41"/>
      <c r="H1327" s="41"/>
      <c r="I1327" s="42"/>
      <c r="J1327" s="41"/>
      <c r="K1327" s="41"/>
      <c r="L1327" s="43"/>
    </row>
    <row r="1328" spans="2:12" outlineLevel="2">
      <c r="B1328" s="35">
        <f t="shared" si="38"/>
        <v>863</v>
      </c>
      <c r="C1328" s="41" t="s">
        <v>69</v>
      </c>
      <c r="D1328" s="41"/>
      <c r="E1328" s="41"/>
      <c r="F1328" s="41"/>
      <c r="G1328" s="41"/>
      <c r="H1328" s="41"/>
      <c r="I1328" s="42"/>
      <c r="J1328" s="41"/>
      <c r="K1328" s="41"/>
      <c r="L1328" s="43"/>
    </row>
    <row r="1329" spans="2:12" outlineLevel="2">
      <c r="B1329" s="35">
        <f t="shared" si="38"/>
        <v>864</v>
      </c>
      <c r="C1329" s="41" t="s">
        <v>69</v>
      </c>
      <c r="D1329" s="41"/>
      <c r="E1329" s="41"/>
      <c r="F1329" s="41"/>
      <c r="G1329" s="41"/>
      <c r="H1329" s="41"/>
      <c r="I1329" s="42"/>
      <c r="J1329" s="41"/>
      <c r="K1329" s="41"/>
      <c r="L1329" s="43"/>
    </row>
    <row r="1330" spans="2:12" outlineLevel="2">
      <c r="B1330" s="35">
        <f t="shared" si="38"/>
        <v>865</v>
      </c>
      <c r="C1330" s="41" t="s">
        <v>69</v>
      </c>
      <c r="D1330" s="41"/>
      <c r="E1330" s="41"/>
      <c r="F1330" s="41"/>
      <c r="G1330" s="41"/>
      <c r="H1330" s="41"/>
      <c r="I1330" s="42"/>
      <c r="J1330" s="41"/>
      <c r="K1330" s="41"/>
      <c r="L1330" s="43"/>
    </row>
    <row r="1331" spans="2:12" outlineLevel="2">
      <c r="B1331" s="35">
        <f t="shared" si="38"/>
        <v>866</v>
      </c>
      <c r="C1331" s="41" t="s">
        <v>69</v>
      </c>
      <c r="D1331" s="41"/>
      <c r="E1331" s="41"/>
      <c r="F1331" s="41"/>
      <c r="G1331" s="41"/>
      <c r="H1331" s="41"/>
      <c r="I1331" s="42"/>
      <c r="J1331" s="41"/>
      <c r="K1331" s="41"/>
      <c r="L1331" s="43"/>
    </row>
    <row r="1332" spans="2:12" outlineLevel="2">
      <c r="B1332" s="35">
        <f t="shared" si="38"/>
        <v>867</v>
      </c>
      <c r="C1332" s="41" t="s">
        <v>69</v>
      </c>
      <c r="D1332" s="41"/>
      <c r="E1332" s="41"/>
      <c r="F1332" s="41"/>
      <c r="G1332" s="41"/>
      <c r="H1332" s="41"/>
      <c r="I1332" s="42"/>
      <c r="J1332" s="41"/>
      <c r="K1332" s="41"/>
      <c r="L1332" s="43"/>
    </row>
    <row r="1333" spans="2:12" outlineLevel="2">
      <c r="B1333" s="35">
        <f t="shared" si="38"/>
        <v>868</v>
      </c>
      <c r="C1333" s="41" t="s">
        <v>69</v>
      </c>
      <c r="D1333" s="41"/>
      <c r="E1333" s="41"/>
      <c r="F1333" s="41"/>
      <c r="G1333" s="41"/>
      <c r="H1333" s="41"/>
      <c r="I1333" s="42"/>
      <c r="J1333" s="41"/>
      <c r="K1333" s="41"/>
      <c r="L1333" s="43"/>
    </row>
    <row r="1334" spans="2:12" outlineLevel="2">
      <c r="B1334" s="35">
        <f t="shared" si="38"/>
        <v>869</v>
      </c>
      <c r="C1334" s="41" t="s">
        <v>69</v>
      </c>
      <c r="D1334" s="41"/>
      <c r="E1334" s="41"/>
      <c r="F1334" s="41"/>
      <c r="G1334" s="41"/>
      <c r="H1334" s="41"/>
      <c r="I1334" s="42"/>
      <c r="J1334" s="41"/>
      <c r="K1334" s="41"/>
      <c r="L1334" s="43"/>
    </row>
    <row r="1335" spans="2:12" outlineLevel="2">
      <c r="B1335" s="35">
        <f t="shared" si="38"/>
        <v>870</v>
      </c>
      <c r="C1335" s="41" t="s">
        <v>69</v>
      </c>
      <c r="D1335" s="41"/>
      <c r="E1335" s="41"/>
      <c r="F1335" s="41"/>
      <c r="G1335" s="41"/>
      <c r="H1335" s="41"/>
      <c r="I1335" s="42"/>
      <c r="J1335" s="41"/>
      <c r="K1335" s="41"/>
      <c r="L1335" s="43"/>
    </row>
    <row r="1336" spans="2:12" outlineLevel="2">
      <c r="B1336" s="35">
        <f t="shared" si="38"/>
        <v>871</v>
      </c>
      <c r="C1336" s="41" t="s">
        <v>69</v>
      </c>
      <c r="D1336" s="41"/>
      <c r="E1336" s="41"/>
      <c r="F1336" s="41"/>
      <c r="G1336" s="41"/>
      <c r="H1336" s="41"/>
      <c r="I1336" s="42"/>
      <c r="J1336" s="41"/>
      <c r="K1336" s="41"/>
      <c r="L1336" s="43"/>
    </row>
    <row r="1337" spans="2:12" outlineLevel="2">
      <c r="B1337" s="35">
        <f t="shared" si="38"/>
        <v>872</v>
      </c>
      <c r="C1337" s="41" t="s">
        <v>69</v>
      </c>
      <c r="D1337" s="41"/>
      <c r="E1337" s="41"/>
      <c r="F1337" s="41"/>
      <c r="G1337" s="41"/>
      <c r="H1337" s="41"/>
      <c r="I1337" s="42"/>
      <c r="J1337" s="41"/>
      <c r="K1337" s="41"/>
      <c r="L1337" s="43"/>
    </row>
    <row r="1338" spans="2:12" outlineLevel="2">
      <c r="B1338" s="35">
        <f t="shared" si="38"/>
        <v>873</v>
      </c>
      <c r="C1338" s="41" t="s">
        <v>69</v>
      </c>
      <c r="D1338" s="41"/>
      <c r="E1338" s="41"/>
      <c r="F1338" s="41"/>
      <c r="G1338" s="41"/>
      <c r="H1338" s="41"/>
      <c r="I1338" s="42"/>
      <c r="J1338" s="41"/>
      <c r="K1338" s="41"/>
      <c r="L1338" s="43"/>
    </row>
    <row r="1339" spans="2:12" outlineLevel="2">
      <c r="B1339" s="35">
        <f t="shared" si="38"/>
        <v>874</v>
      </c>
      <c r="C1339" s="41" t="s">
        <v>69</v>
      </c>
      <c r="D1339" s="41"/>
      <c r="E1339" s="41"/>
      <c r="F1339" s="41"/>
      <c r="G1339" s="41"/>
      <c r="H1339" s="41"/>
      <c r="I1339" s="42"/>
      <c r="J1339" s="41"/>
      <c r="K1339" s="41"/>
      <c r="L1339" s="43"/>
    </row>
    <row r="1340" spans="2:12" outlineLevel="2">
      <c r="B1340" s="35">
        <f t="shared" si="38"/>
        <v>875</v>
      </c>
      <c r="C1340" s="41" t="s">
        <v>69</v>
      </c>
      <c r="D1340" s="41"/>
      <c r="E1340" s="41"/>
      <c r="F1340" s="41"/>
      <c r="G1340" s="41"/>
      <c r="H1340" s="41"/>
      <c r="I1340" s="42"/>
      <c r="J1340" s="41"/>
      <c r="K1340" s="41"/>
      <c r="L1340" s="43"/>
    </row>
    <row r="1341" spans="2:12" outlineLevel="2">
      <c r="B1341" s="35">
        <f t="shared" si="38"/>
        <v>876</v>
      </c>
      <c r="C1341" s="41" t="s">
        <v>69</v>
      </c>
      <c r="D1341" s="41"/>
      <c r="E1341" s="41"/>
      <c r="F1341" s="41"/>
      <c r="G1341" s="41"/>
      <c r="H1341" s="41"/>
      <c r="I1341" s="42"/>
      <c r="J1341" s="41"/>
      <c r="K1341" s="41"/>
      <c r="L1341" s="43"/>
    </row>
    <row r="1342" spans="2:12" outlineLevel="2">
      <c r="B1342" s="35">
        <f t="shared" si="38"/>
        <v>877</v>
      </c>
      <c r="C1342" s="41" t="s">
        <v>69</v>
      </c>
      <c r="D1342" s="41"/>
      <c r="E1342" s="41"/>
      <c r="F1342" s="41"/>
      <c r="G1342" s="41"/>
      <c r="H1342" s="41"/>
      <c r="I1342" s="42"/>
      <c r="J1342" s="41"/>
      <c r="K1342" s="41"/>
      <c r="L1342" s="43"/>
    </row>
    <row r="1343" spans="2:12" outlineLevel="2">
      <c r="B1343" s="35">
        <f t="shared" ref="B1343:B1362" si="39">(B1342+1)</f>
        <v>878</v>
      </c>
      <c r="C1343" s="41" t="s">
        <v>69</v>
      </c>
      <c r="D1343" s="41"/>
      <c r="E1343" s="41"/>
      <c r="F1343" s="41"/>
      <c r="G1343" s="41"/>
      <c r="H1343" s="41"/>
      <c r="I1343" s="42"/>
      <c r="J1343" s="41"/>
      <c r="K1343" s="41"/>
      <c r="L1343" s="43"/>
    </row>
    <row r="1344" spans="2:12" outlineLevel="2">
      <c r="B1344" s="35">
        <f t="shared" si="39"/>
        <v>879</v>
      </c>
      <c r="C1344" s="41" t="s">
        <v>69</v>
      </c>
      <c r="D1344" s="41"/>
      <c r="E1344" s="41"/>
      <c r="F1344" s="41"/>
      <c r="G1344" s="41"/>
      <c r="H1344" s="41"/>
      <c r="I1344" s="42"/>
      <c r="J1344" s="41"/>
      <c r="K1344" s="41"/>
      <c r="L1344" s="43"/>
    </row>
    <row r="1345" spans="2:12" outlineLevel="2">
      <c r="B1345" s="35">
        <f t="shared" si="39"/>
        <v>880</v>
      </c>
      <c r="C1345" s="41" t="s">
        <v>69</v>
      </c>
      <c r="D1345" s="41"/>
      <c r="E1345" s="41"/>
      <c r="F1345" s="41"/>
      <c r="G1345" s="41"/>
      <c r="H1345" s="41"/>
      <c r="I1345" s="42"/>
      <c r="J1345" s="41"/>
      <c r="K1345" s="41"/>
      <c r="L1345" s="43"/>
    </row>
    <row r="1346" spans="2:12" outlineLevel="2">
      <c r="B1346" s="35">
        <f t="shared" si="39"/>
        <v>881</v>
      </c>
      <c r="C1346" s="41" t="s">
        <v>69</v>
      </c>
      <c r="D1346" s="41"/>
      <c r="E1346" s="41"/>
      <c r="F1346" s="41"/>
      <c r="G1346" s="41"/>
      <c r="H1346" s="41"/>
      <c r="I1346" s="42"/>
      <c r="J1346" s="41"/>
      <c r="K1346" s="41"/>
      <c r="L1346" s="43"/>
    </row>
    <row r="1347" spans="2:12" outlineLevel="2">
      <c r="B1347" s="35">
        <f t="shared" si="39"/>
        <v>882</v>
      </c>
      <c r="C1347" s="41" t="s">
        <v>69</v>
      </c>
      <c r="D1347" s="41"/>
      <c r="E1347" s="41"/>
      <c r="F1347" s="41"/>
      <c r="G1347" s="41"/>
      <c r="H1347" s="41"/>
      <c r="I1347" s="42"/>
      <c r="J1347" s="41"/>
      <c r="K1347" s="41"/>
      <c r="L1347" s="43"/>
    </row>
    <row r="1348" spans="2:12" outlineLevel="2">
      <c r="B1348" s="35">
        <f t="shared" si="39"/>
        <v>883</v>
      </c>
      <c r="C1348" s="41" t="s">
        <v>69</v>
      </c>
      <c r="D1348" s="41"/>
      <c r="E1348" s="41"/>
      <c r="F1348" s="41"/>
      <c r="G1348" s="41"/>
      <c r="H1348" s="41"/>
      <c r="I1348" s="42"/>
      <c r="J1348" s="41"/>
      <c r="K1348" s="41"/>
      <c r="L1348" s="43"/>
    </row>
    <row r="1349" spans="2:12" outlineLevel="2">
      <c r="B1349" s="35">
        <f t="shared" si="39"/>
        <v>884</v>
      </c>
      <c r="C1349" s="41" t="s">
        <v>69</v>
      </c>
      <c r="D1349" s="41"/>
      <c r="E1349" s="41"/>
      <c r="F1349" s="41"/>
      <c r="G1349" s="41"/>
      <c r="H1349" s="41"/>
      <c r="I1349" s="42"/>
      <c r="J1349" s="41"/>
      <c r="K1349" s="41"/>
      <c r="L1349" s="43"/>
    </row>
    <row r="1350" spans="2:12" outlineLevel="2">
      <c r="B1350" s="35">
        <f t="shared" si="39"/>
        <v>885</v>
      </c>
      <c r="C1350" s="41" t="s">
        <v>69</v>
      </c>
      <c r="D1350" s="41"/>
      <c r="E1350" s="41"/>
      <c r="F1350" s="41"/>
      <c r="G1350" s="41"/>
      <c r="H1350" s="41"/>
      <c r="I1350" s="42"/>
      <c r="J1350" s="41"/>
      <c r="K1350" s="41"/>
      <c r="L1350" s="43"/>
    </row>
    <row r="1351" spans="2:12" outlineLevel="2">
      <c r="B1351" s="35">
        <f t="shared" si="39"/>
        <v>886</v>
      </c>
      <c r="C1351" s="41" t="s">
        <v>69</v>
      </c>
      <c r="D1351" s="41"/>
      <c r="E1351" s="41"/>
      <c r="F1351" s="41"/>
      <c r="G1351" s="41"/>
      <c r="H1351" s="41"/>
      <c r="I1351" s="42"/>
      <c r="J1351" s="41"/>
      <c r="K1351" s="41"/>
      <c r="L1351" s="43"/>
    </row>
    <row r="1352" spans="2:12" outlineLevel="2">
      <c r="B1352" s="35">
        <f t="shared" si="39"/>
        <v>887</v>
      </c>
      <c r="C1352" s="41" t="s">
        <v>69</v>
      </c>
      <c r="D1352" s="41"/>
      <c r="E1352" s="41"/>
      <c r="F1352" s="41"/>
      <c r="G1352" s="41"/>
      <c r="H1352" s="41"/>
      <c r="I1352" s="42"/>
      <c r="J1352" s="41"/>
      <c r="K1352" s="41"/>
      <c r="L1352" s="43"/>
    </row>
    <row r="1353" spans="2:12" outlineLevel="2">
      <c r="B1353" s="35">
        <f t="shared" si="39"/>
        <v>888</v>
      </c>
      <c r="C1353" s="41" t="s">
        <v>69</v>
      </c>
      <c r="D1353" s="41"/>
      <c r="E1353" s="41"/>
      <c r="F1353" s="41"/>
      <c r="G1353" s="41"/>
      <c r="H1353" s="41"/>
      <c r="I1353" s="42"/>
      <c r="J1353" s="41"/>
      <c r="K1353" s="41"/>
      <c r="L1353" s="43"/>
    </row>
    <row r="1354" spans="2:12" outlineLevel="2">
      <c r="B1354" s="35">
        <f t="shared" si="39"/>
        <v>889</v>
      </c>
      <c r="C1354" s="41" t="s">
        <v>69</v>
      </c>
      <c r="D1354" s="41"/>
      <c r="E1354" s="41"/>
      <c r="F1354" s="41"/>
      <c r="G1354" s="41"/>
      <c r="H1354" s="41"/>
      <c r="I1354" s="42"/>
      <c r="J1354" s="41"/>
      <c r="K1354" s="41"/>
      <c r="L1354" s="43"/>
    </row>
    <row r="1355" spans="2:12" outlineLevel="2">
      <c r="B1355" s="35">
        <f t="shared" si="39"/>
        <v>890</v>
      </c>
      <c r="C1355" s="41" t="s">
        <v>69</v>
      </c>
      <c r="D1355" s="41"/>
      <c r="E1355" s="41"/>
      <c r="F1355" s="41"/>
      <c r="G1355" s="41"/>
      <c r="H1355" s="41"/>
      <c r="I1355" s="42"/>
      <c r="J1355" s="41"/>
      <c r="K1355" s="41"/>
      <c r="L1355" s="43"/>
    </row>
    <row r="1356" spans="2:12" outlineLevel="2">
      <c r="B1356" s="35">
        <f t="shared" si="39"/>
        <v>891</v>
      </c>
      <c r="C1356" s="41" t="s">
        <v>69</v>
      </c>
      <c r="D1356" s="41"/>
      <c r="E1356" s="41"/>
      <c r="F1356" s="41"/>
      <c r="G1356" s="41"/>
      <c r="H1356" s="41"/>
      <c r="I1356" s="42"/>
      <c r="J1356" s="41"/>
      <c r="K1356" s="41"/>
      <c r="L1356" s="43"/>
    </row>
    <row r="1357" spans="2:12" outlineLevel="2">
      <c r="B1357" s="35">
        <f t="shared" si="39"/>
        <v>892</v>
      </c>
      <c r="C1357" s="41" t="s">
        <v>69</v>
      </c>
      <c r="D1357" s="41"/>
      <c r="E1357" s="41"/>
      <c r="F1357" s="41"/>
      <c r="G1357" s="41"/>
      <c r="H1357" s="41"/>
      <c r="I1357" s="42"/>
      <c r="J1357" s="41"/>
      <c r="K1357" s="41"/>
      <c r="L1357" s="43"/>
    </row>
    <row r="1358" spans="2:12" outlineLevel="2">
      <c r="B1358" s="35">
        <f t="shared" si="39"/>
        <v>893</v>
      </c>
      <c r="C1358" s="41" t="s">
        <v>69</v>
      </c>
      <c r="D1358" s="41"/>
      <c r="E1358" s="41"/>
      <c r="F1358" s="41"/>
      <c r="G1358" s="41"/>
      <c r="H1358" s="41"/>
      <c r="I1358" s="42"/>
      <c r="J1358" s="41"/>
      <c r="K1358" s="41"/>
      <c r="L1358" s="43"/>
    </row>
    <row r="1359" spans="2:12" outlineLevel="2">
      <c r="B1359" s="35">
        <f t="shared" si="39"/>
        <v>894</v>
      </c>
      <c r="C1359" s="41" t="s">
        <v>69</v>
      </c>
      <c r="D1359" s="41"/>
      <c r="E1359" s="41"/>
      <c r="F1359" s="41"/>
      <c r="G1359" s="41"/>
      <c r="H1359" s="41"/>
      <c r="I1359" s="42"/>
      <c r="J1359" s="41"/>
      <c r="K1359" s="41"/>
      <c r="L1359" s="43"/>
    </row>
    <row r="1360" spans="2:12" outlineLevel="2">
      <c r="B1360" s="35">
        <f t="shared" si="39"/>
        <v>895</v>
      </c>
      <c r="C1360" s="41" t="s">
        <v>69</v>
      </c>
      <c r="D1360" s="41"/>
      <c r="E1360" s="41"/>
      <c r="F1360" s="41"/>
      <c r="G1360" s="41"/>
      <c r="H1360" s="41"/>
      <c r="I1360" s="42"/>
      <c r="J1360" s="41"/>
      <c r="K1360" s="41"/>
      <c r="L1360" s="43"/>
    </row>
    <row r="1361" spans="2:12" outlineLevel="2">
      <c r="B1361" s="35">
        <f t="shared" si="39"/>
        <v>896</v>
      </c>
      <c r="C1361" s="41" t="s">
        <v>69</v>
      </c>
      <c r="D1361" s="41"/>
      <c r="E1361" s="41"/>
      <c r="F1361" s="41"/>
      <c r="G1361" s="41"/>
      <c r="H1361" s="41"/>
      <c r="I1361" s="42"/>
      <c r="J1361" s="41"/>
      <c r="K1361" s="41"/>
      <c r="L1361" s="43"/>
    </row>
    <row r="1362" spans="2:12" outlineLevel="2">
      <c r="B1362" s="35">
        <f t="shared" si="39"/>
        <v>897</v>
      </c>
      <c r="C1362" s="41" t="s">
        <v>69</v>
      </c>
      <c r="D1362" s="41"/>
      <c r="E1362" s="41"/>
      <c r="F1362" s="41"/>
      <c r="G1362" s="41"/>
      <c r="H1362" s="41"/>
      <c r="I1362" s="42"/>
      <c r="J1362" s="41"/>
      <c r="K1362" s="41"/>
      <c r="L1362" s="43"/>
    </row>
    <row r="1363" spans="2:12" outlineLevel="2">
      <c r="B1363" s="35">
        <f t="shared" ref="B1363" si="40">(B1362+1)</f>
        <v>898</v>
      </c>
      <c r="C1363" s="41" t="s">
        <v>69</v>
      </c>
      <c r="D1363" s="41"/>
      <c r="E1363" s="41"/>
      <c r="F1363" s="41"/>
      <c r="G1363" s="41"/>
      <c r="H1363" s="41"/>
      <c r="I1363" s="42"/>
      <c r="J1363" s="41"/>
      <c r="K1363" s="41"/>
      <c r="L1363" s="43"/>
    </row>
    <row r="1364" spans="2:12" outlineLevel="2">
      <c r="B1364" s="35">
        <f t="shared" ref="B1364:B1376" si="41">(B1363+1)</f>
        <v>899</v>
      </c>
      <c r="C1364" s="41" t="s">
        <v>69</v>
      </c>
      <c r="D1364" s="41"/>
      <c r="E1364" s="41"/>
      <c r="F1364" s="41"/>
      <c r="G1364" s="41"/>
      <c r="H1364" s="41"/>
      <c r="I1364" s="42"/>
      <c r="J1364" s="41"/>
      <c r="K1364" s="41"/>
      <c r="L1364" s="43"/>
    </row>
    <row r="1365" spans="2:12" outlineLevel="2">
      <c r="B1365" s="35">
        <f t="shared" si="41"/>
        <v>900</v>
      </c>
      <c r="C1365" s="41" t="s">
        <v>69</v>
      </c>
      <c r="D1365" s="41"/>
      <c r="E1365" s="41"/>
      <c r="F1365" s="41"/>
      <c r="G1365" s="41"/>
      <c r="H1365" s="41"/>
      <c r="I1365" s="42"/>
      <c r="J1365" s="41"/>
      <c r="K1365" s="41"/>
      <c r="L1365" s="43"/>
    </row>
    <row r="1366" spans="2:12" outlineLevel="2">
      <c r="B1366" s="35">
        <f t="shared" si="41"/>
        <v>901</v>
      </c>
      <c r="C1366" s="41" t="s">
        <v>69</v>
      </c>
      <c r="D1366" s="41"/>
      <c r="E1366" s="41"/>
      <c r="F1366" s="41"/>
      <c r="G1366" s="41"/>
      <c r="H1366" s="41"/>
      <c r="I1366" s="42"/>
      <c r="J1366" s="41"/>
      <c r="K1366" s="41"/>
      <c r="L1366" s="43"/>
    </row>
    <row r="1367" spans="2:12" outlineLevel="2">
      <c r="B1367" s="35">
        <f t="shared" si="41"/>
        <v>902</v>
      </c>
      <c r="C1367" s="41" t="s">
        <v>69</v>
      </c>
      <c r="D1367" s="41"/>
      <c r="E1367" s="41"/>
      <c r="F1367" s="41"/>
      <c r="G1367" s="41"/>
      <c r="H1367" s="41"/>
      <c r="I1367" s="42"/>
      <c r="J1367" s="41"/>
      <c r="K1367" s="41"/>
      <c r="L1367" s="43"/>
    </row>
    <row r="1368" spans="2:12" outlineLevel="2">
      <c r="B1368" s="35">
        <f t="shared" si="41"/>
        <v>903</v>
      </c>
      <c r="C1368" s="41" t="s">
        <v>69</v>
      </c>
      <c r="D1368" s="41"/>
      <c r="E1368" s="41"/>
      <c r="F1368" s="41"/>
      <c r="G1368" s="41"/>
      <c r="H1368" s="41"/>
      <c r="I1368" s="42"/>
      <c r="J1368" s="41"/>
      <c r="K1368" s="41"/>
      <c r="L1368" s="43"/>
    </row>
    <row r="1369" spans="2:12" outlineLevel="2">
      <c r="B1369" s="35">
        <f t="shared" si="41"/>
        <v>904</v>
      </c>
      <c r="C1369" s="41" t="s">
        <v>69</v>
      </c>
      <c r="D1369" s="41"/>
      <c r="E1369" s="41"/>
      <c r="F1369" s="41"/>
      <c r="G1369" s="41"/>
      <c r="H1369" s="41"/>
      <c r="I1369" s="42"/>
      <c r="J1369" s="41"/>
      <c r="K1369" s="41"/>
      <c r="L1369" s="43"/>
    </row>
    <row r="1370" spans="2:12" outlineLevel="2">
      <c r="B1370" s="35">
        <f t="shared" si="41"/>
        <v>905</v>
      </c>
      <c r="C1370" s="41" t="s">
        <v>69</v>
      </c>
      <c r="D1370" s="41"/>
      <c r="E1370" s="41"/>
      <c r="F1370" s="41"/>
      <c r="G1370" s="41"/>
      <c r="H1370" s="41"/>
      <c r="I1370" s="42"/>
      <c r="J1370" s="41"/>
      <c r="K1370" s="41"/>
      <c r="L1370" s="43"/>
    </row>
    <row r="1371" spans="2:12" outlineLevel="2">
      <c r="B1371" s="35">
        <f t="shared" si="41"/>
        <v>906</v>
      </c>
      <c r="C1371" s="41" t="s">
        <v>69</v>
      </c>
      <c r="D1371" s="41"/>
      <c r="E1371" s="41"/>
      <c r="F1371" s="41"/>
      <c r="G1371" s="41"/>
      <c r="H1371" s="41"/>
      <c r="I1371" s="42"/>
      <c r="J1371" s="41"/>
      <c r="K1371" s="41"/>
      <c r="L1371" s="43"/>
    </row>
    <row r="1372" spans="2:12" outlineLevel="2">
      <c r="B1372" s="35">
        <f t="shared" si="41"/>
        <v>907</v>
      </c>
      <c r="C1372" s="41" t="s">
        <v>69</v>
      </c>
      <c r="D1372" s="41"/>
      <c r="E1372" s="41"/>
      <c r="F1372" s="41"/>
      <c r="G1372" s="41"/>
      <c r="H1372" s="41"/>
      <c r="I1372" s="42"/>
      <c r="J1372" s="41"/>
      <c r="K1372" s="41"/>
      <c r="L1372" s="43"/>
    </row>
    <row r="1373" spans="2:12" outlineLevel="2">
      <c r="B1373" s="35">
        <f t="shared" si="41"/>
        <v>908</v>
      </c>
      <c r="C1373" s="41" t="s">
        <v>69</v>
      </c>
      <c r="D1373" s="41"/>
      <c r="E1373" s="41"/>
      <c r="F1373" s="41"/>
      <c r="G1373" s="41"/>
      <c r="H1373" s="41"/>
      <c r="I1373" s="42"/>
      <c r="J1373" s="41"/>
      <c r="K1373" s="41"/>
      <c r="L1373" s="43"/>
    </row>
    <row r="1374" spans="2:12" outlineLevel="2">
      <c r="B1374" s="35">
        <f t="shared" si="41"/>
        <v>909</v>
      </c>
      <c r="C1374" s="41" t="s">
        <v>69</v>
      </c>
      <c r="D1374" s="41"/>
      <c r="E1374" s="41"/>
      <c r="F1374" s="41"/>
      <c r="G1374" s="41"/>
      <c r="H1374" s="41"/>
      <c r="I1374" s="42"/>
      <c r="J1374" s="41"/>
      <c r="K1374" s="41"/>
      <c r="L1374" s="43"/>
    </row>
    <row r="1375" spans="2:12" outlineLevel="2">
      <c r="B1375" s="35">
        <f t="shared" si="41"/>
        <v>910</v>
      </c>
      <c r="C1375" s="41" t="s">
        <v>69</v>
      </c>
      <c r="D1375" s="41"/>
      <c r="E1375" s="41"/>
      <c r="F1375" s="41"/>
      <c r="G1375" s="41"/>
      <c r="H1375" s="41"/>
      <c r="I1375" s="42"/>
      <c r="J1375" s="41"/>
      <c r="K1375" s="41"/>
      <c r="L1375" s="43"/>
    </row>
    <row r="1376" spans="2:12" outlineLevel="2">
      <c r="B1376" s="35">
        <f t="shared" si="41"/>
        <v>911</v>
      </c>
      <c r="C1376" s="41" t="s">
        <v>69</v>
      </c>
      <c r="D1376" s="41"/>
      <c r="E1376" s="41"/>
      <c r="F1376" s="41"/>
      <c r="G1376" s="41"/>
      <c r="H1376" s="41"/>
      <c r="I1376" s="42"/>
      <c r="J1376" s="41"/>
      <c r="K1376" s="41"/>
      <c r="L1376" s="43"/>
    </row>
    <row r="1377" spans="2:12" outlineLevel="2">
      <c r="B1377" s="35">
        <f t="shared" ref="B1377" si="42">(B1376+1)</f>
        <v>912</v>
      </c>
      <c r="C1377" s="41" t="s">
        <v>69</v>
      </c>
      <c r="D1377" s="41"/>
      <c r="E1377" s="41"/>
      <c r="F1377" s="41"/>
      <c r="G1377" s="41"/>
      <c r="H1377" s="41"/>
      <c r="I1377" s="42"/>
      <c r="J1377" s="41"/>
      <c r="K1377" s="41"/>
      <c r="L1377" s="43"/>
    </row>
    <row r="1378" spans="2:12" outlineLevel="1">
      <c r="B1378" s="64" t="s">
        <v>314</v>
      </c>
      <c r="C1378" s="61">
        <f>SUBTOTAL(3,C1150:C1377)</f>
        <v>228</v>
      </c>
      <c r="D1378" s="61"/>
      <c r="E1378" s="61"/>
      <c r="F1378" s="61"/>
      <c r="G1378" s="61"/>
      <c r="H1378" s="61"/>
      <c r="I1378" s="62"/>
      <c r="J1378" s="61"/>
      <c r="K1378" s="61"/>
      <c r="L1378" s="63"/>
    </row>
    <row r="1379" spans="2:12" ht="15.75" thickBot="1">
      <c r="B1379" s="64" t="s">
        <v>315</v>
      </c>
      <c r="C1379" s="61">
        <f>SUBTOTAL(3,C463:C1377)</f>
        <v>912</v>
      </c>
      <c r="D1379" s="61"/>
      <c r="E1379" s="61"/>
      <c r="F1379" s="61"/>
      <c r="G1379" s="61"/>
      <c r="H1379" s="61"/>
      <c r="I1379" s="62"/>
      <c r="J1379" s="61"/>
      <c r="K1379" s="61"/>
      <c r="L1379" s="63"/>
    </row>
    <row r="1380" spans="2:12" ht="15.75" thickBot="1">
      <c r="B1380" s="320" t="s">
        <v>59</v>
      </c>
      <c r="C1380" s="321"/>
      <c r="D1380" s="321"/>
      <c r="E1380" s="321"/>
      <c r="F1380" s="321"/>
      <c r="G1380" s="321"/>
      <c r="H1380" s="321"/>
      <c r="I1380" s="321"/>
      <c r="J1380" s="321"/>
      <c r="K1380" s="321"/>
      <c r="L1380" s="322"/>
    </row>
    <row r="1381" spans="2:12" ht="15.75" thickBot="1">
      <c r="B1381" s="26" t="s">
        <v>49</v>
      </c>
      <c r="C1381" s="27" t="s">
        <v>60</v>
      </c>
      <c r="D1381" s="27" t="s">
        <v>62</v>
      </c>
      <c r="E1381" s="27" t="s">
        <v>63</v>
      </c>
      <c r="F1381" s="27" t="s">
        <v>64</v>
      </c>
      <c r="G1381" s="27" t="s">
        <v>65</v>
      </c>
      <c r="H1381" s="27" t="s">
        <v>66</v>
      </c>
      <c r="I1381" s="27" t="s">
        <v>67</v>
      </c>
      <c r="J1381" s="27" t="s">
        <v>6</v>
      </c>
      <c r="K1381" s="27" t="s">
        <v>7</v>
      </c>
      <c r="L1381" s="28" t="s">
        <v>68</v>
      </c>
    </row>
    <row r="1382" spans="2:12">
      <c r="B1382" s="46" t="s">
        <v>8</v>
      </c>
      <c r="C1382" s="41">
        <f>COUNTIFS(B463:B1377,"&gt;"&amp;0,C463:C1377,"="&amp;B1382)</f>
        <v>228</v>
      </c>
      <c r="D1382" s="41">
        <f>COUNTIFS(B463:B1377,"&gt;="&amp;1,C463:C1377,B1382,K463:K1377,"&gt;="&amp;0,K463:K1377,"&lt;"&amp;50)</f>
        <v>0</v>
      </c>
      <c r="E1382" s="41">
        <f>COUNTIFS(B463:B1377,"&gt;="&amp;1,C463:C1377,B1382,K463:K1377,"&gt;="&amp;50,K463:K1377,"&lt;"&amp;500)</f>
        <v>0</v>
      </c>
      <c r="F1382" s="41">
        <f>COUNTIFS(B463:B1377,"&gt;="&amp;1,C463:C1377,B1382,K463:K1377,"&gt;="&amp;500)</f>
        <v>0</v>
      </c>
      <c r="G1382" s="41">
        <f>COUNTIFS(B463:B1377,"&gt;="&amp;1,C463:C1377,B1382,K463:K1377,"&gt;="&amp;0,I463:I1377,"&gt;"&amp;DATE(2021,1,1))</f>
        <v>0</v>
      </c>
      <c r="H1382" s="47" t="str">
        <f>IF(G1382=0,"-",(SUM(E1382,F1382)/G1382))</f>
        <v>-</v>
      </c>
      <c r="I1382" s="41">
        <f>IF((COUNTIFS(B463:B1377,"&gt;="&amp;1,C463:C1377,"="&amp;B1382))&gt;228,228,(COUNTIFS(B463:B1377,"&gt;="&amp;1,C463:C1377,"="&amp;B1382)))</f>
        <v>228</v>
      </c>
      <c r="J1382" s="47">
        <f>IF(I1382=0,"-",(COUNTIFS(C463:C1377,"="&amp;B1382,I463:I1377,"&lt;="&amp;DATE(2024,12,31),K463:K1377,"&gt;="&amp;0)/I1382))</f>
        <v>0</v>
      </c>
      <c r="K1382" s="47">
        <f>IF(I1382=0,"-",IF(J1382=1,"-",(COUNTIFS(B463:B1377,"&gt;"&amp;0,C463:C1377,"="&amp;B1382,I463:I1377,"&gt;"&amp;DATE(2024,12,31),K463:K1377,"&gt;="&amp;0)/(I1382-COUNTIFS(B463:B1377,"&gt;"&amp;0,C463:C1377,"="&amp;B1382,I463:I1377,"&lt;="&amp;DATE(2024,12,31),K463:K1377,"&gt;="&amp;0)))))</f>
        <v>0</v>
      </c>
      <c r="L1382" s="48">
        <f>IF(I1382=0,"-",G1382/I1382)</f>
        <v>0</v>
      </c>
    </row>
    <row r="1383" spans="2:12">
      <c r="B1383" s="7" t="s">
        <v>9</v>
      </c>
      <c r="C1383" s="1">
        <f>COUNTIFS(B463:B1377,"&gt;"&amp;0,C463:C1377,"="&amp;B1383)</f>
        <v>228</v>
      </c>
      <c r="D1383" s="1">
        <f>COUNTIFS(B463:B1377,"&gt;="&amp;1,C463:C1377,B1383,K463:K1377,"&gt;="&amp;0,K463:K1377,"&lt;"&amp;50)</f>
        <v>0</v>
      </c>
      <c r="E1383" s="1">
        <f>COUNTIFS(B463:B1377,"&gt;="&amp;1,C463:C1377,B1383,K463:K1377,"&gt;="&amp;50,K463:K1377,"&lt;"&amp;500)</f>
        <v>0</v>
      </c>
      <c r="F1383" s="1">
        <f>COUNTIFS(B463:B1377,"&gt;="&amp;1,C463:C1377,B1383,K463:K1377,"&gt;="&amp;500)</f>
        <v>0</v>
      </c>
      <c r="G1383" s="1">
        <f>COUNTIFS(B463:B1377,"&gt;="&amp;1,C463:C1377,B1383,K463:K1377,"&gt;="&amp;0,I463:I1377,"&gt;"&amp;DATE(2021,1,1))</f>
        <v>0</v>
      </c>
      <c r="H1383" s="44" t="str">
        <f t="shared" ref="H1383:H1386" si="43">IF(G1383=0,"-",(SUM(E1383,F1383)/G1383))</f>
        <v>-</v>
      </c>
      <c r="I1383" s="1">
        <f>IF((COUNTIFS(B463:B1377,"&gt;="&amp;1,C463:C1377,"="&amp;B1383))&gt;228,228,(COUNTIFS(B463:B1377,"&gt;="&amp;1,C463:C1377,"="&amp;B1383)))</f>
        <v>228</v>
      </c>
      <c r="J1383" s="44">
        <f>IF(I1383=0,"-",(COUNTIFS(C463:C1377,"="&amp;B1383,I463:I1377,"&lt;="&amp;DATE(2024,12,31),K463:K1377,"&gt;="&amp;0)/I1383))</f>
        <v>0</v>
      </c>
      <c r="K1383" s="47">
        <f>IF(I1383=0,"-",IF(J1383=1,"-",(COUNTIFS(B463:B1377,"&gt;"&amp;0,C463:C1377,"="&amp;B1383,I463:I1377,"&gt;"&amp;DATE(2024,12,31),K463:K1377,"&gt;="&amp;0)/(I1383-COUNTIFS(B463:B1377,"&gt;"&amp;0,C463:C1377,"="&amp;B1383,I463:I1377,"&lt;="&amp;DATE(2024,12,31),K463:K1377,"&gt;="&amp;0)))))</f>
        <v>0</v>
      </c>
      <c r="L1383" s="45">
        <f t="shared" ref="L1383:L1386" si="44">IF(I1383=0,"-",G1383/I1383)</f>
        <v>0</v>
      </c>
    </row>
    <row r="1384" spans="2:12">
      <c r="B1384" s="7" t="s">
        <v>175</v>
      </c>
      <c r="C1384" s="1">
        <f>COUNTIFS(B463:B1377,"&gt;"&amp;0,C463:C1377,"="&amp;B1384)</f>
        <v>228</v>
      </c>
      <c r="D1384" s="1">
        <f>COUNTIFS(B463:B1377,"&gt;="&amp;1,C463:C1377,B1384,K463:K1377,"&gt;="&amp;0,K463:K1377,"&lt;"&amp;50)</f>
        <v>0</v>
      </c>
      <c r="E1384" s="1">
        <f>COUNTIFS(B463:B1377,"&gt;="&amp;1,C463:C1377,B1384,K463:K1377,"&gt;="&amp;50,K463:K1377,"&lt;"&amp;500)</f>
        <v>0</v>
      </c>
      <c r="F1384" s="1">
        <f>COUNTIFS(B463:B1377,"&gt;="&amp;1,C463:C1377,B1384,K463:K1377,"&gt;="&amp;500)</f>
        <v>0</v>
      </c>
      <c r="G1384" s="1">
        <f>COUNTIFS(B463:B1377,"&gt;="&amp;1,C463:C1377,B1384,K463:K1377,"&gt;="&amp;0,I463:I1377,"&gt;"&amp;DATE(2021,1,1))</f>
        <v>0</v>
      </c>
      <c r="H1384" s="44" t="str">
        <f t="shared" si="43"/>
        <v>-</v>
      </c>
      <c r="I1384" s="1">
        <f>IF((COUNTIFS(B463:B1377,"&gt;="&amp;1,C463:C1377,"="&amp;B1384))&gt;228,228,(COUNTIFS(B463:B1377,"&gt;="&amp;1,C463:C1377,"="&amp;B1384)))</f>
        <v>228</v>
      </c>
      <c r="J1384" s="44">
        <f>IF(I1384=0,"-",(COUNTIFS(C463:C1377,"="&amp;B1384,I463:I1377,"&lt;="&amp;DATE(2024,12,31),K463:K1377,"&gt;="&amp;0)/I1384))</f>
        <v>0</v>
      </c>
      <c r="K1384" s="47">
        <f>IF(I1384=0,"-",IF(J1384=1,"-",(COUNTIFS(B463:B1377,"&gt;"&amp;0,C463:C1377,"="&amp;B1384,I463:I1377,"&gt;"&amp;DATE(2024,12,31),K463:K1377,"&gt;="&amp;0)/(I1384-COUNTIFS(B463:B1377,"&gt;"&amp;0,C463:C1377,"="&amp;B1384,I463:I1377,"&lt;="&amp;DATE(2024,12,31),K463:K1377,"&gt;="&amp;0)))))</f>
        <v>0</v>
      </c>
      <c r="L1384" s="45">
        <f t="shared" si="44"/>
        <v>0</v>
      </c>
    </row>
    <row r="1385" spans="2:12">
      <c r="B1385" s="7" t="s">
        <v>69</v>
      </c>
      <c r="C1385" s="1">
        <f>COUNTIFS(B463:B1377,"&gt;"&amp;0,C463:C1377,"="&amp;B1385)</f>
        <v>228</v>
      </c>
      <c r="D1385" s="1">
        <f>COUNTIFS(B463:B1377,"&gt;="&amp;1,C463:C1377,B1385,K463:K1377,"&gt;="&amp;0,K463:K1377,"&lt;"&amp;50)</f>
        <v>0</v>
      </c>
      <c r="E1385" s="1">
        <f>COUNTIFS(B463:B1377,"&gt;="&amp;1,C463:C1377,B1385,K463:K1377,"&gt;="&amp;50,K463:K1377,"&lt;"&amp;500)</f>
        <v>0</v>
      </c>
      <c r="F1385" s="1">
        <f>COUNTIFS(B463:B1377,"&gt;="&amp;1,C463:C1377,B1385,K463:K1377,"&gt;="&amp;500)</f>
        <v>0</v>
      </c>
      <c r="G1385" s="1">
        <f>COUNTIFS(B463:B1377,"&gt;="&amp;1,C463:C1377,B1385,K463:K1377,"&gt;="&amp;0,I463:I1377,"&gt;"&amp;DATE(2021,1,1))</f>
        <v>0</v>
      </c>
      <c r="H1385" s="44" t="str">
        <f t="shared" si="43"/>
        <v>-</v>
      </c>
      <c r="I1385" s="1">
        <f>IF((COUNTIFS(B463:B1377,"&gt;="&amp;1,C463:C1377,"="&amp;B1385))&gt;228,228,(COUNTIFS(B463:B1377,"&gt;="&amp;1,C463:C1377,"="&amp;B1385)))</f>
        <v>228</v>
      </c>
      <c r="J1385" s="44">
        <f>IF(I1385=0,"-",(COUNTIFS(C463:C1377,"="&amp;B1385,I463:I1377,"&lt;="&amp;DATE(2024,12,31),K463:K1377,"&gt;="&amp;0)/I1385))</f>
        <v>0</v>
      </c>
      <c r="K1385" s="47">
        <f>IF(I1385=0,"-",IF(J1385=1,"-",(COUNTIFS(B463:B1377,"&gt;"&amp;0,C463:C1377,"="&amp;B1385,I463:I1377,"&gt;"&amp;DATE(2024,12,31),K463:K1377,"&gt;="&amp;0)/(I1385-COUNTIFS(B463:B1377,"&gt;"&amp;0,C463:C1377,"="&amp;B1385,I463:I1377,"&lt;="&amp;DATE(2024,12,31),K463:K1377,"&gt;="&amp;0)))))</f>
        <v>0</v>
      </c>
      <c r="L1385" s="45">
        <f t="shared" si="44"/>
        <v>0</v>
      </c>
    </row>
    <row r="1386" spans="2:12" ht="15.75" thickBot="1">
      <c r="B1386" s="49" t="s">
        <v>59</v>
      </c>
      <c r="C1386" s="50">
        <f>SUM(C1382:C1385)</f>
        <v>912</v>
      </c>
      <c r="D1386" s="50">
        <f>SUM(D1382:D1385)</f>
        <v>0</v>
      </c>
      <c r="E1386" s="50">
        <f>SUM(E1382:E1385)</f>
        <v>0</v>
      </c>
      <c r="F1386" s="50">
        <f>SUM(F1382:F1385)</f>
        <v>0</v>
      </c>
      <c r="G1386" s="50">
        <f>SUM(G1382:G1385)</f>
        <v>0</v>
      </c>
      <c r="H1386" s="51" t="str">
        <f t="shared" si="43"/>
        <v>-</v>
      </c>
      <c r="I1386" s="50">
        <f>SUM(I1382:I1385)</f>
        <v>912</v>
      </c>
      <c r="J1386" s="51">
        <f>IF(I1386=0,"-",(COUNTIFS(I463:I1377,"&lt;="&amp;DATE(2024,12,31),K463:K1377,"&gt;="&amp;0)/I1386))</f>
        <v>0</v>
      </c>
      <c r="K1386" s="51">
        <f>IF(I1386=0,"-",IF(J1386=1,"-",(COUNTIFS(B463:B1377,"&gt;"&amp;0,I463:I1377,"&gt;"&amp;DATE(2024,12,31),K463:K1377,"&gt;="&amp;0)/(I1386-COUNTIFS(B463:B1377,"&gt;"&amp;0,I463:I1377,"&lt;="&amp;DATE(2024,12,31),K463:K1377,"&gt;="&amp;0)))))</f>
        <v>0</v>
      </c>
      <c r="L1386" s="52">
        <f t="shared" si="44"/>
        <v>0</v>
      </c>
    </row>
  </sheetData>
  <mergeCells count="13">
    <mergeCell ref="B461:L461"/>
    <mergeCell ref="B1380:L1380"/>
    <mergeCell ref="B81:L81"/>
    <mergeCell ref="B89:L89"/>
    <mergeCell ref="B343:L343"/>
    <mergeCell ref="B351:L351"/>
    <mergeCell ref="B453:L453"/>
    <mergeCell ref="B57:L57"/>
    <mergeCell ref="B1:L2"/>
    <mergeCell ref="B4:L4"/>
    <mergeCell ref="B9:L9"/>
    <mergeCell ref="B17:L17"/>
    <mergeCell ref="B49:L49"/>
  </mergeCells>
  <dataValidations count="3">
    <dataValidation type="list" allowBlank="1" showInputMessage="1" showErrorMessage="1" error="Dado Inserido errado" promptTitle="Selecionar a Sub-Família" sqref="C6:D7 C353:C451 C19:C47 C59:C79 C91:C341" xr:uid="{5FB2793F-921D-4A21-BAB1-AB11609C722F}">
      <formula1>$B$11:$B$13</formula1>
    </dataValidation>
    <dataValidation type="list" allowBlank="1" showInputMessage="1" showErrorMessage="1" promptTitle="Selecionar a Sub-Família" sqref="C8:D8 C452 C342 C80 C48" xr:uid="{E0A7D5EE-A354-479A-B1BA-CFB3A2A76471}">
      <formula1>"Até 1988, Após 1988, Sem Info"</formula1>
    </dataValidation>
    <dataValidation type="list" allowBlank="1" showInputMessage="1" showErrorMessage="1" sqref="C463:C690 C1150:C1377 C921:C1148 C692:C919" xr:uid="{505AAA06-BA23-4A3B-B928-F62372057676}">
      <formula1>$B$1382:$B$1385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B2DB-0EF8-4ED6-9464-7084AD6F636E}">
  <dimension ref="B1:L1386"/>
  <sheetViews>
    <sheetView showGridLines="0" topLeftCell="A461" workbookViewId="0">
      <pane ySplit="2" topLeftCell="A1316" activePane="bottomLeft" state="frozen"/>
      <selection pane="bottomLeft" activeCell="L1312" sqref="L1312"/>
    </sheetView>
  </sheetViews>
  <sheetFormatPr defaultRowHeight="15" outlineLevelRow="2"/>
  <cols>
    <col min="2" max="2" width="20.5703125" customWidth="1"/>
    <col min="3" max="3" width="16.85546875" customWidth="1"/>
    <col min="4" max="5" width="18.42578125" bestFit="1" customWidth="1"/>
    <col min="6" max="6" width="12.42578125" customWidth="1"/>
    <col min="7" max="7" width="17.42578125" customWidth="1"/>
    <col min="8" max="8" width="6.5703125" customWidth="1"/>
    <col min="9" max="9" width="12" customWidth="1"/>
    <col min="10" max="10" width="7.85546875" customWidth="1"/>
    <col min="11" max="11" width="10.5703125" customWidth="1"/>
    <col min="12" max="12" width="19.5703125" bestFit="1" customWidth="1"/>
    <col min="13" max="13" width="17.28515625" bestFit="1" customWidth="1"/>
  </cols>
  <sheetData>
    <row r="1" spans="2:12">
      <c r="B1" s="310" t="s">
        <v>47</v>
      </c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2:12" ht="19.5" customHeight="1" thickBot="1">
      <c r="B2" s="347"/>
      <c r="C2" s="348"/>
      <c r="D2" s="348"/>
      <c r="E2" s="348"/>
      <c r="F2" s="348"/>
      <c r="G2" s="348"/>
      <c r="H2" s="348"/>
      <c r="I2" s="348"/>
      <c r="J2" s="348"/>
      <c r="K2" s="348"/>
      <c r="L2" s="349"/>
    </row>
    <row r="3" spans="2:12" ht="19.5" customHeight="1" thickBot="1"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ht="32.25" customHeight="1" thickBot="1">
      <c r="B4" s="320" t="str">
        <f>_xlfn.CONCAT("Transformadores de Rede Subterrânea",TEXT(IF(SUM(I11:I13)=0," ",(SUM(G11:G13)/SUM(I11:I13))), " 0,00%"))</f>
        <v xml:space="preserve">Transformadores de Rede Subterrânea </v>
      </c>
      <c r="C4" s="321"/>
      <c r="D4" s="321"/>
      <c r="E4" s="321"/>
      <c r="F4" s="321"/>
      <c r="G4" s="321"/>
      <c r="H4" s="321"/>
      <c r="I4" s="321"/>
      <c r="J4" s="321"/>
      <c r="K4" s="321"/>
      <c r="L4" s="322"/>
    </row>
    <row r="5" spans="2:12" ht="24" hidden="1" customHeight="1" outlineLevel="1" thickBot="1">
      <c r="B5" s="26" t="s">
        <v>48</v>
      </c>
      <c r="C5" s="27" t="s">
        <v>49</v>
      </c>
      <c r="D5" s="27" t="s">
        <v>50</v>
      </c>
      <c r="E5" s="27" t="s">
        <v>51</v>
      </c>
      <c r="F5" s="27" t="s">
        <v>52</v>
      </c>
      <c r="G5" s="27" t="s">
        <v>53</v>
      </c>
      <c r="H5" s="27" t="s">
        <v>54</v>
      </c>
      <c r="I5" s="27" t="s">
        <v>55</v>
      </c>
      <c r="J5" s="27" t="s">
        <v>56</v>
      </c>
      <c r="K5" s="27" t="s">
        <v>57</v>
      </c>
      <c r="L5" s="28" t="s">
        <v>58</v>
      </c>
    </row>
    <row r="6" spans="2:12" ht="15.75" hidden="1" outlineLevel="1" thickBot="1">
      <c r="B6" s="40" t="str">
        <f>IF(C6="","",ROW($A$1))</f>
        <v/>
      </c>
      <c r="C6" s="41"/>
      <c r="D6" s="41"/>
      <c r="E6" s="41"/>
      <c r="F6" s="41"/>
      <c r="G6" s="41"/>
      <c r="H6" s="41"/>
      <c r="I6" s="42"/>
      <c r="J6" s="41"/>
      <c r="K6" s="41"/>
      <c r="L6" s="43"/>
    </row>
    <row r="7" spans="2:12" ht="15.75" hidden="1" outlineLevel="1" thickBot="1">
      <c r="B7" s="35" t="str">
        <f>IF(B6="","",(B6+1))</f>
        <v/>
      </c>
      <c r="C7" s="1"/>
      <c r="D7" s="1"/>
      <c r="E7" s="1"/>
      <c r="F7" s="1"/>
      <c r="G7" s="1"/>
      <c r="H7" s="1"/>
      <c r="I7" s="36"/>
      <c r="J7" s="1"/>
      <c r="K7" s="1"/>
      <c r="L7" s="2"/>
    </row>
    <row r="8" spans="2:12" ht="15.75" hidden="1" outlineLevel="1" thickBot="1">
      <c r="B8" s="37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2:12" ht="26.25" customHeight="1" collapsed="1" thickBot="1">
      <c r="B9" s="320" t="s">
        <v>59</v>
      </c>
      <c r="C9" s="321"/>
      <c r="D9" s="321"/>
      <c r="E9" s="321"/>
      <c r="F9" s="321"/>
      <c r="G9" s="321"/>
      <c r="H9" s="321"/>
      <c r="I9" s="321"/>
      <c r="J9" s="321"/>
      <c r="K9" s="321"/>
      <c r="L9" s="322"/>
    </row>
    <row r="10" spans="2:12" ht="24" customHeight="1" thickBot="1">
      <c r="B10" s="26" t="s">
        <v>49</v>
      </c>
      <c r="C10" s="27" t="s">
        <v>60</v>
      </c>
      <c r="D10" s="27" t="s">
        <v>62</v>
      </c>
      <c r="E10" s="27" t="s">
        <v>63</v>
      </c>
      <c r="F10" s="27" t="s">
        <v>64</v>
      </c>
      <c r="G10" s="27" t="s">
        <v>65</v>
      </c>
      <c r="H10" s="27" t="s">
        <v>66</v>
      </c>
      <c r="I10" s="27" t="s">
        <v>67</v>
      </c>
      <c r="J10" s="27" t="s">
        <v>6</v>
      </c>
      <c r="K10" s="27" t="s">
        <v>7</v>
      </c>
      <c r="L10" s="28" t="s">
        <v>68</v>
      </c>
    </row>
    <row r="11" spans="2:12">
      <c r="B11" s="46" t="s">
        <v>8</v>
      </c>
      <c r="C11" s="41">
        <f>COUNTIFS(B6:B8,"&gt;"&amp;0,C6:C8,"="&amp;B11)</f>
        <v>0</v>
      </c>
      <c r="D11" s="41">
        <f>COUNTIFS(B6:B8,"&gt;="&amp;1,C6:C8,B11,K6:K8,"&gt;="&amp;0,K6:K8,"&lt;"&amp;50)</f>
        <v>0</v>
      </c>
      <c r="E11" s="41">
        <f>COUNTIFS(B6:B8,"&gt;="&amp;1,C6:C8,B11,K6:K8,"&gt;="&amp;50,K6:K8,"&lt;"&amp;500)</f>
        <v>0</v>
      </c>
      <c r="F11" s="41">
        <f>COUNTIFS(B6:B8,"&gt;="&amp;1,C6:C8,B11,K6:K8,"&gt;="&amp;500)</f>
        <v>0</v>
      </c>
      <c r="G11" s="41">
        <f>COUNTIFS(B6:B8,"&gt;="&amp;1,C6:C8,B11,K6:K8,"&gt;="&amp;0,I6:I8,"&gt;"&amp;DATE(2021,1,1))</f>
        <v>0</v>
      </c>
      <c r="H11" s="47" t="str">
        <f>IF(G11=0,"-",(SUM(E11,F11)/G11))</f>
        <v>-</v>
      </c>
      <c r="I11" s="41">
        <f>IF((COUNTIFS(B6:B8,"&gt;="&amp;1,C6:C8,"="&amp;B11))&gt;228,228,(COUNTIFS(B6:B8,"&gt;="&amp;1,C6:C8,"="&amp;B11)))</f>
        <v>0</v>
      </c>
      <c r="J11" s="47" t="str">
        <f>IF(I11=0,"-",(COUNTIFS(C6:C8,"="&amp;B11,I6:I8,"&lt;="&amp;DATE(2024,12,31),K6:K8,"&gt;="&amp;0)/I11))</f>
        <v>-</v>
      </c>
      <c r="K11" s="47" t="str">
        <f>IF(I11=0,"-",IF(J11=1,"-",(COUNTIFS(B6:B8,"&gt;"&amp;0,C6:C8,"="&amp;B11,I6:I8,"&gt;"&amp;DATE(2024,12,31),K6:K8,"&gt;="&amp;0)/(I11-COUNTIFS(B6:B8,"&gt;"&amp;0,C6:C8,"="&amp;B11,I6:I8,"&lt;="&amp;DATE(2024,12,31),K6:K8,"&gt;="&amp;0)))))</f>
        <v>-</v>
      </c>
      <c r="L11" s="48" t="str">
        <f>IF(I11=0,"-",G11/I11)</f>
        <v>-</v>
      </c>
    </row>
    <row r="12" spans="2:12">
      <c r="B12" s="7" t="s">
        <v>9</v>
      </c>
      <c r="C12" s="1">
        <f>COUNTIFS(B6:B8,"&gt;"&amp;0,C6:C8,"="&amp;B12)</f>
        <v>0</v>
      </c>
      <c r="D12" s="1">
        <f>COUNTIFS(B6:B8,"&gt;="&amp;1,C6:C8,B12,K6:K8,"&gt;="&amp;0,K6:K8,"&lt;"&amp;50)</f>
        <v>0</v>
      </c>
      <c r="E12" s="1">
        <f>COUNTIFS(B6:B8,"&gt;="&amp;1,C6:C8,B12,K6:K8,"&gt;="&amp;50,K6:K8,"&lt;"&amp;500)</f>
        <v>0</v>
      </c>
      <c r="F12" s="1">
        <f>COUNTIFS(B6:B8,"&gt;="&amp;1,C6:C8,B12,K6:K8,"&gt;="&amp;500)</f>
        <v>0</v>
      </c>
      <c r="G12" s="1">
        <f>COUNTIFS(B6:B8,"&gt;="&amp;1,C6:C8,B12,K6:K8,"&gt;="&amp;0,I6:I8,"&gt;"&amp;DATE(2021,1,1))</f>
        <v>0</v>
      </c>
      <c r="H12" s="44" t="str">
        <f t="shared" ref="H12:H14" si="0">IF(G12=0,"-",(SUM(E12,F12)/G12))</f>
        <v>-</v>
      </c>
      <c r="I12" s="1">
        <f>IF((COUNTIFS(B6:B8,"&gt;="&amp;1,C6:C8,"="&amp;B12))&gt;228,228,(COUNTIFS(B6:B8,"&gt;="&amp;1,C6:C8,"="&amp;B12)))</f>
        <v>0</v>
      </c>
      <c r="J12" s="44" t="str">
        <f>IF(I12=0,"-",(COUNTIFS(C6:C8,"="&amp;B12,I6:I8,"&lt;="&amp;DATE(2024,12,31),K6:K8,"&gt;="&amp;0)/I12))</f>
        <v>-</v>
      </c>
      <c r="K12" s="47" t="str">
        <f>IF(I12=0,"-",IF(J12=1,"-",(COUNTIFS(B6:B8,"&gt;"&amp;0,C6:C8,"="&amp;B12,I6:I8,"&gt;"&amp;DATE(2024,12,31),K6:K8,"&gt;="&amp;0)/(I12-COUNTIFS(B6:B8,"&gt;"&amp;0,C6:C8,"="&amp;B12,I6:I8,"&lt;="&amp;DATE(2024,12,31),K6:K8,"&gt;="&amp;0)))))</f>
        <v>-</v>
      </c>
      <c r="L12" s="45" t="str">
        <f t="shared" ref="L12:L14" si="1">IF(I12=0,"-",G12/I12)</f>
        <v>-</v>
      </c>
    </row>
    <row r="13" spans="2:12">
      <c r="B13" s="7" t="s">
        <v>69</v>
      </c>
      <c r="C13" s="1">
        <f>COUNTIFS(B6:B8,"&gt;"&amp;0,C6:C8,"="&amp;B13)</f>
        <v>0</v>
      </c>
      <c r="D13" s="1">
        <f>COUNTIFS(B6:B8,"&gt;="&amp;1,C6:C8,B13,K6:K8,"&gt;="&amp;0,K6:K8,"&lt;"&amp;50)</f>
        <v>0</v>
      </c>
      <c r="E13" s="1">
        <f>COUNTIFS(B6:B8,"&gt;="&amp;1,C6:C8,B13,K6:K8,"&gt;="&amp;50,K6:K8,"&lt;"&amp;500)</f>
        <v>0</v>
      </c>
      <c r="F13" s="1">
        <f>COUNTIFS(B6:B7,"&gt;="&amp;1,C6:C7,B13,K6:K7,"&gt;="&amp;500)</f>
        <v>0</v>
      </c>
      <c r="G13" s="1">
        <f>COUNTIFS(B6:B8,"&gt;="&amp;1,C6:C8,B13,K6:K8,"&gt;="&amp;0,I6:I8,"&gt;"&amp;DATE(2021,1,1))</f>
        <v>0</v>
      </c>
      <c r="H13" s="44" t="str">
        <f t="shared" si="0"/>
        <v>-</v>
      </c>
      <c r="I13" s="1">
        <f>IF((COUNTIFS(B6:B7,"&gt;="&amp;1,C6:C7,"="&amp;B13))&gt;228,228,(COUNTIFS(B6:B7,"&gt;="&amp;1,C6:C7,"="&amp;B13)))</f>
        <v>0</v>
      </c>
      <c r="J13" s="44" t="str">
        <f>IF(I13=0,"-",(COUNTIFS(C6:C8,"="&amp;B13,I6:I8,"&lt;="&amp;DATE(2024,12,31),K6:K8,"&gt;="&amp;0)/I13))</f>
        <v>-</v>
      </c>
      <c r="K13" s="47" t="str">
        <f>IF(I13=0,"-",IF(J13=1,"-",(COUNTIFS(B6:B8,"&gt;"&amp;0,C6:C8,"="&amp;B13,I6:I8,"&gt;"&amp;DATE(2024,12,31),K6:K8,"&gt;="&amp;0)/(I13-COUNTIFS(B6:B8,"&gt;"&amp;0,C6:C8,"="&amp;B13,I6:I8,"&lt;="&amp;DATE(2024,12,31),K6:K8,"&gt;="&amp;0)))))</f>
        <v>-</v>
      </c>
      <c r="L13" s="45" t="str">
        <f t="shared" si="1"/>
        <v>-</v>
      </c>
    </row>
    <row r="14" spans="2:12" ht="23.25" customHeight="1" thickBot="1">
      <c r="B14" s="49" t="s">
        <v>59</v>
      </c>
      <c r="C14" s="50">
        <f>SUM(C11:C13)</f>
        <v>0</v>
      </c>
      <c r="D14" s="50">
        <f>SUM(D11:D13)</f>
        <v>0</v>
      </c>
      <c r="E14" s="50">
        <f>SUM(E11:E13)</f>
        <v>0</v>
      </c>
      <c r="F14" s="50">
        <f>SUM(F11:F13)</f>
        <v>0</v>
      </c>
      <c r="G14" s="50">
        <f>SUM(G11:G13)</f>
        <v>0</v>
      </c>
      <c r="H14" s="51" t="str">
        <f t="shared" si="0"/>
        <v>-</v>
      </c>
      <c r="I14" s="50">
        <f>SUM(I11:I13)</f>
        <v>0</v>
      </c>
      <c r="J14" s="51" t="str">
        <f>IF(I14=0,"-",(COUNTIFS(I6:I8,"&lt;="&amp;DATE(2024,12,31),K6:K8,"&gt;="&amp;0)/I14))</f>
        <v>-</v>
      </c>
      <c r="K14" s="51" t="str">
        <f>IF(I14=0,"-",IF(J14=1,"-",(COUNTIFS(B6:B8,"&gt;"&amp;0,I6:I8,"&gt;"&amp;DATE(2024,12,31),K6:K8,"&gt;="&amp;0)/(I14-COUNTIFS(B6:B8,"&gt;"&amp;0,I6:I8,"&lt;="&amp;DATE(2024,12,31),K6:K8,"&gt;="&amp;0)))))</f>
        <v>-</v>
      </c>
      <c r="L14" s="52" t="str">
        <f t="shared" si="1"/>
        <v>-</v>
      </c>
    </row>
    <row r="16" spans="2:12" ht="15.75" thickBot="1"/>
    <row r="17" spans="2:12" ht="32.25" customHeight="1" thickBot="1">
      <c r="B17" s="320" t="str">
        <f>_xlfn.CONCAT("Disjuntores com extinção de arco OMI (PVO e GVO)",TEXT(IF(SUM(I51:I53)=0," ",(SUM(G51:G53)/SUM(I51:I53))), " 0,00%"))</f>
        <v>Disjuntores com extinção de arco OMI (PVO e GVO) 82,76%</v>
      </c>
      <c r="C17" s="321"/>
      <c r="D17" s="321"/>
      <c r="E17" s="321"/>
      <c r="F17" s="321"/>
      <c r="G17" s="321"/>
      <c r="H17" s="321"/>
      <c r="I17" s="321"/>
      <c r="J17" s="321"/>
      <c r="K17" s="321"/>
      <c r="L17" s="322"/>
    </row>
    <row r="18" spans="2:12" ht="24" hidden="1" customHeight="1" outlineLevel="1" thickBot="1">
      <c r="B18" s="26" t="s">
        <v>48</v>
      </c>
      <c r="C18" s="27" t="s">
        <v>49</v>
      </c>
      <c r="D18" s="27" t="s">
        <v>50</v>
      </c>
      <c r="E18" s="27" t="s">
        <v>51</v>
      </c>
      <c r="F18" s="27" t="s">
        <v>52</v>
      </c>
      <c r="G18" s="27" t="s">
        <v>53</v>
      </c>
      <c r="H18" s="27" t="s">
        <v>54</v>
      </c>
      <c r="I18" s="27" t="s">
        <v>55</v>
      </c>
      <c r="J18" s="27" t="s">
        <v>56</v>
      </c>
      <c r="K18" s="27" t="s">
        <v>57</v>
      </c>
      <c r="L18" s="28" t="s">
        <v>58</v>
      </c>
    </row>
    <row r="19" spans="2:12" ht="15.75" hidden="1" outlineLevel="1" thickBot="1">
      <c r="B19" s="46">
        <f>IF(C19="","",ROW($A$1))</f>
        <v>1</v>
      </c>
      <c r="C19" s="41" t="s">
        <v>8</v>
      </c>
      <c r="D19" s="41" t="s">
        <v>340</v>
      </c>
      <c r="E19" s="41">
        <v>230</v>
      </c>
      <c r="F19" s="41"/>
      <c r="G19" s="41"/>
      <c r="H19" s="41"/>
      <c r="I19" s="42">
        <v>45506</v>
      </c>
      <c r="J19" s="41" t="s">
        <v>341</v>
      </c>
      <c r="K19" s="41">
        <v>0</v>
      </c>
      <c r="L19" s="43"/>
    </row>
    <row r="20" spans="2:12" ht="15.75" hidden="1" outlineLevel="1" thickBot="1">
      <c r="B20" s="46">
        <f>IF(C20="","",B19+1)</f>
        <v>2</v>
      </c>
      <c r="C20" s="41" t="s">
        <v>9</v>
      </c>
      <c r="D20" s="41" t="s">
        <v>342</v>
      </c>
      <c r="E20" s="41" t="s">
        <v>343</v>
      </c>
      <c r="F20" s="41"/>
      <c r="G20" s="41"/>
      <c r="H20" s="41"/>
      <c r="I20" s="42">
        <v>45241</v>
      </c>
      <c r="J20" s="41" t="s">
        <v>344</v>
      </c>
      <c r="K20" s="41">
        <v>15.9</v>
      </c>
      <c r="L20" s="43"/>
    </row>
    <row r="21" spans="2:12" ht="15.75" hidden="1" outlineLevel="1" thickBot="1">
      <c r="B21" s="46">
        <f t="shared" ref="B21:B48" si="2">IF(C21="","",B20+1)</f>
        <v>3</v>
      </c>
      <c r="C21" s="41" t="s">
        <v>8</v>
      </c>
      <c r="D21" s="41" t="s">
        <v>345</v>
      </c>
      <c r="E21" s="41" t="s">
        <v>346</v>
      </c>
      <c r="F21" s="41"/>
      <c r="G21" s="41"/>
      <c r="H21" s="41"/>
      <c r="I21" s="42">
        <v>45241</v>
      </c>
      <c r="J21" s="41" t="s">
        <v>341</v>
      </c>
      <c r="K21" s="41">
        <v>100</v>
      </c>
      <c r="L21" s="43"/>
    </row>
    <row r="22" spans="2:12" ht="15.75" hidden="1" outlineLevel="1" thickBot="1">
      <c r="B22" s="46">
        <f t="shared" si="2"/>
        <v>4</v>
      </c>
      <c r="C22" s="41" t="s">
        <v>9</v>
      </c>
      <c r="D22" s="41" t="s">
        <v>345</v>
      </c>
      <c r="E22" s="41" t="s">
        <v>347</v>
      </c>
      <c r="F22" s="41"/>
      <c r="G22" s="41"/>
      <c r="H22" s="41"/>
      <c r="I22" s="42">
        <v>45241</v>
      </c>
      <c r="J22" s="41" t="s">
        <v>344</v>
      </c>
      <c r="K22" s="41">
        <v>33.5</v>
      </c>
      <c r="L22" s="43"/>
    </row>
    <row r="23" spans="2:12" ht="15.75" hidden="1" outlineLevel="1" thickBot="1">
      <c r="B23" s="46">
        <f t="shared" si="2"/>
        <v>5</v>
      </c>
      <c r="C23" s="41" t="s">
        <v>9</v>
      </c>
      <c r="D23" s="41" t="s">
        <v>345</v>
      </c>
      <c r="E23" s="41" t="s">
        <v>348</v>
      </c>
      <c r="F23" s="41"/>
      <c r="G23" s="41">
        <v>1996</v>
      </c>
      <c r="H23" s="41"/>
      <c r="I23" s="42">
        <v>45241</v>
      </c>
      <c r="J23" s="41" t="s">
        <v>344</v>
      </c>
      <c r="K23" s="41">
        <v>22.8</v>
      </c>
      <c r="L23" s="43"/>
    </row>
    <row r="24" spans="2:12" ht="15.75" hidden="1" outlineLevel="1" thickBot="1">
      <c r="B24" s="46">
        <f t="shared" si="2"/>
        <v>6</v>
      </c>
      <c r="C24" s="41" t="s">
        <v>9</v>
      </c>
      <c r="D24" s="41" t="s">
        <v>345</v>
      </c>
      <c r="E24" s="41" t="s">
        <v>349</v>
      </c>
      <c r="F24" s="41"/>
      <c r="G24" s="41"/>
      <c r="H24" s="41"/>
      <c r="I24" s="42">
        <v>45280</v>
      </c>
      <c r="J24" s="41" t="s">
        <v>344</v>
      </c>
      <c r="K24" s="41">
        <v>22.6</v>
      </c>
      <c r="L24" s="43"/>
    </row>
    <row r="25" spans="2:12" ht="15.75" hidden="1" outlineLevel="1" thickBot="1">
      <c r="B25" s="46">
        <f t="shared" si="2"/>
        <v>7</v>
      </c>
      <c r="C25" s="41" t="s">
        <v>8</v>
      </c>
      <c r="D25" s="41" t="s">
        <v>345</v>
      </c>
      <c r="E25" s="41" t="s">
        <v>350</v>
      </c>
      <c r="F25" s="41"/>
      <c r="G25" s="41"/>
      <c r="H25" s="41"/>
      <c r="I25" s="42">
        <v>46011</v>
      </c>
      <c r="J25" s="41" t="s">
        <v>341</v>
      </c>
      <c r="K25" s="41">
        <v>0</v>
      </c>
      <c r="L25" s="43"/>
    </row>
    <row r="26" spans="2:12" ht="15.75" hidden="1" outlineLevel="1" thickBot="1">
      <c r="B26" s="46">
        <f t="shared" si="2"/>
        <v>8</v>
      </c>
      <c r="C26" s="41" t="s">
        <v>8</v>
      </c>
      <c r="D26" s="41" t="s">
        <v>351</v>
      </c>
      <c r="E26" s="41">
        <v>1033</v>
      </c>
      <c r="F26" s="41"/>
      <c r="G26" s="41"/>
      <c r="H26" s="41"/>
      <c r="I26" s="42">
        <v>45378</v>
      </c>
      <c r="J26" s="41" t="s">
        <v>344</v>
      </c>
      <c r="K26" s="41">
        <v>38.9</v>
      </c>
      <c r="L26" s="43"/>
    </row>
    <row r="27" spans="2:12" ht="15.75" hidden="1" outlineLevel="1" thickBot="1">
      <c r="B27" s="46">
        <f t="shared" si="2"/>
        <v>9</v>
      </c>
      <c r="C27" s="41" t="s">
        <v>8</v>
      </c>
      <c r="D27" s="41" t="s">
        <v>340</v>
      </c>
      <c r="E27" s="41" t="s">
        <v>352</v>
      </c>
      <c r="F27" s="41"/>
      <c r="G27" s="41">
        <v>1980</v>
      </c>
      <c r="H27" s="41"/>
      <c r="I27" s="42">
        <v>45386</v>
      </c>
      <c r="J27" s="41" t="s">
        <v>344</v>
      </c>
      <c r="K27" s="41">
        <v>30.2</v>
      </c>
      <c r="L27" s="43"/>
    </row>
    <row r="28" spans="2:12" ht="15.75" hidden="1" outlineLevel="1" thickBot="1">
      <c r="B28" s="46">
        <f t="shared" si="2"/>
        <v>10</v>
      </c>
      <c r="C28" s="41" t="s">
        <v>8</v>
      </c>
      <c r="D28" s="41" t="s">
        <v>340</v>
      </c>
      <c r="E28" s="41" t="s">
        <v>353</v>
      </c>
      <c r="F28" s="41"/>
      <c r="G28" s="41">
        <v>1980</v>
      </c>
      <c r="H28" s="41"/>
      <c r="I28" s="42">
        <v>45386</v>
      </c>
      <c r="J28" s="41" t="s">
        <v>344</v>
      </c>
      <c r="K28" s="41">
        <v>24.9</v>
      </c>
      <c r="L28" s="43"/>
    </row>
    <row r="29" spans="2:12" ht="15.75" hidden="1" outlineLevel="1" thickBot="1">
      <c r="B29" s="46">
        <f t="shared" si="2"/>
        <v>11</v>
      </c>
      <c r="C29" s="41" t="s">
        <v>8</v>
      </c>
      <c r="D29" s="41" t="s">
        <v>340</v>
      </c>
      <c r="E29" s="41" t="s">
        <v>354</v>
      </c>
      <c r="F29" s="41"/>
      <c r="G29" s="41">
        <v>1988</v>
      </c>
      <c r="H29" s="41"/>
      <c r="I29" s="42">
        <v>45386</v>
      </c>
      <c r="J29" s="41" t="s">
        <v>344</v>
      </c>
      <c r="K29" s="41">
        <v>36.799999999999997</v>
      </c>
      <c r="L29" s="43"/>
    </row>
    <row r="30" spans="2:12" ht="15.75" hidden="1" outlineLevel="1" thickBot="1">
      <c r="B30" s="46">
        <f t="shared" si="2"/>
        <v>12</v>
      </c>
      <c r="C30" s="41" t="s">
        <v>8</v>
      </c>
      <c r="D30" s="41" t="s">
        <v>340</v>
      </c>
      <c r="E30" s="41" t="s">
        <v>355</v>
      </c>
      <c r="F30" s="41"/>
      <c r="G30" s="41">
        <v>1981</v>
      </c>
      <c r="H30" s="41"/>
      <c r="I30" s="42">
        <v>45393</v>
      </c>
      <c r="J30" s="41" t="s">
        <v>344</v>
      </c>
      <c r="K30" s="41">
        <v>21.8</v>
      </c>
      <c r="L30" s="43"/>
    </row>
    <row r="31" spans="2:12" ht="15.75" hidden="1" outlineLevel="1" thickBot="1">
      <c r="B31" s="46">
        <f t="shared" si="2"/>
        <v>13</v>
      </c>
      <c r="C31" s="41" t="s">
        <v>8</v>
      </c>
      <c r="D31" s="41" t="s">
        <v>340</v>
      </c>
      <c r="E31" s="41">
        <v>224722</v>
      </c>
      <c r="F31" s="41"/>
      <c r="G31" s="41"/>
      <c r="H31" s="41"/>
      <c r="I31" s="42">
        <v>45734</v>
      </c>
      <c r="J31" s="41" t="s">
        <v>344</v>
      </c>
      <c r="K31" s="41">
        <v>23</v>
      </c>
      <c r="L31" s="43"/>
    </row>
    <row r="32" spans="2:12" ht="15.75" hidden="1" outlineLevel="1" thickBot="1">
      <c r="B32" s="46">
        <f t="shared" si="2"/>
        <v>14</v>
      </c>
      <c r="C32" s="41" t="s">
        <v>8</v>
      </c>
      <c r="D32" s="41" t="s">
        <v>340</v>
      </c>
      <c r="E32" s="41">
        <v>227</v>
      </c>
      <c r="F32" s="41"/>
      <c r="G32" s="41"/>
      <c r="H32" s="41"/>
      <c r="I32" s="42">
        <v>45464</v>
      </c>
      <c r="J32" s="41" t="s">
        <v>344</v>
      </c>
      <c r="K32" s="41">
        <v>19.2</v>
      </c>
      <c r="L32" s="43"/>
    </row>
    <row r="33" spans="2:12" ht="15.75" hidden="1" outlineLevel="1" thickBot="1">
      <c r="B33" s="46">
        <f t="shared" si="2"/>
        <v>15</v>
      </c>
      <c r="C33" s="41" t="s">
        <v>8</v>
      </c>
      <c r="D33" s="41" t="s">
        <v>345</v>
      </c>
      <c r="E33" s="41">
        <v>3939</v>
      </c>
      <c r="F33" s="41"/>
      <c r="G33" s="41">
        <v>1970</v>
      </c>
      <c r="H33" s="41"/>
      <c r="I33" s="42">
        <v>45487</v>
      </c>
      <c r="J33" s="41" t="s">
        <v>344</v>
      </c>
      <c r="K33" s="41">
        <v>15.3</v>
      </c>
      <c r="L33" s="43"/>
    </row>
    <row r="34" spans="2:12" ht="15.75" hidden="1" outlineLevel="1" thickBot="1">
      <c r="B34" s="46">
        <f t="shared" si="2"/>
        <v>16</v>
      </c>
      <c r="C34" s="41" t="s">
        <v>8</v>
      </c>
      <c r="D34" s="41" t="s">
        <v>340</v>
      </c>
      <c r="E34" s="41" t="s">
        <v>356</v>
      </c>
      <c r="F34" s="41"/>
      <c r="G34" s="41">
        <v>1980</v>
      </c>
      <c r="H34" s="41"/>
      <c r="I34" s="42">
        <v>45386</v>
      </c>
      <c r="J34" s="41" t="s">
        <v>344</v>
      </c>
      <c r="K34" s="41">
        <v>31.7</v>
      </c>
      <c r="L34" s="43"/>
    </row>
    <row r="35" spans="2:12" ht="15.75" hidden="1" outlineLevel="1" thickBot="1">
      <c r="B35" s="46">
        <f t="shared" si="2"/>
        <v>17</v>
      </c>
      <c r="C35" s="41" t="s">
        <v>8</v>
      </c>
      <c r="D35" s="41" t="s">
        <v>340</v>
      </c>
      <c r="E35" s="41" t="s">
        <v>357</v>
      </c>
      <c r="F35" s="41"/>
      <c r="G35" s="41">
        <v>1975</v>
      </c>
      <c r="H35" s="41"/>
      <c r="I35" s="42">
        <v>45386</v>
      </c>
      <c r="J35" s="41" t="s">
        <v>344</v>
      </c>
      <c r="K35" s="41">
        <v>30.6</v>
      </c>
      <c r="L35" s="43"/>
    </row>
    <row r="36" spans="2:12" ht="15.75" hidden="1" outlineLevel="1" thickBot="1">
      <c r="B36" s="46">
        <f t="shared" si="2"/>
        <v>18</v>
      </c>
      <c r="C36" s="41" t="s">
        <v>8</v>
      </c>
      <c r="D36" s="41" t="s">
        <v>340</v>
      </c>
      <c r="E36" s="41" t="s">
        <v>358</v>
      </c>
      <c r="F36" s="41"/>
      <c r="G36" s="41">
        <v>1975</v>
      </c>
      <c r="H36" s="41"/>
      <c r="I36" s="42">
        <v>45386</v>
      </c>
      <c r="J36" s="41" t="s">
        <v>344</v>
      </c>
      <c r="K36" s="41">
        <v>28.6</v>
      </c>
      <c r="L36" s="43"/>
    </row>
    <row r="37" spans="2:12" ht="15.75" hidden="1" outlineLevel="1" thickBot="1">
      <c r="B37" s="46">
        <f t="shared" si="2"/>
        <v>19</v>
      </c>
      <c r="C37" s="41" t="s">
        <v>8</v>
      </c>
      <c r="D37" s="41" t="s">
        <v>340</v>
      </c>
      <c r="E37" s="41" t="s">
        <v>359</v>
      </c>
      <c r="F37" s="41"/>
      <c r="G37" s="41">
        <v>1975</v>
      </c>
      <c r="H37" s="41"/>
      <c r="I37" s="42">
        <v>45386</v>
      </c>
      <c r="J37" s="41" t="s">
        <v>344</v>
      </c>
      <c r="K37" s="41">
        <v>33.200000000000003</v>
      </c>
      <c r="L37" s="43"/>
    </row>
    <row r="38" spans="2:12" ht="15.75" hidden="1" outlineLevel="1" thickBot="1">
      <c r="B38" s="46">
        <f t="shared" si="2"/>
        <v>20</v>
      </c>
      <c r="C38" s="41" t="s">
        <v>8</v>
      </c>
      <c r="D38" s="41" t="s">
        <v>340</v>
      </c>
      <c r="E38" s="41" t="s">
        <v>360</v>
      </c>
      <c r="F38" s="41"/>
      <c r="G38" s="41">
        <v>1978</v>
      </c>
      <c r="H38" s="41"/>
      <c r="I38" s="42">
        <v>45734</v>
      </c>
      <c r="J38" s="41" t="s">
        <v>344</v>
      </c>
      <c r="K38" s="41">
        <v>30.9</v>
      </c>
      <c r="L38" s="43"/>
    </row>
    <row r="39" spans="2:12" ht="15.75" hidden="1" outlineLevel="1" thickBot="1">
      <c r="B39" s="46">
        <f t="shared" si="2"/>
        <v>21</v>
      </c>
      <c r="C39" s="41" t="s">
        <v>9</v>
      </c>
      <c r="D39" s="41" t="s">
        <v>340</v>
      </c>
      <c r="E39" s="41" t="s">
        <v>361</v>
      </c>
      <c r="F39" s="41"/>
      <c r="G39" s="41">
        <v>1989</v>
      </c>
      <c r="H39" s="41"/>
      <c r="I39" s="42">
        <v>45497</v>
      </c>
      <c r="J39" s="41" t="s">
        <v>344</v>
      </c>
      <c r="K39" s="41">
        <v>26</v>
      </c>
      <c r="L39" s="43"/>
    </row>
    <row r="40" spans="2:12" ht="15.75" hidden="1" outlineLevel="1" thickBot="1">
      <c r="B40" s="46">
        <f t="shared" si="2"/>
        <v>22</v>
      </c>
      <c r="C40" s="41" t="s">
        <v>9</v>
      </c>
      <c r="D40" s="41" t="s">
        <v>345</v>
      </c>
      <c r="E40" s="41" t="s">
        <v>362</v>
      </c>
      <c r="F40" s="41"/>
      <c r="G40" s="41">
        <v>1993</v>
      </c>
      <c r="H40" s="41"/>
      <c r="I40" s="42">
        <v>45280</v>
      </c>
      <c r="J40" s="41" t="s">
        <v>344</v>
      </c>
      <c r="K40" s="41">
        <v>30.2</v>
      </c>
      <c r="L40" s="43"/>
    </row>
    <row r="41" spans="2:12" ht="15.75" hidden="1" outlineLevel="1" thickBot="1">
      <c r="B41" s="46">
        <f t="shared" si="2"/>
        <v>23</v>
      </c>
      <c r="C41" s="41" t="s">
        <v>9</v>
      </c>
      <c r="D41" s="41" t="s">
        <v>345</v>
      </c>
      <c r="E41" s="41" t="s">
        <v>363</v>
      </c>
      <c r="F41" s="41"/>
      <c r="G41" s="41">
        <v>1989</v>
      </c>
      <c r="H41" s="41"/>
      <c r="I41" s="42">
        <v>45378</v>
      </c>
      <c r="J41" s="41" t="s">
        <v>344</v>
      </c>
      <c r="K41" s="41">
        <v>0</v>
      </c>
      <c r="L41" s="43"/>
    </row>
    <row r="42" spans="2:12" ht="15.75" hidden="1" outlineLevel="1" thickBot="1">
      <c r="B42" s="46">
        <f t="shared" si="2"/>
        <v>24</v>
      </c>
      <c r="C42" s="41" t="s">
        <v>9</v>
      </c>
      <c r="D42" s="41" t="s">
        <v>345</v>
      </c>
      <c r="E42" s="41" t="s">
        <v>364</v>
      </c>
      <c r="F42" s="41"/>
      <c r="G42" s="41">
        <v>1993</v>
      </c>
      <c r="H42" s="41"/>
      <c r="I42" s="42">
        <v>45365</v>
      </c>
      <c r="J42" s="41" t="s">
        <v>344</v>
      </c>
      <c r="K42" s="41">
        <v>22</v>
      </c>
      <c r="L42" s="43"/>
    </row>
    <row r="43" spans="2:12" ht="15.75" hidden="1" outlineLevel="1" thickBot="1">
      <c r="B43" s="46">
        <f t="shared" si="2"/>
        <v>25</v>
      </c>
      <c r="C43" s="41" t="s">
        <v>9</v>
      </c>
      <c r="D43" s="41"/>
      <c r="E43" s="41"/>
      <c r="F43" s="41"/>
      <c r="G43" s="41"/>
      <c r="H43" s="41"/>
      <c r="I43" s="42"/>
      <c r="J43" s="41"/>
      <c r="K43" s="41"/>
      <c r="L43" s="43"/>
    </row>
    <row r="44" spans="2:12" ht="15.75" hidden="1" outlineLevel="1" thickBot="1">
      <c r="B44" s="46">
        <f t="shared" si="2"/>
        <v>26</v>
      </c>
      <c r="C44" s="41" t="s">
        <v>9</v>
      </c>
      <c r="D44" s="41"/>
      <c r="E44" s="41"/>
      <c r="F44" s="41"/>
      <c r="G44" s="41"/>
      <c r="H44" s="41"/>
      <c r="I44" s="42"/>
      <c r="J44" s="41"/>
      <c r="K44" s="41"/>
      <c r="L44" s="43"/>
    </row>
    <row r="45" spans="2:12" ht="15.75" hidden="1" outlineLevel="1" thickBot="1">
      <c r="B45" s="46">
        <f t="shared" si="2"/>
        <v>27</v>
      </c>
      <c r="C45" s="41" t="s">
        <v>9</v>
      </c>
      <c r="D45" s="41"/>
      <c r="E45" s="41"/>
      <c r="F45" s="41"/>
      <c r="G45" s="41"/>
      <c r="H45" s="41"/>
      <c r="I45" s="42"/>
      <c r="J45" s="41"/>
      <c r="K45" s="41"/>
      <c r="L45" s="43"/>
    </row>
    <row r="46" spans="2:12" ht="15.75" hidden="1" outlineLevel="1" thickBot="1">
      <c r="B46" s="46">
        <f t="shared" si="2"/>
        <v>28</v>
      </c>
      <c r="C46" s="41" t="s">
        <v>9</v>
      </c>
      <c r="D46" s="41"/>
      <c r="E46" s="41"/>
      <c r="F46" s="41"/>
      <c r="G46" s="41"/>
      <c r="H46" s="41"/>
      <c r="I46" s="42"/>
      <c r="J46" s="41"/>
      <c r="K46" s="41"/>
      <c r="L46" s="43"/>
    </row>
    <row r="47" spans="2:12" ht="15.75" hidden="1" outlineLevel="1" thickBot="1">
      <c r="B47" s="46">
        <f t="shared" si="2"/>
        <v>29</v>
      </c>
      <c r="C47" s="1" t="s">
        <v>9</v>
      </c>
      <c r="D47" s="1"/>
      <c r="E47" s="1"/>
      <c r="F47" s="1"/>
      <c r="G47" s="1"/>
      <c r="H47" s="1"/>
      <c r="I47" s="36"/>
      <c r="J47" s="1"/>
      <c r="K47" s="1"/>
      <c r="L47" s="2"/>
    </row>
    <row r="48" spans="2:12" ht="15.75" hidden="1" outlineLevel="1" thickBot="1">
      <c r="B48" s="56" t="str">
        <f t="shared" si="2"/>
        <v/>
      </c>
      <c r="C48" s="38"/>
      <c r="D48" s="38"/>
      <c r="E48" s="38"/>
      <c r="F48" s="38"/>
      <c r="G48" s="38"/>
      <c r="H48" s="38"/>
      <c r="I48" s="38"/>
      <c r="J48" s="38"/>
      <c r="K48" s="38"/>
      <c r="L48" s="39"/>
    </row>
    <row r="49" spans="2:12" ht="24" customHeight="1" collapsed="1" thickBot="1">
      <c r="B49" s="320" t="s">
        <v>59</v>
      </c>
      <c r="C49" s="321"/>
      <c r="D49" s="321"/>
      <c r="E49" s="321"/>
      <c r="F49" s="321"/>
      <c r="G49" s="321"/>
      <c r="H49" s="321"/>
      <c r="I49" s="321"/>
      <c r="J49" s="321"/>
      <c r="K49" s="321"/>
      <c r="L49" s="322"/>
    </row>
    <row r="50" spans="2:12" ht="24" customHeight="1" thickBot="1">
      <c r="B50" s="26" t="s">
        <v>49</v>
      </c>
      <c r="C50" s="27" t="s">
        <v>60</v>
      </c>
      <c r="D50" s="27" t="s">
        <v>62</v>
      </c>
      <c r="E50" s="27" t="s">
        <v>63</v>
      </c>
      <c r="F50" s="27" t="s">
        <v>64</v>
      </c>
      <c r="G50" s="27" t="s">
        <v>65</v>
      </c>
      <c r="H50" s="27" t="s">
        <v>66</v>
      </c>
      <c r="I50" s="27" t="s">
        <v>67</v>
      </c>
      <c r="J50" s="27" t="s">
        <v>6</v>
      </c>
      <c r="K50" s="27" t="s">
        <v>7</v>
      </c>
      <c r="L50" s="28" t="s">
        <v>68</v>
      </c>
    </row>
    <row r="51" spans="2:12">
      <c r="B51" s="46" t="s">
        <v>8</v>
      </c>
      <c r="C51" s="41">
        <f>COUNTIFS(B19:B48,"&gt;"&amp;0,C19:C48,"="&amp;B51)</f>
        <v>16</v>
      </c>
      <c r="D51" s="41">
        <f>COUNTIFS(B19:B48,"&gt;="&amp;1,C19:C48,B51,K19:K48,"&gt;="&amp;0,K19:K48,"&lt;"&amp;50)</f>
        <v>15</v>
      </c>
      <c r="E51" s="41">
        <f>COUNTIFS(B19:B48,"&gt;="&amp;1,C19:C48,B51,K19:K48,"&gt;="&amp;50,K19:K48,"&lt;"&amp;500)</f>
        <v>1</v>
      </c>
      <c r="F51" s="41">
        <f>COUNTIFS(B19:B48,"&gt;="&amp;1,C19:C48,B51,K19:K48,"&gt;="&amp;500)</f>
        <v>0</v>
      </c>
      <c r="G51" s="41">
        <f>COUNTIFS(B19:B48,"&gt;="&amp;1,C19:C48,B51,K19:K48,"&gt;="&amp;0,I19:I48,"&gt;"&amp;DATE(2021,1,1))</f>
        <v>16</v>
      </c>
      <c r="H51" s="47">
        <f>IF(G51=0,"-",(SUM(E51,F51)/G51))</f>
        <v>6.25E-2</v>
      </c>
      <c r="I51" s="41">
        <f>IF((COUNTIFS(B19:B48,"&gt;="&amp;1,C19:C48,"="&amp;B51))&gt;228,228,(COUNTIFS(B19:B48,"&gt;="&amp;1,C19:C48,"="&amp;B51)))</f>
        <v>16</v>
      </c>
      <c r="J51" s="47">
        <f>IF(I51=0,"-",(COUNTIFS(C19:C48,"="&amp;B51,I19:I48,"&lt;="&amp;DATE(2024,12,31),K19:K48,"&gt;="&amp;0)/I51))</f>
        <v>0.8125</v>
      </c>
      <c r="K51" s="47">
        <f>IF(I51=0,"-",IF(J51=1,"-",(COUNTIFS(B19:B48,"&gt;"&amp;0,C19:C48,"="&amp;B51,I19:I48,"&gt;"&amp;DATE(2024,12,31),K19:K48,"&gt;="&amp;0)/(I51-COUNTIFS(B19:B48,"&gt;"&amp;0,C19:C48,"="&amp;B51,I19:I48,"&lt;="&amp;DATE(2024,12,31),K19:K48,"&gt;="&amp;0)))))</f>
        <v>1</v>
      </c>
      <c r="L51" s="48">
        <f>IF(I51=0,"-",G51/I51)</f>
        <v>1</v>
      </c>
    </row>
    <row r="52" spans="2:12">
      <c r="B52" s="7" t="s">
        <v>9</v>
      </c>
      <c r="C52" s="1">
        <f>COUNTIFS(B19:B48,"&gt;"&amp;0,C19:C48,"="&amp;B52)</f>
        <v>13</v>
      </c>
      <c r="D52" s="1">
        <f>COUNTIFS(B19:B48,"&gt;="&amp;1,C19:C48,B52,K19:K48,"&gt;="&amp;0,K19:K48,"&lt;"&amp;50)</f>
        <v>8</v>
      </c>
      <c r="E52" s="1">
        <f>COUNTIFS(B19:B48,"&gt;="&amp;1,C19:C48,B52,K19:K48,"&gt;="&amp;50,K19:K48,"&lt;"&amp;500)</f>
        <v>0</v>
      </c>
      <c r="F52" s="1">
        <f>COUNTIFS(B19:B48,"&gt;="&amp;1,C19:C48,B52,K19:K48,"&gt;="&amp;500)</f>
        <v>0</v>
      </c>
      <c r="G52" s="1">
        <f>COUNTIFS(B19:B48,"&gt;="&amp;1,C19:C48,B52,K19:K48,"&gt;="&amp;0,I19:I48,"&gt;"&amp;DATE(2021,1,1))</f>
        <v>8</v>
      </c>
      <c r="H52" s="44">
        <f t="shared" ref="H52:H54" si="3">IF(G52=0,"-",(SUM(E52,F52)/G52))</f>
        <v>0</v>
      </c>
      <c r="I52" s="1">
        <f>IF((COUNTIFS(B19:B48,"&gt;="&amp;1,C19:C48,"="&amp;B52))&gt;228,228,(COUNTIFS(B19:B48,"&gt;="&amp;1,C19:C48,"="&amp;B52)))</f>
        <v>13</v>
      </c>
      <c r="J52" s="44">
        <f>IF(I52=0,"-",(COUNTIFS(C19:C48,"="&amp;B52,I19:I48,"&lt;="&amp;DATE(2024,12,31),K19:K48,"&gt;="&amp;0)/I52))</f>
        <v>0.61538461538461542</v>
      </c>
      <c r="K52" s="47">
        <f>IF(I52=0,"-",IF(J52=1,"-",(COUNTIFS(B19:B48,"&gt;"&amp;0,C19:C48,"="&amp;B52,I19:I48,"&gt;"&amp;DATE(2024,12,31),K19:K48,"&gt;="&amp;0)/(I52-COUNTIFS(B19:B48,"&gt;"&amp;0,C19:C48,"="&amp;B52,I19:I48,"&lt;="&amp;DATE(2024,12,31),K19:K48,"&gt;="&amp;0)))))</f>
        <v>0</v>
      </c>
      <c r="L52" s="45">
        <f t="shared" ref="L52:L54" si="4">IF(I52=0,"-",G52/I52)</f>
        <v>0.61538461538461542</v>
      </c>
    </row>
    <row r="53" spans="2:12">
      <c r="B53" s="7" t="s">
        <v>69</v>
      </c>
      <c r="C53" s="1">
        <f>COUNTIFS(B19:B48,"&gt;"&amp;0,C19:C48,"="&amp;B53)</f>
        <v>0</v>
      </c>
      <c r="D53" s="1">
        <f>COUNTIFS(B19:B48,"&gt;="&amp;1,C19:C48,B53,K19:K48,"&gt;="&amp;0,K19:K48,"&lt;"&amp;50)</f>
        <v>0</v>
      </c>
      <c r="E53" s="1">
        <f>COUNTIFS(B19:B48,"&gt;="&amp;1,C19:C48,B53,K19:K48,"&gt;="&amp;50,K19:K48,"&lt;"&amp;500)</f>
        <v>0</v>
      </c>
      <c r="F53" s="1">
        <f>COUNTIFS(B19:B47,"&gt;="&amp;1,C19:C47,B53,K19:K47,"&gt;="&amp;500)</f>
        <v>0</v>
      </c>
      <c r="G53" s="1">
        <f>COUNTIFS(B19:B48,"&gt;="&amp;1,C19:C48,B53,K19:K48,"&gt;="&amp;0,I19:I48,"&gt;"&amp;DATE(2021,1,1))</f>
        <v>0</v>
      </c>
      <c r="H53" s="44" t="str">
        <f t="shared" si="3"/>
        <v>-</v>
      </c>
      <c r="I53" s="1">
        <f>IF((COUNTIFS(B19:B47,"&gt;="&amp;1,C19:C47,"="&amp;B53))&gt;228,228,(COUNTIFS(B19:B47,"&gt;="&amp;1,C19:C47,"="&amp;B53)))</f>
        <v>0</v>
      </c>
      <c r="J53" s="44" t="str">
        <f>IF(I53=0,"-",(COUNTIFS(C19:C48,"="&amp;B53,I19:I48,"&lt;="&amp;DATE(2024,12,31),K19:K48,"&gt;="&amp;0)/I53))</f>
        <v>-</v>
      </c>
      <c r="K53" s="47" t="str">
        <f>IF(I53=0,"-",IF(J53=1,"-",(COUNTIFS(B19:B48,"&gt;"&amp;0,C19:C48,"="&amp;B53,I19:I48,"&gt;"&amp;DATE(2024,12,31),K19:K48,"&gt;="&amp;0)/(I53-COUNTIFS(B19:B48,"&gt;"&amp;0,C19:C48,"="&amp;B53,I19:I48,"&lt;="&amp;DATE(2024,12,31),K19:K48,"&gt;="&amp;0)))))</f>
        <v>-</v>
      </c>
      <c r="L53" s="45" t="str">
        <f t="shared" si="4"/>
        <v>-</v>
      </c>
    </row>
    <row r="54" spans="2:12" ht="24" customHeight="1" thickBot="1">
      <c r="B54" s="49" t="s">
        <v>59</v>
      </c>
      <c r="C54" s="50">
        <f>SUM(C51:C53)</f>
        <v>29</v>
      </c>
      <c r="D54" s="50">
        <f>SUM(D51:D53)</f>
        <v>23</v>
      </c>
      <c r="E54" s="50">
        <f>SUM(E51:E53)</f>
        <v>1</v>
      </c>
      <c r="F54" s="50">
        <f>SUM(F51:F53)</f>
        <v>0</v>
      </c>
      <c r="G54" s="50">
        <f>SUM(G51:G53)</f>
        <v>24</v>
      </c>
      <c r="H54" s="51">
        <f t="shared" si="3"/>
        <v>4.1666666666666664E-2</v>
      </c>
      <c r="I54" s="50">
        <f>SUM(I51:I53)</f>
        <v>29</v>
      </c>
      <c r="J54" s="51">
        <f>IF(I54=0,"-",(COUNTIFS(I19:I48,"&lt;="&amp;DATE(2024,12,31),K19:K48,"&gt;="&amp;0)/I54))</f>
        <v>0.72413793103448276</v>
      </c>
      <c r="K54" s="51">
        <f>IF(I54=0,"-",IF(J54=1,"-",(COUNTIFS(B19:B48,"&gt;"&amp;0,I19:I48,"&gt;"&amp;DATE(2024,12,31),K19:K48,"&gt;="&amp;0)/(I54-COUNTIFS(B19:B48,"&gt;"&amp;0,I19:I48,"&lt;="&amp;DATE(2024,12,31),K19:K48,"&gt;="&amp;0)))))</f>
        <v>0.375</v>
      </c>
      <c r="L54" s="52">
        <f t="shared" si="4"/>
        <v>0.82758620689655171</v>
      </c>
    </row>
    <row r="56" spans="2:12" ht="15.75" thickBot="1"/>
    <row r="57" spans="2:12" ht="32.25" customHeight="1" thickBot="1">
      <c r="B57" s="320" t="str">
        <f>_xlfn.CONCAT("Religadores",TEXT(IF(SUM(I83:I85)=0," ",(SUM(G83:G85)/SUM(I83:I85))), " 0,00%"))</f>
        <v>Religadores 0,00%</v>
      </c>
      <c r="C57" s="321"/>
      <c r="D57" s="321"/>
      <c r="E57" s="321"/>
      <c r="F57" s="321"/>
      <c r="G57" s="321"/>
      <c r="H57" s="321"/>
      <c r="I57" s="321"/>
      <c r="J57" s="321"/>
      <c r="K57" s="321"/>
      <c r="L57" s="322"/>
    </row>
    <row r="58" spans="2:12" ht="24" hidden="1" customHeight="1" outlineLevel="1" thickBot="1">
      <c r="B58" s="26" t="s">
        <v>48</v>
      </c>
      <c r="C58" s="27" t="s">
        <v>49</v>
      </c>
      <c r="D58" s="27" t="s">
        <v>50</v>
      </c>
      <c r="E58" s="27" t="s">
        <v>51</v>
      </c>
      <c r="F58" s="27" t="s">
        <v>52</v>
      </c>
      <c r="G58" s="27" t="s">
        <v>53</v>
      </c>
      <c r="H58" s="27" t="s">
        <v>54</v>
      </c>
      <c r="I58" s="27" t="s">
        <v>55</v>
      </c>
      <c r="J58" s="27" t="s">
        <v>56</v>
      </c>
      <c r="K58" s="27" t="s">
        <v>57</v>
      </c>
      <c r="L58" s="28" t="s">
        <v>58</v>
      </c>
    </row>
    <row r="59" spans="2:12" ht="15.75" hidden="1" outlineLevel="1" thickBot="1">
      <c r="B59" s="46">
        <f>IF(C59="","",ROW($A$1))</f>
        <v>1</v>
      </c>
      <c r="C59" s="41" t="s">
        <v>9</v>
      </c>
      <c r="D59" s="41" t="s">
        <v>365</v>
      </c>
      <c r="E59" s="41"/>
      <c r="F59" s="41"/>
      <c r="G59" s="41"/>
      <c r="H59" s="41"/>
      <c r="I59" s="42"/>
      <c r="J59" s="41"/>
      <c r="K59" s="41"/>
      <c r="L59" s="43"/>
    </row>
    <row r="60" spans="2:12" ht="15.75" hidden="1" outlineLevel="1" thickBot="1">
      <c r="B60" s="7">
        <f>IF(C60="","",(B59+1))</f>
        <v>2</v>
      </c>
      <c r="C60" s="1" t="s">
        <v>9</v>
      </c>
      <c r="D60" s="41" t="s">
        <v>365</v>
      </c>
      <c r="E60" s="1"/>
      <c r="F60" s="1"/>
      <c r="G60" s="1"/>
      <c r="H60" s="1"/>
      <c r="I60" s="36"/>
      <c r="J60" s="1"/>
      <c r="K60" s="1"/>
      <c r="L60" s="2"/>
    </row>
    <row r="61" spans="2:12" ht="15.75" hidden="1" outlineLevel="1" thickBot="1">
      <c r="B61" s="7">
        <f t="shared" ref="B61:B80" si="5">IF(C61="","",(B60+1))</f>
        <v>3</v>
      </c>
      <c r="C61" s="53" t="s">
        <v>9</v>
      </c>
      <c r="D61" s="41" t="s">
        <v>365</v>
      </c>
      <c r="E61" s="53"/>
      <c r="F61" s="53"/>
      <c r="G61" s="53"/>
      <c r="H61" s="53"/>
      <c r="I61" s="54"/>
      <c r="J61" s="53"/>
      <c r="K61" s="53"/>
      <c r="L61" s="55"/>
    </row>
    <row r="62" spans="2:12" ht="15.75" hidden="1" outlineLevel="1" thickBot="1">
      <c r="B62" s="7">
        <f t="shared" si="5"/>
        <v>4</v>
      </c>
      <c r="C62" s="53" t="s">
        <v>9</v>
      </c>
      <c r="D62" s="41" t="s">
        <v>365</v>
      </c>
      <c r="E62" s="53"/>
      <c r="F62" s="53"/>
      <c r="G62" s="53"/>
      <c r="H62" s="53"/>
      <c r="I62" s="54"/>
      <c r="J62" s="53"/>
      <c r="K62" s="53"/>
      <c r="L62" s="55"/>
    </row>
    <row r="63" spans="2:12" ht="15.75" hidden="1" outlineLevel="1" thickBot="1">
      <c r="B63" s="7">
        <f t="shared" si="5"/>
        <v>5</v>
      </c>
      <c r="C63" s="53" t="s">
        <v>9</v>
      </c>
      <c r="D63" s="41" t="s">
        <v>365</v>
      </c>
      <c r="E63" s="53"/>
      <c r="F63" s="53"/>
      <c r="G63" s="53"/>
      <c r="H63" s="53"/>
      <c r="I63" s="54"/>
      <c r="J63" s="53"/>
      <c r="K63" s="53"/>
      <c r="L63" s="55"/>
    </row>
    <row r="64" spans="2:12" ht="15.75" hidden="1" outlineLevel="1" thickBot="1">
      <c r="B64" s="7">
        <f t="shared" si="5"/>
        <v>6</v>
      </c>
      <c r="C64" s="53" t="s">
        <v>9</v>
      </c>
      <c r="D64" s="41" t="s">
        <v>365</v>
      </c>
      <c r="E64" s="53"/>
      <c r="F64" s="53"/>
      <c r="G64" s="53"/>
      <c r="H64" s="53"/>
      <c r="I64" s="54"/>
      <c r="J64" s="53"/>
      <c r="K64" s="53"/>
      <c r="L64" s="55"/>
    </row>
    <row r="65" spans="2:12" ht="15.75" hidden="1" outlineLevel="1" thickBot="1">
      <c r="B65" s="7">
        <f t="shared" si="5"/>
        <v>7</v>
      </c>
      <c r="C65" s="53" t="s">
        <v>9</v>
      </c>
      <c r="D65" s="41" t="s">
        <v>365</v>
      </c>
      <c r="E65" s="53"/>
      <c r="F65" s="53"/>
      <c r="G65" s="53"/>
      <c r="H65" s="53"/>
      <c r="I65" s="54"/>
      <c r="J65" s="53"/>
      <c r="K65" s="53"/>
      <c r="L65" s="55"/>
    </row>
    <row r="66" spans="2:12" ht="15.75" hidden="1" outlineLevel="1" thickBot="1">
      <c r="B66" s="7">
        <f t="shared" si="5"/>
        <v>8</v>
      </c>
      <c r="C66" s="53" t="s">
        <v>9</v>
      </c>
      <c r="D66" s="41" t="s">
        <v>365</v>
      </c>
      <c r="E66" s="53"/>
      <c r="F66" s="53"/>
      <c r="G66" s="53"/>
      <c r="H66" s="53"/>
      <c r="I66" s="54"/>
      <c r="J66" s="53"/>
      <c r="K66" s="53"/>
      <c r="L66" s="55"/>
    </row>
    <row r="67" spans="2:12" ht="15.75" hidden="1" outlineLevel="1" thickBot="1">
      <c r="B67" s="7">
        <f t="shared" si="5"/>
        <v>9</v>
      </c>
      <c r="C67" s="53" t="s">
        <v>9</v>
      </c>
      <c r="D67" s="41" t="s">
        <v>365</v>
      </c>
      <c r="E67" s="53"/>
      <c r="F67" s="53"/>
      <c r="G67" s="53"/>
      <c r="H67" s="53"/>
      <c r="I67" s="54"/>
      <c r="J67" s="53"/>
      <c r="K67" s="53"/>
      <c r="L67" s="55"/>
    </row>
    <row r="68" spans="2:12" ht="15.75" hidden="1" outlineLevel="1" thickBot="1">
      <c r="B68" s="7">
        <f t="shared" si="5"/>
        <v>10</v>
      </c>
      <c r="C68" s="53" t="s">
        <v>9</v>
      </c>
      <c r="D68" s="41" t="s">
        <v>365</v>
      </c>
      <c r="E68" s="53"/>
      <c r="F68" s="53"/>
      <c r="G68" s="53"/>
      <c r="H68" s="53"/>
      <c r="I68" s="54"/>
      <c r="J68" s="53"/>
      <c r="K68" s="53"/>
      <c r="L68" s="55"/>
    </row>
    <row r="69" spans="2:12" ht="15.75" hidden="1" outlineLevel="1" thickBot="1">
      <c r="B69" s="7">
        <f t="shared" si="5"/>
        <v>11</v>
      </c>
      <c r="C69" s="53" t="s">
        <v>9</v>
      </c>
      <c r="D69" s="41" t="s">
        <v>365</v>
      </c>
      <c r="E69" s="53"/>
      <c r="F69" s="53"/>
      <c r="G69" s="53"/>
      <c r="H69" s="53"/>
      <c r="I69" s="54"/>
      <c r="J69" s="53"/>
      <c r="K69" s="53"/>
      <c r="L69" s="55"/>
    </row>
    <row r="70" spans="2:12" ht="15.75" hidden="1" outlineLevel="1" thickBot="1">
      <c r="B70" s="7">
        <f t="shared" si="5"/>
        <v>12</v>
      </c>
      <c r="C70" s="53" t="s">
        <v>9</v>
      </c>
      <c r="D70" s="41" t="s">
        <v>365</v>
      </c>
      <c r="E70" s="53"/>
      <c r="F70" s="53"/>
      <c r="G70" s="53"/>
      <c r="H70" s="53"/>
      <c r="I70" s="54"/>
      <c r="J70" s="53"/>
      <c r="K70" s="53"/>
      <c r="L70" s="55"/>
    </row>
    <row r="71" spans="2:12" ht="15.75" hidden="1" outlineLevel="1" thickBot="1">
      <c r="B71" s="7">
        <f t="shared" si="5"/>
        <v>13</v>
      </c>
      <c r="C71" s="53" t="s">
        <v>9</v>
      </c>
      <c r="D71" s="41" t="s">
        <v>365</v>
      </c>
      <c r="E71" s="53"/>
      <c r="F71" s="53"/>
      <c r="G71" s="53"/>
      <c r="H71" s="53"/>
      <c r="I71" s="54"/>
      <c r="J71" s="53"/>
      <c r="K71" s="53"/>
      <c r="L71" s="55"/>
    </row>
    <row r="72" spans="2:12" ht="15.75" hidden="1" outlineLevel="1" thickBot="1">
      <c r="B72" s="7">
        <f t="shared" si="5"/>
        <v>14</v>
      </c>
      <c r="C72" s="53" t="s">
        <v>9</v>
      </c>
      <c r="D72" s="41" t="s">
        <v>365</v>
      </c>
      <c r="E72" s="53"/>
      <c r="F72" s="53"/>
      <c r="G72" s="53"/>
      <c r="H72" s="53"/>
      <c r="I72" s="54"/>
      <c r="J72" s="53"/>
      <c r="K72" s="53"/>
      <c r="L72" s="55"/>
    </row>
    <row r="73" spans="2:12" ht="15.75" hidden="1" outlineLevel="1" thickBot="1">
      <c r="B73" s="7">
        <f t="shared" si="5"/>
        <v>15</v>
      </c>
      <c r="C73" s="53" t="s">
        <v>9</v>
      </c>
      <c r="D73" s="41" t="s">
        <v>365</v>
      </c>
      <c r="E73" s="53"/>
      <c r="F73" s="53"/>
      <c r="G73" s="53"/>
      <c r="H73" s="53"/>
      <c r="I73" s="54"/>
      <c r="J73" s="53"/>
      <c r="K73" s="53"/>
      <c r="L73" s="55"/>
    </row>
    <row r="74" spans="2:12" ht="15.75" hidden="1" outlineLevel="1" thickBot="1">
      <c r="B74" s="7">
        <f t="shared" si="5"/>
        <v>16</v>
      </c>
      <c r="C74" s="53" t="s">
        <v>9</v>
      </c>
      <c r="D74" s="41" t="s">
        <v>365</v>
      </c>
      <c r="E74" s="53"/>
      <c r="F74" s="53"/>
      <c r="G74" s="53"/>
      <c r="H74" s="53"/>
      <c r="I74" s="54"/>
      <c r="J74" s="53"/>
      <c r="K74" s="53"/>
      <c r="L74" s="55"/>
    </row>
    <row r="75" spans="2:12" ht="15.75" hidden="1" outlineLevel="1" thickBot="1">
      <c r="B75" s="7">
        <f>IF(C75="","",(B74+1))</f>
        <v>17</v>
      </c>
      <c r="C75" s="53" t="s">
        <v>9</v>
      </c>
      <c r="D75" s="41" t="s">
        <v>365</v>
      </c>
      <c r="E75" s="53"/>
      <c r="F75" s="53"/>
      <c r="G75" s="53"/>
      <c r="H75" s="53"/>
      <c r="I75" s="54"/>
      <c r="J75" s="53"/>
      <c r="K75" s="53"/>
      <c r="L75" s="55"/>
    </row>
    <row r="76" spans="2:12" ht="15.75" hidden="1" outlineLevel="1" thickBot="1">
      <c r="B76" s="7">
        <f>IF(C76="","",(B75+1))</f>
        <v>18</v>
      </c>
      <c r="C76" s="53" t="s">
        <v>9</v>
      </c>
      <c r="D76" s="41" t="s">
        <v>365</v>
      </c>
      <c r="E76" s="53"/>
      <c r="F76" s="53"/>
      <c r="G76" s="53"/>
      <c r="H76" s="53"/>
      <c r="I76" s="54"/>
      <c r="J76" s="53"/>
      <c r="K76" s="53"/>
      <c r="L76" s="55"/>
    </row>
    <row r="77" spans="2:12" ht="15.75" hidden="1" outlineLevel="1" thickBot="1">
      <c r="B77" s="7" t="str">
        <f t="shared" si="5"/>
        <v/>
      </c>
      <c r="C77" s="53"/>
      <c r="D77" s="53"/>
      <c r="E77" s="53"/>
      <c r="F77" s="53"/>
      <c r="G77" s="53"/>
      <c r="H77" s="53"/>
      <c r="I77" s="54"/>
      <c r="J77" s="53"/>
      <c r="K77" s="53"/>
      <c r="L77" s="55"/>
    </row>
    <row r="78" spans="2:12" ht="15.75" hidden="1" outlineLevel="1" thickBot="1">
      <c r="B78" s="7" t="str">
        <f t="shared" si="5"/>
        <v/>
      </c>
      <c r="C78" s="53"/>
      <c r="D78" s="53"/>
      <c r="E78" s="53"/>
      <c r="F78" s="53"/>
      <c r="G78" s="53"/>
      <c r="H78" s="53"/>
      <c r="I78" s="54"/>
      <c r="J78" s="53"/>
      <c r="K78" s="53"/>
      <c r="L78" s="55"/>
    </row>
    <row r="79" spans="2:12" ht="15.75" hidden="1" outlineLevel="1" thickBot="1">
      <c r="B79" s="7" t="str">
        <f t="shared" si="5"/>
        <v/>
      </c>
      <c r="C79" s="53"/>
      <c r="D79" s="53"/>
      <c r="E79" s="53"/>
      <c r="F79" s="53"/>
      <c r="G79" s="53"/>
      <c r="H79" s="53"/>
      <c r="I79" s="54"/>
      <c r="J79" s="53"/>
      <c r="K79" s="53"/>
      <c r="L79" s="55"/>
    </row>
    <row r="80" spans="2:12" ht="15.75" hidden="1" outlineLevel="1" thickBot="1">
      <c r="B80" s="56" t="str">
        <f t="shared" si="5"/>
        <v/>
      </c>
      <c r="C80" s="38"/>
      <c r="D80" s="38"/>
      <c r="E80" s="38"/>
      <c r="F80" s="38"/>
      <c r="G80" s="38"/>
      <c r="H80" s="38"/>
      <c r="I80" s="57"/>
      <c r="J80" s="38"/>
      <c r="K80" s="38"/>
      <c r="L80" s="39"/>
    </row>
    <row r="81" spans="2:12" ht="24" customHeight="1" collapsed="1" thickBot="1">
      <c r="B81" s="320" t="s">
        <v>59</v>
      </c>
      <c r="C81" s="321"/>
      <c r="D81" s="321"/>
      <c r="E81" s="321"/>
      <c r="F81" s="321"/>
      <c r="G81" s="321"/>
      <c r="H81" s="321"/>
      <c r="I81" s="321"/>
      <c r="J81" s="321"/>
      <c r="K81" s="321"/>
      <c r="L81" s="322"/>
    </row>
    <row r="82" spans="2:12" ht="24" customHeight="1" thickBot="1">
      <c r="B82" s="26" t="s">
        <v>49</v>
      </c>
      <c r="C82" s="27" t="s">
        <v>60</v>
      </c>
      <c r="D82" s="27" t="s">
        <v>62</v>
      </c>
      <c r="E82" s="27" t="s">
        <v>63</v>
      </c>
      <c r="F82" s="27" t="s">
        <v>64</v>
      </c>
      <c r="G82" s="27" t="s">
        <v>65</v>
      </c>
      <c r="H82" s="27" t="s">
        <v>66</v>
      </c>
      <c r="I82" s="27" t="s">
        <v>67</v>
      </c>
      <c r="J82" s="27" t="s">
        <v>6</v>
      </c>
      <c r="K82" s="27" t="s">
        <v>7</v>
      </c>
      <c r="L82" s="28" t="s">
        <v>68</v>
      </c>
    </row>
    <row r="83" spans="2:12">
      <c r="B83" s="46" t="s">
        <v>8</v>
      </c>
      <c r="C83" s="41">
        <f>COUNTIFS(B59:B80,"&gt;"&amp;0,C59:C80,"="&amp;B83)</f>
        <v>0</v>
      </c>
      <c r="D83" s="41">
        <f>COUNTIFS(B59:B80,"&gt;="&amp;1,C59:C80,B83,K59:K80,"&gt;="&amp;0,K59:K80,"&lt;"&amp;50)</f>
        <v>0</v>
      </c>
      <c r="E83" s="41">
        <f>COUNTIFS(B59:B80,"&gt;="&amp;1,C59:C80,B83,K59:K80,"&gt;="&amp;50,K59:K80,"&lt;"&amp;500)</f>
        <v>0</v>
      </c>
      <c r="F83" s="41">
        <f>COUNTIFS(B59:B80,"&gt;="&amp;1,C59:C80,B83,K59:K80,"&gt;="&amp;500)</f>
        <v>0</v>
      </c>
      <c r="G83" s="41">
        <f>COUNTIFS(B59:B80,"&gt;="&amp;1,C59:C80,B83,K59:K80,"&gt;="&amp;0,I59:I80,"&gt;"&amp;DATE(2021,1,1))</f>
        <v>0</v>
      </c>
      <c r="H83" s="47" t="str">
        <f>IF(G83=0,"-",(SUM(E83,F83)/G83))</f>
        <v>-</v>
      </c>
      <c r="I83" s="41">
        <f>IF((COUNTIFS(B59:B80,"&gt;="&amp;1,C59:C80,"="&amp;B83))&gt;228,228,(COUNTIFS(B59:B80,"&gt;="&amp;1,C59:C80,"="&amp;B83)))</f>
        <v>0</v>
      </c>
      <c r="J83" s="47" t="str">
        <f>IF(I83=0,"-",(COUNTIFS(C59:C80,"="&amp;B83,I59:I80,"&lt;="&amp;DATE(2024,12,31),K59:K80,"&gt;="&amp;0)/I83))</f>
        <v>-</v>
      </c>
      <c r="K83" s="47" t="str">
        <f>IF(I83=0,"-",IF(J83=1,"-",(COUNTIFS(B59:B80,"&gt;"&amp;0,C59:C80,"="&amp;B83,I59:I80,"&gt;"&amp;DATE(2024,12,31),K59:K80,"&gt;="&amp;0)/(I83-COUNTIFS(B59:B80,"&gt;"&amp;0,C59:C80,"="&amp;B83,I59:I80,"&lt;="&amp;DATE(2024,12,31),K59:K80,"&gt;="&amp;0)))))</f>
        <v>-</v>
      </c>
      <c r="L83" s="48" t="str">
        <f>IF(I83=0,"-",G83/I83)</f>
        <v>-</v>
      </c>
    </row>
    <row r="84" spans="2:12">
      <c r="B84" s="7" t="s">
        <v>9</v>
      </c>
      <c r="C84" s="1">
        <f>COUNTIFS(B59:B80,"&gt;"&amp;0,C59:C80,"="&amp;B84)</f>
        <v>18</v>
      </c>
      <c r="D84" s="1">
        <f>COUNTIFS(B59:B80,"&gt;="&amp;1,C59:C80,B84,K59:K80,"&gt;="&amp;0,K59:K80,"&lt;"&amp;50)</f>
        <v>0</v>
      </c>
      <c r="E84" s="1">
        <f>COUNTIFS(B59:B80,"&gt;="&amp;1,C59:C80,B84,K59:K80,"&gt;="&amp;50,K59:K80,"&lt;"&amp;500)</f>
        <v>0</v>
      </c>
      <c r="F84" s="1">
        <f>COUNTIFS(B59:B80,"&gt;="&amp;1,C59:C80,B84,K59:K80,"&gt;="&amp;500)</f>
        <v>0</v>
      </c>
      <c r="G84" s="1">
        <f>COUNTIFS(B59:B80,"&gt;="&amp;1,C59:C80,B84,K59:K80,"&gt;="&amp;0,I59:I80,"&gt;"&amp;DATE(2021,1,1))</f>
        <v>0</v>
      </c>
      <c r="H84" s="44" t="str">
        <f t="shared" ref="H84:H86" si="6">IF(G84=0,"-",(SUM(E84,F84)/G84))</f>
        <v>-</v>
      </c>
      <c r="I84" s="1">
        <f>IF((COUNTIFS(B59:B80,"&gt;="&amp;1,C59:C80,"="&amp;B84))&gt;228,228,(COUNTIFS(B59:B80,"&gt;="&amp;1,C59:C80,"="&amp;B84)))</f>
        <v>18</v>
      </c>
      <c r="J84" s="44">
        <f>IF(I84=0,"-",(COUNTIFS(C59:C80,"="&amp;B84,I59:I80,"&lt;="&amp;DATE(2024,12,31),K59:K80,"&gt;="&amp;0)/I84))</f>
        <v>0</v>
      </c>
      <c r="K84" s="47">
        <f>IF(I84=0,"-",IF(J84=1,"-",(COUNTIFS(B59:B80,"&gt;"&amp;0,C59:C80,"="&amp;B84,I59:I80,"&gt;"&amp;DATE(2024,12,31),K59:K80,"&gt;="&amp;0)/(I84-COUNTIFS(B59:B80,"&gt;"&amp;0,C59:C80,"="&amp;B84,I59:I80,"&lt;="&amp;DATE(2024,12,31),K59:K80,"&gt;="&amp;0)))))</f>
        <v>0</v>
      </c>
      <c r="L84" s="45">
        <f t="shared" ref="L84:L86" si="7">IF(I84=0,"-",G84/I84)</f>
        <v>0</v>
      </c>
    </row>
    <row r="85" spans="2:12">
      <c r="B85" s="7" t="s">
        <v>69</v>
      </c>
      <c r="C85" s="1">
        <f>COUNTIFS(B59:B80,"&gt;"&amp;0,C59:C80,"="&amp;B85)</f>
        <v>0</v>
      </c>
      <c r="D85" s="1">
        <f>COUNTIFS(B59:B80,"&gt;="&amp;1,C59:C80,B85,K59:K80,"&gt;="&amp;0,K59:K80,"&lt;"&amp;50)</f>
        <v>0</v>
      </c>
      <c r="E85" s="1">
        <f>COUNTIFS(B59:B80,"&gt;="&amp;1,C59:C80,B85,K59:K80,"&gt;="&amp;50,K59:K80,"&lt;"&amp;500)</f>
        <v>0</v>
      </c>
      <c r="F85" s="1">
        <f>COUNTIFS(B59:B60,"&gt;="&amp;1,C59:C60,B85,K59:K60,"&gt;="&amp;500)</f>
        <v>0</v>
      </c>
      <c r="G85" s="1">
        <f>COUNTIFS(B59:B80,"&gt;="&amp;1,C59:C80,B85,K59:K80,"&gt;="&amp;0,I59:I80,"&gt;"&amp;DATE(2021,1,1))</f>
        <v>0</v>
      </c>
      <c r="H85" s="44" t="str">
        <f t="shared" si="6"/>
        <v>-</v>
      </c>
      <c r="I85" s="1">
        <f>IF((COUNTIFS(B59:B60,"&gt;="&amp;1,C59:C60,"="&amp;B85))&gt;228,228,(COUNTIFS(B59:B60,"&gt;="&amp;1,C59:C60,"="&amp;B85)))</f>
        <v>0</v>
      </c>
      <c r="J85" s="44" t="str">
        <f>IF(I85=0,"-",(COUNTIFS(C59:C80,"="&amp;B85,I59:I80,"&lt;="&amp;DATE(2024,12,31),K59:K80,"&gt;="&amp;0)/I85))</f>
        <v>-</v>
      </c>
      <c r="K85" s="47" t="str">
        <f>IF(I85=0,"-",IF(J85=1,"-",(COUNTIFS(B59:B80,"&gt;"&amp;0,C59:C80,"="&amp;B85,I59:I80,"&gt;"&amp;DATE(2024,12,31),K59:K80,"&gt;="&amp;0)/(I85-COUNTIFS(B59:B80,"&gt;"&amp;0,C59:C80,"="&amp;B85,I59:I80,"&lt;="&amp;DATE(2024,12,31),K59:K80,"&gt;="&amp;0)))))</f>
        <v>-</v>
      </c>
      <c r="L85" s="45" t="str">
        <f t="shared" si="7"/>
        <v>-</v>
      </c>
    </row>
    <row r="86" spans="2:12" ht="24" customHeight="1" thickBot="1">
      <c r="B86" s="49" t="s">
        <v>59</v>
      </c>
      <c r="C86" s="50">
        <f>SUM(C83:C85)</f>
        <v>18</v>
      </c>
      <c r="D86" s="50">
        <f>SUM(D83:D85)</f>
        <v>0</v>
      </c>
      <c r="E86" s="50">
        <f>SUM(E83:E85)</f>
        <v>0</v>
      </c>
      <c r="F86" s="50">
        <f>SUM(F83:F85)</f>
        <v>0</v>
      </c>
      <c r="G86" s="50">
        <f>SUM(G83:G85)</f>
        <v>0</v>
      </c>
      <c r="H86" s="51" t="str">
        <f t="shared" si="6"/>
        <v>-</v>
      </c>
      <c r="I86" s="50">
        <f>SUM(I83:I85)</f>
        <v>18</v>
      </c>
      <c r="J86" s="51">
        <f>IF(I86=0,"-",(COUNTIFS(I59:I80,"&lt;="&amp;DATE(2024,12,31),K59:K80,"&gt;="&amp;0)/I86))</f>
        <v>0</v>
      </c>
      <c r="K86" s="51">
        <f>IF(I86=0,"-",IF(J86=1,"-",(COUNTIFS(B59:B80,"&gt;"&amp;0,I59:I80,"&gt;"&amp;DATE(2024,12,31),K59:K80,"&gt;="&amp;0)/(I86-COUNTIFS(B59:B80,"&gt;"&amp;0,I59:I80,"&lt;="&amp;DATE(2024,12,31),K59:K80,"&gt;="&amp;0)))))</f>
        <v>0</v>
      </c>
      <c r="L86" s="52">
        <f t="shared" si="7"/>
        <v>0</v>
      </c>
    </row>
    <row r="88" spans="2:12" ht="15.75" thickBot="1"/>
    <row r="89" spans="2:12" ht="32.25" customHeight="1" thickBot="1">
      <c r="B89" s="320" t="str">
        <f>_xlfn.CONCAT("Reguladores de Tensão",TEXT(IF(SUM(I345:I347)=0," ",(SUM(G345:G347)/SUM(I345:I347))), " 0,00%"))</f>
        <v>Reguladores de Tensão 9,40%</v>
      </c>
      <c r="C89" s="321"/>
      <c r="D89" s="321"/>
      <c r="E89" s="321"/>
      <c r="F89" s="321"/>
      <c r="G89" s="321"/>
      <c r="H89" s="321"/>
      <c r="I89" s="321"/>
      <c r="J89" s="321"/>
      <c r="K89" s="321"/>
      <c r="L89" s="322"/>
    </row>
    <row r="90" spans="2:12" ht="24" hidden="1" customHeight="1" outlineLevel="1" thickBot="1">
      <c r="B90" s="26" t="s">
        <v>48</v>
      </c>
      <c r="C90" s="27" t="s">
        <v>49</v>
      </c>
      <c r="D90" s="27" t="s">
        <v>50</v>
      </c>
      <c r="E90" s="27" t="s">
        <v>51</v>
      </c>
      <c r="F90" s="27" t="s">
        <v>52</v>
      </c>
      <c r="G90" s="27" t="s">
        <v>53</v>
      </c>
      <c r="H90" s="27" t="s">
        <v>54</v>
      </c>
      <c r="I90" s="27" t="s">
        <v>55</v>
      </c>
      <c r="J90" s="27" t="s">
        <v>56</v>
      </c>
      <c r="K90" s="27" t="s">
        <v>57</v>
      </c>
      <c r="L90" s="28" t="s">
        <v>58</v>
      </c>
    </row>
    <row r="91" spans="2:12" ht="15.75" hidden="1" outlineLevel="1" thickBot="1">
      <c r="B91" s="46">
        <f>IF(C91="","",ROW($A$1))</f>
        <v>1</v>
      </c>
      <c r="C91" s="41" t="s">
        <v>69</v>
      </c>
      <c r="D91" s="41"/>
      <c r="E91" s="41"/>
      <c r="F91" s="41"/>
      <c r="G91" s="41"/>
      <c r="H91" s="41"/>
      <c r="I91" s="42"/>
      <c r="J91" s="41"/>
      <c r="K91" s="41"/>
      <c r="L91" s="43"/>
    </row>
    <row r="92" spans="2:12" ht="15.75" hidden="1" outlineLevel="1" thickBot="1">
      <c r="B92" s="7">
        <f>IF(C92="","",(B91+1))</f>
        <v>2</v>
      </c>
      <c r="C92" s="41" t="s">
        <v>8</v>
      </c>
      <c r="D92" s="41" t="s">
        <v>366</v>
      </c>
      <c r="E92" s="41" t="s">
        <v>367</v>
      </c>
      <c r="F92" s="41"/>
      <c r="G92" s="41">
        <v>1988</v>
      </c>
      <c r="H92" s="41"/>
      <c r="I92" s="42">
        <v>45484</v>
      </c>
      <c r="J92" s="41" t="s">
        <v>176</v>
      </c>
      <c r="K92" s="41">
        <v>48.5</v>
      </c>
      <c r="L92" s="43"/>
    </row>
    <row r="93" spans="2:12" ht="15.75" hidden="1" outlineLevel="1" thickBot="1">
      <c r="B93" s="7">
        <f t="shared" ref="B93:B156" si="8">IF(C93="","",(B92+1))</f>
        <v>3</v>
      </c>
      <c r="C93" s="41" t="s">
        <v>8</v>
      </c>
      <c r="D93" s="41" t="s">
        <v>366</v>
      </c>
      <c r="E93" s="41" t="s">
        <v>368</v>
      </c>
      <c r="F93" s="41"/>
      <c r="G93" s="41">
        <v>1988</v>
      </c>
      <c r="H93" s="41"/>
      <c r="I93" s="42">
        <v>45505</v>
      </c>
      <c r="J93" s="41" t="s">
        <v>369</v>
      </c>
      <c r="K93" s="41">
        <v>0</v>
      </c>
      <c r="L93" s="43"/>
    </row>
    <row r="94" spans="2:12" ht="15.75" hidden="1" outlineLevel="1" thickBot="1">
      <c r="B94" s="7">
        <f t="shared" si="8"/>
        <v>4</v>
      </c>
      <c r="C94" s="41" t="s">
        <v>8</v>
      </c>
      <c r="D94" s="41" t="s">
        <v>366</v>
      </c>
      <c r="E94" s="41" t="s">
        <v>370</v>
      </c>
      <c r="F94" s="41"/>
      <c r="G94" s="41">
        <v>1988</v>
      </c>
      <c r="H94" s="41"/>
      <c r="I94" s="42">
        <v>45484</v>
      </c>
      <c r="J94" s="41" t="s">
        <v>176</v>
      </c>
      <c r="K94" s="41">
        <v>48.5</v>
      </c>
      <c r="L94" s="43"/>
    </row>
    <row r="95" spans="2:12" ht="15.75" hidden="1" outlineLevel="1" thickBot="1">
      <c r="B95" s="7">
        <f t="shared" si="8"/>
        <v>5</v>
      </c>
      <c r="C95" s="41" t="s">
        <v>8</v>
      </c>
      <c r="D95" s="41" t="s">
        <v>366</v>
      </c>
      <c r="E95" s="41" t="s">
        <v>371</v>
      </c>
      <c r="F95" s="41"/>
      <c r="G95" s="41">
        <v>1985</v>
      </c>
      <c r="H95" s="41"/>
      <c r="I95" s="42">
        <v>44952</v>
      </c>
      <c r="J95" s="41" t="s">
        <v>176</v>
      </c>
      <c r="K95" s="41">
        <v>28.5</v>
      </c>
      <c r="L95" s="43"/>
    </row>
    <row r="96" spans="2:12" ht="15.75" hidden="1" outlineLevel="1" thickBot="1">
      <c r="B96" s="7">
        <f t="shared" si="8"/>
        <v>6</v>
      </c>
      <c r="C96" s="41" t="s">
        <v>8</v>
      </c>
      <c r="D96" s="41" t="s">
        <v>366</v>
      </c>
      <c r="E96" s="41" t="s">
        <v>372</v>
      </c>
      <c r="F96" s="41"/>
      <c r="G96" s="41">
        <v>1988</v>
      </c>
      <c r="H96" s="41"/>
      <c r="I96" s="42">
        <v>45806</v>
      </c>
      <c r="J96" s="41" t="s">
        <v>176</v>
      </c>
      <c r="K96" s="41">
        <v>26.1</v>
      </c>
      <c r="L96" s="43"/>
    </row>
    <row r="97" spans="2:12" ht="15.75" hidden="1" outlineLevel="1" thickBot="1">
      <c r="B97" s="7">
        <f t="shared" si="8"/>
        <v>7</v>
      </c>
      <c r="C97" s="41" t="s">
        <v>9</v>
      </c>
      <c r="D97" s="41" t="s">
        <v>366</v>
      </c>
      <c r="E97" s="41" t="s">
        <v>373</v>
      </c>
      <c r="F97" s="41"/>
      <c r="G97" s="41">
        <v>2013</v>
      </c>
      <c r="H97" s="41"/>
      <c r="I97" s="42">
        <v>45552</v>
      </c>
      <c r="J97" s="41" t="s">
        <v>176</v>
      </c>
      <c r="K97" s="41">
        <v>46.2</v>
      </c>
      <c r="L97" s="43"/>
    </row>
    <row r="98" spans="2:12" ht="15.75" hidden="1" outlineLevel="1" thickBot="1">
      <c r="B98" s="7">
        <f t="shared" si="8"/>
        <v>8</v>
      </c>
      <c r="C98" s="41" t="s">
        <v>9</v>
      </c>
      <c r="D98" s="41" t="s">
        <v>366</v>
      </c>
      <c r="E98" s="58" t="s">
        <v>374</v>
      </c>
      <c r="F98" s="41"/>
      <c r="G98" s="41">
        <v>2013</v>
      </c>
      <c r="H98" s="41"/>
      <c r="I98" s="42">
        <v>45552</v>
      </c>
      <c r="J98" s="41" t="s">
        <v>176</v>
      </c>
      <c r="K98" s="41">
        <v>51.1</v>
      </c>
      <c r="L98" s="43"/>
    </row>
    <row r="99" spans="2:12" ht="15.75" hidden="1" outlineLevel="1" thickBot="1">
      <c r="B99" s="7">
        <f t="shared" si="8"/>
        <v>9</v>
      </c>
      <c r="C99" s="41" t="s">
        <v>9</v>
      </c>
      <c r="D99" s="41" t="s">
        <v>366</v>
      </c>
      <c r="E99" s="58" t="s">
        <v>375</v>
      </c>
      <c r="F99" s="41"/>
      <c r="G99" s="41">
        <v>2012</v>
      </c>
      <c r="H99" s="41"/>
      <c r="I99" s="42">
        <v>45496</v>
      </c>
      <c r="J99" s="41" t="s">
        <v>176</v>
      </c>
      <c r="K99" s="41">
        <v>0</v>
      </c>
      <c r="L99" s="43"/>
    </row>
    <row r="100" spans="2:12" ht="15.75" hidden="1" outlineLevel="1" thickBot="1">
      <c r="B100" s="7">
        <f t="shared" si="8"/>
        <v>10</v>
      </c>
      <c r="C100" s="41" t="s">
        <v>9</v>
      </c>
      <c r="D100" s="41" t="s">
        <v>366</v>
      </c>
      <c r="E100" s="58" t="s">
        <v>376</v>
      </c>
      <c r="F100" s="41"/>
      <c r="G100" s="41">
        <v>2014</v>
      </c>
      <c r="H100" s="41"/>
      <c r="I100" s="42">
        <v>45337</v>
      </c>
      <c r="J100" s="41" t="s">
        <v>176</v>
      </c>
      <c r="K100" s="41">
        <v>0</v>
      </c>
      <c r="L100" s="43"/>
    </row>
    <row r="101" spans="2:12" ht="15.75" hidden="1" outlineLevel="1" thickBot="1">
      <c r="B101" s="7">
        <f t="shared" si="8"/>
        <v>11</v>
      </c>
      <c r="C101" s="41" t="s">
        <v>9</v>
      </c>
      <c r="D101" s="41" t="s">
        <v>366</v>
      </c>
      <c r="E101" s="41" t="s">
        <v>377</v>
      </c>
      <c r="F101" s="41"/>
      <c r="G101" s="41">
        <v>2014</v>
      </c>
      <c r="H101" s="41"/>
      <c r="I101" s="42">
        <v>45337</v>
      </c>
      <c r="J101" s="41" t="s">
        <v>176</v>
      </c>
      <c r="K101" s="41">
        <v>0</v>
      </c>
      <c r="L101" s="43"/>
    </row>
    <row r="102" spans="2:12" ht="15.75" hidden="1" outlineLevel="1" thickBot="1">
      <c r="B102" s="7">
        <f t="shared" si="8"/>
        <v>12</v>
      </c>
      <c r="C102" s="41" t="s">
        <v>9</v>
      </c>
      <c r="D102" s="41" t="s">
        <v>366</v>
      </c>
      <c r="E102" s="41" t="s">
        <v>378</v>
      </c>
      <c r="F102" s="41"/>
      <c r="G102" s="41">
        <v>2014</v>
      </c>
      <c r="H102" s="41"/>
      <c r="I102" s="42">
        <v>45337</v>
      </c>
      <c r="J102" s="41" t="s">
        <v>176</v>
      </c>
      <c r="K102" s="41">
        <v>0</v>
      </c>
      <c r="L102" s="43"/>
    </row>
    <row r="103" spans="2:12" ht="15.75" hidden="1" outlineLevel="1" thickBot="1">
      <c r="B103" s="7">
        <f t="shared" si="8"/>
        <v>13</v>
      </c>
      <c r="C103" s="41" t="s">
        <v>9</v>
      </c>
      <c r="D103" s="41" t="s">
        <v>366</v>
      </c>
      <c r="E103" s="41" t="s">
        <v>379</v>
      </c>
      <c r="F103" s="41"/>
      <c r="G103" s="41">
        <v>2018</v>
      </c>
      <c r="H103" s="41"/>
      <c r="I103" s="42">
        <v>45392</v>
      </c>
      <c r="J103" s="41" t="s">
        <v>176</v>
      </c>
      <c r="K103" s="41">
        <v>39</v>
      </c>
      <c r="L103" s="43"/>
    </row>
    <row r="104" spans="2:12" ht="15.75" hidden="1" outlineLevel="1" thickBot="1">
      <c r="B104" s="7">
        <f t="shared" si="8"/>
        <v>14</v>
      </c>
      <c r="C104" s="41" t="s">
        <v>9</v>
      </c>
      <c r="D104" s="41" t="s">
        <v>366</v>
      </c>
      <c r="E104" s="41" t="s">
        <v>380</v>
      </c>
      <c r="F104" s="41"/>
      <c r="G104" s="41">
        <v>2015</v>
      </c>
      <c r="H104" s="41"/>
      <c r="I104" s="42">
        <v>45482</v>
      </c>
      <c r="J104" s="41" t="s">
        <v>176</v>
      </c>
      <c r="K104" s="41">
        <v>0</v>
      </c>
      <c r="L104" s="43"/>
    </row>
    <row r="105" spans="2:12" ht="15.75" hidden="1" outlineLevel="1" thickBot="1">
      <c r="B105" s="7">
        <f t="shared" si="8"/>
        <v>15</v>
      </c>
      <c r="C105" s="41" t="s">
        <v>9</v>
      </c>
      <c r="D105" s="41" t="s">
        <v>366</v>
      </c>
      <c r="E105" s="41" t="s">
        <v>381</v>
      </c>
      <c r="F105" s="41"/>
      <c r="G105" s="41">
        <v>2015</v>
      </c>
      <c r="H105" s="41"/>
      <c r="I105" s="42">
        <v>45727</v>
      </c>
      <c r="J105" s="41" t="s">
        <v>176</v>
      </c>
      <c r="K105" s="41">
        <v>0</v>
      </c>
      <c r="L105" s="43"/>
    </row>
    <row r="106" spans="2:12" ht="15.75" hidden="1" outlineLevel="1" thickBot="1">
      <c r="B106" s="7">
        <f t="shared" si="8"/>
        <v>16</v>
      </c>
      <c r="C106" s="41" t="s">
        <v>9</v>
      </c>
      <c r="D106" s="41" t="s">
        <v>366</v>
      </c>
      <c r="E106" s="41" t="s">
        <v>382</v>
      </c>
      <c r="F106" s="41"/>
      <c r="G106" s="41">
        <v>2015</v>
      </c>
      <c r="H106" s="41"/>
      <c r="I106" s="42">
        <v>45482</v>
      </c>
      <c r="J106" s="41" t="s">
        <v>176</v>
      </c>
      <c r="K106" s="41">
        <v>0</v>
      </c>
      <c r="L106" s="43"/>
    </row>
    <row r="107" spans="2:12" ht="15.75" hidden="1" outlineLevel="1" thickBot="1">
      <c r="B107" s="7">
        <f t="shared" si="8"/>
        <v>17</v>
      </c>
      <c r="C107" s="41" t="s">
        <v>9</v>
      </c>
      <c r="D107" s="41" t="s">
        <v>366</v>
      </c>
      <c r="E107" s="58" t="s">
        <v>383</v>
      </c>
      <c r="F107" s="41"/>
      <c r="G107" s="41">
        <v>2015</v>
      </c>
      <c r="H107" s="41"/>
      <c r="I107" s="42">
        <v>45727</v>
      </c>
      <c r="J107" s="41" t="s">
        <v>176</v>
      </c>
      <c r="K107" s="41">
        <v>0</v>
      </c>
      <c r="L107" s="43"/>
    </row>
    <row r="108" spans="2:12" ht="15.75" hidden="1" outlineLevel="1" thickBot="1">
      <c r="B108" s="7">
        <f t="shared" si="8"/>
        <v>18</v>
      </c>
      <c r="C108" s="41" t="s">
        <v>9</v>
      </c>
      <c r="D108" s="41" t="s">
        <v>366</v>
      </c>
      <c r="E108" s="41" t="s">
        <v>384</v>
      </c>
      <c r="F108" s="41"/>
      <c r="G108" s="41">
        <v>2015</v>
      </c>
      <c r="H108" s="41"/>
      <c r="I108" s="42">
        <v>45482</v>
      </c>
      <c r="J108" s="41" t="s">
        <v>176</v>
      </c>
      <c r="K108" s="41">
        <v>0</v>
      </c>
      <c r="L108" s="43"/>
    </row>
    <row r="109" spans="2:12" ht="15.75" hidden="1" outlineLevel="1" thickBot="1">
      <c r="B109" s="7">
        <f t="shared" si="8"/>
        <v>19</v>
      </c>
      <c r="C109" s="41" t="s">
        <v>9</v>
      </c>
      <c r="D109" s="41" t="s">
        <v>366</v>
      </c>
      <c r="E109" s="41" t="s">
        <v>385</v>
      </c>
      <c r="F109" s="41"/>
      <c r="G109" s="41">
        <v>2007</v>
      </c>
      <c r="H109" s="41"/>
      <c r="I109" s="42">
        <v>45601</v>
      </c>
      <c r="J109" s="41" t="s">
        <v>176</v>
      </c>
      <c r="K109" s="41">
        <v>0</v>
      </c>
      <c r="L109" s="43"/>
    </row>
    <row r="110" spans="2:12" ht="15.75" hidden="1" outlineLevel="1" thickBot="1">
      <c r="B110" s="7">
        <f t="shared" si="8"/>
        <v>20</v>
      </c>
      <c r="C110" s="41" t="s">
        <v>9</v>
      </c>
      <c r="D110" s="41" t="s">
        <v>366</v>
      </c>
      <c r="E110" s="41" t="s">
        <v>386</v>
      </c>
      <c r="F110" s="41"/>
      <c r="G110" s="41">
        <v>2007</v>
      </c>
      <c r="H110" s="41"/>
      <c r="I110" s="42">
        <v>45601</v>
      </c>
      <c r="J110" s="41" t="s">
        <v>176</v>
      </c>
      <c r="K110" s="41">
        <v>0</v>
      </c>
      <c r="L110" s="43"/>
    </row>
    <row r="111" spans="2:12" ht="15.75" hidden="1" outlineLevel="1" thickBot="1">
      <c r="B111" s="7">
        <f t="shared" si="8"/>
        <v>21</v>
      </c>
      <c r="C111" s="41" t="s">
        <v>9</v>
      </c>
      <c r="D111" s="41" t="s">
        <v>366</v>
      </c>
      <c r="E111" s="41" t="s">
        <v>387</v>
      </c>
      <c r="F111" s="41"/>
      <c r="G111" s="41">
        <v>2007</v>
      </c>
      <c r="H111" s="41"/>
      <c r="I111" s="42">
        <v>45601</v>
      </c>
      <c r="J111" s="41" t="s">
        <v>176</v>
      </c>
      <c r="K111" s="41">
        <v>0</v>
      </c>
      <c r="L111" s="43"/>
    </row>
    <row r="112" spans="2:12" ht="15.75" hidden="1" outlineLevel="1" thickBot="1">
      <c r="B112" s="7">
        <f t="shared" si="8"/>
        <v>22</v>
      </c>
      <c r="C112" s="41" t="s">
        <v>9</v>
      </c>
      <c r="D112" s="41" t="s">
        <v>366</v>
      </c>
      <c r="E112" s="41" t="s">
        <v>388</v>
      </c>
      <c r="F112" s="41"/>
      <c r="G112" s="41">
        <v>2016</v>
      </c>
      <c r="H112" s="41"/>
      <c r="I112" s="42">
        <v>45363</v>
      </c>
      <c r="J112" s="41" t="s">
        <v>176</v>
      </c>
      <c r="K112" s="41">
        <v>0</v>
      </c>
      <c r="L112" s="43"/>
    </row>
    <row r="113" spans="2:12" ht="15.75" hidden="1" outlineLevel="1" thickBot="1">
      <c r="B113" s="7">
        <f t="shared" si="8"/>
        <v>23</v>
      </c>
      <c r="C113" s="41" t="s">
        <v>9</v>
      </c>
      <c r="D113" s="41" t="s">
        <v>366</v>
      </c>
      <c r="E113" s="41" t="s">
        <v>389</v>
      </c>
      <c r="F113" s="41"/>
      <c r="G113" s="41">
        <v>2016</v>
      </c>
      <c r="H113" s="41"/>
      <c r="I113" s="42">
        <v>45440</v>
      </c>
      <c r="J113" s="41" t="s">
        <v>176</v>
      </c>
      <c r="K113" s="41">
        <v>17.3</v>
      </c>
      <c r="L113" s="43"/>
    </row>
    <row r="114" spans="2:12" ht="15.75" hidden="1" outlineLevel="1" thickBot="1">
      <c r="B114" s="7">
        <f t="shared" si="8"/>
        <v>24</v>
      </c>
      <c r="C114" s="41" t="s">
        <v>9</v>
      </c>
      <c r="D114" s="41"/>
      <c r="E114" s="41"/>
      <c r="F114" s="41"/>
      <c r="G114" s="41"/>
      <c r="H114" s="41"/>
      <c r="I114" s="42"/>
      <c r="J114" s="41"/>
      <c r="K114" s="41"/>
      <c r="L114" s="43"/>
    </row>
    <row r="115" spans="2:12" ht="15.75" hidden="1" outlineLevel="1" thickBot="1">
      <c r="B115" s="7">
        <f t="shared" si="8"/>
        <v>25</v>
      </c>
      <c r="C115" s="41" t="s">
        <v>9</v>
      </c>
      <c r="D115" s="41"/>
      <c r="E115" s="41"/>
      <c r="F115" s="41"/>
      <c r="G115" s="41"/>
      <c r="H115" s="41"/>
      <c r="I115" s="42"/>
      <c r="J115" s="41"/>
      <c r="K115" s="41"/>
      <c r="L115" s="43"/>
    </row>
    <row r="116" spans="2:12" ht="15.75" hidden="1" outlineLevel="1" thickBot="1">
      <c r="B116" s="7">
        <f t="shared" si="8"/>
        <v>26</v>
      </c>
      <c r="C116" s="41" t="s">
        <v>9</v>
      </c>
      <c r="D116" s="41"/>
      <c r="E116" s="41"/>
      <c r="F116" s="41"/>
      <c r="G116" s="41"/>
      <c r="H116" s="41"/>
      <c r="I116" s="42"/>
      <c r="J116" s="41"/>
      <c r="K116" s="41"/>
      <c r="L116" s="43"/>
    </row>
    <row r="117" spans="2:12" ht="15.75" hidden="1" outlineLevel="1" thickBot="1">
      <c r="B117" s="7">
        <f t="shared" si="8"/>
        <v>27</v>
      </c>
      <c r="C117" s="41" t="s">
        <v>9</v>
      </c>
      <c r="D117" s="41"/>
      <c r="E117" s="41"/>
      <c r="F117" s="41"/>
      <c r="G117" s="41"/>
      <c r="H117" s="41"/>
      <c r="I117" s="42"/>
      <c r="J117" s="41"/>
      <c r="K117" s="41"/>
      <c r="L117" s="43"/>
    </row>
    <row r="118" spans="2:12" ht="15.75" hidden="1" outlineLevel="1" thickBot="1">
      <c r="B118" s="7">
        <f t="shared" si="8"/>
        <v>28</v>
      </c>
      <c r="C118" s="41" t="s">
        <v>9</v>
      </c>
      <c r="D118" s="41"/>
      <c r="E118" s="41"/>
      <c r="F118" s="41"/>
      <c r="G118" s="41"/>
      <c r="H118" s="41"/>
      <c r="I118" s="42"/>
      <c r="J118" s="41"/>
      <c r="K118" s="41"/>
      <c r="L118" s="43"/>
    </row>
    <row r="119" spans="2:12" ht="15.75" hidden="1" outlineLevel="1" thickBot="1">
      <c r="B119" s="7">
        <f t="shared" si="8"/>
        <v>29</v>
      </c>
      <c r="C119" s="41" t="s">
        <v>9</v>
      </c>
      <c r="D119" s="41"/>
      <c r="E119" s="41"/>
      <c r="F119" s="41"/>
      <c r="G119" s="41"/>
      <c r="H119" s="41"/>
      <c r="I119" s="42"/>
      <c r="J119" s="41"/>
      <c r="K119" s="41"/>
      <c r="L119" s="43"/>
    </row>
    <row r="120" spans="2:12" ht="15.75" hidden="1" outlineLevel="1" thickBot="1">
      <c r="B120" s="7">
        <f t="shared" si="8"/>
        <v>30</v>
      </c>
      <c r="C120" s="41" t="s">
        <v>9</v>
      </c>
      <c r="D120" s="41"/>
      <c r="E120" s="41"/>
      <c r="F120" s="41"/>
      <c r="G120" s="41"/>
      <c r="H120" s="41"/>
      <c r="I120" s="42"/>
      <c r="J120" s="41"/>
      <c r="K120" s="41"/>
      <c r="L120" s="43"/>
    </row>
    <row r="121" spans="2:12" ht="15.75" hidden="1" outlineLevel="1" thickBot="1">
      <c r="B121" s="7">
        <f t="shared" si="8"/>
        <v>31</v>
      </c>
      <c r="C121" s="41" t="s">
        <v>9</v>
      </c>
      <c r="D121" s="41"/>
      <c r="E121" s="41"/>
      <c r="F121" s="41"/>
      <c r="G121" s="41"/>
      <c r="H121" s="41"/>
      <c r="I121" s="42"/>
      <c r="J121" s="41"/>
      <c r="K121" s="41"/>
      <c r="L121" s="43"/>
    </row>
    <row r="122" spans="2:12" ht="15.75" hidden="1" outlineLevel="1" thickBot="1">
      <c r="B122" s="7">
        <f t="shared" si="8"/>
        <v>32</v>
      </c>
      <c r="C122" s="41" t="s">
        <v>9</v>
      </c>
      <c r="D122" s="41"/>
      <c r="E122" s="41"/>
      <c r="F122" s="41"/>
      <c r="G122" s="41"/>
      <c r="H122" s="41"/>
      <c r="I122" s="42"/>
      <c r="J122" s="41"/>
      <c r="K122" s="41"/>
      <c r="L122" s="43"/>
    </row>
    <row r="123" spans="2:12" ht="15.75" hidden="1" outlineLevel="1" thickBot="1">
      <c r="B123" s="7">
        <f t="shared" si="8"/>
        <v>33</v>
      </c>
      <c r="C123" s="41" t="s">
        <v>9</v>
      </c>
      <c r="D123" s="41"/>
      <c r="E123" s="41"/>
      <c r="F123" s="41"/>
      <c r="G123" s="41"/>
      <c r="H123" s="41"/>
      <c r="I123" s="42"/>
      <c r="J123" s="41"/>
      <c r="K123" s="41"/>
      <c r="L123" s="43"/>
    </row>
    <row r="124" spans="2:12" ht="15.75" hidden="1" outlineLevel="1" thickBot="1">
      <c r="B124" s="7">
        <f t="shared" si="8"/>
        <v>34</v>
      </c>
      <c r="C124" s="41" t="s">
        <v>9</v>
      </c>
      <c r="D124" s="41"/>
      <c r="E124" s="41"/>
      <c r="F124" s="41"/>
      <c r="G124" s="41"/>
      <c r="H124" s="41"/>
      <c r="I124" s="42"/>
      <c r="J124" s="41"/>
      <c r="K124" s="41"/>
      <c r="L124" s="43"/>
    </row>
    <row r="125" spans="2:12" ht="15.75" hidden="1" outlineLevel="1" thickBot="1">
      <c r="B125" s="7">
        <f t="shared" si="8"/>
        <v>35</v>
      </c>
      <c r="C125" s="41" t="s">
        <v>9</v>
      </c>
      <c r="D125" s="41"/>
      <c r="E125" s="41"/>
      <c r="F125" s="41"/>
      <c r="G125" s="41"/>
      <c r="H125" s="41"/>
      <c r="I125" s="42"/>
      <c r="J125" s="41"/>
      <c r="K125" s="41"/>
      <c r="L125" s="43"/>
    </row>
    <row r="126" spans="2:12" ht="15.75" hidden="1" outlineLevel="1" thickBot="1">
      <c r="B126" s="7">
        <f t="shared" si="8"/>
        <v>36</v>
      </c>
      <c r="C126" s="41" t="s">
        <v>9</v>
      </c>
      <c r="D126" s="41"/>
      <c r="E126" s="41"/>
      <c r="F126" s="41"/>
      <c r="G126" s="41"/>
      <c r="H126" s="41"/>
      <c r="I126" s="42"/>
      <c r="J126" s="41"/>
      <c r="K126" s="41"/>
      <c r="L126" s="43"/>
    </row>
    <row r="127" spans="2:12" ht="15.75" hidden="1" outlineLevel="1" thickBot="1">
      <c r="B127" s="7">
        <f t="shared" si="8"/>
        <v>37</v>
      </c>
      <c r="C127" s="41" t="s">
        <v>9</v>
      </c>
      <c r="D127" s="41"/>
      <c r="E127" s="58"/>
      <c r="F127" s="41"/>
      <c r="G127" s="41"/>
      <c r="H127" s="41"/>
      <c r="I127" s="42"/>
      <c r="J127" s="41"/>
      <c r="K127" s="41"/>
      <c r="L127" s="43"/>
    </row>
    <row r="128" spans="2:12" ht="15.75" hidden="1" outlineLevel="1" thickBot="1">
      <c r="B128" s="7">
        <f t="shared" si="8"/>
        <v>38</v>
      </c>
      <c r="C128" s="41" t="s">
        <v>9</v>
      </c>
      <c r="D128" s="41"/>
      <c r="E128" s="58"/>
      <c r="F128" s="41"/>
      <c r="G128" s="41"/>
      <c r="H128" s="41"/>
      <c r="I128" s="42"/>
      <c r="J128" s="41"/>
      <c r="K128" s="41"/>
      <c r="L128" s="43"/>
    </row>
    <row r="129" spans="2:12" ht="15.75" hidden="1" outlineLevel="1" thickBot="1">
      <c r="B129" s="7">
        <f t="shared" si="8"/>
        <v>39</v>
      </c>
      <c r="C129" s="41" t="s">
        <v>9</v>
      </c>
      <c r="D129" s="41"/>
      <c r="E129" s="41"/>
      <c r="F129" s="41"/>
      <c r="G129" s="41"/>
      <c r="H129" s="41"/>
      <c r="I129" s="42"/>
      <c r="J129" s="41"/>
      <c r="K129" s="41"/>
      <c r="L129" s="43"/>
    </row>
    <row r="130" spans="2:12" ht="15.75" hidden="1" outlineLevel="1" thickBot="1">
      <c r="B130" s="7">
        <f t="shared" si="8"/>
        <v>40</v>
      </c>
      <c r="C130" s="41" t="s">
        <v>9</v>
      </c>
      <c r="D130" s="41"/>
      <c r="E130" s="41"/>
      <c r="F130" s="41"/>
      <c r="G130" s="41"/>
      <c r="H130" s="41"/>
      <c r="I130" s="42"/>
      <c r="J130" s="41"/>
      <c r="K130" s="41"/>
      <c r="L130" s="43"/>
    </row>
    <row r="131" spans="2:12" ht="15.75" hidden="1" outlineLevel="1" thickBot="1">
      <c r="B131" s="7">
        <f t="shared" si="8"/>
        <v>41</v>
      </c>
      <c r="C131" s="41" t="s">
        <v>9</v>
      </c>
      <c r="D131" s="41"/>
      <c r="E131" s="41"/>
      <c r="F131" s="41"/>
      <c r="G131" s="41"/>
      <c r="H131" s="41"/>
      <c r="I131" s="42"/>
      <c r="J131" s="41"/>
      <c r="K131" s="41"/>
      <c r="L131" s="43"/>
    </row>
    <row r="132" spans="2:12" ht="15.75" hidden="1" outlineLevel="1" thickBot="1">
      <c r="B132" s="7">
        <f t="shared" si="8"/>
        <v>42</v>
      </c>
      <c r="C132" s="41" t="s">
        <v>9</v>
      </c>
      <c r="D132" s="41"/>
      <c r="E132" s="41"/>
      <c r="F132" s="41"/>
      <c r="G132" s="41"/>
      <c r="H132" s="41"/>
      <c r="I132" s="42"/>
      <c r="J132" s="41"/>
      <c r="K132" s="41"/>
      <c r="L132" s="43"/>
    </row>
    <row r="133" spans="2:12" ht="15.75" hidden="1" outlineLevel="1" thickBot="1">
      <c r="B133" s="7">
        <f t="shared" si="8"/>
        <v>43</v>
      </c>
      <c r="C133" s="41" t="s">
        <v>9</v>
      </c>
      <c r="D133" s="41"/>
      <c r="E133" s="41"/>
      <c r="F133" s="41"/>
      <c r="G133" s="41"/>
      <c r="H133" s="41"/>
      <c r="I133" s="42"/>
      <c r="J133" s="41"/>
      <c r="K133" s="41"/>
      <c r="L133" s="43"/>
    </row>
    <row r="134" spans="2:12" ht="15.75" hidden="1" outlineLevel="1" thickBot="1">
      <c r="B134" s="7">
        <f t="shared" si="8"/>
        <v>44</v>
      </c>
      <c r="C134" s="41" t="s">
        <v>9</v>
      </c>
      <c r="D134" s="41"/>
      <c r="E134" s="41"/>
      <c r="F134" s="41"/>
      <c r="G134" s="41"/>
      <c r="H134" s="41"/>
      <c r="I134" s="42"/>
      <c r="J134" s="41"/>
      <c r="K134" s="41"/>
      <c r="L134" s="43"/>
    </row>
    <row r="135" spans="2:12" ht="15.75" hidden="1" outlineLevel="1" thickBot="1">
      <c r="B135" s="7">
        <f t="shared" si="8"/>
        <v>45</v>
      </c>
      <c r="C135" s="41" t="s">
        <v>9</v>
      </c>
      <c r="D135" s="41"/>
      <c r="E135" s="41"/>
      <c r="F135" s="41"/>
      <c r="G135" s="41"/>
      <c r="H135" s="41"/>
      <c r="I135" s="42"/>
      <c r="J135" s="41"/>
      <c r="K135" s="41"/>
      <c r="L135" s="43"/>
    </row>
    <row r="136" spans="2:12" ht="15.75" hidden="1" outlineLevel="1" thickBot="1">
      <c r="B136" s="7">
        <f t="shared" si="8"/>
        <v>46</v>
      </c>
      <c r="C136" s="41" t="s">
        <v>9</v>
      </c>
      <c r="D136" s="41"/>
      <c r="E136" s="41"/>
      <c r="F136" s="41"/>
      <c r="G136" s="41"/>
      <c r="H136" s="41"/>
      <c r="I136" s="42"/>
      <c r="J136" s="41"/>
      <c r="K136" s="41"/>
      <c r="L136" s="43"/>
    </row>
    <row r="137" spans="2:12" ht="15.75" hidden="1" outlineLevel="1" thickBot="1">
      <c r="B137" s="7">
        <f t="shared" si="8"/>
        <v>47</v>
      </c>
      <c r="C137" s="41" t="s">
        <v>9</v>
      </c>
      <c r="D137" s="41"/>
      <c r="E137" s="41"/>
      <c r="F137" s="41"/>
      <c r="G137" s="41"/>
      <c r="H137" s="41"/>
      <c r="I137" s="42"/>
      <c r="J137" s="41"/>
      <c r="K137" s="41"/>
      <c r="L137" s="43"/>
    </row>
    <row r="138" spans="2:12" ht="15.75" hidden="1" outlineLevel="1" thickBot="1">
      <c r="B138" s="7">
        <f t="shared" si="8"/>
        <v>48</v>
      </c>
      <c r="C138" s="41" t="s">
        <v>9</v>
      </c>
      <c r="D138" s="41"/>
      <c r="E138" s="41"/>
      <c r="F138" s="41"/>
      <c r="G138" s="41"/>
      <c r="H138" s="41"/>
      <c r="I138" s="42"/>
      <c r="J138" s="41"/>
      <c r="K138" s="41"/>
      <c r="L138" s="43"/>
    </row>
    <row r="139" spans="2:12" ht="15.75" hidden="1" outlineLevel="1" thickBot="1">
      <c r="B139" s="7">
        <f t="shared" si="8"/>
        <v>49</v>
      </c>
      <c r="C139" s="41" t="s">
        <v>9</v>
      </c>
      <c r="D139" s="41"/>
      <c r="E139" s="41"/>
      <c r="F139" s="41"/>
      <c r="G139" s="41"/>
      <c r="H139" s="41"/>
      <c r="I139" s="42"/>
      <c r="J139" s="41"/>
      <c r="K139" s="41"/>
      <c r="L139" s="43"/>
    </row>
    <row r="140" spans="2:12" ht="15.75" hidden="1" outlineLevel="1" thickBot="1">
      <c r="B140" s="7">
        <f t="shared" si="8"/>
        <v>50</v>
      </c>
      <c r="C140" s="41" t="s">
        <v>9</v>
      </c>
      <c r="D140" s="41"/>
      <c r="E140" s="41"/>
      <c r="F140" s="41"/>
      <c r="G140" s="41"/>
      <c r="H140" s="41"/>
      <c r="I140" s="42"/>
      <c r="J140" s="41"/>
      <c r="K140" s="41"/>
      <c r="L140" s="43"/>
    </row>
    <row r="141" spans="2:12" ht="15.75" hidden="1" outlineLevel="1" thickBot="1">
      <c r="B141" s="7">
        <f t="shared" si="8"/>
        <v>51</v>
      </c>
      <c r="C141" s="41" t="s">
        <v>9</v>
      </c>
      <c r="D141" s="41"/>
      <c r="E141" s="41"/>
      <c r="F141" s="41"/>
      <c r="G141" s="41"/>
      <c r="H141" s="41"/>
      <c r="I141" s="42"/>
      <c r="J141" s="41"/>
      <c r="K141" s="41"/>
      <c r="L141" s="43"/>
    </row>
    <row r="142" spans="2:12" ht="15.75" hidden="1" outlineLevel="1" thickBot="1">
      <c r="B142" s="7">
        <f t="shared" si="8"/>
        <v>52</v>
      </c>
      <c r="C142" s="41" t="s">
        <v>9</v>
      </c>
      <c r="D142" s="41"/>
      <c r="E142" s="41"/>
      <c r="F142" s="41"/>
      <c r="G142" s="41"/>
      <c r="H142" s="41"/>
      <c r="I142" s="42"/>
      <c r="J142" s="41"/>
      <c r="K142" s="41"/>
      <c r="L142" s="43"/>
    </row>
    <row r="143" spans="2:12" ht="15.75" hidden="1" outlineLevel="1" thickBot="1">
      <c r="B143" s="7">
        <f t="shared" si="8"/>
        <v>53</v>
      </c>
      <c r="C143" s="41" t="s">
        <v>9</v>
      </c>
      <c r="D143" s="41"/>
      <c r="E143" s="41"/>
      <c r="F143" s="41"/>
      <c r="G143" s="41"/>
      <c r="H143" s="41"/>
      <c r="I143" s="42"/>
      <c r="J143" s="41"/>
      <c r="K143" s="41"/>
      <c r="L143" s="43"/>
    </row>
    <row r="144" spans="2:12" ht="15.75" hidden="1" outlineLevel="1" thickBot="1">
      <c r="B144" s="7">
        <f t="shared" si="8"/>
        <v>54</v>
      </c>
      <c r="C144" s="41" t="s">
        <v>9</v>
      </c>
      <c r="D144" s="41"/>
      <c r="E144" s="41"/>
      <c r="F144" s="41"/>
      <c r="G144" s="41"/>
      <c r="H144" s="41"/>
      <c r="I144" s="42"/>
      <c r="J144" s="41"/>
      <c r="K144" s="41"/>
      <c r="L144" s="43"/>
    </row>
    <row r="145" spans="2:12" ht="15.75" hidden="1" outlineLevel="1" thickBot="1">
      <c r="B145" s="7">
        <f t="shared" si="8"/>
        <v>55</v>
      </c>
      <c r="C145" s="41" t="s">
        <v>9</v>
      </c>
      <c r="D145" s="41"/>
      <c r="E145" s="41"/>
      <c r="F145" s="41"/>
      <c r="G145" s="41"/>
      <c r="H145" s="41"/>
      <c r="I145" s="42"/>
      <c r="J145" s="41"/>
      <c r="K145" s="41"/>
      <c r="L145" s="43"/>
    </row>
    <row r="146" spans="2:12" ht="15.75" hidden="1" outlineLevel="1" thickBot="1">
      <c r="B146" s="7">
        <f t="shared" si="8"/>
        <v>56</v>
      </c>
      <c r="C146" s="41" t="s">
        <v>9</v>
      </c>
      <c r="D146" s="41"/>
      <c r="E146" s="41"/>
      <c r="F146" s="41"/>
      <c r="G146" s="41"/>
      <c r="H146" s="41"/>
      <c r="I146" s="42"/>
      <c r="J146" s="41"/>
      <c r="K146" s="41"/>
      <c r="L146" s="43"/>
    </row>
    <row r="147" spans="2:12" ht="15.75" hidden="1" outlineLevel="1" thickBot="1">
      <c r="B147" s="7">
        <f t="shared" si="8"/>
        <v>57</v>
      </c>
      <c r="C147" s="41" t="s">
        <v>9</v>
      </c>
      <c r="D147" s="41"/>
      <c r="E147" s="41"/>
      <c r="F147" s="41"/>
      <c r="G147" s="41"/>
      <c r="H147" s="41"/>
      <c r="I147" s="42"/>
      <c r="J147" s="41"/>
      <c r="K147" s="41"/>
      <c r="L147" s="43"/>
    </row>
    <row r="148" spans="2:12" ht="15.75" hidden="1" outlineLevel="1" thickBot="1">
      <c r="B148" s="7">
        <f t="shared" si="8"/>
        <v>58</v>
      </c>
      <c r="C148" s="41" t="s">
        <v>9</v>
      </c>
      <c r="D148" s="41"/>
      <c r="E148" s="41"/>
      <c r="F148" s="41"/>
      <c r="G148" s="41"/>
      <c r="H148" s="41"/>
      <c r="I148" s="42"/>
      <c r="J148" s="41"/>
      <c r="K148" s="41"/>
      <c r="L148" s="43"/>
    </row>
    <row r="149" spans="2:12" ht="15.75" hidden="1" outlineLevel="1" thickBot="1">
      <c r="B149" s="7">
        <f t="shared" si="8"/>
        <v>59</v>
      </c>
      <c r="C149" s="41" t="s">
        <v>9</v>
      </c>
      <c r="D149" s="41"/>
      <c r="E149" s="41"/>
      <c r="F149" s="41"/>
      <c r="G149" s="41"/>
      <c r="H149" s="41"/>
      <c r="I149" s="42"/>
      <c r="J149" s="41"/>
      <c r="K149" s="41"/>
      <c r="L149" s="43"/>
    </row>
    <row r="150" spans="2:12" ht="15.75" hidden="1" outlineLevel="1" thickBot="1">
      <c r="B150" s="7">
        <f t="shared" si="8"/>
        <v>60</v>
      </c>
      <c r="C150" s="41" t="s">
        <v>9</v>
      </c>
      <c r="D150" s="41"/>
      <c r="E150" s="41"/>
      <c r="F150" s="41"/>
      <c r="G150" s="41"/>
      <c r="H150" s="41"/>
      <c r="I150" s="42"/>
      <c r="J150" s="41"/>
      <c r="K150" s="41"/>
      <c r="L150" s="43"/>
    </row>
    <row r="151" spans="2:12" ht="15.75" hidden="1" outlineLevel="1" thickBot="1">
      <c r="B151" s="7">
        <f t="shared" si="8"/>
        <v>61</v>
      </c>
      <c r="C151" s="41" t="s">
        <v>9</v>
      </c>
      <c r="D151" s="41"/>
      <c r="E151" s="41"/>
      <c r="F151" s="41"/>
      <c r="G151" s="41"/>
      <c r="H151" s="41"/>
      <c r="I151" s="42"/>
      <c r="J151" s="41"/>
      <c r="K151" s="41"/>
      <c r="L151" s="43"/>
    </row>
    <row r="152" spans="2:12" ht="15.75" hidden="1" outlineLevel="1" thickBot="1">
      <c r="B152" s="7">
        <f t="shared" si="8"/>
        <v>62</v>
      </c>
      <c r="C152" s="41" t="s">
        <v>9</v>
      </c>
      <c r="D152" s="41"/>
      <c r="E152" s="58"/>
      <c r="F152" s="41"/>
      <c r="G152" s="41"/>
      <c r="H152" s="41"/>
      <c r="I152" s="42"/>
      <c r="J152" s="41"/>
      <c r="K152" s="41"/>
      <c r="L152" s="43"/>
    </row>
    <row r="153" spans="2:12" ht="15.75" hidden="1" outlineLevel="1" thickBot="1">
      <c r="B153" s="7">
        <f t="shared" si="8"/>
        <v>63</v>
      </c>
      <c r="C153" s="41" t="s">
        <v>9</v>
      </c>
      <c r="D153" s="41"/>
      <c r="E153" s="41"/>
      <c r="F153" s="41"/>
      <c r="G153" s="41"/>
      <c r="H153" s="41"/>
      <c r="I153" s="42"/>
      <c r="J153" s="41"/>
      <c r="K153" s="41"/>
      <c r="L153" s="43"/>
    </row>
    <row r="154" spans="2:12" ht="15.75" hidden="1" outlineLevel="1" thickBot="1">
      <c r="B154" s="7">
        <f t="shared" si="8"/>
        <v>64</v>
      </c>
      <c r="C154" s="41" t="s">
        <v>9</v>
      </c>
      <c r="D154" s="41"/>
      <c r="E154" s="41"/>
      <c r="F154" s="41"/>
      <c r="G154" s="41"/>
      <c r="H154" s="41"/>
      <c r="I154" s="42"/>
      <c r="J154" s="41"/>
      <c r="K154" s="41"/>
      <c r="L154" s="43"/>
    </row>
    <row r="155" spans="2:12" ht="15.75" hidden="1" outlineLevel="1" thickBot="1">
      <c r="B155" s="7">
        <f t="shared" si="8"/>
        <v>65</v>
      </c>
      <c r="C155" s="41" t="s">
        <v>9</v>
      </c>
      <c r="D155" s="41"/>
      <c r="E155" s="41"/>
      <c r="F155" s="41"/>
      <c r="G155" s="41"/>
      <c r="H155" s="41"/>
      <c r="I155" s="42"/>
      <c r="J155" s="41"/>
      <c r="K155" s="41"/>
      <c r="L155" s="43"/>
    </row>
    <row r="156" spans="2:12" ht="15.75" hidden="1" outlineLevel="1" thickBot="1">
      <c r="B156" s="7">
        <f t="shared" si="8"/>
        <v>66</v>
      </c>
      <c r="C156" s="41" t="s">
        <v>9</v>
      </c>
      <c r="D156" s="41"/>
      <c r="E156" s="41"/>
      <c r="F156" s="41"/>
      <c r="G156" s="41"/>
      <c r="H156" s="41"/>
      <c r="I156" s="42"/>
      <c r="J156" s="41"/>
      <c r="K156" s="41"/>
      <c r="L156" s="43"/>
    </row>
    <row r="157" spans="2:12" ht="15.75" hidden="1" outlineLevel="1" thickBot="1">
      <c r="B157" s="7">
        <f t="shared" ref="B157:B220" si="9">IF(C157="","",(B156+1))</f>
        <v>67</v>
      </c>
      <c r="C157" s="41" t="s">
        <v>9</v>
      </c>
      <c r="D157" s="41"/>
      <c r="E157" s="41"/>
      <c r="F157" s="41"/>
      <c r="G157" s="41"/>
      <c r="H157" s="41"/>
      <c r="I157" s="42"/>
      <c r="J157" s="41"/>
      <c r="K157" s="41"/>
      <c r="L157" s="43"/>
    </row>
    <row r="158" spans="2:12" ht="15.75" hidden="1" outlineLevel="1" thickBot="1">
      <c r="B158" s="7">
        <f t="shared" si="9"/>
        <v>68</v>
      </c>
      <c r="C158" s="41" t="s">
        <v>9</v>
      </c>
      <c r="D158" s="41"/>
      <c r="E158" s="41"/>
      <c r="F158" s="41"/>
      <c r="G158" s="41"/>
      <c r="H158" s="41"/>
      <c r="I158" s="42"/>
      <c r="J158" s="41"/>
      <c r="K158" s="41"/>
      <c r="L158" s="43"/>
    </row>
    <row r="159" spans="2:12" ht="15.75" hidden="1" outlineLevel="1" thickBot="1">
      <c r="B159" s="7">
        <f t="shared" si="9"/>
        <v>69</v>
      </c>
      <c r="C159" s="41" t="s">
        <v>9</v>
      </c>
      <c r="D159" s="41"/>
      <c r="E159" s="58"/>
      <c r="F159" s="41"/>
      <c r="G159" s="41"/>
      <c r="H159" s="41"/>
      <c r="I159" s="42"/>
      <c r="J159" s="41"/>
      <c r="K159" s="41"/>
      <c r="L159" s="43"/>
    </row>
    <row r="160" spans="2:12" ht="15.75" hidden="1" outlineLevel="1" thickBot="1">
      <c r="B160" s="7">
        <f t="shared" si="9"/>
        <v>70</v>
      </c>
      <c r="C160" s="41" t="s">
        <v>9</v>
      </c>
      <c r="D160" s="41"/>
      <c r="E160" s="41"/>
      <c r="F160" s="41"/>
      <c r="G160" s="41"/>
      <c r="H160" s="41"/>
      <c r="I160" s="42"/>
      <c r="J160" s="41"/>
      <c r="K160" s="41"/>
      <c r="L160" s="43"/>
    </row>
    <row r="161" spans="2:12" ht="15.75" hidden="1" outlineLevel="1" thickBot="1">
      <c r="B161" s="7">
        <f t="shared" si="9"/>
        <v>71</v>
      </c>
      <c r="C161" s="41" t="s">
        <v>9</v>
      </c>
      <c r="D161" s="41"/>
      <c r="E161" s="58"/>
      <c r="F161" s="41"/>
      <c r="G161" s="41"/>
      <c r="H161" s="41"/>
      <c r="I161" s="42"/>
      <c r="J161" s="41"/>
      <c r="K161" s="41"/>
      <c r="L161" s="43"/>
    </row>
    <row r="162" spans="2:12" ht="15.75" hidden="1" outlineLevel="1" thickBot="1">
      <c r="B162" s="7">
        <f t="shared" si="9"/>
        <v>72</v>
      </c>
      <c r="C162" s="41" t="s">
        <v>9</v>
      </c>
      <c r="D162" s="41"/>
      <c r="E162" s="41"/>
      <c r="F162" s="41"/>
      <c r="G162" s="41"/>
      <c r="H162" s="41"/>
      <c r="I162" s="42"/>
      <c r="J162" s="41"/>
      <c r="K162" s="41"/>
      <c r="L162" s="43"/>
    </row>
    <row r="163" spans="2:12" ht="15.75" hidden="1" outlineLevel="1" thickBot="1">
      <c r="B163" s="7">
        <f t="shared" si="9"/>
        <v>73</v>
      </c>
      <c r="C163" s="41" t="s">
        <v>9</v>
      </c>
      <c r="D163" s="41"/>
      <c r="E163" s="41"/>
      <c r="F163" s="41"/>
      <c r="G163" s="41"/>
      <c r="H163" s="41"/>
      <c r="I163" s="42"/>
      <c r="J163" s="41"/>
      <c r="K163" s="41"/>
      <c r="L163" s="43"/>
    </row>
    <row r="164" spans="2:12" ht="15.75" hidden="1" outlineLevel="1" thickBot="1">
      <c r="B164" s="7">
        <f t="shared" si="9"/>
        <v>74</v>
      </c>
      <c r="C164" s="41" t="s">
        <v>9</v>
      </c>
      <c r="D164" s="41"/>
      <c r="E164" s="41"/>
      <c r="F164" s="41"/>
      <c r="G164" s="41"/>
      <c r="H164" s="41"/>
      <c r="I164" s="42"/>
      <c r="J164" s="41"/>
      <c r="K164" s="41"/>
      <c r="L164" s="43"/>
    </row>
    <row r="165" spans="2:12" ht="15.75" hidden="1" outlineLevel="1" thickBot="1">
      <c r="B165" s="7">
        <f t="shared" si="9"/>
        <v>75</v>
      </c>
      <c r="C165" s="41" t="s">
        <v>9</v>
      </c>
      <c r="D165" s="41"/>
      <c r="E165" s="41"/>
      <c r="F165" s="41"/>
      <c r="G165" s="41"/>
      <c r="H165" s="41"/>
      <c r="I165" s="42"/>
      <c r="J165" s="41"/>
      <c r="K165" s="41"/>
      <c r="L165" s="43"/>
    </row>
    <row r="166" spans="2:12" ht="15.75" hidden="1" outlineLevel="1" thickBot="1">
      <c r="B166" s="7">
        <f t="shared" si="9"/>
        <v>76</v>
      </c>
      <c r="C166" s="41" t="s">
        <v>9</v>
      </c>
      <c r="D166" s="41"/>
      <c r="E166" s="41"/>
      <c r="F166" s="41"/>
      <c r="G166" s="41"/>
      <c r="H166" s="41"/>
      <c r="I166" s="42"/>
      <c r="J166" s="41"/>
      <c r="K166" s="41"/>
      <c r="L166" s="43"/>
    </row>
    <row r="167" spans="2:12" ht="15.75" hidden="1" outlineLevel="1" thickBot="1">
      <c r="B167" s="7">
        <f t="shared" si="9"/>
        <v>77</v>
      </c>
      <c r="C167" s="41" t="s">
        <v>9</v>
      </c>
      <c r="D167" s="41"/>
      <c r="E167" s="58"/>
      <c r="F167" s="41"/>
      <c r="G167" s="41"/>
      <c r="H167" s="41"/>
      <c r="I167" s="42"/>
      <c r="J167" s="41"/>
      <c r="K167" s="41"/>
      <c r="L167" s="43"/>
    </row>
    <row r="168" spans="2:12" ht="15.75" hidden="1" outlineLevel="1" thickBot="1">
      <c r="B168" s="7">
        <f t="shared" si="9"/>
        <v>78</v>
      </c>
      <c r="C168" s="41" t="s">
        <v>9</v>
      </c>
      <c r="D168" s="41"/>
      <c r="E168" s="41"/>
      <c r="F168" s="41"/>
      <c r="G168" s="41"/>
      <c r="H168" s="41"/>
      <c r="I168" s="42"/>
      <c r="J168" s="41"/>
      <c r="K168" s="41"/>
      <c r="L168" s="43"/>
    </row>
    <row r="169" spans="2:12" ht="15.75" hidden="1" outlineLevel="1" thickBot="1">
      <c r="B169" s="7">
        <f t="shared" si="9"/>
        <v>79</v>
      </c>
      <c r="C169" s="41" t="s">
        <v>9</v>
      </c>
      <c r="D169" s="41"/>
      <c r="E169" s="41"/>
      <c r="F169" s="41"/>
      <c r="G169" s="41"/>
      <c r="H169" s="41"/>
      <c r="I169" s="42"/>
      <c r="J169" s="41"/>
      <c r="K169" s="41"/>
      <c r="L169" s="43"/>
    </row>
    <row r="170" spans="2:12" ht="15.75" hidden="1" outlineLevel="1" thickBot="1">
      <c r="B170" s="7">
        <f t="shared" si="9"/>
        <v>80</v>
      </c>
      <c r="C170" s="41" t="s">
        <v>9</v>
      </c>
      <c r="D170" s="41"/>
      <c r="E170" s="41"/>
      <c r="F170" s="41"/>
      <c r="G170" s="41"/>
      <c r="H170" s="41"/>
      <c r="I170" s="42"/>
      <c r="J170" s="41"/>
      <c r="K170" s="41"/>
      <c r="L170" s="43"/>
    </row>
    <row r="171" spans="2:12" ht="15.75" hidden="1" outlineLevel="1" thickBot="1">
      <c r="B171" s="7">
        <f t="shared" si="9"/>
        <v>81</v>
      </c>
      <c r="C171" s="41" t="s">
        <v>9</v>
      </c>
      <c r="D171" s="41"/>
      <c r="E171" s="41"/>
      <c r="F171" s="41"/>
      <c r="G171" s="41"/>
      <c r="H171" s="41"/>
      <c r="I171" s="42"/>
      <c r="J171" s="41"/>
      <c r="K171" s="41"/>
      <c r="L171" s="43"/>
    </row>
    <row r="172" spans="2:12" ht="15.75" hidden="1" outlineLevel="1" thickBot="1">
      <c r="B172" s="7">
        <f t="shared" si="9"/>
        <v>82</v>
      </c>
      <c r="C172" s="41" t="s">
        <v>9</v>
      </c>
      <c r="D172" s="41"/>
      <c r="E172" s="58"/>
      <c r="F172" s="41"/>
      <c r="G172" s="41"/>
      <c r="H172" s="41"/>
      <c r="I172" s="42"/>
      <c r="J172" s="41"/>
      <c r="K172" s="41"/>
      <c r="L172" s="43"/>
    </row>
    <row r="173" spans="2:12" ht="15.75" hidden="1" outlineLevel="1" thickBot="1">
      <c r="B173" s="7">
        <f t="shared" si="9"/>
        <v>83</v>
      </c>
      <c r="C173" s="41" t="s">
        <v>9</v>
      </c>
      <c r="D173" s="41"/>
      <c r="E173" s="41"/>
      <c r="F173" s="41"/>
      <c r="G173" s="41"/>
      <c r="H173" s="41"/>
      <c r="I173" s="42"/>
      <c r="J173" s="41"/>
      <c r="K173" s="41"/>
      <c r="L173" s="43"/>
    </row>
    <row r="174" spans="2:12" ht="15.75" hidden="1" outlineLevel="1" thickBot="1">
      <c r="B174" s="7">
        <f t="shared" si="9"/>
        <v>84</v>
      </c>
      <c r="C174" s="41" t="s">
        <v>9</v>
      </c>
      <c r="D174" s="41"/>
      <c r="E174" s="41"/>
      <c r="F174" s="41"/>
      <c r="G174" s="41"/>
      <c r="H174" s="41"/>
      <c r="I174" s="42"/>
      <c r="J174" s="41"/>
      <c r="K174" s="41"/>
      <c r="L174" s="43"/>
    </row>
    <row r="175" spans="2:12" ht="15.75" hidden="1" outlineLevel="1" thickBot="1">
      <c r="B175" s="7">
        <f t="shared" si="9"/>
        <v>85</v>
      </c>
      <c r="C175" s="41" t="s">
        <v>9</v>
      </c>
      <c r="D175" s="41"/>
      <c r="E175" s="41"/>
      <c r="F175" s="41"/>
      <c r="G175" s="41"/>
      <c r="H175" s="41"/>
      <c r="I175" s="42"/>
      <c r="J175" s="41"/>
      <c r="K175" s="41"/>
      <c r="L175" s="43"/>
    </row>
    <row r="176" spans="2:12" ht="15.75" hidden="1" outlineLevel="1" thickBot="1">
      <c r="B176" s="7">
        <f t="shared" si="9"/>
        <v>86</v>
      </c>
      <c r="C176" s="41" t="s">
        <v>9</v>
      </c>
      <c r="D176" s="41"/>
      <c r="E176" s="41"/>
      <c r="F176" s="41"/>
      <c r="G176" s="41"/>
      <c r="H176" s="41"/>
      <c r="I176" s="42"/>
      <c r="J176" s="41"/>
      <c r="K176" s="41"/>
      <c r="L176" s="43"/>
    </row>
    <row r="177" spans="2:12" ht="15.75" hidden="1" outlineLevel="1" thickBot="1">
      <c r="B177" s="7">
        <f t="shared" si="9"/>
        <v>87</v>
      </c>
      <c r="C177" s="41" t="s">
        <v>9</v>
      </c>
      <c r="D177" s="41"/>
      <c r="E177" s="41"/>
      <c r="F177" s="41"/>
      <c r="G177" s="41"/>
      <c r="H177" s="41"/>
      <c r="I177" s="42"/>
      <c r="J177" s="41"/>
      <c r="K177" s="41"/>
      <c r="L177" s="43"/>
    </row>
    <row r="178" spans="2:12" ht="15.75" hidden="1" outlineLevel="1" thickBot="1">
      <c r="B178" s="7">
        <f t="shared" si="9"/>
        <v>88</v>
      </c>
      <c r="C178" s="41" t="s">
        <v>9</v>
      </c>
      <c r="D178" s="41"/>
      <c r="E178" s="41"/>
      <c r="F178" s="41"/>
      <c r="G178" s="41"/>
      <c r="H178" s="41"/>
      <c r="I178" s="42"/>
      <c r="J178" s="41"/>
      <c r="K178" s="41"/>
      <c r="L178" s="43"/>
    </row>
    <row r="179" spans="2:12" ht="15.75" hidden="1" outlineLevel="1" thickBot="1">
      <c r="B179" s="7">
        <f t="shared" si="9"/>
        <v>89</v>
      </c>
      <c r="C179" s="41" t="s">
        <v>9</v>
      </c>
      <c r="D179" s="41"/>
      <c r="E179" s="41"/>
      <c r="F179" s="41"/>
      <c r="G179" s="41"/>
      <c r="H179" s="41"/>
      <c r="I179" s="42"/>
      <c r="J179" s="41"/>
      <c r="K179" s="41"/>
      <c r="L179" s="43"/>
    </row>
    <row r="180" spans="2:12" ht="15.75" hidden="1" outlineLevel="1" thickBot="1">
      <c r="B180" s="7">
        <f t="shared" si="9"/>
        <v>90</v>
      </c>
      <c r="C180" s="41" t="s">
        <v>9</v>
      </c>
      <c r="D180" s="41"/>
      <c r="E180" s="41"/>
      <c r="F180" s="41"/>
      <c r="G180" s="41"/>
      <c r="H180" s="41"/>
      <c r="I180" s="42"/>
      <c r="J180" s="41"/>
      <c r="K180" s="41"/>
      <c r="L180" s="43"/>
    </row>
    <row r="181" spans="2:12" ht="15.75" hidden="1" outlineLevel="1" thickBot="1">
      <c r="B181" s="7">
        <f t="shared" si="9"/>
        <v>91</v>
      </c>
      <c r="C181" s="41" t="s">
        <v>9</v>
      </c>
      <c r="D181" s="41"/>
      <c r="E181" s="41"/>
      <c r="F181" s="41"/>
      <c r="G181" s="41"/>
      <c r="H181" s="41"/>
      <c r="I181" s="42"/>
      <c r="J181" s="41"/>
      <c r="K181" s="41"/>
      <c r="L181" s="43"/>
    </row>
    <row r="182" spans="2:12" ht="15.75" hidden="1" outlineLevel="1" thickBot="1">
      <c r="B182" s="7">
        <f t="shared" si="9"/>
        <v>92</v>
      </c>
      <c r="C182" s="41" t="s">
        <v>9</v>
      </c>
      <c r="D182" s="41"/>
      <c r="E182" s="41"/>
      <c r="F182" s="41"/>
      <c r="G182" s="41"/>
      <c r="H182" s="41"/>
      <c r="I182" s="42"/>
      <c r="J182" s="41"/>
      <c r="K182" s="41"/>
      <c r="L182" s="43"/>
    </row>
    <row r="183" spans="2:12" ht="15.75" hidden="1" outlineLevel="1" thickBot="1">
      <c r="B183" s="7">
        <f t="shared" si="9"/>
        <v>93</v>
      </c>
      <c r="C183" s="41" t="s">
        <v>9</v>
      </c>
      <c r="D183" s="41"/>
      <c r="E183" s="41"/>
      <c r="F183" s="41"/>
      <c r="G183" s="41"/>
      <c r="H183" s="41"/>
      <c r="I183" s="42"/>
      <c r="J183" s="41"/>
      <c r="K183" s="41"/>
      <c r="L183" s="43"/>
    </row>
    <row r="184" spans="2:12" ht="15.75" hidden="1" outlineLevel="1" thickBot="1">
      <c r="B184" s="7">
        <f t="shared" si="9"/>
        <v>94</v>
      </c>
      <c r="C184" s="41" t="s">
        <v>9</v>
      </c>
      <c r="D184" s="41"/>
      <c r="E184" s="41"/>
      <c r="F184" s="41"/>
      <c r="G184" s="41"/>
      <c r="H184" s="41"/>
      <c r="I184" s="42"/>
      <c r="J184" s="41"/>
      <c r="K184" s="41"/>
      <c r="L184" s="43"/>
    </row>
    <row r="185" spans="2:12" ht="15.75" hidden="1" outlineLevel="1" thickBot="1">
      <c r="B185" s="7">
        <f t="shared" si="9"/>
        <v>95</v>
      </c>
      <c r="C185" s="41" t="s">
        <v>9</v>
      </c>
      <c r="D185" s="41"/>
      <c r="E185" s="41"/>
      <c r="F185" s="41"/>
      <c r="G185" s="41"/>
      <c r="H185" s="41"/>
      <c r="I185" s="42"/>
      <c r="J185" s="41"/>
      <c r="K185" s="41"/>
      <c r="L185" s="43"/>
    </row>
    <row r="186" spans="2:12" ht="15.75" hidden="1" outlineLevel="1" thickBot="1">
      <c r="B186" s="7">
        <f t="shared" si="9"/>
        <v>96</v>
      </c>
      <c r="C186" s="41" t="s">
        <v>9</v>
      </c>
      <c r="D186" s="41"/>
      <c r="E186" s="41"/>
      <c r="F186" s="41"/>
      <c r="G186" s="41"/>
      <c r="H186" s="41"/>
      <c r="I186" s="42"/>
      <c r="J186" s="41"/>
      <c r="K186" s="41"/>
      <c r="L186" s="43"/>
    </row>
    <row r="187" spans="2:12" ht="15.75" hidden="1" outlineLevel="1" thickBot="1">
      <c r="B187" s="7">
        <f t="shared" si="9"/>
        <v>97</v>
      </c>
      <c r="C187" s="41" t="s">
        <v>9</v>
      </c>
      <c r="D187" s="41"/>
      <c r="E187" s="41"/>
      <c r="F187" s="41"/>
      <c r="G187" s="41"/>
      <c r="H187" s="41"/>
      <c r="I187" s="42"/>
      <c r="J187" s="41"/>
      <c r="K187" s="41"/>
      <c r="L187" s="43"/>
    </row>
    <row r="188" spans="2:12" ht="15.75" hidden="1" outlineLevel="1" thickBot="1">
      <c r="B188" s="7">
        <f t="shared" si="9"/>
        <v>98</v>
      </c>
      <c r="C188" s="41" t="s">
        <v>9</v>
      </c>
      <c r="D188" s="41"/>
      <c r="E188" s="41"/>
      <c r="F188" s="41"/>
      <c r="G188" s="41"/>
      <c r="H188" s="41"/>
      <c r="I188" s="42"/>
      <c r="J188" s="41"/>
      <c r="K188" s="41"/>
      <c r="L188" s="43"/>
    </row>
    <row r="189" spans="2:12" ht="15.75" hidden="1" outlineLevel="1" thickBot="1">
      <c r="B189" s="7">
        <f t="shared" si="9"/>
        <v>99</v>
      </c>
      <c r="C189" s="41" t="s">
        <v>9</v>
      </c>
      <c r="D189" s="41"/>
      <c r="E189" s="41"/>
      <c r="F189" s="41"/>
      <c r="G189" s="41"/>
      <c r="H189" s="41"/>
      <c r="I189" s="42"/>
      <c r="J189" s="41"/>
      <c r="K189" s="41"/>
      <c r="L189" s="43"/>
    </row>
    <row r="190" spans="2:12" ht="15.75" hidden="1" outlineLevel="1" thickBot="1">
      <c r="B190" s="7">
        <f t="shared" si="9"/>
        <v>100</v>
      </c>
      <c r="C190" s="41" t="s">
        <v>9</v>
      </c>
      <c r="D190" s="41"/>
      <c r="E190" s="41"/>
      <c r="F190" s="41"/>
      <c r="G190" s="41"/>
      <c r="H190" s="41"/>
      <c r="I190" s="42"/>
      <c r="J190" s="41"/>
      <c r="K190" s="41"/>
      <c r="L190" s="43"/>
    </row>
    <row r="191" spans="2:12" ht="15.75" hidden="1" outlineLevel="1" thickBot="1">
      <c r="B191" s="7">
        <f t="shared" si="9"/>
        <v>101</v>
      </c>
      <c r="C191" s="41" t="s">
        <v>9</v>
      </c>
      <c r="D191" s="41"/>
      <c r="E191" s="41"/>
      <c r="F191" s="41"/>
      <c r="G191" s="41"/>
      <c r="H191" s="41"/>
      <c r="I191" s="42"/>
      <c r="J191" s="41"/>
      <c r="K191" s="41"/>
      <c r="L191" s="43"/>
    </row>
    <row r="192" spans="2:12" ht="15.75" hidden="1" outlineLevel="1" thickBot="1">
      <c r="B192" s="7">
        <f t="shared" si="9"/>
        <v>102</v>
      </c>
      <c r="C192" s="41" t="s">
        <v>9</v>
      </c>
      <c r="D192" s="41"/>
      <c r="E192" s="41"/>
      <c r="F192" s="41"/>
      <c r="G192" s="41"/>
      <c r="H192" s="41"/>
      <c r="I192" s="42"/>
      <c r="J192" s="41"/>
      <c r="K192" s="41"/>
      <c r="L192" s="43"/>
    </row>
    <row r="193" spans="2:12" ht="15.75" hidden="1" outlineLevel="1" thickBot="1">
      <c r="B193" s="7">
        <f t="shared" si="9"/>
        <v>103</v>
      </c>
      <c r="C193" s="41" t="s">
        <v>9</v>
      </c>
      <c r="D193" s="41"/>
      <c r="E193" s="41"/>
      <c r="F193" s="41"/>
      <c r="G193" s="41"/>
      <c r="H193" s="41"/>
      <c r="I193" s="42"/>
      <c r="J193" s="41"/>
      <c r="K193" s="41"/>
      <c r="L193" s="43"/>
    </row>
    <row r="194" spans="2:12" ht="15.75" hidden="1" outlineLevel="1" thickBot="1">
      <c r="B194" s="7">
        <f t="shared" si="9"/>
        <v>104</v>
      </c>
      <c r="C194" s="41" t="s">
        <v>9</v>
      </c>
      <c r="D194" s="41"/>
      <c r="E194" s="41"/>
      <c r="F194" s="41"/>
      <c r="G194" s="41"/>
      <c r="H194" s="41"/>
      <c r="I194" s="42"/>
      <c r="J194" s="41"/>
      <c r="K194" s="41"/>
      <c r="L194" s="43"/>
    </row>
    <row r="195" spans="2:12" ht="15.75" hidden="1" outlineLevel="1" thickBot="1">
      <c r="B195" s="7">
        <f t="shared" si="9"/>
        <v>105</v>
      </c>
      <c r="C195" s="41" t="s">
        <v>9</v>
      </c>
      <c r="D195" s="41"/>
      <c r="E195" s="41"/>
      <c r="F195" s="41"/>
      <c r="G195" s="41"/>
      <c r="H195" s="41"/>
      <c r="I195" s="42"/>
      <c r="J195" s="41"/>
      <c r="K195" s="41"/>
      <c r="L195" s="43"/>
    </row>
    <row r="196" spans="2:12" ht="15.75" hidden="1" outlineLevel="1" thickBot="1">
      <c r="B196" s="7">
        <f t="shared" si="9"/>
        <v>106</v>
      </c>
      <c r="C196" s="41" t="s">
        <v>9</v>
      </c>
      <c r="D196" s="41"/>
      <c r="E196" s="41"/>
      <c r="F196" s="41"/>
      <c r="G196" s="41"/>
      <c r="H196" s="41"/>
      <c r="I196" s="42"/>
      <c r="J196" s="41"/>
      <c r="K196" s="41"/>
      <c r="L196" s="43"/>
    </row>
    <row r="197" spans="2:12" ht="15.75" hidden="1" outlineLevel="1" thickBot="1">
      <c r="B197" s="7">
        <f t="shared" si="9"/>
        <v>107</v>
      </c>
      <c r="C197" s="41" t="s">
        <v>9</v>
      </c>
      <c r="D197" s="41"/>
      <c r="E197" s="41"/>
      <c r="F197" s="41"/>
      <c r="G197" s="41"/>
      <c r="H197" s="41"/>
      <c r="I197" s="42"/>
      <c r="J197" s="41"/>
      <c r="K197" s="41"/>
      <c r="L197" s="43"/>
    </row>
    <row r="198" spans="2:12" ht="15.75" hidden="1" outlineLevel="1" thickBot="1">
      <c r="B198" s="7">
        <f t="shared" si="9"/>
        <v>108</v>
      </c>
      <c r="C198" s="41" t="s">
        <v>9</v>
      </c>
      <c r="D198" s="41"/>
      <c r="E198" s="41"/>
      <c r="F198" s="41"/>
      <c r="G198" s="41"/>
      <c r="H198" s="41"/>
      <c r="I198" s="42"/>
      <c r="J198" s="41"/>
      <c r="K198" s="41"/>
      <c r="L198" s="43"/>
    </row>
    <row r="199" spans="2:12" ht="15.75" hidden="1" outlineLevel="1" thickBot="1">
      <c r="B199" s="7">
        <f t="shared" si="9"/>
        <v>109</v>
      </c>
      <c r="C199" s="41" t="s">
        <v>9</v>
      </c>
      <c r="D199" s="41"/>
      <c r="E199" s="41"/>
      <c r="F199" s="41"/>
      <c r="G199" s="41"/>
      <c r="H199" s="41"/>
      <c r="I199" s="42"/>
      <c r="J199" s="41"/>
      <c r="K199" s="41"/>
      <c r="L199" s="43"/>
    </row>
    <row r="200" spans="2:12" ht="15.75" hidden="1" outlineLevel="1" thickBot="1">
      <c r="B200" s="7">
        <f t="shared" si="9"/>
        <v>110</v>
      </c>
      <c r="C200" s="41" t="s">
        <v>9</v>
      </c>
      <c r="D200" s="41"/>
      <c r="E200" s="41"/>
      <c r="F200" s="41"/>
      <c r="G200" s="41"/>
      <c r="H200" s="41"/>
      <c r="I200" s="42"/>
      <c r="J200" s="41"/>
      <c r="K200" s="41"/>
      <c r="L200" s="43"/>
    </row>
    <row r="201" spans="2:12" ht="15.75" hidden="1" outlineLevel="1" thickBot="1">
      <c r="B201" s="7">
        <f t="shared" si="9"/>
        <v>111</v>
      </c>
      <c r="C201" s="41" t="s">
        <v>9</v>
      </c>
      <c r="D201" s="41"/>
      <c r="E201" s="41"/>
      <c r="F201" s="41"/>
      <c r="G201" s="41"/>
      <c r="H201" s="41"/>
      <c r="I201" s="42"/>
      <c r="J201" s="41"/>
      <c r="K201" s="41"/>
      <c r="L201" s="43"/>
    </row>
    <row r="202" spans="2:12" ht="15.75" hidden="1" outlineLevel="1" thickBot="1">
      <c r="B202" s="7">
        <f t="shared" si="9"/>
        <v>112</v>
      </c>
      <c r="C202" s="41" t="s">
        <v>9</v>
      </c>
      <c r="D202" s="41"/>
      <c r="E202" s="41"/>
      <c r="F202" s="41"/>
      <c r="G202" s="41"/>
      <c r="H202" s="41"/>
      <c r="I202" s="42"/>
      <c r="J202" s="41"/>
      <c r="K202" s="41"/>
      <c r="L202" s="43"/>
    </row>
    <row r="203" spans="2:12" ht="15.75" hidden="1" outlineLevel="1" thickBot="1">
      <c r="B203" s="7">
        <f t="shared" si="9"/>
        <v>113</v>
      </c>
      <c r="C203" s="41" t="s">
        <v>9</v>
      </c>
      <c r="D203" s="41"/>
      <c r="E203" s="41"/>
      <c r="F203" s="41"/>
      <c r="G203" s="41"/>
      <c r="H203" s="41"/>
      <c r="I203" s="42"/>
      <c r="J203" s="41"/>
      <c r="K203" s="41"/>
      <c r="L203" s="43"/>
    </row>
    <row r="204" spans="2:12" ht="15.75" hidden="1" outlineLevel="1" thickBot="1">
      <c r="B204" s="7">
        <f t="shared" si="9"/>
        <v>114</v>
      </c>
      <c r="C204" s="41" t="s">
        <v>9</v>
      </c>
      <c r="D204" s="41"/>
      <c r="E204" s="41"/>
      <c r="F204" s="41"/>
      <c r="G204" s="41"/>
      <c r="H204" s="41"/>
      <c r="I204" s="42"/>
      <c r="J204" s="41"/>
      <c r="K204" s="41"/>
      <c r="L204" s="43"/>
    </row>
    <row r="205" spans="2:12" ht="15.75" hidden="1" outlineLevel="1" thickBot="1">
      <c r="B205" s="7">
        <f t="shared" si="9"/>
        <v>115</v>
      </c>
      <c r="C205" s="41" t="s">
        <v>9</v>
      </c>
      <c r="D205" s="41"/>
      <c r="E205" s="41"/>
      <c r="F205" s="41"/>
      <c r="G205" s="41"/>
      <c r="H205" s="41"/>
      <c r="I205" s="42"/>
      <c r="J205" s="41"/>
      <c r="K205" s="41"/>
      <c r="L205" s="43"/>
    </row>
    <row r="206" spans="2:12" ht="15.75" hidden="1" outlineLevel="1" thickBot="1">
      <c r="B206" s="7">
        <f t="shared" si="9"/>
        <v>116</v>
      </c>
      <c r="C206" s="41" t="s">
        <v>9</v>
      </c>
      <c r="D206" s="41"/>
      <c r="E206" s="41"/>
      <c r="F206" s="41"/>
      <c r="G206" s="41"/>
      <c r="H206" s="41"/>
      <c r="I206" s="42"/>
      <c r="J206" s="41"/>
      <c r="K206" s="41"/>
      <c r="L206" s="43"/>
    </row>
    <row r="207" spans="2:12" ht="15.75" hidden="1" outlineLevel="1" thickBot="1">
      <c r="B207" s="7">
        <f t="shared" si="9"/>
        <v>117</v>
      </c>
      <c r="C207" s="41" t="s">
        <v>9</v>
      </c>
      <c r="D207" s="41"/>
      <c r="E207" s="41"/>
      <c r="F207" s="41"/>
      <c r="G207" s="41"/>
      <c r="H207" s="41"/>
      <c r="I207" s="42"/>
      <c r="J207" s="41"/>
      <c r="K207" s="41"/>
      <c r="L207" s="43"/>
    </row>
    <row r="208" spans="2:12" ht="15.75" hidden="1" outlineLevel="1" thickBot="1">
      <c r="B208" s="7">
        <f t="shared" si="9"/>
        <v>118</v>
      </c>
      <c r="C208" s="41" t="s">
        <v>9</v>
      </c>
      <c r="D208" s="41"/>
      <c r="E208" s="41"/>
      <c r="F208" s="41"/>
      <c r="G208" s="41"/>
      <c r="H208" s="41"/>
      <c r="I208" s="42"/>
      <c r="J208" s="41"/>
      <c r="K208" s="41"/>
      <c r="L208" s="43"/>
    </row>
    <row r="209" spans="2:12" ht="15.75" hidden="1" outlineLevel="1" thickBot="1">
      <c r="B209" s="7">
        <f t="shared" si="9"/>
        <v>119</v>
      </c>
      <c r="C209" s="41" t="s">
        <v>9</v>
      </c>
      <c r="D209" s="41"/>
      <c r="E209" s="41"/>
      <c r="F209" s="41"/>
      <c r="G209" s="41"/>
      <c r="H209" s="41"/>
      <c r="I209" s="42"/>
      <c r="J209" s="41"/>
      <c r="K209" s="41"/>
      <c r="L209" s="43"/>
    </row>
    <row r="210" spans="2:12" ht="15.75" hidden="1" outlineLevel="1" thickBot="1">
      <c r="B210" s="7">
        <f t="shared" si="9"/>
        <v>120</v>
      </c>
      <c r="C210" s="41" t="s">
        <v>9</v>
      </c>
      <c r="D210" s="41"/>
      <c r="E210" s="41"/>
      <c r="F210" s="41"/>
      <c r="G210" s="41"/>
      <c r="H210" s="41"/>
      <c r="I210" s="42"/>
      <c r="J210" s="41"/>
      <c r="K210" s="41"/>
      <c r="L210" s="43"/>
    </row>
    <row r="211" spans="2:12" ht="15.75" hidden="1" outlineLevel="1" thickBot="1">
      <c r="B211" s="7">
        <f t="shared" si="9"/>
        <v>121</v>
      </c>
      <c r="C211" s="41" t="s">
        <v>9</v>
      </c>
      <c r="D211" s="41"/>
      <c r="E211" s="41"/>
      <c r="F211" s="41"/>
      <c r="G211" s="41"/>
      <c r="H211" s="41"/>
      <c r="I211" s="42"/>
      <c r="J211" s="41"/>
      <c r="K211" s="41"/>
      <c r="L211" s="43"/>
    </row>
    <row r="212" spans="2:12" ht="15.75" hidden="1" outlineLevel="1" thickBot="1">
      <c r="B212" s="7">
        <f t="shared" si="9"/>
        <v>122</v>
      </c>
      <c r="C212" s="41" t="s">
        <v>9</v>
      </c>
      <c r="D212" s="41"/>
      <c r="E212" s="41"/>
      <c r="F212" s="41"/>
      <c r="G212" s="41"/>
      <c r="H212" s="41"/>
      <c r="I212" s="42"/>
      <c r="J212" s="41"/>
      <c r="K212" s="41"/>
      <c r="L212" s="43"/>
    </row>
    <row r="213" spans="2:12" ht="15.75" hidden="1" outlineLevel="1" thickBot="1">
      <c r="B213" s="7">
        <f t="shared" si="9"/>
        <v>123</v>
      </c>
      <c r="C213" s="41" t="s">
        <v>9</v>
      </c>
      <c r="D213" s="41"/>
      <c r="E213" s="41"/>
      <c r="F213" s="41"/>
      <c r="G213" s="41"/>
      <c r="H213" s="41"/>
      <c r="I213" s="42"/>
      <c r="J213" s="41"/>
      <c r="K213" s="41"/>
      <c r="L213" s="43"/>
    </row>
    <row r="214" spans="2:12" ht="15.75" hidden="1" outlineLevel="1" thickBot="1">
      <c r="B214" s="7">
        <f t="shared" si="9"/>
        <v>124</v>
      </c>
      <c r="C214" s="41" t="s">
        <v>9</v>
      </c>
      <c r="D214" s="41"/>
      <c r="E214" s="41"/>
      <c r="F214" s="41"/>
      <c r="G214" s="41"/>
      <c r="H214" s="41"/>
      <c r="I214" s="42"/>
      <c r="J214" s="41"/>
      <c r="K214" s="41"/>
      <c r="L214" s="43"/>
    </row>
    <row r="215" spans="2:12" ht="15.75" hidden="1" outlineLevel="1" thickBot="1">
      <c r="B215" s="7">
        <f t="shared" si="9"/>
        <v>125</v>
      </c>
      <c r="C215" s="41" t="s">
        <v>9</v>
      </c>
      <c r="D215" s="41"/>
      <c r="E215" s="41"/>
      <c r="F215" s="41"/>
      <c r="G215" s="41"/>
      <c r="H215" s="41"/>
      <c r="I215" s="42"/>
      <c r="J215" s="41"/>
      <c r="K215" s="41"/>
      <c r="L215" s="43"/>
    </row>
    <row r="216" spans="2:12" ht="15.75" hidden="1" outlineLevel="1" thickBot="1">
      <c r="B216" s="7">
        <f t="shared" si="9"/>
        <v>126</v>
      </c>
      <c r="C216" s="41" t="s">
        <v>9</v>
      </c>
      <c r="D216" s="41"/>
      <c r="E216" s="41"/>
      <c r="F216" s="41"/>
      <c r="G216" s="41"/>
      <c r="H216" s="41"/>
      <c r="I216" s="42"/>
      <c r="J216" s="41"/>
      <c r="K216" s="41"/>
      <c r="L216" s="43"/>
    </row>
    <row r="217" spans="2:12" ht="15.75" hidden="1" outlineLevel="1" thickBot="1">
      <c r="B217" s="7">
        <f t="shared" si="9"/>
        <v>127</v>
      </c>
      <c r="C217" s="41" t="s">
        <v>9</v>
      </c>
      <c r="D217" s="41"/>
      <c r="E217" s="41"/>
      <c r="F217" s="41"/>
      <c r="G217" s="41"/>
      <c r="H217" s="41"/>
      <c r="I217" s="42"/>
      <c r="J217" s="41"/>
      <c r="K217" s="41"/>
      <c r="L217" s="43"/>
    </row>
    <row r="218" spans="2:12" ht="15.75" hidden="1" outlineLevel="1" thickBot="1">
      <c r="B218" s="7">
        <f t="shared" si="9"/>
        <v>128</v>
      </c>
      <c r="C218" s="41" t="s">
        <v>9</v>
      </c>
      <c r="D218" s="41"/>
      <c r="E218" s="41"/>
      <c r="F218" s="41"/>
      <c r="G218" s="41"/>
      <c r="H218" s="41"/>
      <c r="I218" s="42"/>
      <c r="J218" s="41"/>
      <c r="K218" s="41"/>
      <c r="L218" s="43"/>
    </row>
    <row r="219" spans="2:12" ht="15.75" hidden="1" outlineLevel="1" thickBot="1">
      <c r="B219" s="7">
        <f t="shared" si="9"/>
        <v>129</v>
      </c>
      <c r="C219" s="41" t="s">
        <v>9</v>
      </c>
      <c r="D219" s="41"/>
      <c r="E219" s="41"/>
      <c r="F219" s="41"/>
      <c r="G219" s="41"/>
      <c r="H219" s="41"/>
      <c r="I219" s="42"/>
      <c r="J219" s="41"/>
      <c r="K219" s="41"/>
      <c r="L219" s="43"/>
    </row>
    <row r="220" spans="2:12" ht="15.75" hidden="1" outlineLevel="1" thickBot="1">
      <c r="B220" s="7">
        <f t="shared" si="9"/>
        <v>130</v>
      </c>
      <c r="C220" s="41" t="s">
        <v>9</v>
      </c>
      <c r="D220" s="41"/>
      <c r="E220" s="41"/>
      <c r="F220" s="41"/>
      <c r="G220" s="41"/>
      <c r="H220" s="41"/>
      <c r="I220" s="42"/>
      <c r="J220" s="41"/>
      <c r="K220" s="41"/>
      <c r="L220" s="43"/>
    </row>
    <row r="221" spans="2:12" ht="15.75" hidden="1" outlineLevel="1" thickBot="1">
      <c r="B221" s="7">
        <f t="shared" ref="B221:B284" si="10">IF(C221="","",(B220+1))</f>
        <v>131</v>
      </c>
      <c r="C221" s="41" t="s">
        <v>9</v>
      </c>
      <c r="D221" s="41"/>
      <c r="E221" s="41"/>
      <c r="F221" s="41"/>
      <c r="G221" s="41"/>
      <c r="H221" s="41"/>
      <c r="I221" s="42"/>
      <c r="J221" s="41"/>
      <c r="K221" s="41"/>
      <c r="L221" s="43"/>
    </row>
    <row r="222" spans="2:12" ht="15.75" hidden="1" outlineLevel="1" thickBot="1">
      <c r="B222" s="7">
        <f t="shared" si="10"/>
        <v>132</v>
      </c>
      <c r="C222" s="41" t="s">
        <v>9</v>
      </c>
      <c r="D222" s="41"/>
      <c r="E222" s="41"/>
      <c r="F222" s="41"/>
      <c r="G222" s="41"/>
      <c r="H222" s="41"/>
      <c r="I222" s="42"/>
      <c r="J222" s="41"/>
      <c r="K222" s="41"/>
      <c r="L222" s="43"/>
    </row>
    <row r="223" spans="2:12" ht="15.75" hidden="1" outlineLevel="1" thickBot="1">
      <c r="B223" s="7">
        <f t="shared" si="10"/>
        <v>133</v>
      </c>
      <c r="C223" s="41" t="s">
        <v>9</v>
      </c>
      <c r="D223" s="41"/>
      <c r="E223" s="58"/>
      <c r="F223" s="41"/>
      <c r="G223" s="41"/>
      <c r="H223" s="41"/>
      <c r="I223" s="42"/>
      <c r="J223" s="41"/>
      <c r="K223" s="41"/>
      <c r="L223" s="43"/>
    </row>
    <row r="224" spans="2:12" ht="15.75" hidden="1" outlineLevel="1" thickBot="1">
      <c r="B224" s="7">
        <f t="shared" si="10"/>
        <v>134</v>
      </c>
      <c r="C224" s="41" t="s">
        <v>9</v>
      </c>
      <c r="D224" s="41"/>
      <c r="E224" s="41"/>
      <c r="F224" s="41"/>
      <c r="G224" s="41"/>
      <c r="H224" s="41"/>
      <c r="I224" s="42"/>
      <c r="J224" s="41"/>
      <c r="K224" s="41"/>
      <c r="L224" s="43"/>
    </row>
    <row r="225" spans="2:12" ht="15.75" hidden="1" outlineLevel="1" thickBot="1">
      <c r="B225" s="7">
        <f t="shared" si="10"/>
        <v>135</v>
      </c>
      <c r="C225" s="41" t="s">
        <v>9</v>
      </c>
      <c r="D225" s="41"/>
      <c r="E225" s="41"/>
      <c r="F225" s="41"/>
      <c r="G225" s="41"/>
      <c r="H225" s="41"/>
      <c r="I225" s="42"/>
      <c r="J225" s="41"/>
      <c r="K225" s="41"/>
      <c r="L225" s="43"/>
    </row>
    <row r="226" spans="2:12" ht="15.75" hidden="1" outlineLevel="1" thickBot="1">
      <c r="B226" s="7">
        <f t="shared" si="10"/>
        <v>136</v>
      </c>
      <c r="C226" s="41" t="s">
        <v>9</v>
      </c>
      <c r="D226" s="41"/>
      <c r="E226" s="58"/>
      <c r="F226" s="41"/>
      <c r="G226" s="41"/>
      <c r="H226" s="41"/>
      <c r="I226" s="42"/>
      <c r="J226" s="41"/>
      <c r="K226" s="41"/>
      <c r="L226" s="43"/>
    </row>
    <row r="227" spans="2:12" ht="15.75" hidden="1" outlineLevel="1" thickBot="1">
      <c r="B227" s="7">
        <f t="shared" si="10"/>
        <v>137</v>
      </c>
      <c r="C227" s="41" t="s">
        <v>9</v>
      </c>
      <c r="D227" s="41"/>
      <c r="E227" s="41"/>
      <c r="F227" s="41"/>
      <c r="G227" s="41"/>
      <c r="H227" s="41"/>
      <c r="I227" s="42"/>
      <c r="J227" s="41"/>
      <c r="K227" s="41"/>
      <c r="L227" s="43"/>
    </row>
    <row r="228" spans="2:12" ht="15.75" hidden="1" outlineLevel="1" thickBot="1">
      <c r="B228" s="7">
        <f t="shared" si="10"/>
        <v>138</v>
      </c>
      <c r="C228" s="41" t="s">
        <v>9</v>
      </c>
      <c r="D228" s="41"/>
      <c r="E228" s="41"/>
      <c r="F228" s="41"/>
      <c r="G228" s="41"/>
      <c r="H228" s="41"/>
      <c r="I228" s="42"/>
      <c r="J228" s="41"/>
      <c r="K228" s="41"/>
      <c r="L228" s="43"/>
    </row>
    <row r="229" spans="2:12" ht="15.75" hidden="1" outlineLevel="1" thickBot="1">
      <c r="B229" s="7">
        <f t="shared" si="10"/>
        <v>139</v>
      </c>
      <c r="C229" s="41" t="s">
        <v>9</v>
      </c>
      <c r="D229" s="41"/>
      <c r="E229" s="41"/>
      <c r="F229" s="41"/>
      <c r="G229" s="41"/>
      <c r="H229" s="41"/>
      <c r="I229" s="42"/>
      <c r="J229" s="41"/>
      <c r="K229" s="41"/>
      <c r="L229" s="43"/>
    </row>
    <row r="230" spans="2:12" ht="15.75" hidden="1" outlineLevel="1" thickBot="1">
      <c r="B230" s="7">
        <f t="shared" si="10"/>
        <v>140</v>
      </c>
      <c r="C230" s="41" t="s">
        <v>9</v>
      </c>
      <c r="D230" s="41"/>
      <c r="E230" s="41"/>
      <c r="F230" s="41"/>
      <c r="G230" s="41"/>
      <c r="H230" s="41"/>
      <c r="I230" s="42"/>
      <c r="J230" s="41"/>
      <c r="K230" s="41"/>
      <c r="L230" s="43"/>
    </row>
    <row r="231" spans="2:12" ht="15.75" hidden="1" outlineLevel="1" thickBot="1">
      <c r="B231" s="7">
        <f t="shared" si="10"/>
        <v>141</v>
      </c>
      <c r="C231" s="41" t="s">
        <v>9</v>
      </c>
      <c r="D231" s="41"/>
      <c r="E231" s="41"/>
      <c r="F231" s="41"/>
      <c r="G231" s="41"/>
      <c r="H231" s="41"/>
      <c r="I231" s="42"/>
      <c r="J231" s="41"/>
      <c r="K231" s="41"/>
      <c r="L231" s="43"/>
    </row>
    <row r="232" spans="2:12" ht="15.75" hidden="1" outlineLevel="1" thickBot="1">
      <c r="B232" s="7">
        <f t="shared" si="10"/>
        <v>142</v>
      </c>
      <c r="C232" s="41" t="s">
        <v>9</v>
      </c>
      <c r="D232" s="41"/>
      <c r="E232" s="41"/>
      <c r="F232" s="41"/>
      <c r="G232" s="41"/>
      <c r="H232" s="41"/>
      <c r="I232" s="42"/>
      <c r="J232" s="41"/>
      <c r="K232" s="41"/>
      <c r="L232" s="43"/>
    </row>
    <row r="233" spans="2:12" ht="15.75" hidden="1" outlineLevel="1" thickBot="1">
      <c r="B233" s="7">
        <f t="shared" si="10"/>
        <v>143</v>
      </c>
      <c r="C233" s="41" t="s">
        <v>9</v>
      </c>
      <c r="D233" s="41"/>
      <c r="E233" s="41"/>
      <c r="F233" s="41"/>
      <c r="G233" s="41"/>
      <c r="H233" s="41"/>
      <c r="I233" s="42"/>
      <c r="J233" s="41"/>
      <c r="K233" s="41"/>
      <c r="L233" s="43"/>
    </row>
    <row r="234" spans="2:12" ht="15.75" hidden="1" outlineLevel="1" thickBot="1">
      <c r="B234" s="7">
        <f t="shared" si="10"/>
        <v>144</v>
      </c>
      <c r="C234" s="41" t="s">
        <v>9</v>
      </c>
      <c r="D234" s="41"/>
      <c r="E234" s="41"/>
      <c r="F234" s="41"/>
      <c r="G234" s="41"/>
      <c r="H234" s="41"/>
      <c r="I234" s="42"/>
      <c r="J234" s="41"/>
      <c r="K234" s="41"/>
      <c r="L234" s="43"/>
    </row>
    <row r="235" spans="2:12" ht="15.75" hidden="1" outlineLevel="1" thickBot="1">
      <c r="B235" s="7">
        <f t="shared" si="10"/>
        <v>145</v>
      </c>
      <c r="C235" s="41" t="s">
        <v>9</v>
      </c>
      <c r="D235" s="41"/>
      <c r="E235" s="41"/>
      <c r="F235" s="41"/>
      <c r="G235" s="41"/>
      <c r="H235" s="41"/>
      <c r="I235" s="42"/>
      <c r="J235" s="41"/>
      <c r="K235" s="41"/>
      <c r="L235" s="43"/>
    </row>
    <row r="236" spans="2:12" ht="15.75" hidden="1" outlineLevel="1" thickBot="1">
      <c r="B236" s="7">
        <f t="shared" si="10"/>
        <v>146</v>
      </c>
      <c r="C236" s="41" t="s">
        <v>9</v>
      </c>
      <c r="D236" s="41"/>
      <c r="E236" s="41"/>
      <c r="F236" s="41"/>
      <c r="G236" s="41"/>
      <c r="H236" s="41"/>
      <c r="I236" s="42"/>
      <c r="J236" s="41"/>
      <c r="K236" s="41"/>
      <c r="L236" s="43"/>
    </row>
    <row r="237" spans="2:12" ht="15.75" hidden="1" outlineLevel="1" thickBot="1">
      <c r="B237" s="7">
        <f t="shared" si="10"/>
        <v>147</v>
      </c>
      <c r="C237" s="41" t="s">
        <v>9</v>
      </c>
      <c r="D237" s="41"/>
      <c r="E237" s="41"/>
      <c r="F237" s="41"/>
      <c r="G237" s="41"/>
      <c r="H237" s="41"/>
      <c r="I237" s="42"/>
      <c r="J237" s="41"/>
      <c r="K237" s="41"/>
      <c r="L237" s="43"/>
    </row>
    <row r="238" spans="2:12" ht="15.75" hidden="1" outlineLevel="1" thickBot="1">
      <c r="B238" s="7">
        <f t="shared" si="10"/>
        <v>148</v>
      </c>
      <c r="C238" s="41" t="s">
        <v>9</v>
      </c>
      <c r="D238" s="41"/>
      <c r="E238" s="41"/>
      <c r="F238" s="41"/>
      <c r="G238" s="41"/>
      <c r="H238" s="41"/>
      <c r="I238" s="42"/>
      <c r="J238" s="41"/>
      <c r="K238" s="41"/>
      <c r="L238" s="43"/>
    </row>
    <row r="239" spans="2:12" ht="15.75" hidden="1" outlineLevel="1" thickBot="1">
      <c r="B239" s="7">
        <f t="shared" si="10"/>
        <v>149</v>
      </c>
      <c r="C239" s="41" t="s">
        <v>9</v>
      </c>
      <c r="D239" s="41"/>
      <c r="E239" s="41"/>
      <c r="F239" s="41"/>
      <c r="G239" s="41"/>
      <c r="H239" s="41"/>
      <c r="I239" s="42"/>
      <c r="J239" s="41"/>
      <c r="K239" s="41"/>
      <c r="L239" s="43"/>
    </row>
    <row r="240" spans="2:12" ht="15.75" hidden="1" outlineLevel="1" thickBot="1">
      <c r="B240" s="7">
        <f t="shared" si="10"/>
        <v>150</v>
      </c>
      <c r="C240" s="41" t="s">
        <v>9</v>
      </c>
      <c r="D240" s="41"/>
      <c r="E240" s="41"/>
      <c r="F240" s="41"/>
      <c r="G240" s="41"/>
      <c r="H240" s="41"/>
      <c r="I240" s="42"/>
      <c r="J240" s="41"/>
      <c r="K240" s="41"/>
      <c r="L240" s="43"/>
    </row>
    <row r="241" spans="2:12" ht="15.75" hidden="1" outlineLevel="1" thickBot="1">
      <c r="B241" s="7">
        <f t="shared" si="10"/>
        <v>151</v>
      </c>
      <c r="C241" s="41" t="s">
        <v>9</v>
      </c>
      <c r="D241" s="41"/>
      <c r="E241" s="41"/>
      <c r="F241" s="41"/>
      <c r="G241" s="41"/>
      <c r="H241" s="41"/>
      <c r="I241" s="42"/>
      <c r="J241" s="41"/>
      <c r="K241" s="41"/>
      <c r="L241" s="43"/>
    </row>
    <row r="242" spans="2:12" ht="15.75" hidden="1" outlineLevel="1" thickBot="1">
      <c r="B242" s="7">
        <f t="shared" si="10"/>
        <v>152</v>
      </c>
      <c r="C242" s="41" t="s">
        <v>9</v>
      </c>
      <c r="D242" s="41"/>
      <c r="E242" s="41"/>
      <c r="F242" s="41"/>
      <c r="G242" s="41"/>
      <c r="H242" s="41"/>
      <c r="I242" s="42"/>
      <c r="J242" s="41"/>
      <c r="K242" s="41"/>
      <c r="L242" s="43"/>
    </row>
    <row r="243" spans="2:12" ht="15.75" hidden="1" outlineLevel="1" thickBot="1">
      <c r="B243" s="7">
        <f t="shared" si="10"/>
        <v>153</v>
      </c>
      <c r="C243" s="41" t="s">
        <v>9</v>
      </c>
      <c r="D243" s="41"/>
      <c r="E243" s="58"/>
      <c r="F243" s="41"/>
      <c r="G243" s="41"/>
      <c r="H243" s="41"/>
      <c r="I243" s="42"/>
      <c r="J243" s="41"/>
      <c r="K243" s="41"/>
      <c r="L243" s="43"/>
    </row>
    <row r="244" spans="2:12" ht="15.75" hidden="1" outlineLevel="1" thickBot="1">
      <c r="B244" s="7">
        <f t="shared" si="10"/>
        <v>154</v>
      </c>
      <c r="C244" s="41" t="s">
        <v>9</v>
      </c>
      <c r="D244" s="41"/>
      <c r="E244" s="41"/>
      <c r="F244" s="41"/>
      <c r="G244" s="41"/>
      <c r="H244" s="41"/>
      <c r="I244" s="42"/>
      <c r="J244" s="41"/>
      <c r="K244" s="41"/>
      <c r="L244" s="43"/>
    </row>
    <row r="245" spans="2:12" ht="15.75" hidden="1" outlineLevel="1" thickBot="1">
      <c r="B245" s="7">
        <f t="shared" si="10"/>
        <v>155</v>
      </c>
      <c r="C245" s="41" t="s">
        <v>9</v>
      </c>
      <c r="D245" s="41"/>
      <c r="E245" s="41"/>
      <c r="F245" s="41"/>
      <c r="G245" s="41"/>
      <c r="H245" s="41"/>
      <c r="I245" s="42"/>
      <c r="J245" s="41"/>
      <c r="K245" s="41"/>
      <c r="L245" s="43"/>
    </row>
    <row r="246" spans="2:12" ht="15.75" hidden="1" outlineLevel="1" thickBot="1">
      <c r="B246" s="7">
        <f t="shared" si="10"/>
        <v>156</v>
      </c>
      <c r="C246" s="41" t="s">
        <v>9</v>
      </c>
      <c r="D246" s="41"/>
      <c r="E246" s="41"/>
      <c r="F246" s="41"/>
      <c r="G246" s="41"/>
      <c r="H246" s="41"/>
      <c r="I246" s="42"/>
      <c r="J246" s="41"/>
      <c r="K246" s="41"/>
      <c r="L246" s="43"/>
    </row>
    <row r="247" spans="2:12" ht="15.75" hidden="1" outlineLevel="1" thickBot="1">
      <c r="B247" s="7">
        <f t="shared" si="10"/>
        <v>157</v>
      </c>
      <c r="C247" s="41" t="s">
        <v>9</v>
      </c>
      <c r="D247" s="41"/>
      <c r="E247" s="41"/>
      <c r="F247" s="41"/>
      <c r="G247" s="41"/>
      <c r="H247" s="41"/>
      <c r="I247" s="42"/>
      <c r="J247" s="41"/>
      <c r="K247" s="41"/>
      <c r="L247" s="43"/>
    </row>
    <row r="248" spans="2:12" ht="15.75" hidden="1" outlineLevel="1" thickBot="1">
      <c r="B248" s="7">
        <f t="shared" si="10"/>
        <v>158</v>
      </c>
      <c r="C248" s="41" t="s">
        <v>9</v>
      </c>
      <c r="D248" s="41"/>
      <c r="E248" s="41"/>
      <c r="F248" s="41"/>
      <c r="G248" s="41"/>
      <c r="H248" s="41"/>
      <c r="I248" s="42"/>
      <c r="J248" s="41"/>
      <c r="K248" s="41"/>
      <c r="L248" s="43"/>
    </row>
    <row r="249" spans="2:12" ht="15.75" hidden="1" outlineLevel="1" thickBot="1">
      <c r="B249" s="7">
        <f t="shared" si="10"/>
        <v>159</v>
      </c>
      <c r="C249" s="41" t="s">
        <v>9</v>
      </c>
      <c r="D249" s="41"/>
      <c r="E249" s="58"/>
      <c r="F249" s="41"/>
      <c r="G249" s="41"/>
      <c r="H249" s="41"/>
      <c r="I249" s="42"/>
      <c r="J249" s="41"/>
      <c r="K249" s="41"/>
      <c r="L249" s="43"/>
    </row>
    <row r="250" spans="2:12" ht="15.75" hidden="1" outlineLevel="1" thickBot="1">
      <c r="B250" s="7">
        <f t="shared" si="10"/>
        <v>160</v>
      </c>
      <c r="C250" s="41" t="s">
        <v>9</v>
      </c>
      <c r="D250" s="41"/>
      <c r="E250" s="41"/>
      <c r="F250" s="41"/>
      <c r="G250" s="41"/>
      <c r="H250" s="41"/>
      <c r="I250" s="42"/>
      <c r="J250" s="41"/>
      <c r="K250" s="41"/>
      <c r="L250" s="43"/>
    </row>
    <row r="251" spans="2:12" ht="15.75" hidden="1" outlineLevel="1" thickBot="1">
      <c r="B251" s="7">
        <f t="shared" si="10"/>
        <v>161</v>
      </c>
      <c r="C251" s="41" t="s">
        <v>9</v>
      </c>
      <c r="D251" s="41"/>
      <c r="E251" s="41"/>
      <c r="F251" s="41"/>
      <c r="G251" s="41"/>
      <c r="H251" s="41"/>
      <c r="I251" s="42"/>
      <c r="J251" s="41"/>
      <c r="K251" s="41"/>
      <c r="L251" s="43"/>
    </row>
    <row r="252" spans="2:12" ht="15.75" hidden="1" outlineLevel="1" thickBot="1">
      <c r="B252" s="7">
        <f t="shared" si="10"/>
        <v>162</v>
      </c>
      <c r="C252" s="41" t="s">
        <v>9</v>
      </c>
      <c r="D252" s="41"/>
      <c r="E252" s="58"/>
      <c r="F252" s="41"/>
      <c r="G252" s="41"/>
      <c r="H252" s="41"/>
      <c r="I252" s="42"/>
      <c r="J252" s="41"/>
      <c r="K252" s="41"/>
      <c r="L252" s="43"/>
    </row>
    <row r="253" spans="2:12" ht="15.75" hidden="1" outlineLevel="1" thickBot="1">
      <c r="B253" s="7">
        <f t="shared" si="10"/>
        <v>163</v>
      </c>
      <c r="C253" s="41" t="s">
        <v>9</v>
      </c>
      <c r="D253" s="41"/>
      <c r="E253" s="58"/>
      <c r="F253" s="41"/>
      <c r="G253" s="41"/>
      <c r="H253" s="41"/>
      <c r="I253" s="42"/>
      <c r="J253" s="41"/>
      <c r="K253" s="41"/>
      <c r="L253" s="43"/>
    </row>
    <row r="254" spans="2:12" ht="15.75" hidden="1" outlineLevel="1" thickBot="1">
      <c r="B254" s="7">
        <f t="shared" si="10"/>
        <v>164</v>
      </c>
      <c r="C254" s="41" t="s">
        <v>9</v>
      </c>
      <c r="D254" s="41"/>
      <c r="E254" s="58"/>
      <c r="F254" s="41"/>
      <c r="G254" s="41"/>
      <c r="H254" s="41"/>
      <c r="I254" s="42"/>
      <c r="J254" s="41"/>
      <c r="K254" s="41"/>
      <c r="L254" s="43"/>
    </row>
    <row r="255" spans="2:12" ht="15.75" hidden="1" outlineLevel="1" thickBot="1">
      <c r="B255" s="7">
        <f t="shared" si="10"/>
        <v>165</v>
      </c>
      <c r="C255" s="41" t="s">
        <v>9</v>
      </c>
      <c r="D255" s="41"/>
      <c r="E255" s="41"/>
      <c r="F255" s="41"/>
      <c r="G255" s="41"/>
      <c r="H255" s="41"/>
      <c r="I255" s="42"/>
      <c r="J255" s="41"/>
      <c r="K255" s="41"/>
      <c r="L255" s="43"/>
    </row>
    <row r="256" spans="2:12" ht="15.75" hidden="1" outlineLevel="1" thickBot="1">
      <c r="B256" s="7">
        <f t="shared" si="10"/>
        <v>166</v>
      </c>
      <c r="C256" s="41" t="s">
        <v>9</v>
      </c>
      <c r="D256" s="41"/>
      <c r="E256" s="41"/>
      <c r="F256" s="41"/>
      <c r="G256" s="41"/>
      <c r="H256" s="41"/>
      <c r="I256" s="42"/>
      <c r="J256" s="41"/>
      <c r="K256" s="41"/>
      <c r="L256" s="43"/>
    </row>
    <row r="257" spans="2:12" ht="15.75" hidden="1" outlineLevel="1" thickBot="1">
      <c r="B257" s="7">
        <f t="shared" si="10"/>
        <v>167</v>
      </c>
      <c r="C257" s="41" t="s">
        <v>9</v>
      </c>
      <c r="D257" s="41"/>
      <c r="E257" s="41"/>
      <c r="F257" s="41"/>
      <c r="G257" s="41"/>
      <c r="H257" s="41"/>
      <c r="I257" s="42"/>
      <c r="J257" s="41"/>
      <c r="K257" s="41"/>
      <c r="L257" s="43"/>
    </row>
    <row r="258" spans="2:12" ht="15.75" hidden="1" outlineLevel="1" thickBot="1">
      <c r="B258" s="7">
        <f t="shared" si="10"/>
        <v>168</v>
      </c>
      <c r="C258" s="41" t="s">
        <v>9</v>
      </c>
      <c r="D258" s="41"/>
      <c r="E258" s="41"/>
      <c r="F258" s="41"/>
      <c r="G258" s="41"/>
      <c r="H258" s="41"/>
      <c r="I258" s="42"/>
      <c r="J258" s="41"/>
      <c r="K258" s="41"/>
      <c r="L258" s="43"/>
    </row>
    <row r="259" spans="2:12" ht="15.75" hidden="1" outlineLevel="1" thickBot="1">
      <c r="B259" s="7">
        <f t="shared" si="10"/>
        <v>169</v>
      </c>
      <c r="C259" s="41" t="s">
        <v>9</v>
      </c>
      <c r="D259" s="41"/>
      <c r="E259" s="41"/>
      <c r="F259" s="41"/>
      <c r="G259" s="41"/>
      <c r="H259" s="41"/>
      <c r="I259" s="42"/>
      <c r="J259" s="41"/>
      <c r="K259" s="41"/>
      <c r="L259" s="43"/>
    </row>
    <row r="260" spans="2:12" ht="15.75" hidden="1" outlineLevel="1" thickBot="1">
      <c r="B260" s="7">
        <f t="shared" si="10"/>
        <v>170</v>
      </c>
      <c r="C260" s="41" t="s">
        <v>9</v>
      </c>
      <c r="D260" s="41"/>
      <c r="E260" s="41"/>
      <c r="F260" s="41"/>
      <c r="G260" s="41"/>
      <c r="H260" s="41"/>
      <c r="I260" s="42"/>
      <c r="J260" s="41"/>
      <c r="K260" s="41"/>
      <c r="L260" s="43"/>
    </row>
    <row r="261" spans="2:12" ht="15.75" hidden="1" outlineLevel="1" thickBot="1">
      <c r="B261" s="7">
        <f t="shared" si="10"/>
        <v>171</v>
      </c>
      <c r="C261" s="41" t="s">
        <v>9</v>
      </c>
      <c r="D261" s="41"/>
      <c r="E261" s="41"/>
      <c r="F261" s="41"/>
      <c r="G261" s="41"/>
      <c r="H261" s="41"/>
      <c r="I261" s="42"/>
      <c r="J261" s="41"/>
      <c r="K261" s="41"/>
      <c r="L261" s="43"/>
    </row>
    <row r="262" spans="2:12" ht="15.75" hidden="1" outlineLevel="1" thickBot="1">
      <c r="B262" s="7">
        <f t="shared" si="10"/>
        <v>172</v>
      </c>
      <c r="C262" s="41" t="s">
        <v>9</v>
      </c>
      <c r="D262" s="41"/>
      <c r="E262" s="41"/>
      <c r="F262" s="41"/>
      <c r="G262" s="41"/>
      <c r="H262" s="41"/>
      <c r="I262" s="42"/>
      <c r="J262" s="41"/>
      <c r="K262" s="41"/>
      <c r="L262" s="43"/>
    </row>
    <row r="263" spans="2:12" ht="15.75" hidden="1" outlineLevel="1" thickBot="1">
      <c r="B263" s="7">
        <f t="shared" si="10"/>
        <v>173</v>
      </c>
      <c r="C263" s="41" t="s">
        <v>9</v>
      </c>
      <c r="D263" s="41"/>
      <c r="E263" s="41"/>
      <c r="F263" s="41"/>
      <c r="G263" s="41"/>
      <c r="H263" s="41"/>
      <c r="I263" s="42"/>
      <c r="J263" s="41"/>
      <c r="K263" s="41"/>
      <c r="L263" s="43"/>
    </row>
    <row r="264" spans="2:12" ht="15.75" hidden="1" outlineLevel="1" thickBot="1">
      <c r="B264" s="7">
        <f t="shared" si="10"/>
        <v>174</v>
      </c>
      <c r="C264" s="41" t="s">
        <v>9</v>
      </c>
      <c r="D264" s="41"/>
      <c r="E264" s="41"/>
      <c r="F264" s="41"/>
      <c r="G264" s="41"/>
      <c r="H264" s="41"/>
      <c r="I264" s="42"/>
      <c r="J264" s="41"/>
      <c r="K264" s="41"/>
      <c r="L264" s="43"/>
    </row>
    <row r="265" spans="2:12" ht="15.75" hidden="1" outlineLevel="1" thickBot="1">
      <c r="B265" s="7">
        <f t="shared" si="10"/>
        <v>175</v>
      </c>
      <c r="C265" s="41" t="s">
        <v>9</v>
      </c>
      <c r="D265" s="41"/>
      <c r="E265" s="41"/>
      <c r="F265" s="41"/>
      <c r="G265" s="41"/>
      <c r="H265" s="41"/>
      <c r="I265" s="42"/>
      <c r="J265" s="41"/>
      <c r="K265" s="41"/>
      <c r="L265" s="43"/>
    </row>
    <row r="266" spans="2:12" ht="15.75" hidden="1" outlineLevel="1" thickBot="1">
      <c r="B266" s="7">
        <f t="shared" si="10"/>
        <v>176</v>
      </c>
      <c r="C266" s="41" t="s">
        <v>9</v>
      </c>
      <c r="D266" s="41"/>
      <c r="E266" s="58"/>
      <c r="F266" s="41"/>
      <c r="G266" s="41"/>
      <c r="H266" s="41"/>
      <c r="I266" s="42"/>
      <c r="J266" s="41"/>
      <c r="K266" s="41"/>
      <c r="L266" s="43"/>
    </row>
    <row r="267" spans="2:12" ht="15.75" hidden="1" outlineLevel="1" thickBot="1">
      <c r="B267" s="7">
        <f t="shared" si="10"/>
        <v>177</v>
      </c>
      <c r="C267" s="41" t="s">
        <v>9</v>
      </c>
      <c r="D267" s="41"/>
      <c r="E267" s="41"/>
      <c r="F267" s="41"/>
      <c r="G267" s="41"/>
      <c r="H267" s="41"/>
      <c r="I267" s="42"/>
      <c r="J267" s="41"/>
      <c r="K267" s="41"/>
      <c r="L267" s="43"/>
    </row>
    <row r="268" spans="2:12" ht="15.75" hidden="1" outlineLevel="1" thickBot="1">
      <c r="B268" s="7">
        <f t="shared" si="10"/>
        <v>178</v>
      </c>
      <c r="C268" s="41" t="s">
        <v>9</v>
      </c>
      <c r="D268" s="41"/>
      <c r="E268" s="58"/>
      <c r="F268" s="41"/>
      <c r="G268" s="41"/>
      <c r="H268" s="41"/>
      <c r="I268" s="42"/>
      <c r="J268" s="41"/>
      <c r="K268" s="41"/>
      <c r="L268" s="43"/>
    </row>
    <row r="269" spans="2:12" ht="15.75" hidden="1" outlineLevel="1" thickBot="1">
      <c r="B269" s="7">
        <f t="shared" si="10"/>
        <v>179</v>
      </c>
      <c r="C269" s="41" t="s">
        <v>9</v>
      </c>
      <c r="D269" s="41"/>
      <c r="E269" s="41"/>
      <c r="F269" s="41"/>
      <c r="G269" s="41"/>
      <c r="H269" s="41"/>
      <c r="I269" s="42"/>
      <c r="J269" s="41"/>
      <c r="K269" s="41"/>
      <c r="L269" s="43"/>
    </row>
    <row r="270" spans="2:12" ht="15.75" hidden="1" outlineLevel="1" thickBot="1">
      <c r="B270" s="7">
        <f t="shared" si="10"/>
        <v>180</v>
      </c>
      <c r="C270" s="41" t="s">
        <v>9</v>
      </c>
      <c r="D270" s="41"/>
      <c r="E270" s="58"/>
      <c r="F270" s="41"/>
      <c r="G270" s="41"/>
      <c r="H270" s="41"/>
      <c r="I270" s="42"/>
      <c r="J270" s="41"/>
      <c r="K270" s="41"/>
      <c r="L270" s="43"/>
    </row>
    <row r="271" spans="2:12" ht="15.75" hidden="1" outlineLevel="1" thickBot="1">
      <c r="B271" s="7">
        <f t="shared" si="10"/>
        <v>181</v>
      </c>
      <c r="C271" s="41" t="s">
        <v>9</v>
      </c>
      <c r="D271" s="41"/>
      <c r="E271" s="41"/>
      <c r="F271" s="41"/>
      <c r="G271" s="41"/>
      <c r="H271" s="41"/>
      <c r="I271" s="42"/>
      <c r="J271" s="41"/>
      <c r="K271" s="41"/>
      <c r="L271" s="43"/>
    </row>
    <row r="272" spans="2:12" ht="15.75" hidden="1" outlineLevel="1" thickBot="1">
      <c r="B272" s="7">
        <f t="shared" si="10"/>
        <v>182</v>
      </c>
      <c r="C272" s="41" t="s">
        <v>9</v>
      </c>
      <c r="D272" s="41"/>
      <c r="E272" s="58"/>
      <c r="F272" s="41"/>
      <c r="G272" s="41"/>
      <c r="H272" s="41"/>
      <c r="I272" s="42"/>
      <c r="J272" s="41"/>
      <c r="K272" s="41"/>
      <c r="L272" s="43"/>
    </row>
    <row r="273" spans="2:12" ht="15.75" hidden="1" outlineLevel="1" thickBot="1">
      <c r="B273" s="7">
        <f t="shared" si="10"/>
        <v>183</v>
      </c>
      <c r="C273" s="41" t="s">
        <v>9</v>
      </c>
      <c r="D273" s="41"/>
      <c r="E273" s="41"/>
      <c r="F273" s="41"/>
      <c r="G273" s="41"/>
      <c r="H273" s="41"/>
      <c r="I273" s="42"/>
      <c r="J273" s="41"/>
      <c r="K273" s="41"/>
      <c r="L273" s="43"/>
    </row>
    <row r="274" spans="2:12" ht="15.75" hidden="1" outlineLevel="1" thickBot="1">
      <c r="B274" s="7">
        <f t="shared" si="10"/>
        <v>184</v>
      </c>
      <c r="C274" s="41" t="s">
        <v>9</v>
      </c>
      <c r="D274" s="41"/>
      <c r="E274" s="41"/>
      <c r="F274" s="41"/>
      <c r="G274" s="41"/>
      <c r="H274" s="41"/>
      <c r="I274" s="42"/>
      <c r="J274" s="41"/>
      <c r="K274" s="41"/>
      <c r="L274" s="43"/>
    </row>
    <row r="275" spans="2:12" ht="15.75" hidden="1" outlineLevel="1" thickBot="1">
      <c r="B275" s="7">
        <f t="shared" si="10"/>
        <v>185</v>
      </c>
      <c r="C275" s="41" t="s">
        <v>9</v>
      </c>
      <c r="D275" s="41"/>
      <c r="E275" s="41"/>
      <c r="F275" s="41"/>
      <c r="G275" s="41"/>
      <c r="H275" s="41"/>
      <c r="I275" s="42"/>
      <c r="J275" s="41"/>
      <c r="K275" s="41"/>
      <c r="L275" s="43"/>
    </row>
    <row r="276" spans="2:12" ht="15.75" hidden="1" outlineLevel="1" thickBot="1">
      <c r="B276" s="7">
        <f t="shared" si="10"/>
        <v>186</v>
      </c>
      <c r="C276" s="41" t="s">
        <v>9</v>
      </c>
      <c r="D276" s="41"/>
      <c r="E276" s="58"/>
      <c r="F276" s="41"/>
      <c r="G276" s="41"/>
      <c r="H276" s="41"/>
      <c r="I276" s="42"/>
      <c r="J276" s="41"/>
      <c r="K276" s="41"/>
      <c r="L276" s="43"/>
    </row>
    <row r="277" spans="2:12" ht="15.75" hidden="1" outlineLevel="1" thickBot="1">
      <c r="B277" s="7">
        <f t="shared" si="10"/>
        <v>187</v>
      </c>
      <c r="C277" s="41" t="s">
        <v>9</v>
      </c>
      <c r="D277" s="41"/>
      <c r="E277" s="41"/>
      <c r="F277" s="41"/>
      <c r="G277" s="41"/>
      <c r="H277" s="41"/>
      <c r="I277" s="42"/>
      <c r="J277" s="41"/>
      <c r="K277" s="41"/>
      <c r="L277" s="43"/>
    </row>
    <row r="278" spans="2:12" ht="15.75" hidden="1" outlineLevel="1" thickBot="1">
      <c r="B278" s="7">
        <f t="shared" si="10"/>
        <v>188</v>
      </c>
      <c r="C278" s="41" t="s">
        <v>9</v>
      </c>
      <c r="D278" s="41"/>
      <c r="E278" s="41"/>
      <c r="F278" s="41"/>
      <c r="G278" s="41"/>
      <c r="H278" s="41"/>
      <c r="I278" s="42"/>
      <c r="J278" s="41"/>
      <c r="K278" s="41"/>
      <c r="L278" s="43"/>
    </row>
    <row r="279" spans="2:12" ht="15.75" hidden="1" outlineLevel="1" thickBot="1">
      <c r="B279" s="7">
        <f t="shared" si="10"/>
        <v>189</v>
      </c>
      <c r="C279" s="41" t="s">
        <v>9</v>
      </c>
      <c r="D279" s="41"/>
      <c r="E279" s="58"/>
      <c r="F279" s="41"/>
      <c r="G279" s="41"/>
      <c r="H279" s="41"/>
      <c r="I279" s="42"/>
      <c r="J279" s="41"/>
      <c r="K279" s="41"/>
      <c r="L279" s="43"/>
    </row>
    <row r="280" spans="2:12" ht="15.75" hidden="1" outlineLevel="1" thickBot="1">
      <c r="B280" s="7">
        <f t="shared" si="10"/>
        <v>190</v>
      </c>
      <c r="C280" s="41" t="s">
        <v>9</v>
      </c>
      <c r="D280" s="41"/>
      <c r="E280" s="41"/>
      <c r="F280" s="41"/>
      <c r="G280" s="41"/>
      <c r="H280" s="41"/>
      <c r="I280" s="42"/>
      <c r="J280" s="41"/>
      <c r="K280" s="41"/>
      <c r="L280" s="43"/>
    </row>
    <row r="281" spans="2:12" ht="15.75" hidden="1" outlineLevel="1" thickBot="1">
      <c r="B281" s="7">
        <f t="shared" si="10"/>
        <v>191</v>
      </c>
      <c r="C281" s="41" t="s">
        <v>9</v>
      </c>
      <c r="D281" s="41"/>
      <c r="E281" s="41"/>
      <c r="F281" s="41"/>
      <c r="G281" s="41"/>
      <c r="H281" s="41"/>
      <c r="I281" s="42"/>
      <c r="J281" s="41"/>
      <c r="K281" s="41"/>
      <c r="L281" s="43"/>
    </row>
    <row r="282" spans="2:12" ht="15.75" hidden="1" outlineLevel="1" thickBot="1">
      <c r="B282" s="7">
        <f t="shared" si="10"/>
        <v>192</v>
      </c>
      <c r="C282" s="41" t="s">
        <v>9</v>
      </c>
      <c r="D282" s="41"/>
      <c r="E282" s="41"/>
      <c r="F282" s="41"/>
      <c r="G282" s="41"/>
      <c r="H282" s="41"/>
      <c r="I282" s="42"/>
      <c r="J282" s="41"/>
      <c r="K282" s="41"/>
      <c r="L282" s="43"/>
    </row>
    <row r="283" spans="2:12" ht="15.75" hidden="1" outlineLevel="1" thickBot="1">
      <c r="B283" s="7">
        <f t="shared" si="10"/>
        <v>193</v>
      </c>
      <c r="C283" s="41" t="s">
        <v>9</v>
      </c>
      <c r="D283" s="41"/>
      <c r="E283" s="41"/>
      <c r="F283" s="41"/>
      <c r="G283" s="41"/>
      <c r="H283" s="41"/>
      <c r="I283" s="42"/>
      <c r="J283" s="41"/>
      <c r="K283" s="41"/>
      <c r="L283" s="43"/>
    </row>
    <row r="284" spans="2:12" ht="15.75" hidden="1" outlineLevel="1" thickBot="1">
      <c r="B284" s="7">
        <f t="shared" si="10"/>
        <v>194</v>
      </c>
      <c r="C284" s="41" t="s">
        <v>9</v>
      </c>
      <c r="D284" s="41"/>
      <c r="E284" s="41"/>
      <c r="F284" s="41"/>
      <c r="G284" s="41"/>
      <c r="H284" s="41"/>
      <c r="I284" s="42"/>
      <c r="J284" s="41"/>
      <c r="K284" s="41"/>
      <c r="L284" s="43"/>
    </row>
    <row r="285" spans="2:12" ht="15.75" hidden="1" outlineLevel="1" thickBot="1">
      <c r="B285" s="7">
        <f t="shared" ref="B285:B324" si="11">IF(C285="","",(B284+1))</f>
        <v>195</v>
      </c>
      <c r="C285" s="41" t="s">
        <v>9</v>
      </c>
      <c r="D285" s="41"/>
      <c r="E285" s="58"/>
      <c r="F285" s="41"/>
      <c r="G285" s="41"/>
      <c r="H285" s="41"/>
      <c r="I285" s="42"/>
      <c r="J285" s="41"/>
      <c r="K285" s="41"/>
      <c r="L285" s="43"/>
    </row>
    <row r="286" spans="2:12" ht="15.75" hidden="1" outlineLevel="1" thickBot="1">
      <c r="B286" s="7">
        <f t="shared" si="11"/>
        <v>196</v>
      </c>
      <c r="C286" s="41" t="s">
        <v>9</v>
      </c>
      <c r="D286" s="41"/>
      <c r="E286" s="41"/>
      <c r="F286" s="41"/>
      <c r="G286" s="41"/>
      <c r="H286" s="41"/>
      <c r="I286" s="42"/>
      <c r="J286" s="41"/>
      <c r="K286" s="41"/>
      <c r="L286" s="43"/>
    </row>
    <row r="287" spans="2:12" ht="15.75" hidden="1" outlineLevel="1" thickBot="1">
      <c r="B287" s="7">
        <f t="shared" si="11"/>
        <v>197</v>
      </c>
      <c r="C287" s="41" t="s">
        <v>9</v>
      </c>
      <c r="D287" s="41"/>
      <c r="E287" s="58"/>
      <c r="F287" s="41"/>
      <c r="G287" s="41"/>
      <c r="H287" s="41"/>
      <c r="I287" s="42"/>
      <c r="J287" s="41"/>
      <c r="K287" s="41"/>
      <c r="L287" s="43"/>
    </row>
    <row r="288" spans="2:12" ht="15.75" hidden="1" outlineLevel="1" thickBot="1">
      <c r="B288" s="7">
        <f t="shared" si="11"/>
        <v>198</v>
      </c>
      <c r="C288" s="41" t="s">
        <v>9</v>
      </c>
      <c r="D288" s="41"/>
      <c r="E288" s="41"/>
      <c r="F288" s="41"/>
      <c r="G288" s="41"/>
      <c r="H288" s="41"/>
      <c r="I288" s="42"/>
      <c r="J288" s="41"/>
      <c r="K288" s="41"/>
      <c r="L288" s="43"/>
    </row>
    <row r="289" spans="2:12" ht="15.75" hidden="1" outlineLevel="1" thickBot="1">
      <c r="B289" s="7">
        <f t="shared" si="11"/>
        <v>199</v>
      </c>
      <c r="C289" s="41" t="s">
        <v>9</v>
      </c>
      <c r="D289" s="41"/>
      <c r="E289" s="41"/>
      <c r="F289" s="41"/>
      <c r="G289" s="41"/>
      <c r="H289" s="41"/>
      <c r="I289" s="42"/>
      <c r="J289" s="41"/>
      <c r="K289" s="41"/>
      <c r="L289" s="43"/>
    </row>
    <row r="290" spans="2:12" ht="15.75" hidden="1" outlineLevel="1" thickBot="1">
      <c r="B290" s="7">
        <f t="shared" si="11"/>
        <v>200</v>
      </c>
      <c r="C290" s="41" t="s">
        <v>9</v>
      </c>
      <c r="D290" s="41"/>
      <c r="E290" s="41"/>
      <c r="F290" s="41"/>
      <c r="G290" s="41"/>
      <c r="H290" s="41"/>
      <c r="I290" s="42"/>
      <c r="J290" s="41"/>
      <c r="K290" s="41"/>
      <c r="L290" s="43"/>
    </row>
    <row r="291" spans="2:12" ht="15.75" hidden="1" outlineLevel="1" thickBot="1">
      <c r="B291" s="7">
        <f t="shared" si="11"/>
        <v>201</v>
      </c>
      <c r="C291" s="41" t="s">
        <v>9</v>
      </c>
      <c r="D291" s="41"/>
      <c r="E291" s="41"/>
      <c r="F291" s="41"/>
      <c r="G291" s="41"/>
      <c r="H291" s="41"/>
      <c r="I291" s="42"/>
      <c r="J291" s="41"/>
      <c r="K291" s="41"/>
      <c r="L291" s="43"/>
    </row>
    <row r="292" spans="2:12" ht="15.75" hidden="1" outlineLevel="1" thickBot="1">
      <c r="B292" s="7">
        <f t="shared" si="11"/>
        <v>202</v>
      </c>
      <c r="C292" s="41" t="s">
        <v>9</v>
      </c>
      <c r="D292" s="41"/>
      <c r="E292" s="41"/>
      <c r="F292" s="41"/>
      <c r="G292" s="41"/>
      <c r="H292" s="41"/>
      <c r="I292" s="42"/>
      <c r="J292" s="41"/>
      <c r="K292" s="41"/>
      <c r="L292" s="43"/>
    </row>
    <row r="293" spans="2:12" ht="15.75" hidden="1" outlineLevel="1" thickBot="1">
      <c r="B293" s="7">
        <f t="shared" si="11"/>
        <v>203</v>
      </c>
      <c r="C293" s="41" t="s">
        <v>9</v>
      </c>
      <c r="D293" s="41"/>
      <c r="E293" s="41"/>
      <c r="F293" s="41"/>
      <c r="G293" s="41"/>
      <c r="H293" s="41"/>
      <c r="I293" s="42"/>
      <c r="J293" s="41"/>
      <c r="K293" s="41"/>
      <c r="L293" s="43"/>
    </row>
    <row r="294" spans="2:12" ht="15.75" hidden="1" outlineLevel="1" thickBot="1">
      <c r="B294" s="7">
        <f t="shared" si="11"/>
        <v>204</v>
      </c>
      <c r="C294" s="41" t="s">
        <v>9</v>
      </c>
      <c r="D294" s="41"/>
      <c r="E294" s="41"/>
      <c r="F294" s="41"/>
      <c r="G294" s="41"/>
      <c r="H294" s="41"/>
      <c r="I294" s="42"/>
      <c r="J294" s="41"/>
      <c r="K294" s="41"/>
      <c r="L294" s="43"/>
    </row>
    <row r="295" spans="2:12" ht="15.75" hidden="1" outlineLevel="1" thickBot="1">
      <c r="B295" s="7">
        <f t="shared" si="11"/>
        <v>205</v>
      </c>
      <c r="C295" s="41" t="s">
        <v>9</v>
      </c>
      <c r="D295" s="41"/>
      <c r="E295" s="41"/>
      <c r="F295" s="41"/>
      <c r="G295" s="41"/>
      <c r="H295" s="41"/>
      <c r="I295" s="42"/>
      <c r="J295" s="41"/>
      <c r="K295" s="41"/>
      <c r="L295" s="43"/>
    </row>
    <row r="296" spans="2:12" ht="15.75" hidden="1" outlineLevel="1" thickBot="1">
      <c r="B296" s="7">
        <f t="shared" si="11"/>
        <v>206</v>
      </c>
      <c r="C296" s="41" t="s">
        <v>9</v>
      </c>
      <c r="D296" s="41"/>
      <c r="E296" s="41"/>
      <c r="F296" s="41"/>
      <c r="G296" s="41"/>
      <c r="H296" s="41"/>
      <c r="I296" s="42"/>
      <c r="J296" s="41"/>
      <c r="K296" s="41"/>
      <c r="L296" s="43"/>
    </row>
    <row r="297" spans="2:12" ht="15.75" hidden="1" outlineLevel="1" thickBot="1">
      <c r="B297" s="7">
        <f t="shared" si="11"/>
        <v>207</v>
      </c>
      <c r="C297" s="41" t="s">
        <v>9</v>
      </c>
      <c r="D297" s="41"/>
      <c r="E297" s="41"/>
      <c r="F297" s="41"/>
      <c r="G297" s="41"/>
      <c r="H297" s="41"/>
      <c r="I297" s="42"/>
      <c r="J297" s="41"/>
      <c r="K297" s="41"/>
      <c r="L297" s="43"/>
    </row>
    <row r="298" spans="2:12" ht="15.75" hidden="1" outlineLevel="1" thickBot="1">
      <c r="B298" s="7">
        <f t="shared" si="11"/>
        <v>208</v>
      </c>
      <c r="C298" s="41" t="s">
        <v>9</v>
      </c>
      <c r="D298" s="41"/>
      <c r="E298" s="41"/>
      <c r="F298" s="41"/>
      <c r="G298" s="41"/>
      <c r="H298" s="41"/>
      <c r="I298" s="42"/>
      <c r="J298" s="41"/>
      <c r="K298" s="41"/>
      <c r="L298" s="43"/>
    </row>
    <row r="299" spans="2:12" ht="15.75" hidden="1" outlineLevel="1" thickBot="1">
      <c r="B299" s="7">
        <f t="shared" si="11"/>
        <v>209</v>
      </c>
      <c r="C299" s="41" t="s">
        <v>9</v>
      </c>
      <c r="D299" s="41"/>
      <c r="E299" s="41"/>
      <c r="F299" s="41"/>
      <c r="G299" s="41"/>
      <c r="H299" s="41"/>
      <c r="I299" s="42"/>
      <c r="J299" s="41"/>
      <c r="K299" s="41"/>
      <c r="L299" s="43"/>
    </row>
    <row r="300" spans="2:12" ht="15.75" hidden="1" outlineLevel="1" thickBot="1">
      <c r="B300" s="7">
        <f t="shared" si="11"/>
        <v>210</v>
      </c>
      <c r="C300" s="41" t="s">
        <v>9</v>
      </c>
      <c r="D300" s="41"/>
      <c r="E300" s="41"/>
      <c r="F300" s="41"/>
      <c r="G300" s="41"/>
      <c r="H300" s="41"/>
      <c r="I300" s="42"/>
      <c r="J300" s="41"/>
      <c r="K300" s="41"/>
      <c r="L300" s="43"/>
    </row>
    <row r="301" spans="2:12" ht="15.75" hidden="1" outlineLevel="1" thickBot="1">
      <c r="B301" s="7">
        <f t="shared" si="11"/>
        <v>211</v>
      </c>
      <c r="C301" s="41" t="s">
        <v>9</v>
      </c>
      <c r="D301" s="41"/>
      <c r="E301" s="41"/>
      <c r="F301" s="41"/>
      <c r="G301" s="41"/>
      <c r="H301" s="41"/>
      <c r="I301" s="42"/>
      <c r="J301" s="41"/>
      <c r="K301" s="41"/>
      <c r="L301" s="43"/>
    </row>
    <row r="302" spans="2:12" ht="15.75" hidden="1" outlineLevel="1" thickBot="1">
      <c r="B302" s="7">
        <f t="shared" si="11"/>
        <v>212</v>
      </c>
      <c r="C302" s="41" t="s">
        <v>9</v>
      </c>
      <c r="D302" s="41"/>
      <c r="E302" s="41"/>
      <c r="F302" s="41"/>
      <c r="G302" s="41"/>
      <c r="H302" s="41"/>
      <c r="I302" s="42"/>
      <c r="J302" s="41"/>
      <c r="K302" s="41"/>
      <c r="L302" s="43"/>
    </row>
    <row r="303" spans="2:12" ht="15.75" hidden="1" outlineLevel="1" thickBot="1">
      <c r="B303" s="7">
        <f t="shared" si="11"/>
        <v>213</v>
      </c>
      <c r="C303" s="41" t="s">
        <v>9</v>
      </c>
      <c r="D303" s="41"/>
      <c r="E303" s="41"/>
      <c r="F303" s="41"/>
      <c r="G303" s="41"/>
      <c r="H303" s="41"/>
      <c r="I303" s="42"/>
      <c r="J303" s="41"/>
      <c r="K303" s="41"/>
      <c r="L303" s="43"/>
    </row>
    <row r="304" spans="2:12" ht="15.75" hidden="1" outlineLevel="1" thickBot="1">
      <c r="B304" s="7">
        <f t="shared" si="11"/>
        <v>214</v>
      </c>
      <c r="C304" s="41" t="s">
        <v>9</v>
      </c>
      <c r="D304" s="41"/>
      <c r="E304" s="41"/>
      <c r="F304" s="41"/>
      <c r="G304" s="41"/>
      <c r="H304" s="41"/>
      <c r="I304" s="42"/>
      <c r="J304" s="41"/>
      <c r="K304" s="41"/>
      <c r="L304" s="43"/>
    </row>
    <row r="305" spans="2:12" ht="15.75" hidden="1" outlineLevel="1" thickBot="1">
      <c r="B305" s="7">
        <f t="shared" si="11"/>
        <v>215</v>
      </c>
      <c r="C305" s="41" t="s">
        <v>9</v>
      </c>
      <c r="D305" s="41"/>
      <c r="E305" s="41"/>
      <c r="F305" s="41"/>
      <c r="G305" s="41"/>
      <c r="H305" s="41"/>
      <c r="I305" s="42"/>
      <c r="J305" s="41"/>
      <c r="K305" s="41"/>
      <c r="L305" s="43"/>
    </row>
    <row r="306" spans="2:12" ht="15.75" hidden="1" outlineLevel="1" thickBot="1">
      <c r="B306" s="7">
        <f t="shared" si="11"/>
        <v>216</v>
      </c>
      <c r="C306" s="41" t="s">
        <v>9</v>
      </c>
      <c r="D306" s="41"/>
      <c r="E306" s="41"/>
      <c r="F306" s="41"/>
      <c r="G306" s="41"/>
      <c r="H306" s="41"/>
      <c r="I306" s="42"/>
      <c r="J306" s="41"/>
      <c r="K306" s="41"/>
      <c r="L306" s="43"/>
    </row>
    <row r="307" spans="2:12" ht="15.75" hidden="1" outlineLevel="1" thickBot="1">
      <c r="B307" s="7">
        <f t="shared" si="11"/>
        <v>217</v>
      </c>
      <c r="C307" s="41" t="s">
        <v>9</v>
      </c>
      <c r="D307" s="41"/>
      <c r="E307" s="41"/>
      <c r="F307" s="41"/>
      <c r="G307" s="41"/>
      <c r="H307" s="41"/>
      <c r="I307" s="42"/>
      <c r="J307" s="41"/>
      <c r="K307" s="41"/>
      <c r="L307" s="43"/>
    </row>
    <row r="308" spans="2:12" ht="15.75" hidden="1" outlineLevel="1" thickBot="1">
      <c r="B308" s="7">
        <f t="shared" si="11"/>
        <v>218</v>
      </c>
      <c r="C308" s="41" t="s">
        <v>9</v>
      </c>
      <c r="D308" s="41"/>
      <c r="E308" s="41"/>
      <c r="F308" s="41"/>
      <c r="G308" s="41"/>
      <c r="H308" s="41"/>
      <c r="I308" s="42"/>
      <c r="J308" s="41"/>
      <c r="K308" s="41"/>
      <c r="L308" s="43"/>
    </row>
    <row r="309" spans="2:12" ht="15.75" hidden="1" outlineLevel="1" thickBot="1">
      <c r="B309" s="7">
        <f t="shared" si="11"/>
        <v>219</v>
      </c>
      <c r="C309" s="41" t="s">
        <v>9</v>
      </c>
      <c r="D309" s="41"/>
      <c r="E309" s="41"/>
      <c r="F309" s="41"/>
      <c r="G309" s="41"/>
      <c r="H309" s="41"/>
      <c r="I309" s="42"/>
      <c r="J309" s="41"/>
      <c r="K309" s="41"/>
      <c r="L309" s="43"/>
    </row>
    <row r="310" spans="2:12" ht="15.75" hidden="1" outlineLevel="1" thickBot="1">
      <c r="B310" s="7">
        <f t="shared" si="11"/>
        <v>220</v>
      </c>
      <c r="C310" s="41" t="s">
        <v>9</v>
      </c>
      <c r="D310" s="41"/>
      <c r="E310" s="41"/>
      <c r="F310" s="41"/>
      <c r="G310" s="41"/>
      <c r="H310" s="41"/>
      <c r="I310" s="42"/>
      <c r="J310" s="41"/>
      <c r="K310" s="41"/>
      <c r="L310" s="43"/>
    </row>
    <row r="311" spans="2:12" ht="15.75" hidden="1" outlineLevel="1" thickBot="1">
      <c r="B311" s="7">
        <f t="shared" si="11"/>
        <v>221</v>
      </c>
      <c r="C311" s="41" t="s">
        <v>9</v>
      </c>
      <c r="D311" s="41"/>
      <c r="E311" s="41"/>
      <c r="F311" s="41"/>
      <c r="G311" s="41"/>
      <c r="H311" s="41"/>
      <c r="I311" s="42"/>
      <c r="J311" s="41"/>
      <c r="K311" s="41"/>
      <c r="L311" s="43"/>
    </row>
    <row r="312" spans="2:12" ht="15.75" hidden="1" outlineLevel="1" thickBot="1">
      <c r="B312" s="7">
        <f t="shared" si="11"/>
        <v>222</v>
      </c>
      <c r="C312" s="41" t="s">
        <v>9</v>
      </c>
      <c r="D312" s="41"/>
      <c r="E312" s="41"/>
      <c r="F312" s="41"/>
      <c r="G312" s="41"/>
      <c r="H312" s="41"/>
      <c r="I312" s="42"/>
      <c r="J312" s="41"/>
      <c r="K312" s="41"/>
      <c r="L312" s="43"/>
    </row>
    <row r="313" spans="2:12" ht="15.75" hidden="1" outlineLevel="1" thickBot="1">
      <c r="B313" s="7">
        <f t="shared" si="11"/>
        <v>223</v>
      </c>
      <c r="C313" s="41" t="s">
        <v>9</v>
      </c>
      <c r="D313" s="41"/>
      <c r="E313" s="41"/>
      <c r="F313" s="41"/>
      <c r="G313" s="41"/>
      <c r="H313" s="41"/>
      <c r="I313" s="42"/>
      <c r="J313" s="41"/>
      <c r="K313" s="41"/>
      <c r="L313" s="43"/>
    </row>
    <row r="314" spans="2:12" ht="15.75" hidden="1" outlineLevel="1" thickBot="1">
      <c r="B314" s="7">
        <f t="shared" si="11"/>
        <v>224</v>
      </c>
      <c r="C314" s="41" t="s">
        <v>9</v>
      </c>
      <c r="D314" s="41"/>
      <c r="E314" s="41"/>
      <c r="F314" s="41"/>
      <c r="G314" s="41"/>
      <c r="H314" s="41"/>
      <c r="I314" s="42"/>
      <c r="J314" s="41"/>
      <c r="K314" s="41"/>
      <c r="L314" s="43"/>
    </row>
    <row r="315" spans="2:12" ht="15.75" hidden="1" outlineLevel="1" thickBot="1">
      <c r="B315" s="7">
        <f t="shared" si="11"/>
        <v>225</v>
      </c>
      <c r="C315" s="41" t="s">
        <v>9</v>
      </c>
      <c r="D315" s="41"/>
      <c r="E315" s="41"/>
      <c r="F315" s="41"/>
      <c r="G315" s="41"/>
      <c r="H315" s="41"/>
      <c r="I315" s="42"/>
      <c r="J315" s="41"/>
      <c r="K315" s="41"/>
      <c r="L315" s="43"/>
    </row>
    <row r="316" spans="2:12" ht="15.75" hidden="1" outlineLevel="1" thickBot="1">
      <c r="B316" s="7">
        <f t="shared" si="11"/>
        <v>226</v>
      </c>
      <c r="C316" s="41" t="s">
        <v>9</v>
      </c>
      <c r="D316" s="41"/>
      <c r="E316" s="41"/>
      <c r="F316" s="41"/>
      <c r="G316" s="41"/>
      <c r="H316" s="41"/>
      <c r="I316" s="42"/>
      <c r="J316" s="41"/>
      <c r="K316" s="41"/>
      <c r="L316" s="43"/>
    </row>
    <row r="317" spans="2:12" ht="15.75" hidden="1" outlineLevel="1" thickBot="1">
      <c r="B317" s="7">
        <f t="shared" si="11"/>
        <v>227</v>
      </c>
      <c r="C317" s="41" t="s">
        <v>9</v>
      </c>
      <c r="D317" s="41"/>
      <c r="E317" s="41"/>
      <c r="F317" s="41"/>
      <c r="G317" s="41"/>
      <c r="H317" s="41"/>
      <c r="I317" s="42"/>
      <c r="J317" s="41"/>
      <c r="K317" s="41"/>
      <c r="L317" s="43"/>
    </row>
    <row r="318" spans="2:12" ht="15.75" hidden="1" outlineLevel="1" thickBot="1">
      <c r="B318" s="7">
        <f t="shared" si="11"/>
        <v>228</v>
      </c>
      <c r="C318" s="41" t="s">
        <v>9</v>
      </c>
      <c r="D318" s="41"/>
      <c r="E318" s="41"/>
      <c r="F318" s="41"/>
      <c r="G318" s="41"/>
      <c r="H318" s="41"/>
      <c r="I318" s="42"/>
      <c r="J318" s="41"/>
      <c r="K318" s="41"/>
      <c r="L318" s="43"/>
    </row>
    <row r="319" spans="2:12" ht="15.75" hidden="1" outlineLevel="1" thickBot="1">
      <c r="B319" s="7">
        <f t="shared" si="11"/>
        <v>229</v>
      </c>
      <c r="C319" s="41" t="s">
        <v>9</v>
      </c>
      <c r="D319" s="41"/>
      <c r="E319" s="41"/>
      <c r="F319" s="41"/>
      <c r="G319" s="41"/>
      <c r="H319" s="41"/>
      <c r="I319" s="42"/>
      <c r="J319" s="41"/>
      <c r="K319" s="41"/>
      <c r="L319" s="43"/>
    </row>
    <row r="320" spans="2:12" ht="15.75" hidden="1" outlineLevel="1" thickBot="1">
      <c r="B320" s="7">
        <f t="shared" si="11"/>
        <v>230</v>
      </c>
      <c r="C320" s="41" t="s">
        <v>9</v>
      </c>
      <c r="D320" s="41"/>
      <c r="E320" s="41"/>
      <c r="F320" s="41"/>
      <c r="G320" s="41"/>
      <c r="H320" s="41"/>
      <c r="I320" s="42"/>
      <c r="J320" s="41"/>
      <c r="K320" s="41"/>
      <c r="L320" s="43"/>
    </row>
    <row r="321" spans="2:12" ht="15.75" hidden="1" outlineLevel="1" thickBot="1">
      <c r="B321" s="7">
        <f t="shared" si="11"/>
        <v>231</v>
      </c>
      <c r="C321" s="41" t="s">
        <v>9</v>
      </c>
      <c r="D321" s="41"/>
      <c r="E321" s="41"/>
      <c r="F321" s="41"/>
      <c r="G321" s="41"/>
      <c r="H321" s="41"/>
      <c r="I321" s="42"/>
      <c r="J321" s="41"/>
      <c r="K321" s="41"/>
      <c r="L321" s="43"/>
    </row>
    <row r="322" spans="2:12" ht="15.75" hidden="1" outlineLevel="1" thickBot="1">
      <c r="B322" s="7">
        <f t="shared" si="11"/>
        <v>232</v>
      </c>
      <c r="C322" s="41" t="s">
        <v>9</v>
      </c>
      <c r="D322" s="41"/>
      <c r="E322" s="41"/>
      <c r="F322" s="41"/>
      <c r="G322" s="41"/>
      <c r="H322" s="41"/>
      <c r="I322" s="42"/>
      <c r="J322" s="41"/>
      <c r="K322" s="41"/>
      <c r="L322" s="43"/>
    </row>
    <row r="323" spans="2:12" ht="15.75" hidden="1" outlineLevel="1" thickBot="1">
      <c r="B323" s="7">
        <f t="shared" si="11"/>
        <v>233</v>
      </c>
      <c r="C323" s="41" t="s">
        <v>9</v>
      </c>
      <c r="D323" s="41"/>
      <c r="E323" s="41"/>
      <c r="F323" s="41"/>
      <c r="G323" s="41"/>
      <c r="H323" s="41"/>
      <c r="I323" s="42"/>
      <c r="J323" s="41"/>
      <c r="K323" s="41"/>
      <c r="L323" s="43"/>
    </row>
    <row r="324" spans="2:12" ht="15.75" hidden="1" outlineLevel="1" thickBot="1">
      <c r="B324" s="7">
        <f t="shared" si="11"/>
        <v>234</v>
      </c>
      <c r="C324" s="41" t="s">
        <v>9</v>
      </c>
      <c r="D324" s="41"/>
      <c r="E324" s="41"/>
      <c r="F324" s="41"/>
      <c r="G324" s="41"/>
      <c r="H324" s="41"/>
      <c r="I324" s="42"/>
      <c r="J324" s="41"/>
      <c r="K324" s="41"/>
      <c r="L324" s="43"/>
    </row>
    <row r="325" spans="2:12" ht="15.75" hidden="1" outlineLevel="1" thickBot="1">
      <c r="B325" s="7" t="str">
        <f>IF(C325="","",(#REF!+1))</f>
        <v/>
      </c>
      <c r="C325" s="41"/>
      <c r="D325" s="41"/>
      <c r="E325" s="41"/>
      <c r="F325" s="41"/>
      <c r="G325" s="41"/>
      <c r="H325" s="41"/>
      <c r="I325" s="42"/>
      <c r="J325" s="41"/>
      <c r="K325" s="41"/>
      <c r="L325" s="43"/>
    </row>
    <row r="326" spans="2:12" ht="15.75" hidden="1" outlineLevel="1" thickBot="1">
      <c r="B326" s="7" t="str">
        <f t="shared" ref="B326:B342" si="12">IF(C326="","",(B325+1))</f>
        <v/>
      </c>
      <c r="C326" s="41"/>
      <c r="D326" s="41"/>
      <c r="E326" s="41"/>
      <c r="F326" s="41"/>
      <c r="G326" s="41"/>
      <c r="H326" s="41"/>
      <c r="I326" s="42"/>
      <c r="J326" s="41"/>
      <c r="K326" s="41"/>
      <c r="L326" s="43"/>
    </row>
    <row r="327" spans="2:12" ht="15.75" hidden="1" outlineLevel="1" thickBot="1">
      <c r="B327" s="7" t="str">
        <f t="shared" si="12"/>
        <v/>
      </c>
      <c r="C327" s="41"/>
      <c r="D327" s="41"/>
      <c r="E327" s="41"/>
      <c r="F327" s="41"/>
      <c r="G327" s="41"/>
      <c r="H327" s="41"/>
      <c r="I327" s="42"/>
      <c r="J327" s="41"/>
      <c r="K327" s="41"/>
      <c r="L327" s="43"/>
    </row>
    <row r="328" spans="2:12" ht="15.75" hidden="1" outlineLevel="1" thickBot="1">
      <c r="B328" s="7" t="str">
        <f t="shared" si="12"/>
        <v/>
      </c>
      <c r="C328" s="41"/>
      <c r="D328" s="41"/>
      <c r="E328" s="41"/>
      <c r="F328" s="41"/>
      <c r="G328" s="41"/>
      <c r="H328" s="41"/>
      <c r="I328" s="42"/>
      <c r="J328" s="41"/>
      <c r="K328" s="41"/>
      <c r="L328" s="43"/>
    </row>
    <row r="329" spans="2:12" ht="15.75" hidden="1" outlineLevel="1" thickBot="1">
      <c r="B329" s="7" t="str">
        <f t="shared" si="12"/>
        <v/>
      </c>
      <c r="C329" s="41"/>
      <c r="D329" s="41"/>
      <c r="E329" s="41"/>
      <c r="F329" s="41"/>
      <c r="G329" s="41"/>
      <c r="H329" s="41"/>
      <c r="I329" s="42"/>
      <c r="J329" s="41"/>
      <c r="K329" s="41"/>
      <c r="L329" s="43"/>
    </row>
    <row r="330" spans="2:12" ht="15.75" hidden="1" outlineLevel="1" thickBot="1">
      <c r="B330" s="7" t="str">
        <f t="shared" si="12"/>
        <v/>
      </c>
      <c r="C330" s="41"/>
      <c r="D330" s="41"/>
      <c r="E330" s="41"/>
      <c r="F330" s="41"/>
      <c r="G330" s="41"/>
      <c r="H330" s="41"/>
      <c r="I330" s="42"/>
      <c r="J330" s="41"/>
      <c r="K330" s="41"/>
      <c r="L330" s="43"/>
    </row>
    <row r="331" spans="2:12" ht="15.75" hidden="1" outlineLevel="1" thickBot="1">
      <c r="B331" s="7" t="str">
        <f t="shared" si="12"/>
        <v/>
      </c>
      <c r="C331" s="41"/>
      <c r="D331" s="41"/>
      <c r="E331" s="41"/>
      <c r="F331" s="41"/>
      <c r="G331" s="41"/>
      <c r="H331" s="41"/>
      <c r="I331" s="42"/>
      <c r="J331" s="41"/>
      <c r="K331" s="41"/>
      <c r="L331" s="43"/>
    </row>
    <row r="332" spans="2:12" ht="15.75" hidden="1" outlineLevel="1" thickBot="1">
      <c r="B332" s="7" t="str">
        <f t="shared" si="12"/>
        <v/>
      </c>
      <c r="C332" s="41"/>
      <c r="D332" s="41"/>
      <c r="E332" s="41"/>
      <c r="F332" s="41"/>
      <c r="G332" s="41"/>
      <c r="H332" s="41"/>
      <c r="I332" s="42"/>
      <c r="J332" s="41"/>
      <c r="K332" s="41"/>
      <c r="L332" s="43"/>
    </row>
    <row r="333" spans="2:12" ht="15.75" hidden="1" outlineLevel="1" thickBot="1">
      <c r="B333" s="7" t="str">
        <f t="shared" si="12"/>
        <v/>
      </c>
      <c r="C333" s="41"/>
      <c r="D333" s="41"/>
      <c r="E333" s="41"/>
      <c r="F333" s="41"/>
      <c r="G333" s="41"/>
      <c r="H333" s="41"/>
      <c r="I333" s="42"/>
      <c r="J333" s="41"/>
      <c r="K333" s="41"/>
      <c r="L333" s="43"/>
    </row>
    <row r="334" spans="2:12" ht="15.75" hidden="1" outlineLevel="1" thickBot="1">
      <c r="B334" s="7" t="str">
        <f t="shared" si="12"/>
        <v/>
      </c>
      <c r="C334" s="41"/>
      <c r="D334" s="41"/>
      <c r="E334" s="41"/>
      <c r="F334" s="41"/>
      <c r="G334" s="41"/>
      <c r="H334" s="41"/>
      <c r="I334" s="42"/>
      <c r="J334" s="41"/>
      <c r="K334" s="41"/>
      <c r="L334" s="43"/>
    </row>
    <row r="335" spans="2:12" ht="15.75" hidden="1" outlineLevel="1" thickBot="1">
      <c r="B335" s="7" t="str">
        <f t="shared" si="12"/>
        <v/>
      </c>
      <c r="C335" s="41"/>
      <c r="D335" s="41"/>
      <c r="E335" s="41"/>
      <c r="F335" s="41"/>
      <c r="G335" s="41"/>
      <c r="H335" s="41"/>
      <c r="I335" s="42"/>
      <c r="J335" s="41"/>
      <c r="K335" s="41"/>
      <c r="L335" s="43"/>
    </row>
    <row r="336" spans="2:12" ht="15.75" hidden="1" outlineLevel="1" thickBot="1">
      <c r="B336" s="7" t="str">
        <f t="shared" si="12"/>
        <v/>
      </c>
      <c r="C336" s="41"/>
      <c r="D336" s="41"/>
      <c r="E336" s="41"/>
      <c r="F336" s="41"/>
      <c r="G336" s="41"/>
      <c r="H336" s="41"/>
      <c r="I336" s="42"/>
      <c r="J336" s="41"/>
      <c r="K336" s="41"/>
      <c r="L336" s="43"/>
    </row>
    <row r="337" spans="2:12" ht="15.75" hidden="1" outlineLevel="1" thickBot="1">
      <c r="B337" s="7" t="str">
        <f t="shared" si="12"/>
        <v/>
      </c>
      <c r="C337" s="41"/>
      <c r="D337" s="41"/>
      <c r="E337" s="41"/>
      <c r="F337" s="41"/>
      <c r="G337" s="41"/>
      <c r="H337" s="41"/>
      <c r="I337" s="42"/>
      <c r="J337" s="41"/>
      <c r="K337" s="41"/>
      <c r="L337" s="43"/>
    </row>
    <row r="338" spans="2:12" ht="15.75" hidden="1" outlineLevel="1" thickBot="1">
      <c r="B338" s="7" t="str">
        <f t="shared" si="12"/>
        <v/>
      </c>
      <c r="C338" s="41"/>
      <c r="D338" s="41"/>
      <c r="E338" s="41"/>
      <c r="F338" s="41"/>
      <c r="G338" s="41"/>
      <c r="H338" s="41"/>
      <c r="I338" s="42"/>
      <c r="J338" s="41"/>
      <c r="K338" s="41"/>
      <c r="L338" s="43"/>
    </row>
    <row r="339" spans="2:12" ht="15.75" hidden="1" outlineLevel="1" thickBot="1">
      <c r="B339" s="7" t="str">
        <f t="shared" si="12"/>
        <v/>
      </c>
      <c r="C339" s="41"/>
      <c r="D339" s="41"/>
      <c r="E339" s="41"/>
      <c r="F339" s="41"/>
      <c r="G339" s="41"/>
      <c r="H339" s="41"/>
      <c r="I339" s="42"/>
      <c r="J339" s="41"/>
      <c r="K339" s="41"/>
      <c r="L339" s="43"/>
    </row>
    <row r="340" spans="2:12" ht="15.75" hidden="1" outlineLevel="1" thickBot="1">
      <c r="B340" s="7" t="str">
        <f t="shared" si="12"/>
        <v/>
      </c>
      <c r="C340" s="41"/>
      <c r="D340" s="41"/>
      <c r="E340" s="41"/>
      <c r="F340" s="41"/>
      <c r="G340" s="41"/>
      <c r="H340" s="41"/>
      <c r="I340" s="42"/>
      <c r="J340" s="41"/>
      <c r="K340" s="41"/>
      <c r="L340" s="43"/>
    </row>
    <row r="341" spans="2:12" ht="15.75" hidden="1" outlineLevel="1" thickBot="1">
      <c r="B341" s="7" t="str">
        <f t="shared" si="12"/>
        <v/>
      </c>
      <c r="C341" s="1"/>
      <c r="D341" s="1"/>
      <c r="E341" s="1"/>
      <c r="F341" s="1"/>
      <c r="G341" s="1"/>
      <c r="H341" s="1"/>
      <c r="I341" s="36"/>
      <c r="J341" s="1"/>
      <c r="K341" s="1"/>
      <c r="L341" s="2"/>
    </row>
    <row r="342" spans="2:12" ht="15.75" hidden="1" outlineLevel="1" thickBot="1">
      <c r="B342" s="7" t="str">
        <f t="shared" si="12"/>
        <v/>
      </c>
      <c r="C342" s="38"/>
      <c r="D342" s="38"/>
      <c r="E342" s="38"/>
      <c r="F342" s="38"/>
      <c r="G342" s="38"/>
      <c r="H342" s="38"/>
      <c r="I342" s="38"/>
      <c r="J342" s="38"/>
      <c r="K342" s="38"/>
      <c r="L342" s="39"/>
    </row>
    <row r="343" spans="2:12" ht="24" customHeight="1" collapsed="1" thickBot="1">
      <c r="B343" s="320" t="s">
        <v>59</v>
      </c>
      <c r="C343" s="321"/>
      <c r="D343" s="321"/>
      <c r="E343" s="321"/>
      <c r="F343" s="321"/>
      <c r="G343" s="321"/>
      <c r="H343" s="321"/>
      <c r="I343" s="321"/>
      <c r="J343" s="321"/>
      <c r="K343" s="321"/>
      <c r="L343" s="322"/>
    </row>
    <row r="344" spans="2:12" ht="24" customHeight="1" thickBot="1">
      <c r="B344" s="26" t="s">
        <v>49</v>
      </c>
      <c r="C344" s="27" t="s">
        <v>60</v>
      </c>
      <c r="D344" s="27" t="s">
        <v>62</v>
      </c>
      <c r="E344" s="27" t="s">
        <v>63</v>
      </c>
      <c r="F344" s="27" t="s">
        <v>64</v>
      </c>
      <c r="G344" s="27" t="s">
        <v>65</v>
      </c>
      <c r="H344" s="27" t="s">
        <v>66</v>
      </c>
      <c r="I344" s="27" t="s">
        <v>67</v>
      </c>
      <c r="J344" s="27" t="s">
        <v>6</v>
      </c>
      <c r="K344" s="27" t="s">
        <v>7</v>
      </c>
      <c r="L344" s="28" t="s">
        <v>68</v>
      </c>
    </row>
    <row r="345" spans="2:12">
      <c r="B345" s="46" t="s">
        <v>8</v>
      </c>
      <c r="C345" s="41">
        <f>COUNTIFS(B91:B342,"&gt;"&amp;0,C91:C342,"="&amp;B345)</f>
        <v>5</v>
      </c>
      <c r="D345" s="41">
        <f>COUNTIFS(B91:B342,"&gt;="&amp;1,C91:C342,B345,K91:K342,"&gt;="&amp;0,K91:K342,"&lt;"&amp;50)</f>
        <v>5</v>
      </c>
      <c r="E345" s="41">
        <f>COUNTIFS(B91:B342,"&gt;="&amp;1,C91:C342,B345,K91:K342,"&gt;="&amp;50,K91:K342,"&lt;"&amp;500)</f>
        <v>0</v>
      </c>
      <c r="F345" s="41">
        <f>COUNTIFS(B91:B342,"&gt;="&amp;1,C91:C342,B345,K91:K342,"&gt;="&amp;500)</f>
        <v>0</v>
      </c>
      <c r="G345" s="41">
        <f>COUNTIFS(B91:B342,"&gt;="&amp;1,C91:C342,B345,K91:K342,"&gt;="&amp;0,I91:I342,"&gt;"&amp;DATE(2021,1,1))</f>
        <v>5</v>
      </c>
      <c r="H345" s="47">
        <f>IF(G345=0,"-",(SUM(E345,F345)/G345))</f>
        <v>0</v>
      </c>
      <c r="I345" s="41">
        <f>IF((COUNTIFS(B91:B342,"&gt;="&amp;1,C91:C342,"="&amp;B345))&gt;228,228,(COUNTIFS(B91:B342,"&gt;="&amp;1,C91:C342,"="&amp;B345)))</f>
        <v>5</v>
      </c>
      <c r="J345" s="47">
        <f>IF(I345=0,"-",(COUNTIFS(C91:C342,"="&amp;B345,I91:I342,"&lt;="&amp;DATE(2024,12,31),K91:K342,"&gt;="&amp;0)/I345))</f>
        <v>0.8</v>
      </c>
      <c r="K345" s="47">
        <f>IF(I345=0,"-",IF(J345=1,"-",(COUNTIFS(B91:B342,"&gt;"&amp;0,C91:C342,"="&amp;B345,I91:I342,"&gt;"&amp;DATE(2024,12,31),K91:K342,"&gt;="&amp;0)/(I345-COUNTIFS(B91:B342,"&gt;"&amp;0,C91:C342,"="&amp;B345,I91:I342,"&lt;="&amp;DATE(2024,12,31),K91:K342,"&gt;="&amp;0)))))</f>
        <v>1</v>
      </c>
      <c r="L345" s="48">
        <f>IF(I345=0,"-",G345/I345)</f>
        <v>1</v>
      </c>
    </row>
    <row r="346" spans="2:12">
      <c r="B346" s="7" t="s">
        <v>9</v>
      </c>
      <c r="C346" s="1">
        <f>COUNTIFS(B91:B342,"&gt;"&amp;0,C91:C342,"="&amp;B346)</f>
        <v>228</v>
      </c>
      <c r="D346" s="1">
        <f>COUNTIFS(B91:B342,"&gt;="&amp;1,C91:C342,B346,K91:K342,"&gt;="&amp;0,K91:K342,"&lt;"&amp;50)</f>
        <v>16</v>
      </c>
      <c r="E346" s="1">
        <f>COUNTIFS(B91:B342,"&gt;="&amp;1,C91:C342,B346,K91:K342,"&gt;="&amp;50,K91:K342,"&lt;"&amp;500)</f>
        <v>1</v>
      </c>
      <c r="F346" s="1">
        <f>COUNTIFS(B91:B342,"&gt;="&amp;1,C91:C342,B346,K91:K342,"&gt;="&amp;500)</f>
        <v>0</v>
      </c>
      <c r="G346" s="1">
        <f>COUNTIFS(B91:B342,"&gt;="&amp;1,C91:C342,B346,K91:K342,"&gt;="&amp;0,I91:I342,"&gt;"&amp;DATE(2021,1,1))</f>
        <v>17</v>
      </c>
      <c r="H346" s="44">
        <f t="shared" ref="H346:H348" si="13">IF(G346=0,"-",(SUM(E346,F346)/G346))</f>
        <v>5.8823529411764705E-2</v>
      </c>
      <c r="I346" s="1">
        <f>IF((COUNTIFS(B91:B342,"&gt;="&amp;1,C91:C342,"="&amp;B346))&gt;228,228,(COUNTIFS(B91:B342,"&gt;="&amp;1,C91:C342,"="&amp;B346)))</f>
        <v>228</v>
      </c>
      <c r="J346" s="44">
        <f>IF(I346=0,"-",(COUNTIFS(C91:C342,"="&amp;B346,I91:I342,"&lt;="&amp;DATE(2024,12,31),K91:K342,"&gt;="&amp;0)/I346))</f>
        <v>6.5789473684210523E-2</v>
      </c>
      <c r="K346" s="47">
        <f>IF(I346=0,"-",IF(J346=1,"-",(COUNTIFS(B91:B342,"&gt;"&amp;0,C91:C342,"="&amp;B346,I91:I342,"&gt;"&amp;DATE(2024,12,31),K91:K342,"&gt;="&amp;0)/(I346-COUNTIFS(B91:B342,"&gt;"&amp;0,C91:C342,"="&amp;B346,I91:I342,"&lt;="&amp;DATE(2024,12,31),K91:K342,"&gt;="&amp;0)))))</f>
        <v>9.3896713615023476E-3</v>
      </c>
      <c r="L346" s="45">
        <f t="shared" ref="L346:L348" si="14">IF(I346=0,"-",G346/I346)</f>
        <v>7.4561403508771926E-2</v>
      </c>
    </row>
    <row r="347" spans="2:12">
      <c r="B347" s="7" t="s">
        <v>69</v>
      </c>
      <c r="C347" s="1">
        <f>COUNTIFS(B91:B342,"&gt;"&amp;0,C91:C342,"="&amp;B347)</f>
        <v>1</v>
      </c>
      <c r="D347" s="1">
        <f>COUNTIFS(B91:B342,"&gt;="&amp;1,C91:C342,B347,K91:K342,"&gt;="&amp;0,K91:K342,"&lt;"&amp;50)</f>
        <v>0</v>
      </c>
      <c r="E347" s="1">
        <f>COUNTIFS(B91:B342,"&gt;="&amp;1,C91:C342,B347,K91:K342,"&gt;="&amp;50,K91:K342,"&lt;"&amp;500)</f>
        <v>0</v>
      </c>
      <c r="F347" s="1">
        <f>COUNTIFS(B91:B341,"&gt;="&amp;1,C91:C341,B347,K91:K341,"&gt;="&amp;500)</f>
        <v>0</v>
      </c>
      <c r="G347" s="1">
        <f>COUNTIFS(B91:B342,"&gt;="&amp;1,C91:C342,B347,K91:K342,"&gt;="&amp;0,I91:I342,"&gt;"&amp;DATE(2021,1,1))</f>
        <v>0</v>
      </c>
      <c r="H347" s="44" t="str">
        <f t="shared" si="13"/>
        <v>-</v>
      </c>
      <c r="I347" s="1">
        <f>IF((COUNTIFS(B91:B341,"&gt;="&amp;1,C91:C341,"="&amp;B347))&gt;228,228,(COUNTIFS(B91:B341,"&gt;="&amp;1,C91:C341,"="&amp;B347)))</f>
        <v>1</v>
      </c>
      <c r="J347" s="44">
        <f>IF(I347=0,"-",(COUNTIFS(C91:C342,"="&amp;B347,I91:I342,"&lt;="&amp;DATE(2024,12,31),K91:K342,"&gt;="&amp;0)/I347))</f>
        <v>0</v>
      </c>
      <c r="K347" s="47">
        <f>IF(I347=0,"-",IF(J347=1,"-",(COUNTIFS(B91:B342,"&gt;"&amp;0,C91:C342,"="&amp;B347,I91:I342,"&gt;"&amp;DATE(2024,12,31),K91:K342,"&gt;="&amp;0)/(I347-COUNTIFS(B91:B342,"&gt;"&amp;0,C91:C342,"="&amp;B347,I91:I342,"&lt;="&amp;DATE(2024,12,31),K91:K342,"&gt;="&amp;0)))))</f>
        <v>0</v>
      </c>
      <c r="L347" s="45">
        <f t="shared" si="14"/>
        <v>0</v>
      </c>
    </row>
    <row r="348" spans="2:12" ht="24" customHeight="1" thickBot="1">
      <c r="B348" s="49" t="s">
        <v>59</v>
      </c>
      <c r="C348" s="50">
        <f>SUM(C345:C347)</f>
        <v>234</v>
      </c>
      <c r="D348" s="50">
        <f>SUM(D345:D347)</f>
        <v>21</v>
      </c>
      <c r="E348" s="50">
        <f>SUM(E345:E347)</f>
        <v>1</v>
      </c>
      <c r="F348" s="50">
        <f>SUM(F345:F347)</f>
        <v>0</v>
      </c>
      <c r="G348" s="50">
        <f>SUM(G345:G347)</f>
        <v>22</v>
      </c>
      <c r="H348" s="51">
        <f t="shared" si="13"/>
        <v>4.5454545454545456E-2</v>
      </c>
      <c r="I348" s="50">
        <f>SUM(I345:I347)</f>
        <v>234</v>
      </c>
      <c r="J348" s="51">
        <f>IF(I348=0,"-",(COUNTIFS(I91:I342,"&lt;="&amp;DATE(2024,12,31),K91:K342,"&gt;="&amp;0)/I348))</f>
        <v>8.11965811965812E-2</v>
      </c>
      <c r="K348" s="51">
        <f>IF(I348=0,"-",IF(J348=1,"-",(COUNTIFS(B91:B342,"&gt;"&amp;0,I91:I342,"&gt;"&amp;DATE(2024,12,31),K91:K342,"&gt;="&amp;0)/(I348-COUNTIFS(B91:B342,"&gt;"&amp;0,I91:I342,"&lt;="&amp;DATE(2024,12,31),K91:K342,"&gt;="&amp;0)))))</f>
        <v>1.3953488372093023E-2</v>
      </c>
      <c r="L348" s="52">
        <f t="shared" si="14"/>
        <v>9.4017094017094016E-2</v>
      </c>
    </row>
    <row r="350" spans="2:12" ht="15.75" thickBot="1"/>
    <row r="351" spans="2:12" ht="32.25" customHeight="1" thickBot="1">
      <c r="B351" s="320" t="str">
        <f>_xlfn.CONCAT("Outros Equipamentos ( TSAs,Chaves a Óleo entre Outros)",TEXT(IF(SUM(I455:I457)=0," ",(SUM(G455:G457)/SUM(I455:I457))), " 0,00%"))</f>
        <v xml:space="preserve">Outros Equipamentos ( TSAs,Chaves a Óleo entre Outros) </v>
      </c>
      <c r="C351" s="321"/>
      <c r="D351" s="321"/>
      <c r="E351" s="321"/>
      <c r="F351" s="321"/>
      <c r="G351" s="321"/>
      <c r="H351" s="321"/>
      <c r="I351" s="321"/>
      <c r="J351" s="321"/>
      <c r="K351" s="321"/>
      <c r="L351" s="322"/>
    </row>
    <row r="352" spans="2:12" ht="24" hidden="1" customHeight="1" outlineLevel="1" thickBot="1">
      <c r="B352" s="26" t="s">
        <v>48</v>
      </c>
      <c r="C352" s="27" t="s">
        <v>49</v>
      </c>
      <c r="D352" s="27" t="s">
        <v>50</v>
      </c>
      <c r="E352" s="27" t="s">
        <v>51</v>
      </c>
      <c r="F352" s="27" t="s">
        <v>52</v>
      </c>
      <c r="G352" s="27" t="s">
        <v>53</v>
      </c>
      <c r="H352" s="27" t="s">
        <v>54</v>
      </c>
      <c r="I352" s="27" t="s">
        <v>55</v>
      </c>
      <c r="J352" s="27" t="s">
        <v>56</v>
      </c>
      <c r="K352" s="27" t="s">
        <v>57</v>
      </c>
      <c r="L352" s="28" t="s">
        <v>58</v>
      </c>
    </row>
    <row r="353" spans="2:12" ht="15.75" hidden="1" outlineLevel="1" thickBot="1">
      <c r="B353" s="40" t="str">
        <f>IF(C353="","",ROW($A$1))</f>
        <v/>
      </c>
      <c r="C353" s="41"/>
      <c r="D353" s="41"/>
      <c r="E353" s="41"/>
      <c r="F353" s="41"/>
      <c r="G353" s="41"/>
      <c r="H353" s="41"/>
      <c r="I353" s="42"/>
      <c r="J353" s="41"/>
      <c r="K353" s="41"/>
      <c r="L353" s="43"/>
    </row>
    <row r="354" spans="2:12" ht="15.75" hidden="1" outlineLevel="1" thickBot="1">
      <c r="B354" s="35" t="str">
        <f>IF(C354="","",(B353+1))</f>
        <v/>
      </c>
      <c r="C354" s="41"/>
      <c r="D354" s="41"/>
      <c r="E354" s="41"/>
      <c r="F354" s="41"/>
      <c r="G354" s="41"/>
      <c r="H354" s="41"/>
      <c r="I354" s="42"/>
      <c r="J354" s="41"/>
      <c r="K354" s="41"/>
      <c r="L354" s="43"/>
    </row>
    <row r="355" spans="2:12" ht="15.75" hidden="1" outlineLevel="1" thickBot="1">
      <c r="B355" s="35" t="str">
        <f t="shared" ref="B355:B418" si="15">IF(C355="","",(B354+1))</f>
        <v/>
      </c>
      <c r="C355" s="41"/>
      <c r="D355" s="41"/>
      <c r="E355" s="41"/>
      <c r="F355" s="41"/>
      <c r="G355" s="41"/>
      <c r="H355" s="41"/>
      <c r="I355" s="42"/>
      <c r="J355" s="41"/>
      <c r="K355" s="41"/>
      <c r="L355" s="43"/>
    </row>
    <row r="356" spans="2:12" ht="15.75" hidden="1" outlineLevel="1" thickBot="1">
      <c r="B356" s="35" t="str">
        <f t="shared" si="15"/>
        <v/>
      </c>
      <c r="C356" s="41"/>
      <c r="D356" s="41"/>
      <c r="E356" s="41"/>
      <c r="F356" s="41"/>
      <c r="G356" s="41"/>
      <c r="H356" s="41"/>
      <c r="I356" s="42"/>
      <c r="J356" s="41"/>
      <c r="K356" s="41"/>
      <c r="L356" s="43"/>
    </row>
    <row r="357" spans="2:12" ht="15.75" hidden="1" outlineLevel="1" thickBot="1">
      <c r="B357" s="35" t="str">
        <f t="shared" si="15"/>
        <v/>
      </c>
      <c r="C357" s="41"/>
      <c r="D357" s="41"/>
      <c r="E357" s="41"/>
      <c r="F357" s="41"/>
      <c r="G357" s="41"/>
      <c r="H357" s="41"/>
      <c r="I357" s="42"/>
      <c r="J357" s="41"/>
      <c r="K357" s="41"/>
      <c r="L357" s="43"/>
    </row>
    <row r="358" spans="2:12" ht="15.75" hidden="1" outlineLevel="1" thickBot="1">
      <c r="B358" s="35" t="str">
        <f t="shared" si="15"/>
        <v/>
      </c>
      <c r="C358" s="41"/>
      <c r="D358" s="41"/>
      <c r="E358" s="41"/>
      <c r="F358" s="41"/>
      <c r="G358" s="41"/>
      <c r="H358" s="41"/>
      <c r="I358" s="42"/>
      <c r="J358" s="41"/>
      <c r="K358" s="41"/>
      <c r="L358" s="43"/>
    </row>
    <row r="359" spans="2:12" ht="15.75" hidden="1" outlineLevel="1" thickBot="1">
      <c r="B359" s="35" t="str">
        <f t="shared" si="15"/>
        <v/>
      </c>
      <c r="C359" s="41"/>
      <c r="D359" s="41"/>
      <c r="E359" s="41"/>
      <c r="F359" s="41"/>
      <c r="G359" s="41"/>
      <c r="H359" s="41"/>
      <c r="I359" s="42"/>
      <c r="J359" s="41"/>
      <c r="K359" s="41"/>
      <c r="L359" s="43"/>
    </row>
    <row r="360" spans="2:12" ht="15.75" hidden="1" outlineLevel="1" thickBot="1">
      <c r="B360" s="35" t="str">
        <f t="shared" si="15"/>
        <v/>
      </c>
      <c r="C360" s="41"/>
      <c r="D360" s="41"/>
      <c r="E360" s="41"/>
      <c r="F360" s="41"/>
      <c r="G360" s="41"/>
      <c r="H360" s="41"/>
      <c r="I360" s="42"/>
      <c r="J360" s="41"/>
      <c r="K360" s="41"/>
      <c r="L360" s="43"/>
    </row>
    <row r="361" spans="2:12" ht="15.75" hidden="1" outlineLevel="1" thickBot="1">
      <c r="B361" s="35" t="str">
        <f t="shared" si="15"/>
        <v/>
      </c>
      <c r="C361" s="41"/>
      <c r="D361" s="41"/>
      <c r="E361" s="41"/>
      <c r="F361" s="41"/>
      <c r="G361" s="41"/>
      <c r="H361" s="41"/>
      <c r="I361" s="42"/>
      <c r="J361" s="41"/>
      <c r="K361" s="41"/>
      <c r="L361" s="43"/>
    </row>
    <row r="362" spans="2:12" ht="15.75" hidden="1" outlineLevel="1" thickBot="1">
      <c r="B362" s="35" t="str">
        <f t="shared" si="15"/>
        <v/>
      </c>
      <c r="C362" s="41"/>
      <c r="D362" s="41"/>
      <c r="E362" s="41"/>
      <c r="F362" s="41"/>
      <c r="G362" s="41"/>
      <c r="H362" s="41"/>
      <c r="I362" s="42"/>
      <c r="J362" s="41"/>
      <c r="K362" s="41"/>
      <c r="L362" s="43"/>
    </row>
    <row r="363" spans="2:12" ht="15.75" hidden="1" outlineLevel="1" thickBot="1">
      <c r="B363" s="35" t="str">
        <f t="shared" si="15"/>
        <v/>
      </c>
      <c r="C363" s="41"/>
      <c r="D363" s="41"/>
      <c r="E363" s="41"/>
      <c r="F363" s="41"/>
      <c r="G363" s="41"/>
      <c r="H363" s="41"/>
      <c r="I363" s="42"/>
      <c r="J363" s="41"/>
      <c r="K363" s="41"/>
      <c r="L363" s="43"/>
    </row>
    <row r="364" spans="2:12" ht="15.75" hidden="1" outlineLevel="1" thickBot="1">
      <c r="B364" s="40" t="str">
        <f t="shared" si="15"/>
        <v/>
      </c>
      <c r="C364" s="41"/>
      <c r="D364" s="41"/>
      <c r="E364" s="41"/>
      <c r="F364" s="41"/>
      <c r="G364" s="41"/>
      <c r="H364" s="41"/>
      <c r="I364" s="42"/>
      <c r="J364" s="41"/>
      <c r="K364" s="41"/>
      <c r="L364" s="43"/>
    </row>
    <row r="365" spans="2:12" ht="15.75" hidden="1" outlineLevel="1" thickBot="1">
      <c r="B365" s="40" t="str">
        <f t="shared" si="15"/>
        <v/>
      </c>
      <c r="C365" s="41"/>
      <c r="D365" s="41"/>
      <c r="E365" s="41"/>
      <c r="F365" s="41"/>
      <c r="G365" s="41"/>
      <c r="H365" s="41"/>
      <c r="I365" s="42"/>
      <c r="J365" s="41"/>
      <c r="K365" s="41"/>
      <c r="L365" s="43"/>
    </row>
    <row r="366" spans="2:12" ht="15.75" hidden="1" outlineLevel="1" thickBot="1">
      <c r="B366" s="40" t="str">
        <f t="shared" si="15"/>
        <v/>
      </c>
      <c r="C366" s="41"/>
      <c r="D366" s="41"/>
      <c r="E366" s="41"/>
      <c r="F366" s="41"/>
      <c r="G366" s="41"/>
      <c r="H366" s="41"/>
      <c r="I366" s="42"/>
      <c r="J366" s="41"/>
      <c r="K366" s="41"/>
      <c r="L366" s="43"/>
    </row>
    <row r="367" spans="2:12" ht="15.75" hidden="1" outlineLevel="1" thickBot="1">
      <c r="B367" s="40" t="str">
        <f t="shared" si="15"/>
        <v/>
      </c>
      <c r="C367" s="41"/>
      <c r="D367" s="41"/>
      <c r="E367" s="41"/>
      <c r="F367" s="41"/>
      <c r="G367" s="41"/>
      <c r="H367" s="41"/>
      <c r="I367" s="42"/>
      <c r="J367" s="41"/>
      <c r="K367" s="41"/>
      <c r="L367" s="43"/>
    </row>
    <row r="368" spans="2:12" ht="15.75" hidden="1" outlineLevel="1" thickBot="1">
      <c r="B368" s="40" t="str">
        <f t="shared" si="15"/>
        <v/>
      </c>
      <c r="C368" s="41"/>
      <c r="D368" s="41"/>
      <c r="E368" s="41"/>
      <c r="F368" s="41"/>
      <c r="G368" s="41"/>
      <c r="H368" s="41"/>
      <c r="I368" s="42"/>
      <c r="J368" s="41"/>
      <c r="K368" s="41"/>
      <c r="L368" s="43"/>
    </row>
    <row r="369" spans="2:12" ht="15.75" hidden="1" outlineLevel="1" thickBot="1">
      <c r="B369" s="40" t="str">
        <f t="shared" si="15"/>
        <v/>
      </c>
      <c r="C369" s="41"/>
      <c r="D369" s="41"/>
      <c r="E369" s="41"/>
      <c r="F369" s="41"/>
      <c r="G369" s="41"/>
      <c r="H369" s="41"/>
      <c r="I369" s="42"/>
      <c r="J369" s="41"/>
      <c r="K369" s="41"/>
      <c r="L369" s="43"/>
    </row>
    <row r="370" spans="2:12" ht="15.75" hidden="1" outlineLevel="1" thickBot="1">
      <c r="B370" s="40" t="str">
        <f t="shared" si="15"/>
        <v/>
      </c>
      <c r="C370" s="41"/>
      <c r="D370" s="41"/>
      <c r="E370" s="41"/>
      <c r="F370" s="41"/>
      <c r="G370" s="41"/>
      <c r="H370" s="41"/>
      <c r="I370" s="42"/>
      <c r="J370" s="41"/>
      <c r="K370" s="41"/>
      <c r="L370" s="43"/>
    </row>
    <row r="371" spans="2:12" ht="15.75" hidden="1" outlineLevel="1" thickBot="1">
      <c r="B371" s="40" t="str">
        <f t="shared" si="15"/>
        <v/>
      </c>
      <c r="C371" s="41"/>
      <c r="D371" s="41"/>
      <c r="E371" s="41"/>
      <c r="F371" s="41"/>
      <c r="G371" s="41"/>
      <c r="H371" s="41"/>
      <c r="I371" s="42"/>
      <c r="J371" s="41"/>
      <c r="K371" s="41"/>
      <c r="L371" s="43"/>
    </row>
    <row r="372" spans="2:12" ht="15.75" hidden="1" outlineLevel="1" thickBot="1">
      <c r="B372" s="40" t="str">
        <f t="shared" si="15"/>
        <v/>
      </c>
      <c r="C372" s="41"/>
      <c r="D372" s="41"/>
      <c r="E372" s="41"/>
      <c r="F372" s="41"/>
      <c r="G372" s="41"/>
      <c r="H372" s="41"/>
      <c r="I372" s="42"/>
      <c r="J372" s="41"/>
      <c r="K372" s="41"/>
      <c r="L372" s="43"/>
    </row>
    <row r="373" spans="2:12" ht="15.75" hidden="1" outlineLevel="1" thickBot="1">
      <c r="B373" s="40" t="str">
        <f t="shared" si="15"/>
        <v/>
      </c>
      <c r="C373" s="41"/>
      <c r="D373" s="41"/>
      <c r="E373" s="41"/>
      <c r="F373" s="41"/>
      <c r="G373" s="41"/>
      <c r="H373" s="41"/>
      <c r="I373" s="42"/>
      <c r="J373" s="41"/>
      <c r="K373" s="41"/>
      <c r="L373" s="43"/>
    </row>
    <row r="374" spans="2:12" ht="15.75" hidden="1" outlineLevel="1" thickBot="1">
      <c r="B374" s="40" t="str">
        <f t="shared" si="15"/>
        <v/>
      </c>
      <c r="C374" s="41"/>
      <c r="D374" s="41"/>
      <c r="E374" s="41"/>
      <c r="F374" s="41"/>
      <c r="G374" s="41"/>
      <c r="H374" s="41"/>
      <c r="I374" s="42"/>
      <c r="J374" s="41"/>
      <c r="K374" s="41"/>
      <c r="L374" s="43"/>
    </row>
    <row r="375" spans="2:12" ht="15.75" hidden="1" outlineLevel="1" thickBot="1">
      <c r="B375" s="40" t="str">
        <f t="shared" si="15"/>
        <v/>
      </c>
      <c r="C375" s="41"/>
      <c r="D375" s="41"/>
      <c r="E375" s="41"/>
      <c r="F375" s="41"/>
      <c r="G375" s="41"/>
      <c r="H375" s="41"/>
      <c r="I375" s="42"/>
      <c r="J375" s="41"/>
      <c r="K375" s="41"/>
      <c r="L375" s="43"/>
    </row>
    <row r="376" spans="2:12" ht="15.75" hidden="1" outlineLevel="1" thickBot="1">
      <c r="B376" s="40" t="str">
        <f t="shared" si="15"/>
        <v/>
      </c>
      <c r="C376" s="41"/>
      <c r="D376" s="41"/>
      <c r="E376" s="41"/>
      <c r="F376" s="41"/>
      <c r="G376" s="41"/>
      <c r="H376" s="41"/>
      <c r="I376" s="42"/>
      <c r="J376" s="41"/>
      <c r="K376" s="41"/>
      <c r="L376" s="43"/>
    </row>
    <row r="377" spans="2:12" ht="15.75" hidden="1" outlineLevel="1" thickBot="1">
      <c r="B377" s="40" t="str">
        <f t="shared" si="15"/>
        <v/>
      </c>
      <c r="C377" s="41"/>
      <c r="D377" s="41"/>
      <c r="E377" s="41"/>
      <c r="F377" s="41"/>
      <c r="G377" s="41"/>
      <c r="H377" s="41"/>
      <c r="I377" s="42"/>
      <c r="J377" s="41"/>
      <c r="K377" s="41"/>
      <c r="L377" s="43"/>
    </row>
    <row r="378" spans="2:12" ht="15.75" hidden="1" outlineLevel="1" thickBot="1">
      <c r="B378" s="40" t="str">
        <f t="shared" si="15"/>
        <v/>
      </c>
      <c r="C378" s="41"/>
      <c r="D378" s="41"/>
      <c r="E378" s="41"/>
      <c r="F378" s="41"/>
      <c r="G378" s="41"/>
      <c r="H378" s="41"/>
      <c r="I378" s="42"/>
      <c r="J378" s="41"/>
      <c r="K378" s="41"/>
      <c r="L378" s="43"/>
    </row>
    <row r="379" spans="2:12" ht="15.75" hidden="1" outlineLevel="1" thickBot="1">
      <c r="B379" s="40" t="str">
        <f t="shared" si="15"/>
        <v/>
      </c>
      <c r="C379" s="41"/>
      <c r="D379" s="41"/>
      <c r="E379" s="41"/>
      <c r="F379" s="41"/>
      <c r="G379" s="41"/>
      <c r="H379" s="41"/>
      <c r="I379" s="42"/>
      <c r="J379" s="41"/>
      <c r="K379" s="41"/>
      <c r="L379" s="43"/>
    </row>
    <row r="380" spans="2:12" ht="15.75" hidden="1" outlineLevel="1" thickBot="1">
      <c r="B380" s="40" t="str">
        <f t="shared" si="15"/>
        <v/>
      </c>
      <c r="C380" s="41"/>
      <c r="D380" s="41"/>
      <c r="E380" s="41"/>
      <c r="F380" s="41"/>
      <c r="G380" s="41"/>
      <c r="H380" s="41"/>
      <c r="I380" s="42"/>
      <c r="J380" s="41"/>
      <c r="K380" s="41"/>
      <c r="L380" s="43"/>
    </row>
    <row r="381" spans="2:12" ht="15.75" hidden="1" outlineLevel="1" thickBot="1">
      <c r="B381" s="40" t="str">
        <f t="shared" si="15"/>
        <v/>
      </c>
      <c r="C381" s="41"/>
      <c r="D381" s="41"/>
      <c r="E381" s="41"/>
      <c r="F381" s="41"/>
      <c r="G381" s="41"/>
      <c r="H381" s="41"/>
      <c r="I381" s="42"/>
      <c r="J381" s="41"/>
      <c r="K381" s="41"/>
      <c r="L381" s="43"/>
    </row>
    <row r="382" spans="2:12" ht="15.75" hidden="1" outlineLevel="1" thickBot="1">
      <c r="B382" s="40" t="str">
        <f t="shared" si="15"/>
        <v/>
      </c>
      <c r="C382" s="41"/>
      <c r="D382" s="41"/>
      <c r="E382" s="41"/>
      <c r="F382" s="41"/>
      <c r="G382" s="41"/>
      <c r="H382" s="41"/>
      <c r="I382" s="42"/>
      <c r="J382" s="41"/>
      <c r="K382" s="41"/>
      <c r="L382" s="43"/>
    </row>
    <row r="383" spans="2:12" ht="15.75" hidden="1" outlineLevel="1" thickBot="1">
      <c r="B383" s="40" t="str">
        <f t="shared" si="15"/>
        <v/>
      </c>
      <c r="C383" s="41"/>
      <c r="D383" s="41"/>
      <c r="E383" s="41"/>
      <c r="F383" s="41"/>
      <c r="G383" s="41"/>
      <c r="H383" s="41"/>
      <c r="I383" s="42"/>
      <c r="J383" s="41"/>
      <c r="K383" s="41"/>
      <c r="L383" s="43"/>
    </row>
    <row r="384" spans="2:12" ht="15.75" hidden="1" outlineLevel="1" thickBot="1">
      <c r="B384" s="40" t="str">
        <f t="shared" si="15"/>
        <v/>
      </c>
      <c r="C384" s="41"/>
      <c r="D384" s="41"/>
      <c r="E384" s="41"/>
      <c r="F384" s="41"/>
      <c r="G384" s="41"/>
      <c r="H384" s="41"/>
      <c r="I384" s="42"/>
      <c r="J384" s="41"/>
      <c r="K384" s="41"/>
      <c r="L384" s="43"/>
    </row>
    <row r="385" spans="2:12" ht="15.75" hidden="1" outlineLevel="1" thickBot="1">
      <c r="B385" s="40" t="str">
        <f t="shared" si="15"/>
        <v/>
      </c>
      <c r="C385" s="41"/>
      <c r="D385" s="41"/>
      <c r="E385" s="41"/>
      <c r="F385" s="41"/>
      <c r="G385" s="41"/>
      <c r="H385" s="41"/>
      <c r="I385" s="42"/>
      <c r="J385" s="41"/>
      <c r="K385" s="41"/>
      <c r="L385" s="43"/>
    </row>
    <row r="386" spans="2:12" ht="15.75" hidden="1" outlineLevel="1" thickBot="1">
      <c r="B386" s="40" t="str">
        <f t="shared" si="15"/>
        <v/>
      </c>
      <c r="C386" s="41"/>
      <c r="D386" s="41"/>
      <c r="E386" s="41"/>
      <c r="F386" s="41"/>
      <c r="G386" s="41"/>
      <c r="H386" s="41"/>
      <c r="I386" s="42"/>
      <c r="J386" s="41"/>
      <c r="K386" s="41"/>
      <c r="L386" s="43"/>
    </row>
    <row r="387" spans="2:12" ht="15.75" hidden="1" outlineLevel="1" thickBot="1">
      <c r="B387" s="40" t="str">
        <f t="shared" si="15"/>
        <v/>
      </c>
      <c r="C387" s="41"/>
      <c r="D387" s="41"/>
      <c r="E387" s="41"/>
      <c r="F387" s="41"/>
      <c r="G387" s="41"/>
      <c r="H387" s="41"/>
      <c r="I387" s="42"/>
      <c r="J387" s="41"/>
      <c r="K387" s="41"/>
      <c r="L387" s="43"/>
    </row>
    <row r="388" spans="2:12" ht="15.75" hidden="1" outlineLevel="1" thickBot="1">
      <c r="B388" s="40" t="str">
        <f t="shared" si="15"/>
        <v/>
      </c>
      <c r="C388" s="41"/>
      <c r="D388" s="41"/>
      <c r="E388" s="41"/>
      <c r="F388" s="41"/>
      <c r="G388" s="41"/>
      <c r="H388" s="41"/>
      <c r="I388" s="42"/>
      <c r="J388" s="41"/>
      <c r="K388" s="41"/>
      <c r="L388" s="43"/>
    </row>
    <row r="389" spans="2:12" ht="15.75" hidden="1" outlineLevel="1" thickBot="1">
      <c r="B389" s="40" t="str">
        <f t="shared" si="15"/>
        <v/>
      </c>
      <c r="C389" s="41"/>
      <c r="D389" s="41"/>
      <c r="E389" s="41"/>
      <c r="F389" s="41"/>
      <c r="G389" s="41"/>
      <c r="H389" s="41"/>
      <c r="I389" s="42"/>
      <c r="J389" s="41"/>
      <c r="K389" s="41"/>
      <c r="L389" s="43"/>
    </row>
    <row r="390" spans="2:12" ht="15.75" hidden="1" outlineLevel="1" thickBot="1">
      <c r="B390" s="40" t="str">
        <f t="shared" si="15"/>
        <v/>
      </c>
      <c r="C390" s="41"/>
      <c r="D390" s="41"/>
      <c r="E390" s="41"/>
      <c r="F390" s="41"/>
      <c r="G390" s="41"/>
      <c r="H390" s="41"/>
      <c r="I390" s="42"/>
      <c r="J390" s="41"/>
      <c r="K390" s="41"/>
      <c r="L390" s="43"/>
    </row>
    <row r="391" spans="2:12" ht="15.75" hidden="1" outlineLevel="1" thickBot="1">
      <c r="B391" s="40" t="str">
        <f t="shared" si="15"/>
        <v/>
      </c>
      <c r="C391" s="41"/>
      <c r="D391" s="41"/>
      <c r="E391" s="41"/>
      <c r="F391" s="41"/>
      <c r="G391" s="41"/>
      <c r="H391" s="41"/>
      <c r="I391" s="42"/>
      <c r="J391" s="41"/>
      <c r="K391" s="41"/>
      <c r="L391" s="43"/>
    </row>
    <row r="392" spans="2:12" ht="15.75" hidden="1" outlineLevel="1" thickBot="1">
      <c r="B392" s="40" t="str">
        <f t="shared" si="15"/>
        <v/>
      </c>
      <c r="C392" s="41"/>
      <c r="D392" s="41"/>
      <c r="E392" s="41"/>
      <c r="F392" s="41"/>
      <c r="G392" s="41"/>
      <c r="H392" s="41"/>
      <c r="I392" s="42"/>
      <c r="J392" s="41"/>
      <c r="K392" s="41"/>
      <c r="L392" s="43"/>
    </row>
    <row r="393" spans="2:12" ht="15.75" hidden="1" outlineLevel="1" thickBot="1">
      <c r="B393" s="40" t="str">
        <f t="shared" si="15"/>
        <v/>
      </c>
      <c r="C393" s="41"/>
      <c r="D393" s="41"/>
      <c r="E393" s="41"/>
      <c r="F393" s="41"/>
      <c r="G393" s="41"/>
      <c r="H393" s="41"/>
      <c r="I393" s="42"/>
      <c r="J393" s="41"/>
      <c r="K393" s="41"/>
      <c r="L393" s="43"/>
    </row>
    <row r="394" spans="2:12" ht="15.75" hidden="1" outlineLevel="1" thickBot="1">
      <c r="B394" s="40" t="str">
        <f t="shared" si="15"/>
        <v/>
      </c>
      <c r="C394" s="41"/>
      <c r="D394" s="41"/>
      <c r="E394" s="41"/>
      <c r="F394" s="41"/>
      <c r="G394" s="41"/>
      <c r="H394" s="41"/>
      <c r="I394" s="42"/>
      <c r="J394" s="41"/>
      <c r="K394" s="41"/>
      <c r="L394" s="43"/>
    </row>
    <row r="395" spans="2:12" ht="15.75" hidden="1" outlineLevel="1" thickBot="1">
      <c r="B395" s="40" t="str">
        <f t="shared" si="15"/>
        <v/>
      </c>
      <c r="C395" s="41"/>
      <c r="D395" s="41"/>
      <c r="E395" s="41"/>
      <c r="F395" s="41"/>
      <c r="G395" s="41"/>
      <c r="H395" s="41"/>
      <c r="I395" s="42"/>
      <c r="J395" s="41"/>
      <c r="K395" s="41"/>
      <c r="L395" s="43"/>
    </row>
    <row r="396" spans="2:12" ht="15.75" hidden="1" outlineLevel="1" thickBot="1">
      <c r="B396" s="40" t="str">
        <f t="shared" si="15"/>
        <v/>
      </c>
      <c r="C396" s="41"/>
      <c r="D396" s="41"/>
      <c r="E396" s="41"/>
      <c r="F396" s="41"/>
      <c r="G396" s="41"/>
      <c r="H396" s="41"/>
      <c r="I396" s="42"/>
      <c r="J396" s="41"/>
      <c r="K396" s="41"/>
      <c r="L396" s="43"/>
    </row>
    <row r="397" spans="2:12" ht="15.75" hidden="1" outlineLevel="1" thickBot="1">
      <c r="B397" s="40" t="str">
        <f t="shared" si="15"/>
        <v/>
      </c>
      <c r="C397" s="41"/>
      <c r="D397" s="41"/>
      <c r="E397" s="41"/>
      <c r="F397" s="41"/>
      <c r="G397" s="41"/>
      <c r="H397" s="41"/>
      <c r="I397" s="42"/>
      <c r="J397" s="41"/>
      <c r="K397" s="41"/>
      <c r="L397" s="43"/>
    </row>
    <row r="398" spans="2:12" ht="15.75" hidden="1" outlineLevel="1" thickBot="1">
      <c r="B398" s="40" t="str">
        <f t="shared" si="15"/>
        <v/>
      </c>
      <c r="C398" s="41"/>
      <c r="D398" s="41"/>
      <c r="E398" s="41"/>
      <c r="F398" s="41"/>
      <c r="G398" s="41"/>
      <c r="H398" s="41"/>
      <c r="I398" s="42"/>
      <c r="J398" s="41"/>
      <c r="K398" s="41"/>
      <c r="L398" s="43"/>
    </row>
    <row r="399" spans="2:12" ht="15.75" hidden="1" outlineLevel="1" thickBot="1">
      <c r="B399" s="40" t="str">
        <f t="shared" si="15"/>
        <v/>
      </c>
      <c r="C399" s="41"/>
      <c r="D399" s="41"/>
      <c r="E399" s="41"/>
      <c r="F399" s="41"/>
      <c r="G399" s="41"/>
      <c r="H399" s="41"/>
      <c r="I399" s="42"/>
      <c r="J399" s="41"/>
      <c r="K399" s="41"/>
      <c r="L399" s="43"/>
    </row>
    <row r="400" spans="2:12" ht="15.75" hidden="1" outlineLevel="1" thickBot="1">
      <c r="B400" s="40" t="str">
        <f t="shared" si="15"/>
        <v/>
      </c>
      <c r="C400" s="41"/>
      <c r="D400" s="41"/>
      <c r="E400" s="41"/>
      <c r="F400" s="41"/>
      <c r="G400" s="41"/>
      <c r="H400" s="41"/>
      <c r="I400" s="42"/>
      <c r="J400" s="41"/>
      <c r="K400" s="41"/>
      <c r="L400" s="43"/>
    </row>
    <row r="401" spans="2:12" ht="15.75" hidden="1" outlineLevel="1" thickBot="1">
      <c r="B401" s="40" t="str">
        <f t="shared" si="15"/>
        <v/>
      </c>
      <c r="C401" s="41"/>
      <c r="D401" s="41"/>
      <c r="E401" s="41"/>
      <c r="F401" s="41"/>
      <c r="G401" s="41"/>
      <c r="H401" s="41"/>
      <c r="I401" s="42"/>
      <c r="J401" s="41"/>
      <c r="K401" s="41"/>
      <c r="L401" s="43"/>
    </row>
    <row r="402" spans="2:12" ht="15.75" hidden="1" outlineLevel="1" thickBot="1">
      <c r="B402" s="40" t="str">
        <f t="shared" si="15"/>
        <v/>
      </c>
      <c r="C402" s="41"/>
      <c r="D402" s="41"/>
      <c r="E402" s="41"/>
      <c r="F402" s="41"/>
      <c r="G402" s="41"/>
      <c r="H402" s="41"/>
      <c r="I402" s="42"/>
      <c r="J402" s="41"/>
      <c r="K402" s="41"/>
      <c r="L402" s="43"/>
    </row>
    <row r="403" spans="2:12" ht="15.75" hidden="1" outlineLevel="1" thickBot="1">
      <c r="B403" s="40" t="str">
        <f t="shared" si="15"/>
        <v/>
      </c>
      <c r="C403" s="41"/>
      <c r="D403" s="41"/>
      <c r="E403" s="41"/>
      <c r="F403" s="41"/>
      <c r="G403" s="41"/>
      <c r="H403" s="41"/>
      <c r="I403" s="42"/>
      <c r="J403" s="41"/>
      <c r="K403" s="41"/>
      <c r="L403" s="43"/>
    </row>
    <row r="404" spans="2:12" ht="15.75" hidden="1" outlineLevel="1" thickBot="1">
      <c r="B404" s="40" t="str">
        <f t="shared" si="15"/>
        <v/>
      </c>
      <c r="C404" s="41"/>
      <c r="D404" s="41"/>
      <c r="E404" s="41"/>
      <c r="F404" s="41"/>
      <c r="G404" s="41"/>
      <c r="H404" s="41"/>
      <c r="I404" s="42"/>
      <c r="J404" s="41"/>
      <c r="K404" s="41"/>
      <c r="L404" s="43"/>
    </row>
    <row r="405" spans="2:12" ht="15.75" hidden="1" outlineLevel="1" thickBot="1">
      <c r="B405" s="40" t="str">
        <f t="shared" si="15"/>
        <v/>
      </c>
      <c r="C405" s="41"/>
      <c r="D405" s="41"/>
      <c r="E405" s="41"/>
      <c r="F405" s="41"/>
      <c r="G405" s="41"/>
      <c r="H405" s="41"/>
      <c r="I405" s="42"/>
      <c r="J405" s="41"/>
      <c r="K405" s="41"/>
      <c r="L405" s="43"/>
    </row>
    <row r="406" spans="2:12" ht="15.75" hidden="1" outlineLevel="1" thickBot="1">
      <c r="B406" s="40" t="str">
        <f t="shared" si="15"/>
        <v/>
      </c>
      <c r="C406" s="41"/>
      <c r="D406" s="41"/>
      <c r="E406" s="41"/>
      <c r="F406" s="41"/>
      <c r="G406" s="41"/>
      <c r="H406" s="41"/>
      <c r="I406" s="42"/>
      <c r="J406" s="41"/>
      <c r="K406" s="41"/>
      <c r="L406" s="43"/>
    </row>
    <row r="407" spans="2:12" ht="15.75" hidden="1" outlineLevel="1" thickBot="1">
      <c r="B407" s="40" t="str">
        <f t="shared" si="15"/>
        <v/>
      </c>
      <c r="C407" s="41"/>
      <c r="D407" s="41"/>
      <c r="E407" s="41"/>
      <c r="F407" s="41"/>
      <c r="G407" s="41"/>
      <c r="H407" s="41"/>
      <c r="I407" s="42"/>
      <c r="J407" s="41"/>
      <c r="K407" s="41"/>
      <c r="L407" s="43"/>
    </row>
    <row r="408" spans="2:12" ht="15.75" hidden="1" outlineLevel="1" thickBot="1">
      <c r="B408" s="40" t="str">
        <f t="shared" si="15"/>
        <v/>
      </c>
      <c r="C408" s="41"/>
      <c r="D408" s="41"/>
      <c r="E408" s="41"/>
      <c r="F408" s="41"/>
      <c r="G408" s="41"/>
      <c r="H408" s="41"/>
      <c r="I408" s="42"/>
      <c r="J408" s="41"/>
      <c r="K408" s="41"/>
      <c r="L408" s="43"/>
    </row>
    <row r="409" spans="2:12" ht="15.75" hidden="1" outlineLevel="1" thickBot="1">
      <c r="B409" s="40" t="str">
        <f t="shared" si="15"/>
        <v/>
      </c>
      <c r="C409" s="41"/>
      <c r="D409" s="41"/>
      <c r="E409" s="41"/>
      <c r="F409" s="41"/>
      <c r="G409" s="41"/>
      <c r="H409" s="41"/>
      <c r="I409" s="42"/>
      <c r="J409" s="41"/>
      <c r="K409" s="41"/>
      <c r="L409" s="43"/>
    </row>
    <row r="410" spans="2:12" ht="15.75" hidden="1" outlineLevel="1" thickBot="1">
      <c r="B410" s="40" t="str">
        <f t="shared" si="15"/>
        <v/>
      </c>
      <c r="C410" s="41"/>
      <c r="D410" s="41"/>
      <c r="E410" s="41"/>
      <c r="F410" s="41"/>
      <c r="G410" s="41"/>
      <c r="H410" s="41"/>
      <c r="I410" s="42"/>
      <c r="J410" s="41"/>
      <c r="K410" s="41"/>
      <c r="L410" s="43"/>
    </row>
    <row r="411" spans="2:12" ht="15.75" hidden="1" outlineLevel="1" thickBot="1">
      <c r="B411" s="40" t="str">
        <f t="shared" si="15"/>
        <v/>
      </c>
      <c r="C411" s="41"/>
      <c r="D411" s="41"/>
      <c r="E411" s="41"/>
      <c r="F411" s="41"/>
      <c r="G411" s="41"/>
      <c r="H411" s="41"/>
      <c r="I411" s="42"/>
      <c r="J411" s="41"/>
      <c r="K411" s="41"/>
      <c r="L411" s="43"/>
    </row>
    <row r="412" spans="2:12" ht="15.75" hidden="1" outlineLevel="1" thickBot="1">
      <c r="B412" s="40" t="str">
        <f t="shared" si="15"/>
        <v/>
      </c>
      <c r="C412" s="41"/>
      <c r="D412" s="41"/>
      <c r="E412" s="41"/>
      <c r="F412" s="41"/>
      <c r="G412" s="41"/>
      <c r="H412" s="41"/>
      <c r="I412" s="42"/>
      <c r="J412" s="41"/>
      <c r="K412" s="41"/>
      <c r="L412" s="43"/>
    </row>
    <row r="413" spans="2:12" ht="15.75" hidden="1" outlineLevel="1" thickBot="1">
      <c r="B413" s="40" t="str">
        <f t="shared" si="15"/>
        <v/>
      </c>
      <c r="C413" s="41"/>
      <c r="D413" s="41"/>
      <c r="E413" s="41"/>
      <c r="F413" s="41"/>
      <c r="G413" s="41"/>
      <c r="H413" s="41"/>
      <c r="I413" s="42"/>
      <c r="J413" s="41"/>
      <c r="K413" s="41"/>
      <c r="L413" s="43"/>
    </row>
    <row r="414" spans="2:12" ht="15.75" hidden="1" outlineLevel="1" thickBot="1">
      <c r="B414" s="40" t="str">
        <f t="shared" si="15"/>
        <v/>
      </c>
      <c r="C414" s="41"/>
      <c r="D414" s="41"/>
      <c r="E414" s="41"/>
      <c r="F414" s="41"/>
      <c r="G414" s="41"/>
      <c r="H414" s="41"/>
      <c r="I414" s="42"/>
      <c r="J414" s="41"/>
      <c r="K414" s="41"/>
      <c r="L414" s="43"/>
    </row>
    <row r="415" spans="2:12" ht="15.75" hidden="1" outlineLevel="1" thickBot="1">
      <c r="B415" s="40" t="str">
        <f t="shared" si="15"/>
        <v/>
      </c>
      <c r="C415" s="41"/>
      <c r="D415" s="41"/>
      <c r="E415" s="41"/>
      <c r="F415" s="41"/>
      <c r="G415" s="41"/>
      <c r="H415" s="41"/>
      <c r="I415" s="42"/>
      <c r="J415" s="41"/>
      <c r="K415" s="41"/>
      <c r="L415" s="43"/>
    </row>
    <row r="416" spans="2:12" ht="15.75" hidden="1" outlineLevel="1" thickBot="1">
      <c r="B416" s="40" t="str">
        <f t="shared" si="15"/>
        <v/>
      </c>
      <c r="C416" s="41"/>
      <c r="D416" s="41"/>
      <c r="E416" s="41"/>
      <c r="F416" s="41"/>
      <c r="G416" s="41"/>
      <c r="H416" s="41"/>
      <c r="I416" s="42"/>
      <c r="J416" s="41"/>
      <c r="K416" s="41"/>
      <c r="L416" s="43"/>
    </row>
    <row r="417" spans="2:12" ht="15.75" hidden="1" outlineLevel="1" thickBot="1">
      <c r="B417" s="40" t="str">
        <f t="shared" si="15"/>
        <v/>
      </c>
      <c r="C417" s="41"/>
      <c r="D417" s="41"/>
      <c r="E417" s="41"/>
      <c r="F417" s="41"/>
      <c r="G417" s="41"/>
      <c r="H417" s="41"/>
      <c r="I417" s="42"/>
      <c r="J417" s="41"/>
      <c r="K417" s="41"/>
      <c r="L417" s="43"/>
    </row>
    <row r="418" spans="2:12" ht="15.75" hidden="1" outlineLevel="1" thickBot="1">
      <c r="B418" s="40" t="str">
        <f t="shared" si="15"/>
        <v/>
      </c>
      <c r="C418" s="41"/>
      <c r="D418" s="41"/>
      <c r="E418" s="41"/>
      <c r="F418" s="41"/>
      <c r="G418" s="41"/>
      <c r="H418" s="41"/>
      <c r="I418" s="42"/>
      <c r="J418" s="41"/>
      <c r="K418" s="41"/>
      <c r="L418" s="43"/>
    </row>
    <row r="419" spans="2:12" ht="15.75" hidden="1" outlineLevel="1" thickBot="1">
      <c r="B419" s="40" t="str">
        <f t="shared" ref="B419:B452" si="16">IF(C419="","",(B418+1))</f>
        <v/>
      </c>
      <c r="C419" s="41"/>
      <c r="D419" s="41"/>
      <c r="E419" s="41"/>
      <c r="F419" s="41"/>
      <c r="G419" s="41"/>
      <c r="H419" s="41"/>
      <c r="I419" s="42"/>
      <c r="J419" s="41"/>
      <c r="K419" s="41"/>
      <c r="L419" s="43"/>
    </row>
    <row r="420" spans="2:12" ht="15.75" hidden="1" outlineLevel="1" thickBot="1">
      <c r="B420" s="40" t="str">
        <f t="shared" si="16"/>
        <v/>
      </c>
      <c r="C420" s="41"/>
      <c r="D420" s="41"/>
      <c r="E420" s="41"/>
      <c r="F420" s="41"/>
      <c r="G420" s="41"/>
      <c r="H420" s="41"/>
      <c r="I420" s="42"/>
      <c r="J420" s="41"/>
      <c r="K420" s="41"/>
      <c r="L420" s="43"/>
    </row>
    <row r="421" spans="2:12" ht="15.75" hidden="1" outlineLevel="1" thickBot="1">
      <c r="B421" s="40" t="str">
        <f t="shared" si="16"/>
        <v/>
      </c>
      <c r="C421" s="41"/>
      <c r="D421" s="41"/>
      <c r="E421" s="41"/>
      <c r="F421" s="41"/>
      <c r="G421" s="41"/>
      <c r="H421" s="41"/>
      <c r="I421" s="42"/>
      <c r="J421" s="41"/>
      <c r="K421" s="41"/>
      <c r="L421" s="43"/>
    </row>
    <row r="422" spans="2:12" ht="15.75" hidden="1" outlineLevel="1" thickBot="1">
      <c r="B422" s="40" t="str">
        <f t="shared" si="16"/>
        <v/>
      </c>
      <c r="C422" s="41"/>
      <c r="D422" s="41"/>
      <c r="E422" s="41"/>
      <c r="F422" s="41"/>
      <c r="G422" s="41"/>
      <c r="H422" s="41"/>
      <c r="I422" s="42"/>
      <c r="J422" s="41"/>
      <c r="K422" s="41"/>
      <c r="L422" s="43"/>
    </row>
    <row r="423" spans="2:12" ht="15.75" hidden="1" outlineLevel="1" thickBot="1">
      <c r="B423" s="40" t="str">
        <f t="shared" si="16"/>
        <v/>
      </c>
      <c r="C423" s="41"/>
      <c r="D423" s="41"/>
      <c r="E423" s="41"/>
      <c r="F423" s="41"/>
      <c r="G423" s="41"/>
      <c r="H423" s="41"/>
      <c r="I423" s="42"/>
      <c r="J423" s="41"/>
      <c r="K423" s="41"/>
      <c r="L423" s="43"/>
    </row>
    <row r="424" spans="2:12" ht="15.75" hidden="1" outlineLevel="1" thickBot="1">
      <c r="B424" s="40" t="str">
        <f t="shared" si="16"/>
        <v/>
      </c>
      <c r="C424" s="41"/>
      <c r="D424" s="41"/>
      <c r="E424" s="41"/>
      <c r="F424" s="41"/>
      <c r="G424" s="41"/>
      <c r="H424" s="41"/>
      <c r="I424" s="42"/>
      <c r="J424" s="41"/>
      <c r="K424" s="41"/>
      <c r="L424" s="43"/>
    </row>
    <row r="425" spans="2:12" ht="15.75" hidden="1" outlineLevel="1" thickBot="1">
      <c r="B425" s="40" t="str">
        <f t="shared" si="16"/>
        <v/>
      </c>
      <c r="C425" s="41"/>
      <c r="D425" s="41"/>
      <c r="E425" s="41"/>
      <c r="F425" s="41"/>
      <c r="G425" s="41"/>
      <c r="H425" s="41"/>
      <c r="I425" s="42"/>
      <c r="J425" s="41"/>
      <c r="K425" s="41"/>
      <c r="L425" s="43"/>
    </row>
    <row r="426" spans="2:12" ht="15.75" hidden="1" outlineLevel="1" thickBot="1">
      <c r="B426" s="40" t="str">
        <f t="shared" si="16"/>
        <v/>
      </c>
      <c r="C426" s="41"/>
      <c r="D426" s="41"/>
      <c r="E426" s="41"/>
      <c r="F426" s="41"/>
      <c r="G426" s="41"/>
      <c r="H426" s="41"/>
      <c r="I426" s="42"/>
      <c r="J426" s="41"/>
      <c r="K426" s="41"/>
      <c r="L426" s="43"/>
    </row>
    <row r="427" spans="2:12" ht="15.75" hidden="1" outlineLevel="1" thickBot="1">
      <c r="B427" s="40" t="str">
        <f t="shared" si="16"/>
        <v/>
      </c>
      <c r="C427" s="41"/>
      <c r="D427" s="41"/>
      <c r="E427" s="41"/>
      <c r="F427" s="41"/>
      <c r="G427" s="41"/>
      <c r="H427" s="41"/>
      <c r="I427" s="42"/>
      <c r="J427" s="41"/>
      <c r="K427" s="41"/>
      <c r="L427" s="43"/>
    </row>
    <row r="428" spans="2:12" ht="15.75" hidden="1" outlineLevel="1" thickBot="1">
      <c r="B428" s="40" t="str">
        <f t="shared" si="16"/>
        <v/>
      </c>
      <c r="C428" s="41"/>
      <c r="D428" s="41"/>
      <c r="E428" s="41"/>
      <c r="F428" s="41"/>
      <c r="G428" s="41"/>
      <c r="H428" s="41"/>
      <c r="I428" s="42"/>
      <c r="J428" s="41"/>
      <c r="K428" s="41"/>
      <c r="L428" s="43"/>
    </row>
    <row r="429" spans="2:12" ht="15.75" hidden="1" outlineLevel="1" thickBot="1">
      <c r="B429" s="40" t="str">
        <f t="shared" si="16"/>
        <v/>
      </c>
      <c r="C429" s="41"/>
      <c r="D429" s="41"/>
      <c r="E429" s="41"/>
      <c r="F429" s="41"/>
      <c r="G429" s="41"/>
      <c r="H429" s="41"/>
      <c r="I429" s="42"/>
      <c r="J429" s="41"/>
      <c r="K429" s="41"/>
      <c r="L429" s="43"/>
    </row>
    <row r="430" spans="2:12" ht="15.75" hidden="1" outlineLevel="1" thickBot="1">
      <c r="B430" s="40" t="str">
        <f t="shared" si="16"/>
        <v/>
      </c>
      <c r="C430" s="41"/>
      <c r="D430" s="41"/>
      <c r="E430" s="41"/>
      <c r="F430" s="41"/>
      <c r="G430" s="41"/>
      <c r="H430" s="41"/>
      <c r="I430" s="42"/>
      <c r="J430" s="41"/>
      <c r="K430" s="41"/>
      <c r="L430" s="43"/>
    </row>
    <row r="431" spans="2:12" ht="15.75" hidden="1" outlineLevel="1" thickBot="1">
      <c r="B431" s="40" t="str">
        <f t="shared" si="16"/>
        <v/>
      </c>
      <c r="C431" s="41"/>
      <c r="D431" s="41"/>
      <c r="E431" s="41"/>
      <c r="F431" s="41"/>
      <c r="G431" s="41"/>
      <c r="H431" s="41"/>
      <c r="I431" s="42"/>
      <c r="J431" s="41"/>
      <c r="K431" s="41"/>
      <c r="L431" s="43"/>
    </row>
    <row r="432" spans="2:12" ht="15.75" hidden="1" outlineLevel="1" thickBot="1">
      <c r="B432" s="40" t="str">
        <f t="shared" si="16"/>
        <v/>
      </c>
      <c r="C432" s="41"/>
      <c r="D432" s="41"/>
      <c r="E432" s="41"/>
      <c r="F432" s="41"/>
      <c r="G432" s="41"/>
      <c r="H432" s="41"/>
      <c r="I432" s="42"/>
      <c r="J432" s="41"/>
      <c r="K432" s="41"/>
      <c r="L432" s="43"/>
    </row>
    <row r="433" spans="2:12" ht="15.75" hidden="1" outlineLevel="1" thickBot="1">
      <c r="B433" s="40" t="str">
        <f t="shared" si="16"/>
        <v/>
      </c>
      <c r="C433" s="41"/>
      <c r="D433" s="41"/>
      <c r="E433" s="41"/>
      <c r="F433" s="41"/>
      <c r="G433" s="41"/>
      <c r="H433" s="41"/>
      <c r="I433" s="42"/>
      <c r="J433" s="41"/>
      <c r="K433" s="41"/>
      <c r="L433" s="43"/>
    </row>
    <row r="434" spans="2:12" ht="15.75" hidden="1" outlineLevel="1" thickBot="1">
      <c r="B434" s="40" t="str">
        <f t="shared" si="16"/>
        <v/>
      </c>
      <c r="C434" s="41"/>
      <c r="D434" s="41"/>
      <c r="E434" s="41"/>
      <c r="F434" s="41"/>
      <c r="G434" s="41"/>
      <c r="H434" s="41"/>
      <c r="I434" s="42"/>
      <c r="J434" s="41"/>
      <c r="K434" s="41"/>
      <c r="L434" s="43"/>
    </row>
    <row r="435" spans="2:12" ht="15.75" hidden="1" outlineLevel="1" thickBot="1">
      <c r="B435" s="40" t="str">
        <f t="shared" si="16"/>
        <v/>
      </c>
      <c r="C435" s="41"/>
      <c r="D435" s="41"/>
      <c r="E435" s="41"/>
      <c r="F435" s="41"/>
      <c r="G435" s="41"/>
      <c r="H435" s="41"/>
      <c r="I435" s="42"/>
      <c r="J435" s="41"/>
      <c r="K435" s="41"/>
      <c r="L435" s="43"/>
    </row>
    <row r="436" spans="2:12" ht="15.75" hidden="1" outlineLevel="1" thickBot="1">
      <c r="B436" s="40" t="str">
        <f t="shared" si="16"/>
        <v/>
      </c>
      <c r="C436" s="41"/>
      <c r="D436" s="41"/>
      <c r="E436" s="41"/>
      <c r="F436" s="41"/>
      <c r="G436" s="41"/>
      <c r="H436" s="41"/>
      <c r="I436" s="42"/>
      <c r="J436" s="41"/>
      <c r="K436" s="41"/>
      <c r="L436" s="43"/>
    </row>
    <row r="437" spans="2:12" ht="15.75" hidden="1" outlineLevel="1" thickBot="1">
      <c r="B437" s="40" t="str">
        <f t="shared" si="16"/>
        <v/>
      </c>
      <c r="C437" s="41"/>
      <c r="D437" s="41"/>
      <c r="E437" s="41"/>
      <c r="F437" s="41"/>
      <c r="G437" s="41"/>
      <c r="H437" s="41"/>
      <c r="I437" s="42"/>
      <c r="J437" s="41"/>
      <c r="K437" s="41"/>
      <c r="L437" s="43"/>
    </row>
    <row r="438" spans="2:12" ht="15.75" hidden="1" outlineLevel="1" thickBot="1">
      <c r="B438" s="40" t="str">
        <f t="shared" si="16"/>
        <v/>
      </c>
      <c r="C438" s="41"/>
      <c r="D438" s="41"/>
      <c r="E438" s="41"/>
      <c r="F438" s="41"/>
      <c r="G438" s="41"/>
      <c r="H438" s="41"/>
      <c r="I438" s="42"/>
      <c r="J438" s="41"/>
      <c r="K438" s="41"/>
      <c r="L438" s="43"/>
    </row>
    <row r="439" spans="2:12" ht="15.75" hidden="1" outlineLevel="1" thickBot="1">
      <c r="B439" s="40" t="str">
        <f t="shared" si="16"/>
        <v/>
      </c>
      <c r="C439" s="41"/>
      <c r="D439" s="41"/>
      <c r="E439" s="41"/>
      <c r="F439" s="41"/>
      <c r="G439" s="41"/>
      <c r="H439" s="41"/>
      <c r="I439" s="42"/>
      <c r="J439" s="41"/>
      <c r="K439" s="41"/>
      <c r="L439" s="43"/>
    </row>
    <row r="440" spans="2:12" ht="15.75" hidden="1" outlineLevel="1" thickBot="1">
      <c r="B440" s="40" t="str">
        <f t="shared" si="16"/>
        <v/>
      </c>
      <c r="C440" s="41"/>
      <c r="D440" s="41"/>
      <c r="E440" s="41"/>
      <c r="F440" s="41"/>
      <c r="G440" s="41"/>
      <c r="H440" s="41"/>
      <c r="I440" s="42"/>
      <c r="J440" s="41"/>
      <c r="K440" s="41"/>
      <c r="L440" s="43"/>
    </row>
    <row r="441" spans="2:12" ht="15.75" hidden="1" outlineLevel="1" thickBot="1">
      <c r="B441" s="40" t="str">
        <f t="shared" si="16"/>
        <v/>
      </c>
      <c r="C441" s="41"/>
      <c r="D441" s="41"/>
      <c r="E441" s="41"/>
      <c r="F441" s="41"/>
      <c r="G441" s="41"/>
      <c r="H441" s="41"/>
      <c r="I441" s="42"/>
      <c r="J441" s="41"/>
      <c r="K441" s="41"/>
      <c r="L441" s="43"/>
    </row>
    <row r="442" spans="2:12" ht="15.75" hidden="1" outlineLevel="1" thickBot="1">
      <c r="B442" s="40" t="str">
        <f t="shared" si="16"/>
        <v/>
      </c>
      <c r="C442" s="41"/>
      <c r="D442" s="41"/>
      <c r="E442" s="41"/>
      <c r="F442" s="41"/>
      <c r="G442" s="41"/>
      <c r="H442" s="41"/>
      <c r="I442" s="42"/>
      <c r="J442" s="41"/>
      <c r="K442" s="41"/>
      <c r="L442" s="43"/>
    </row>
    <row r="443" spans="2:12" ht="15.75" hidden="1" outlineLevel="1" thickBot="1">
      <c r="B443" s="40" t="str">
        <f t="shared" si="16"/>
        <v/>
      </c>
      <c r="C443" s="41"/>
      <c r="D443" s="41"/>
      <c r="E443" s="41"/>
      <c r="F443" s="41"/>
      <c r="G443" s="41"/>
      <c r="H443" s="41"/>
      <c r="I443" s="42"/>
      <c r="J443" s="41"/>
      <c r="K443" s="41"/>
      <c r="L443" s="43"/>
    </row>
    <row r="444" spans="2:12" ht="15.75" hidden="1" outlineLevel="1" thickBot="1">
      <c r="B444" s="40" t="str">
        <f t="shared" si="16"/>
        <v/>
      </c>
      <c r="C444" s="41"/>
      <c r="D444" s="41"/>
      <c r="E444" s="41"/>
      <c r="F444" s="41"/>
      <c r="G444" s="41"/>
      <c r="H444" s="41"/>
      <c r="I444" s="42"/>
      <c r="J444" s="41"/>
      <c r="K444" s="41"/>
      <c r="L444" s="43"/>
    </row>
    <row r="445" spans="2:12" ht="15.75" hidden="1" outlineLevel="1" thickBot="1">
      <c r="B445" s="40" t="str">
        <f t="shared" si="16"/>
        <v/>
      </c>
      <c r="C445" s="41"/>
      <c r="D445" s="41"/>
      <c r="E445" s="41"/>
      <c r="F445" s="41"/>
      <c r="G445" s="41"/>
      <c r="H445" s="41"/>
      <c r="I445" s="42"/>
      <c r="J445" s="41"/>
      <c r="K445" s="41"/>
      <c r="L445" s="43"/>
    </row>
    <row r="446" spans="2:12" ht="15.75" hidden="1" outlineLevel="1" thickBot="1">
      <c r="B446" s="40" t="str">
        <f t="shared" si="16"/>
        <v/>
      </c>
      <c r="C446" s="41"/>
      <c r="D446" s="41"/>
      <c r="E446" s="41"/>
      <c r="F446" s="41"/>
      <c r="G446" s="41"/>
      <c r="H446" s="41"/>
      <c r="I446" s="42"/>
      <c r="J446" s="41"/>
      <c r="K446" s="41"/>
      <c r="L446" s="43"/>
    </row>
    <row r="447" spans="2:12" ht="15.75" hidden="1" outlineLevel="1" thickBot="1">
      <c r="B447" s="40" t="str">
        <f t="shared" si="16"/>
        <v/>
      </c>
      <c r="C447" s="41"/>
      <c r="D447" s="41"/>
      <c r="E447" s="41"/>
      <c r="F447" s="41"/>
      <c r="G447" s="41"/>
      <c r="H447" s="41"/>
      <c r="I447" s="42"/>
      <c r="J447" s="41"/>
      <c r="K447" s="41"/>
      <c r="L447" s="43"/>
    </row>
    <row r="448" spans="2:12" ht="15.75" hidden="1" outlineLevel="1" thickBot="1">
      <c r="B448" s="40" t="str">
        <f t="shared" si="16"/>
        <v/>
      </c>
      <c r="C448" s="41"/>
      <c r="D448" s="41"/>
      <c r="E448" s="41"/>
      <c r="F448" s="41"/>
      <c r="G448" s="41"/>
      <c r="H448" s="41"/>
      <c r="I448" s="42"/>
      <c r="J448" s="41"/>
      <c r="K448" s="41"/>
      <c r="L448" s="43"/>
    </row>
    <row r="449" spans="2:12" ht="15.75" hidden="1" outlineLevel="1" thickBot="1">
      <c r="B449" s="40" t="str">
        <f t="shared" si="16"/>
        <v/>
      </c>
      <c r="C449" s="41"/>
      <c r="D449" s="41"/>
      <c r="E449" s="41"/>
      <c r="F449" s="41"/>
      <c r="G449" s="41"/>
      <c r="H449" s="41"/>
      <c r="I449" s="42"/>
      <c r="J449" s="41"/>
      <c r="K449" s="41"/>
      <c r="L449" s="43"/>
    </row>
    <row r="450" spans="2:12" ht="15.75" hidden="1" outlineLevel="1" thickBot="1">
      <c r="B450" s="40" t="str">
        <f t="shared" si="16"/>
        <v/>
      </c>
      <c r="C450" s="41"/>
      <c r="D450" s="41"/>
      <c r="E450" s="41"/>
      <c r="F450" s="41"/>
      <c r="G450" s="41"/>
      <c r="H450" s="41"/>
      <c r="I450" s="42"/>
      <c r="J450" s="41"/>
      <c r="K450" s="41"/>
      <c r="L450" s="43"/>
    </row>
    <row r="451" spans="2:12" ht="15.75" hidden="1" outlineLevel="1" thickBot="1">
      <c r="B451" s="35" t="str">
        <f t="shared" si="16"/>
        <v/>
      </c>
      <c r="C451" s="41"/>
      <c r="D451" s="1"/>
      <c r="E451" s="1"/>
      <c r="F451" s="1"/>
      <c r="G451" s="1"/>
      <c r="H451" s="1"/>
      <c r="I451" s="36"/>
      <c r="J451" s="1"/>
      <c r="K451" s="1"/>
      <c r="L451" s="2"/>
    </row>
    <row r="452" spans="2:12" ht="15.75" hidden="1" outlineLevel="1" thickBot="1">
      <c r="B452" s="37" t="str">
        <f t="shared" si="16"/>
        <v/>
      </c>
      <c r="C452" s="38"/>
      <c r="D452" s="38"/>
      <c r="E452" s="38"/>
      <c r="F452" s="38"/>
      <c r="G452" s="38"/>
      <c r="H452" s="38"/>
      <c r="I452" s="38"/>
      <c r="J452" s="38"/>
      <c r="K452" s="38"/>
      <c r="L452" s="39"/>
    </row>
    <row r="453" spans="2:12" ht="24" customHeight="1" collapsed="1" thickBot="1">
      <c r="B453" s="320" t="s">
        <v>59</v>
      </c>
      <c r="C453" s="321"/>
      <c r="D453" s="321"/>
      <c r="E453" s="321"/>
      <c r="F453" s="321"/>
      <c r="G453" s="321"/>
      <c r="H453" s="321"/>
      <c r="I453" s="321"/>
      <c r="J453" s="321"/>
      <c r="K453" s="321"/>
      <c r="L453" s="322"/>
    </row>
    <row r="454" spans="2:12" ht="24" customHeight="1" thickBot="1">
      <c r="B454" s="26" t="s">
        <v>49</v>
      </c>
      <c r="C454" s="27" t="s">
        <v>60</v>
      </c>
      <c r="D454" s="27" t="s">
        <v>62</v>
      </c>
      <c r="E454" s="27" t="s">
        <v>63</v>
      </c>
      <c r="F454" s="27" t="s">
        <v>64</v>
      </c>
      <c r="G454" s="27" t="s">
        <v>65</v>
      </c>
      <c r="H454" s="27" t="s">
        <v>66</v>
      </c>
      <c r="I454" s="27" t="s">
        <v>67</v>
      </c>
      <c r="J454" s="27" t="s">
        <v>6</v>
      </c>
      <c r="K454" s="27" t="s">
        <v>7</v>
      </c>
      <c r="L454" s="28" t="s">
        <v>68</v>
      </c>
    </row>
    <row r="455" spans="2:12">
      <c r="B455" s="46" t="s">
        <v>8</v>
      </c>
      <c r="C455" s="41">
        <f>COUNTIFS(B353:B452,"&gt;"&amp;0,C353:C452,"="&amp;B455)</f>
        <v>0</v>
      </c>
      <c r="D455" s="41">
        <f>COUNTIFS(B353:B452,"&gt;="&amp;1,C353:C452,B455,K353:K452,"&gt;="&amp;0,K353:K452,"&lt;"&amp;50)</f>
        <v>0</v>
      </c>
      <c r="E455" s="41">
        <f>COUNTIFS(B353:B452,"&gt;="&amp;1,C353:C452,B455,K353:K452,"&gt;="&amp;50,K353:K452,"&lt;"&amp;500)</f>
        <v>0</v>
      </c>
      <c r="F455" s="41">
        <f>COUNTIFS(B353:B452,"&gt;="&amp;1,C353:C452,B455,K353:K452,"&gt;="&amp;500)</f>
        <v>0</v>
      </c>
      <c r="G455" s="41">
        <f>COUNTIFS(B353:B452,"&gt;="&amp;1,C353:C452,B455,K353:K452,"&gt;="&amp;0,I353:I452,"&gt;"&amp;DATE(2021,1,1))</f>
        <v>0</v>
      </c>
      <c r="H455" s="47" t="str">
        <f>IF(G455=0,"-",(SUM(E455,F455)/G455))</f>
        <v>-</v>
      </c>
      <c r="I455" s="41">
        <f>IF((COUNTIFS(B353:B452,"&gt;="&amp;1,C353:C452,"="&amp;B455))&gt;228,228,(COUNTIFS(B353:B452,"&gt;="&amp;1,C353:C452,"="&amp;B455)))</f>
        <v>0</v>
      </c>
      <c r="J455" s="47" t="str">
        <f>IF(I455=0,"-",(COUNTIFS(C353:C452,"="&amp;B455,I353:I452,"&lt;="&amp;DATE(2024,12,31),K353:K452,"&gt;="&amp;0)/I455))</f>
        <v>-</v>
      </c>
      <c r="K455" s="47" t="str">
        <f>IF(I455=0,"-",IF(J455=1,"-",(COUNTIFS(B353:B452,"&gt;"&amp;0,C353:C452,"="&amp;B455,I353:I452,"&gt;"&amp;DATE(2024,12,31),K353:K452,"&gt;="&amp;0)/(I455-COUNTIFS(B353:B452,"&gt;"&amp;0,C353:C452,"="&amp;B455,I353:I452,"&lt;="&amp;DATE(2024,12,31),K353:K452,"&gt;="&amp;0)))))</f>
        <v>-</v>
      </c>
      <c r="L455" s="48" t="str">
        <f>IF(I455=0,"-",G455/I455)</f>
        <v>-</v>
      </c>
    </row>
    <row r="456" spans="2:12">
      <c r="B456" s="7" t="s">
        <v>9</v>
      </c>
      <c r="C456" s="1">
        <f>COUNTIFS(B353:B452,"&gt;"&amp;0,C353:C452,"="&amp;B456)</f>
        <v>0</v>
      </c>
      <c r="D456" s="1">
        <f>COUNTIFS(B353:B452,"&gt;="&amp;1,C353:C452,B456,K353:K452,"&gt;="&amp;0,K353:K452,"&lt;"&amp;50)</f>
        <v>0</v>
      </c>
      <c r="E456" s="1">
        <f>COUNTIFS(B353:B452,"&gt;="&amp;1,C353:C452,B456,K353:K452,"&gt;="&amp;50,K353:K452,"&lt;"&amp;500)</f>
        <v>0</v>
      </c>
      <c r="F456" s="1">
        <f>COUNTIFS(B353:B452,"&gt;="&amp;1,C353:C452,B456,K353:K452,"&gt;="&amp;500)</f>
        <v>0</v>
      </c>
      <c r="G456" s="1">
        <f>COUNTIFS(B353:B452,"&gt;="&amp;1,C353:C452,B456,K353:K452,"&gt;="&amp;0,I353:I452,"&gt;"&amp;DATE(2021,1,1))</f>
        <v>0</v>
      </c>
      <c r="H456" s="44" t="str">
        <f t="shared" ref="H456:H458" si="17">IF(G456=0,"-",(SUM(E456,F456)/G456))</f>
        <v>-</v>
      </c>
      <c r="I456" s="1">
        <f>IF((COUNTIFS(B353:B452,"&gt;="&amp;1,C353:C452,"="&amp;B456))&gt;228,228,(COUNTIFS(B353:B452,"&gt;="&amp;1,C353:C452,"="&amp;B456)))</f>
        <v>0</v>
      </c>
      <c r="J456" s="44" t="str">
        <f>IF(I456=0,"-",(COUNTIFS(C353:C452,"="&amp;B456,I353:I452,"&lt;="&amp;DATE(2024,12,31),K353:K452,"&gt;="&amp;0)/I456))</f>
        <v>-</v>
      </c>
      <c r="K456" s="47" t="str">
        <f>IF(I456=0,"-",IF(J456=1,"-",(COUNTIFS(B353:B452,"&gt;"&amp;0,C353:C452,"="&amp;B456,I353:I452,"&gt;"&amp;DATE(2024,12,31),K353:K452,"&gt;="&amp;0)/(I456-COUNTIFS(B353:B452,"&gt;"&amp;0,C353:C452,"="&amp;B456,I353:I452,"&lt;="&amp;DATE(2024,12,31),K353:K452,"&gt;="&amp;0)))))</f>
        <v>-</v>
      </c>
      <c r="L456" s="45" t="str">
        <f t="shared" ref="L456:L458" si="18">IF(I456=0,"-",G456/I456)</f>
        <v>-</v>
      </c>
    </row>
    <row r="457" spans="2:12">
      <c r="B457" s="7" t="s">
        <v>69</v>
      </c>
      <c r="C457" s="1">
        <f>COUNTIFS(B353:B452,"&gt;"&amp;0,C353:C452,"="&amp;B457)</f>
        <v>0</v>
      </c>
      <c r="D457" s="1">
        <f>COUNTIFS(B353:B452,"&gt;="&amp;1,C353:C452,B457,K353:K452,"&gt;="&amp;0,K353:K452,"&lt;"&amp;50)</f>
        <v>0</v>
      </c>
      <c r="E457" s="1">
        <f>COUNTIFS(B353:B452,"&gt;="&amp;1,C353:C452,B457,K353:K452,"&gt;="&amp;50,K353:K452,"&lt;"&amp;500)</f>
        <v>0</v>
      </c>
      <c r="F457" s="1">
        <f>COUNTIFS(B353:B451,"&gt;="&amp;1,C353:C451,B457,K353:K451,"&gt;="&amp;500)</f>
        <v>0</v>
      </c>
      <c r="G457" s="1">
        <f>COUNTIFS(B353:B452,"&gt;="&amp;1,C353:C452,B457,K353:K452,"&gt;="&amp;0,I353:I452,"&gt;"&amp;DATE(2021,1,1))</f>
        <v>0</v>
      </c>
      <c r="H457" s="44" t="str">
        <f t="shared" si="17"/>
        <v>-</v>
      </c>
      <c r="I457" s="1">
        <f>IF((COUNTIFS(B353:B451,"&gt;="&amp;1,C353:C451,"="&amp;B457))&gt;228,228,(COUNTIFS(B353:B451,"&gt;="&amp;1,C353:C451,"="&amp;B457)))</f>
        <v>0</v>
      </c>
      <c r="J457" s="44" t="str">
        <f>IF(I457=0,"-",(COUNTIFS(C353:C452,"="&amp;B457,I353:I452,"&lt;="&amp;DATE(2024,12,31),K353:K452,"&gt;="&amp;0)/I457))</f>
        <v>-</v>
      </c>
      <c r="K457" s="47" t="str">
        <f>IF(I457=0,"-",IF(J457=1,"-",(COUNTIFS(B353:B452,"&gt;"&amp;0,C353:C452,"="&amp;B457,I353:I452,"&gt;"&amp;DATE(2024,12,31),K353:K452,"&gt;="&amp;0)/(I457-COUNTIFS(B353:B452,"&gt;"&amp;0,C353:C452,"="&amp;B457,I353:I452,"&lt;="&amp;DATE(2024,12,31),K353:K452,"&gt;="&amp;0)))))</f>
        <v>-</v>
      </c>
      <c r="L457" s="45" t="str">
        <f t="shared" si="18"/>
        <v>-</v>
      </c>
    </row>
    <row r="458" spans="2:12" ht="24" customHeight="1" thickBot="1">
      <c r="B458" s="49" t="s">
        <v>59</v>
      </c>
      <c r="C458" s="50">
        <f>SUM(C455:C457)</f>
        <v>0</v>
      </c>
      <c r="D458" s="50">
        <f>SUM(D455:D457)</f>
        <v>0</v>
      </c>
      <c r="E458" s="50">
        <f>SUM(E455:E457)</f>
        <v>0</v>
      </c>
      <c r="F458" s="50">
        <f>SUM(F455:F457)</f>
        <v>0</v>
      </c>
      <c r="G458" s="50">
        <f>SUM(G455:G457)</f>
        <v>0</v>
      </c>
      <c r="H458" s="51" t="str">
        <f t="shared" si="17"/>
        <v>-</v>
      </c>
      <c r="I458" s="50">
        <f>SUM(I455:I457)</f>
        <v>0</v>
      </c>
      <c r="J458" s="51" t="str">
        <f>IF(I458=0,"-",(COUNTIFS(I353:I452,"&lt;="&amp;DATE(2024,12,31),K353:K452,"&gt;="&amp;0)/I458))</f>
        <v>-</v>
      </c>
      <c r="K458" s="51" t="str">
        <f>IF(I458=0,"-",IF(J458=1,"-",(COUNTIFS(B353:B452,"&gt;"&amp;0,I353:I452,"&gt;"&amp;DATE(2024,12,31),K353:K452,"&gt;="&amp;0)/(I458-COUNTIFS(B353:B452,"&gt;"&amp;0,I353:I452,"&lt;="&amp;DATE(2024,12,31),K353:K452,"&gt;="&amp;0)))))</f>
        <v>-</v>
      </c>
      <c r="L458" s="52" t="str">
        <f t="shared" si="18"/>
        <v>-</v>
      </c>
    </row>
    <row r="460" spans="2:12" ht="15.75" thickBot="1"/>
    <row r="461" spans="2:12" ht="33.75" customHeight="1" thickBot="1">
      <c r="B461" s="320" t="str">
        <f>_xlfn.CONCAT("Transformadores de Distribuição - TD's",TEXT(IF(SUM(I1382:I1385)=0," ",(SUM(G1382:G1385)/SUM(I1382:I1385))), " 0,00%"))</f>
        <v>Transformadores de Distribuição - TD's 65,46%</v>
      </c>
      <c r="C461" s="321"/>
      <c r="D461" s="321"/>
      <c r="E461" s="321"/>
      <c r="F461" s="321"/>
      <c r="G461" s="321"/>
      <c r="H461" s="321"/>
      <c r="I461" s="321"/>
      <c r="J461" s="321"/>
      <c r="K461" s="321"/>
      <c r="L461" s="322"/>
    </row>
    <row r="462" spans="2:12" ht="27.75" customHeight="1" thickBot="1">
      <c r="B462" s="26" t="s">
        <v>48</v>
      </c>
      <c r="C462" s="27" t="s">
        <v>49</v>
      </c>
      <c r="D462" s="27" t="s">
        <v>50</v>
      </c>
      <c r="E462" s="27" t="s">
        <v>51</v>
      </c>
      <c r="F462" s="27" t="s">
        <v>52</v>
      </c>
      <c r="G462" s="27" t="s">
        <v>53</v>
      </c>
      <c r="H462" s="27" t="s">
        <v>54</v>
      </c>
      <c r="I462" s="27" t="s">
        <v>55</v>
      </c>
      <c r="J462" s="27" t="s">
        <v>56</v>
      </c>
      <c r="K462" s="27" t="s">
        <v>57</v>
      </c>
      <c r="L462" s="28" t="s">
        <v>58</v>
      </c>
    </row>
    <row r="463" spans="2:12" outlineLevel="2">
      <c r="B463" s="40">
        <f>ROW(A1)</f>
        <v>1</v>
      </c>
      <c r="C463" s="41" t="s">
        <v>8</v>
      </c>
      <c r="D463" s="41" t="s">
        <v>196</v>
      </c>
      <c r="E463" s="118">
        <v>15816</v>
      </c>
      <c r="F463" s="118"/>
      <c r="G463" s="164">
        <v>29007</v>
      </c>
      <c r="H463" s="41"/>
      <c r="I463" s="212">
        <v>44868</v>
      </c>
      <c r="J463" s="41"/>
      <c r="K463" s="120">
        <v>35</v>
      </c>
      <c r="L463" s="213">
        <v>5269</v>
      </c>
    </row>
    <row r="464" spans="2:12" outlineLevel="2">
      <c r="B464" s="40">
        <f t="shared" ref="B464" si="19">ROW(A2)</f>
        <v>2</v>
      </c>
      <c r="C464" s="41" t="s">
        <v>8</v>
      </c>
      <c r="D464" s="41" t="s">
        <v>196</v>
      </c>
      <c r="E464" s="118">
        <v>8823022</v>
      </c>
      <c r="F464" s="118"/>
      <c r="G464" s="164">
        <v>32234</v>
      </c>
      <c r="H464" s="41"/>
      <c r="I464" s="212">
        <v>44747</v>
      </c>
      <c r="J464" s="41"/>
      <c r="K464" s="120">
        <v>11</v>
      </c>
      <c r="L464" s="213">
        <v>5284</v>
      </c>
    </row>
    <row r="465" spans="2:12" outlineLevel="2">
      <c r="B465" s="40">
        <f t="shared" ref="B465:B528" si="20">ROW(A3)</f>
        <v>3</v>
      </c>
      <c r="C465" s="41" t="s">
        <v>8</v>
      </c>
      <c r="D465" s="41" t="s">
        <v>196</v>
      </c>
      <c r="E465" s="118">
        <v>3027</v>
      </c>
      <c r="F465" s="118"/>
      <c r="G465" s="119">
        <v>32325</v>
      </c>
      <c r="H465" s="41"/>
      <c r="I465" s="212">
        <v>44778</v>
      </c>
      <c r="J465" s="41"/>
      <c r="K465" s="120">
        <v>36</v>
      </c>
      <c r="L465" s="213">
        <v>6284</v>
      </c>
    </row>
    <row r="466" spans="2:12" outlineLevel="2">
      <c r="B466" s="40">
        <f t="shared" si="20"/>
        <v>4</v>
      </c>
      <c r="C466" s="41" t="s">
        <v>8</v>
      </c>
      <c r="D466" s="41" t="s">
        <v>196</v>
      </c>
      <c r="E466" s="118">
        <v>33057</v>
      </c>
      <c r="F466" s="118"/>
      <c r="G466" s="119">
        <v>28034</v>
      </c>
      <c r="H466" s="41"/>
      <c r="I466" s="212">
        <v>44866</v>
      </c>
      <c r="J466" s="41"/>
      <c r="K466" s="120">
        <v>29</v>
      </c>
      <c r="L466" s="213">
        <v>6289</v>
      </c>
    </row>
    <row r="467" spans="2:12" outlineLevel="2">
      <c r="B467" s="40">
        <f t="shared" si="20"/>
        <v>5</v>
      </c>
      <c r="C467" s="41" t="s">
        <v>8</v>
      </c>
      <c r="D467" s="41" t="s">
        <v>196</v>
      </c>
      <c r="E467" s="118">
        <v>8822911</v>
      </c>
      <c r="F467" s="118"/>
      <c r="G467" s="119">
        <v>32234</v>
      </c>
      <c r="H467" s="41"/>
      <c r="I467" s="212">
        <v>44866</v>
      </c>
      <c r="J467" s="41"/>
      <c r="K467" s="120">
        <v>48</v>
      </c>
      <c r="L467" s="213">
        <v>6294</v>
      </c>
    </row>
    <row r="468" spans="2:12" outlineLevel="2">
      <c r="B468" s="40">
        <f t="shared" si="20"/>
        <v>6</v>
      </c>
      <c r="C468" s="41" t="s">
        <v>8</v>
      </c>
      <c r="D468" s="41" t="s">
        <v>196</v>
      </c>
      <c r="E468" s="118">
        <v>158835</v>
      </c>
      <c r="F468" s="118"/>
      <c r="G468" s="119">
        <v>31778</v>
      </c>
      <c r="H468" s="41"/>
      <c r="I468" s="212">
        <v>44866</v>
      </c>
      <c r="J468" s="41"/>
      <c r="K468" s="120">
        <v>21</v>
      </c>
      <c r="L468" s="213">
        <v>6301</v>
      </c>
    </row>
    <row r="469" spans="2:12" outlineLevel="2">
      <c r="B469" s="40">
        <f t="shared" si="20"/>
        <v>7</v>
      </c>
      <c r="C469" s="41" t="s">
        <v>8</v>
      </c>
      <c r="D469" s="41" t="s">
        <v>196</v>
      </c>
      <c r="E469" s="118" t="s">
        <v>390</v>
      </c>
      <c r="F469" s="118"/>
      <c r="G469" s="119">
        <v>31472</v>
      </c>
      <c r="H469" s="41"/>
      <c r="I469" s="212">
        <v>44866</v>
      </c>
      <c r="J469" s="41"/>
      <c r="K469" s="120">
        <v>29</v>
      </c>
      <c r="L469" s="213">
        <v>6304</v>
      </c>
    </row>
    <row r="470" spans="2:12" outlineLevel="2">
      <c r="B470" s="40">
        <f t="shared" si="20"/>
        <v>8</v>
      </c>
      <c r="C470" s="41" t="s">
        <v>8</v>
      </c>
      <c r="D470" s="41" t="s">
        <v>196</v>
      </c>
      <c r="E470" s="118" t="s">
        <v>391</v>
      </c>
      <c r="F470" s="118"/>
      <c r="G470" s="119">
        <v>30742</v>
      </c>
      <c r="H470" s="41"/>
      <c r="I470" s="212">
        <v>44865</v>
      </c>
      <c r="J470" s="41"/>
      <c r="K470" s="120">
        <v>31</v>
      </c>
      <c r="L470" s="213">
        <v>6345</v>
      </c>
    </row>
    <row r="471" spans="2:12" outlineLevel="2">
      <c r="B471" s="40">
        <f t="shared" si="20"/>
        <v>9</v>
      </c>
      <c r="C471" s="41" t="s">
        <v>8</v>
      </c>
      <c r="D471" s="41" t="s">
        <v>196</v>
      </c>
      <c r="E471" s="118" t="s">
        <v>392</v>
      </c>
      <c r="F471" s="118"/>
      <c r="G471" s="119">
        <v>30987</v>
      </c>
      <c r="H471" s="41"/>
      <c r="I471" s="212">
        <v>44865</v>
      </c>
      <c r="J471" s="41"/>
      <c r="K471" s="120">
        <v>41</v>
      </c>
      <c r="L471" s="213">
        <v>6374</v>
      </c>
    </row>
    <row r="472" spans="2:12" outlineLevel="2">
      <c r="B472" s="40">
        <f t="shared" si="20"/>
        <v>10</v>
      </c>
      <c r="C472" s="41" t="s">
        <v>8</v>
      </c>
      <c r="D472" s="41" t="s">
        <v>196</v>
      </c>
      <c r="E472" s="209">
        <v>2076</v>
      </c>
      <c r="F472" s="249"/>
      <c r="G472" s="210">
        <v>27546</v>
      </c>
      <c r="H472" s="41"/>
      <c r="I472" s="211">
        <v>44865</v>
      </c>
      <c r="J472" s="41"/>
      <c r="K472" s="214">
        <v>39</v>
      </c>
      <c r="L472" s="213">
        <v>6387</v>
      </c>
    </row>
    <row r="473" spans="2:12" outlineLevel="2">
      <c r="B473" s="40">
        <f t="shared" si="20"/>
        <v>11</v>
      </c>
      <c r="C473" s="41" t="s">
        <v>8</v>
      </c>
      <c r="D473" s="41" t="s">
        <v>196</v>
      </c>
      <c r="E473" s="118">
        <v>8823023</v>
      </c>
      <c r="F473" s="118"/>
      <c r="G473" s="119">
        <v>32234</v>
      </c>
      <c r="H473" s="41"/>
      <c r="I473" s="212">
        <v>44865</v>
      </c>
      <c r="J473" s="41"/>
      <c r="K473" s="120">
        <v>22</v>
      </c>
      <c r="L473" s="213">
        <v>6668</v>
      </c>
    </row>
    <row r="474" spans="2:12" outlineLevel="2">
      <c r="B474" s="40">
        <f t="shared" si="20"/>
        <v>12</v>
      </c>
      <c r="C474" s="41" t="s">
        <v>8</v>
      </c>
      <c r="D474" s="41" t="s">
        <v>196</v>
      </c>
      <c r="E474" s="118" t="s">
        <v>393</v>
      </c>
      <c r="F474" s="118"/>
      <c r="G474" s="119">
        <v>31625</v>
      </c>
      <c r="H474" s="41"/>
      <c r="I474" s="212">
        <v>44753</v>
      </c>
      <c r="J474" s="41"/>
      <c r="K474" s="248" t="s">
        <v>197</v>
      </c>
      <c r="L474" s="213">
        <v>6669</v>
      </c>
    </row>
    <row r="475" spans="2:12" outlineLevel="2">
      <c r="B475" s="40">
        <f t="shared" si="20"/>
        <v>13</v>
      </c>
      <c r="C475" s="41" t="s">
        <v>8</v>
      </c>
      <c r="D475" s="41" t="s">
        <v>196</v>
      </c>
      <c r="E475" s="118">
        <v>2425</v>
      </c>
      <c r="F475" s="118"/>
      <c r="G475" s="119">
        <v>31990</v>
      </c>
      <c r="H475" s="41"/>
      <c r="I475" s="212">
        <v>44793</v>
      </c>
      <c r="J475" s="41"/>
      <c r="K475" s="248" t="s">
        <v>197</v>
      </c>
      <c r="L475" s="213">
        <v>6672</v>
      </c>
    </row>
    <row r="476" spans="2:12" outlineLevel="2">
      <c r="B476" s="40">
        <f t="shared" si="20"/>
        <v>14</v>
      </c>
      <c r="C476" s="41" t="s">
        <v>8</v>
      </c>
      <c r="D476" s="41" t="s">
        <v>196</v>
      </c>
      <c r="E476" s="118">
        <v>8823191</v>
      </c>
      <c r="F476" s="118"/>
      <c r="G476" s="119">
        <v>32234</v>
      </c>
      <c r="H476" s="41"/>
      <c r="I476" s="212">
        <v>44865</v>
      </c>
      <c r="J476" s="41"/>
      <c r="K476" s="120">
        <v>47</v>
      </c>
      <c r="L476" s="213">
        <v>6675</v>
      </c>
    </row>
    <row r="477" spans="2:12" outlineLevel="2">
      <c r="B477" s="40">
        <f t="shared" si="20"/>
        <v>15</v>
      </c>
      <c r="C477" s="41" t="s">
        <v>8</v>
      </c>
      <c r="D477" s="41" t="s">
        <v>196</v>
      </c>
      <c r="E477" s="118" t="s">
        <v>394</v>
      </c>
      <c r="F477" s="118"/>
      <c r="G477" s="164">
        <v>31503</v>
      </c>
      <c r="H477" s="41"/>
      <c r="I477" s="211">
        <v>44750</v>
      </c>
      <c r="J477" s="41"/>
      <c r="K477" s="214">
        <v>17</v>
      </c>
      <c r="L477" s="213">
        <v>6691</v>
      </c>
    </row>
    <row r="478" spans="2:12" outlineLevel="2">
      <c r="B478" s="40">
        <f t="shared" si="20"/>
        <v>16</v>
      </c>
      <c r="C478" s="41" t="s">
        <v>8</v>
      </c>
      <c r="D478" s="41" t="s">
        <v>196</v>
      </c>
      <c r="E478" s="118">
        <v>8823234</v>
      </c>
      <c r="F478" s="118"/>
      <c r="G478" s="164">
        <v>32234</v>
      </c>
      <c r="H478" s="41"/>
      <c r="I478" s="211">
        <v>44862</v>
      </c>
      <c r="J478" s="41"/>
      <c r="K478" s="214">
        <v>49</v>
      </c>
      <c r="L478" s="213">
        <v>6712</v>
      </c>
    </row>
    <row r="479" spans="2:12" outlineLevel="2">
      <c r="B479" s="40">
        <f t="shared" si="20"/>
        <v>17</v>
      </c>
      <c r="C479" s="41" t="s">
        <v>8</v>
      </c>
      <c r="D479" s="41" t="s">
        <v>196</v>
      </c>
      <c r="E479" s="118">
        <v>8840</v>
      </c>
      <c r="F479" s="118"/>
      <c r="G479" s="164">
        <v>31382</v>
      </c>
      <c r="H479" s="41"/>
      <c r="I479" s="212">
        <v>44862</v>
      </c>
      <c r="J479" s="41"/>
      <c r="K479" s="120">
        <v>25</v>
      </c>
      <c r="L479" s="213">
        <v>6744</v>
      </c>
    </row>
    <row r="480" spans="2:12" outlineLevel="2">
      <c r="B480" s="40">
        <f t="shared" si="20"/>
        <v>18</v>
      </c>
      <c r="C480" s="41" t="s">
        <v>8</v>
      </c>
      <c r="D480" s="41" t="s">
        <v>196</v>
      </c>
      <c r="E480" s="118">
        <v>38607</v>
      </c>
      <c r="F480" s="118"/>
      <c r="G480" s="164">
        <v>30225</v>
      </c>
      <c r="H480" s="41"/>
      <c r="I480" s="212">
        <v>44862</v>
      </c>
      <c r="J480" s="41"/>
      <c r="K480" s="120">
        <v>21</v>
      </c>
      <c r="L480" s="213">
        <v>6808</v>
      </c>
    </row>
    <row r="481" spans="2:12" outlineLevel="2">
      <c r="B481" s="40">
        <f t="shared" si="20"/>
        <v>19</v>
      </c>
      <c r="C481" s="41" t="s">
        <v>8</v>
      </c>
      <c r="D481" s="41" t="s">
        <v>196</v>
      </c>
      <c r="E481" s="118" t="s">
        <v>395</v>
      </c>
      <c r="F481" s="118"/>
      <c r="G481" s="164">
        <v>31413</v>
      </c>
      <c r="H481" s="41"/>
      <c r="I481" s="212">
        <v>44804</v>
      </c>
      <c r="J481" s="41"/>
      <c r="K481" s="120">
        <v>22</v>
      </c>
      <c r="L481" s="213">
        <v>6936</v>
      </c>
    </row>
    <row r="482" spans="2:12" outlineLevel="2">
      <c r="B482" s="40">
        <f t="shared" si="20"/>
        <v>20</v>
      </c>
      <c r="C482" s="41" t="s">
        <v>8</v>
      </c>
      <c r="D482" s="41" t="s">
        <v>196</v>
      </c>
      <c r="E482" s="118">
        <v>29543</v>
      </c>
      <c r="F482" s="118"/>
      <c r="G482" s="164">
        <v>29465</v>
      </c>
      <c r="H482" s="41"/>
      <c r="I482" s="212">
        <v>44861</v>
      </c>
      <c r="J482" s="41"/>
      <c r="K482" s="120">
        <v>22</v>
      </c>
      <c r="L482" s="213">
        <v>6961</v>
      </c>
    </row>
    <row r="483" spans="2:12" outlineLevel="2">
      <c r="B483" s="40">
        <f t="shared" si="20"/>
        <v>21</v>
      </c>
      <c r="C483" s="41" t="s">
        <v>8</v>
      </c>
      <c r="D483" s="41" t="s">
        <v>196</v>
      </c>
      <c r="E483" s="118">
        <v>8419443</v>
      </c>
      <c r="F483" s="118"/>
      <c r="G483" s="164">
        <v>30834</v>
      </c>
      <c r="H483" s="41"/>
      <c r="I483" s="212">
        <v>44806</v>
      </c>
      <c r="J483" s="41"/>
      <c r="K483" s="120">
        <v>10</v>
      </c>
      <c r="L483" s="213">
        <v>6969</v>
      </c>
    </row>
    <row r="484" spans="2:12" outlineLevel="2">
      <c r="B484" s="40">
        <f t="shared" si="20"/>
        <v>22</v>
      </c>
      <c r="C484" s="41" t="s">
        <v>8</v>
      </c>
      <c r="D484" s="41" t="s">
        <v>196</v>
      </c>
      <c r="E484" s="118">
        <v>29497</v>
      </c>
      <c r="F484" s="118"/>
      <c r="G484" s="164">
        <v>29465</v>
      </c>
      <c r="H484" s="41"/>
      <c r="I484" s="212">
        <v>44764</v>
      </c>
      <c r="J484" s="41"/>
      <c r="K484" s="120">
        <v>14</v>
      </c>
      <c r="L484" s="213">
        <v>6974</v>
      </c>
    </row>
    <row r="485" spans="2:12" outlineLevel="2">
      <c r="B485" s="40">
        <f t="shared" si="20"/>
        <v>23</v>
      </c>
      <c r="C485" s="41" t="s">
        <v>8</v>
      </c>
      <c r="D485" s="41" t="s">
        <v>196</v>
      </c>
      <c r="E485" s="118">
        <v>49473</v>
      </c>
      <c r="F485" s="118"/>
      <c r="G485" s="119">
        <v>30651</v>
      </c>
      <c r="H485" s="41"/>
      <c r="I485" s="212">
        <v>44860</v>
      </c>
      <c r="J485" s="41"/>
      <c r="K485" s="120">
        <v>40</v>
      </c>
      <c r="L485" s="213">
        <v>7122</v>
      </c>
    </row>
    <row r="486" spans="2:12" outlineLevel="2">
      <c r="B486" s="40">
        <f t="shared" si="20"/>
        <v>24</v>
      </c>
      <c r="C486" s="41" t="s">
        <v>8</v>
      </c>
      <c r="D486" s="41" t="s">
        <v>196</v>
      </c>
      <c r="E486" s="118">
        <v>8823067</v>
      </c>
      <c r="F486" s="118"/>
      <c r="G486" s="119">
        <v>32264</v>
      </c>
      <c r="H486" s="41"/>
      <c r="I486" s="212">
        <v>44860</v>
      </c>
      <c r="J486" s="41"/>
      <c r="K486" s="120">
        <v>44</v>
      </c>
      <c r="L486" s="213">
        <v>7124</v>
      </c>
    </row>
    <row r="487" spans="2:12" outlineLevel="2">
      <c r="B487" s="40">
        <f t="shared" si="20"/>
        <v>25</v>
      </c>
      <c r="C487" s="41" t="s">
        <v>8</v>
      </c>
      <c r="D487" s="41" t="s">
        <v>196</v>
      </c>
      <c r="E487" s="118">
        <v>8823013</v>
      </c>
      <c r="F487" s="118"/>
      <c r="G487" s="119">
        <v>32234</v>
      </c>
      <c r="H487" s="41"/>
      <c r="I487" s="212">
        <v>44859</v>
      </c>
      <c r="J487" s="41"/>
      <c r="K487" s="120">
        <v>45</v>
      </c>
      <c r="L487" s="213">
        <v>7407</v>
      </c>
    </row>
    <row r="488" spans="2:12" outlineLevel="2">
      <c r="B488" s="40">
        <f t="shared" si="20"/>
        <v>26</v>
      </c>
      <c r="C488" s="41" t="s">
        <v>8</v>
      </c>
      <c r="D488" s="41" t="s">
        <v>196</v>
      </c>
      <c r="E488" s="118">
        <v>8645221</v>
      </c>
      <c r="F488" s="118"/>
      <c r="G488" s="119">
        <v>31656</v>
      </c>
      <c r="H488" s="41"/>
      <c r="I488" s="212">
        <v>44859</v>
      </c>
      <c r="J488" s="41"/>
      <c r="K488" s="120">
        <v>27</v>
      </c>
      <c r="L488" s="213">
        <v>7413</v>
      </c>
    </row>
    <row r="489" spans="2:12" outlineLevel="2">
      <c r="B489" s="40">
        <f t="shared" si="20"/>
        <v>27</v>
      </c>
      <c r="C489" s="41" t="s">
        <v>8</v>
      </c>
      <c r="D489" s="41" t="s">
        <v>196</v>
      </c>
      <c r="E489" s="118">
        <v>21625</v>
      </c>
      <c r="F489" s="118"/>
      <c r="G489" s="119">
        <v>30103</v>
      </c>
      <c r="H489" s="41"/>
      <c r="I489" s="212">
        <v>44830</v>
      </c>
      <c r="J489" s="41"/>
      <c r="K489" s="120">
        <v>40</v>
      </c>
      <c r="L489" s="213">
        <v>7968</v>
      </c>
    </row>
    <row r="490" spans="2:12" outlineLevel="2">
      <c r="B490" s="40">
        <f t="shared" si="20"/>
        <v>28</v>
      </c>
      <c r="C490" s="41" t="s">
        <v>8</v>
      </c>
      <c r="D490" s="41" t="s">
        <v>196</v>
      </c>
      <c r="E490" s="118">
        <v>7822559</v>
      </c>
      <c r="F490" s="118"/>
      <c r="G490" s="119">
        <v>31929</v>
      </c>
      <c r="H490" s="41"/>
      <c r="I490" s="212">
        <v>44830</v>
      </c>
      <c r="J490" s="41"/>
      <c r="K490" s="213">
        <v>40</v>
      </c>
      <c r="L490" s="213">
        <v>7997</v>
      </c>
    </row>
    <row r="491" spans="2:12" outlineLevel="2">
      <c r="B491" s="40">
        <f t="shared" si="20"/>
        <v>29</v>
      </c>
      <c r="C491" s="41" t="s">
        <v>8</v>
      </c>
      <c r="D491" s="41" t="s">
        <v>196</v>
      </c>
      <c r="E491" s="118">
        <v>989797</v>
      </c>
      <c r="F491" s="118"/>
      <c r="G491" s="119">
        <v>14032</v>
      </c>
      <c r="H491" s="41"/>
      <c r="I491" s="212">
        <v>44833</v>
      </c>
      <c r="J491" s="41"/>
      <c r="K491" s="120">
        <v>29</v>
      </c>
      <c r="L491" s="213">
        <v>8068</v>
      </c>
    </row>
    <row r="492" spans="2:12" outlineLevel="2">
      <c r="B492" s="40">
        <f t="shared" si="20"/>
        <v>30</v>
      </c>
      <c r="C492" s="41" t="s">
        <v>8</v>
      </c>
      <c r="D492" s="41" t="s">
        <v>196</v>
      </c>
      <c r="E492" s="118">
        <v>8530798</v>
      </c>
      <c r="F492" s="118"/>
      <c r="G492" s="119">
        <v>31168</v>
      </c>
      <c r="H492" s="41"/>
      <c r="I492" s="212">
        <v>44817</v>
      </c>
      <c r="J492" s="41"/>
      <c r="K492" s="248" t="s">
        <v>197</v>
      </c>
      <c r="L492" s="213">
        <v>8562</v>
      </c>
    </row>
    <row r="493" spans="2:12" outlineLevel="2">
      <c r="B493" s="40">
        <f t="shared" si="20"/>
        <v>31</v>
      </c>
      <c r="C493" s="41" t="s">
        <v>8</v>
      </c>
      <c r="D493" s="41" t="s">
        <v>196</v>
      </c>
      <c r="E493" s="118" t="s">
        <v>396</v>
      </c>
      <c r="F493" s="118"/>
      <c r="G493" s="119">
        <v>31352</v>
      </c>
      <c r="H493" s="41"/>
      <c r="I493" s="212">
        <v>44817</v>
      </c>
      <c r="J493" s="41"/>
      <c r="K493" s="248" t="s">
        <v>197</v>
      </c>
      <c r="L493" s="213">
        <v>8576</v>
      </c>
    </row>
    <row r="494" spans="2:12" outlineLevel="2">
      <c r="B494" s="40">
        <f t="shared" si="20"/>
        <v>32</v>
      </c>
      <c r="C494" s="41" t="s">
        <v>8</v>
      </c>
      <c r="D494" s="41" t="s">
        <v>196</v>
      </c>
      <c r="E494" s="118">
        <v>8542293</v>
      </c>
      <c r="F494" s="118"/>
      <c r="G494" s="119">
        <v>31503</v>
      </c>
      <c r="H494" s="41"/>
      <c r="I494" s="212">
        <v>44839</v>
      </c>
      <c r="J494" s="41"/>
      <c r="K494" s="120">
        <v>18</v>
      </c>
      <c r="L494" s="213">
        <v>8737</v>
      </c>
    </row>
    <row r="495" spans="2:12" outlineLevel="2">
      <c r="B495" s="40">
        <f t="shared" si="20"/>
        <v>33</v>
      </c>
      <c r="C495" s="41" t="s">
        <v>8</v>
      </c>
      <c r="D495" s="41" t="s">
        <v>196</v>
      </c>
      <c r="E495" s="118">
        <v>42399</v>
      </c>
      <c r="F495" s="118"/>
      <c r="G495" s="119">
        <v>30103</v>
      </c>
      <c r="H495" s="41"/>
      <c r="I495" s="212">
        <v>44840</v>
      </c>
      <c r="J495" s="41"/>
      <c r="K495" s="120">
        <v>40</v>
      </c>
      <c r="L495" s="213">
        <v>8985</v>
      </c>
    </row>
    <row r="496" spans="2:12" outlineLevel="2">
      <c r="B496" s="40">
        <f t="shared" si="20"/>
        <v>34</v>
      </c>
      <c r="C496" s="41" t="s">
        <v>8</v>
      </c>
      <c r="D496" s="41" t="s">
        <v>196</v>
      </c>
      <c r="E496" s="118">
        <v>124552</v>
      </c>
      <c r="F496" s="118"/>
      <c r="G496" s="164">
        <v>31564</v>
      </c>
      <c r="H496" s="41"/>
      <c r="I496" s="212">
        <v>44839</v>
      </c>
      <c r="J496" s="41"/>
      <c r="K496" s="120">
        <v>29</v>
      </c>
      <c r="L496" s="213">
        <v>9513</v>
      </c>
    </row>
    <row r="497" spans="2:12" outlineLevel="2">
      <c r="B497" s="40">
        <f t="shared" si="20"/>
        <v>35</v>
      </c>
      <c r="C497" s="41" t="s">
        <v>8</v>
      </c>
      <c r="D497" s="41" t="s">
        <v>196</v>
      </c>
      <c r="E497" s="118">
        <v>93394</v>
      </c>
      <c r="F497" s="250"/>
      <c r="G497" s="164">
        <v>31778</v>
      </c>
      <c r="H497" s="41"/>
      <c r="I497" s="211">
        <v>44844</v>
      </c>
      <c r="J497" s="41"/>
      <c r="K497" s="214">
        <v>37</v>
      </c>
      <c r="L497" s="213">
        <v>9790</v>
      </c>
    </row>
    <row r="498" spans="2:12" outlineLevel="2">
      <c r="B498" s="40">
        <f t="shared" si="20"/>
        <v>36</v>
      </c>
      <c r="C498" s="41" t="s">
        <v>8</v>
      </c>
      <c r="D498" s="41" t="s">
        <v>196</v>
      </c>
      <c r="E498" s="216">
        <v>41190</v>
      </c>
      <c r="F498" s="216"/>
      <c r="G498" s="230">
        <v>27576</v>
      </c>
      <c r="H498" s="41"/>
      <c r="I498" s="212">
        <v>44734</v>
      </c>
      <c r="J498" s="41"/>
      <c r="K498" s="120">
        <v>27</v>
      </c>
      <c r="L498" s="120">
        <v>10285</v>
      </c>
    </row>
    <row r="499" spans="2:12" outlineLevel="2">
      <c r="B499" s="40">
        <f t="shared" si="20"/>
        <v>37</v>
      </c>
      <c r="C499" s="41" t="s">
        <v>8</v>
      </c>
      <c r="D499" s="41" t="s">
        <v>196</v>
      </c>
      <c r="E499" s="215">
        <v>8541017</v>
      </c>
      <c r="F499" s="217"/>
      <c r="G499" s="222">
        <v>31444</v>
      </c>
      <c r="H499" s="41"/>
      <c r="I499" s="211">
        <v>44875</v>
      </c>
      <c r="J499" s="41"/>
      <c r="K499" s="241">
        <v>47</v>
      </c>
      <c r="L499" s="241">
        <v>10571</v>
      </c>
    </row>
    <row r="500" spans="2:12" outlineLevel="2">
      <c r="B500" s="40">
        <f t="shared" si="20"/>
        <v>38</v>
      </c>
      <c r="C500" s="41" t="s">
        <v>8</v>
      </c>
      <c r="D500" s="41" t="s">
        <v>196</v>
      </c>
      <c r="E500" s="216">
        <v>8811507</v>
      </c>
      <c r="F500" s="216"/>
      <c r="G500" s="223">
        <v>32387</v>
      </c>
      <c r="H500" s="41"/>
      <c r="I500" s="212">
        <v>44825</v>
      </c>
      <c r="J500" s="41"/>
      <c r="K500" s="120">
        <v>41</v>
      </c>
      <c r="L500" s="120">
        <v>10612</v>
      </c>
    </row>
    <row r="501" spans="2:12" outlineLevel="2">
      <c r="B501" s="40">
        <f t="shared" si="20"/>
        <v>39</v>
      </c>
      <c r="C501" s="41" t="s">
        <v>8</v>
      </c>
      <c r="D501" s="41" t="s">
        <v>196</v>
      </c>
      <c r="E501" s="216">
        <v>159300</v>
      </c>
      <c r="F501" s="216"/>
      <c r="G501" s="223">
        <v>31778</v>
      </c>
      <c r="H501" s="41"/>
      <c r="I501" s="212">
        <v>44876</v>
      </c>
      <c r="J501" s="41"/>
      <c r="K501" s="120">
        <v>25</v>
      </c>
      <c r="L501" s="120">
        <v>10616</v>
      </c>
    </row>
    <row r="502" spans="2:12" outlineLevel="2">
      <c r="B502" s="40">
        <f t="shared" si="20"/>
        <v>40</v>
      </c>
      <c r="C502" s="41" t="s">
        <v>8</v>
      </c>
      <c r="D502" s="41" t="s">
        <v>196</v>
      </c>
      <c r="E502" s="216">
        <v>37872</v>
      </c>
      <c r="F502" s="216"/>
      <c r="G502" s="224">
        <v>27395</v>
      </c>
      <c r="H502" s="41"/>
      <c r="I502" s="212">
        <v>44802</v>
      </c>
      <c r="J502" s="41"/>
      <c r="K502" s="213">
        <v>48</v>
      </c>
      <c r="L502" s="120">
        <v>11003</v>
      </c>
    </row>
    <row r="503" spans="2:12" outlineLevel="2">
      <c r="B503" s="40">
        <f t="shared" si="20"/>
        <v>41</v>
      </c>
      <c r="C503" s="41" t="s">
        <v>8</v>
      </c>
      <c r="D503" s="41" t="s">
        <v>196</v>
      </c>
      <c r="E503" s="216">
        <v>8511861</v>
      </c>
      <c r="F503" s="216"/>
      <c r="G503" s="223">
        <v>31048</v>
      </c>
      <c r="H503" s="41"/>
      <c r="I503" s="212">
        <v>44887</v>
      </c>
      <c r="J503" s="41"/>
      <c r="K503" s="120">
        <v>24</v>
      </c>
      <c r="L503" s="120">
        <v>11158</v>
      </c>
    </row>
    <row r="504" spans="2:12" outlineLevel="2">
      <c r="B504" s="40">
        <f t="shared" si="20"/>
        <v>42</v>
      </c>
      <c r="C504" s="41" t="s">
        <v>8</v>
      </c>
      <c r="D504" s="41" t="s">
        <v>196</v>
      </c>
      <c r="E504" s="216">
        <v>14635</v>
      </c>
      <c r="F504" s="216"/>
      <c r="G504" s="223">
        <v>31472</v>
      </c>
      <c r="H504" s="41"/>
      <c r="I504" s="212">
        <v>44770</v>
      </c>
      <c r="J504" s="41"/>
      <c r="K504" s="248" t="s">
        <v>197</v>
      </c>
      <c r="L504" s="120">
        <v>11283</v>
      </c>
    </row>
    <row r="505" spans="2:12" outlineLevel="2">
      <c r="B505" s="40">
        <f t="shared" si="20"/>
        <v>43</v>
      </c>
      <c r="C505" s="41" t="s">
        <v>8</v>
      </c>
      <c r="D505" s="41" t="s">
        <v>196</v>
      </c>
      <c r="E505" s="216">
        <v>53676</v>
      </c>
      <c r="F505" s="216"/>
      <c r="G505" s="216">
        <v>31564</v>
      </c>
      <c r="H505" s="41"/>
      <c r="I505" s="212">
        <v>44798</v>
      </c>
      <c r="J505" s="41"/>
      <c r="K505" s="248" t="s">
        <v>197</v>
      </c>
      <c r="L505" s="120">
        <v>11384</v>
      </c>
    </row>
    <row r="506" spans="2:12" outlineLevel="2">
      <c r="B506" s="40">
        <f t="shared" si="20"/>
        <v>44</v>
      </c>
      <c r="C506" s="41" t="s">
        <v>8</v>
      </c>
      <c r="D506" s="41" t="s">
        <v>196</v>
      </c>
      <c r="E506" s="217">
        <v>159161</v>
      </c>
      <c r="F506" s="215"/>
      <c r="G506" s="222">
        <v>32082</v>
      </c>
      <c r="H506" s="41"/>
      <c r="I506" s="211">
        <v>44802</v>
      </c>
      <c r="J506" s="41"/>
      <c r="K506" s="214">
        <v>42</v>
      </c>
      <c r="L506" s="241">
        <v>11386</v>
      </c>
    </row>
    <row r="507" spans="2:12" outlineLevel="2">
      <c r="B507" s="40">
        <f t="shared" si="20"/>
        <v>45</v>
      </c>
      <c r="C507" s="41" t="s">
        <v>8</v>
      </c>
      <c r="D507" s="41" t="s">
        <v>196</v>
      </c>
      <c r="E507" s="217">
        <v>8823097</v>
      </c>
      <c r="F507" s="215"/>
      <c r="G507" s="222">
        <v>32264</v>
      </c>
      <c r="H507" s="41"/>
      <c r="I507" s="211">
        <v>44799</v>
      </c>
      <c r="J507" s="41"/>
      <c r="K507" s="248" t="s">
        <v>197</v>
      </c>
      <c r="L507" s="241">
        <v>11398</v>
      </c>
    </row>
    <row r="508" spans="2:12" outlineLevel="2">
      <c r="B508" s="40">
        <f t="shared" si="20"/>
        <v>46</v>
      </c>
      <c r="C508" s="41" t="s">
        <v>8</v>
      </c>
      <c r="D508" s="41" t="s">
        <v>196</v>
      </c>
      <c r="E508" s="217">
        <v>159384</v>
      </c>
      <c r="F508" s="215"/>
      <c r="G508" s="222">
        <v>31778</v>
      </c>
      <c r="H508" s="41"/>
      <c r="I508" s="211">
        <v>44858</v>
      </c>
      <c r="J508" s="41"/>
      <c r="K508" s="214">
        <v>46</v>
      </c>
      <c r="L508" s="241">
        <v>11402</v>
      </c>
    </row>
    <row r="509" spans="2:12" outlineLevel="2">
      <c r="B509" s="40">
        <f t="shared" si="20"/>
        <v>47</v>
      </c>
      <c r="C509" s="41" t="s">
        <v>8</v>
      </c>
      <c r="D509" s="41" t="s">
        <v>196</v>
      </c>
      <c r="E509" s="217" t="s">
        <v>397</v>
      </c>
      <c r="F509" s="215"/>
      <c r="G509" s="222">
        <v>11185</v>
      </c>
      <c r="H509" s="41"/>
      <c r="I509" s="211">
        <v>44889</v>
      </c>
      <c r="J509" s="41"/>
      <c r="K509" s="214">
        <v>38</v>
      </c>
      <c r="L509" s="241">
        <v>11414</v>
      </c>
    </row>
    <row r="510" spans="2:12" outlineLevel="2">
      <c r="B510" s="40">
        <f t="shared" si="20"/>
        <v>48</v>
      </c>
      <c r="C510" s="41" t="s">
        <v>8</v>
      </c>
      <c r="D510" s="41" t="s">
        <v>196</v>
      </c>
      <c r="E510" s="216">
        <v>8430588</v>
      </c>
      <c r="F510" s="216"/>
      <c r="G510" s="223">
        <v>30926</v>
      </c>
      <c r="H510" s="41"/>
      <c r="I510" s="212">
        <v>44858</v>
      </c>
      <c r="J510" s="41"/>
      <c r="K510" s="120">
        <v>45</v>
      </c>
      <c r="L510" s="120">
        <v>11466</v>
      </c>
    </row>
    <row r="511" spans="2:12" outlineLevel="2">
      <c r="B511" s="40">
        <f t="shared" si="20"/>
        <v>49</v>
      </c>
      <c r="C511" s="41" t="s">
        <v>8</v>
      </c>
      <c r="D511" s="41" t="s">
        <v>196</v>
      </c>
      <c r="E511" s="216">
        <v>8822985</v>
      </c>
      <c r="F511" s="216"/>
      <c r="G511" s="223">
        <v>32234</v>
      </c>
      <c r="H511" s="41"/>
      <c r="I511" s="212">
        <v>44858</v>
      </c>
      <c r="J511" s="41"/>
      <c r="K511" s="120">
        <v>49</v>
      </c>
      <c r="L511" s="120">
        <v>11471</v>
      </c>
    </row>
    <row r="512" spans="2:12" outlineLevel="2">
      <c r="B512" s="40">
        <f t="shared" si="20"/>
        <v>50</v>
      </c>
      <c r="C512" s="41" t="s">
        <v>8</v>
      </c>
      <c r="D512" s="41" t="s">
        <v>196</v>
      </c>
      <c r="E512" s="216">
        <v>8430687</v>
      </c>
      <c r="F512" s="216"/>
      <c r="G512" s="223">
        <v>30926</v>
      </c>
      <c r="H512" s="41"/>
      <c r="I512" s="212">
        <v>44858</v>
      </c>
      <c r="J512" s="41"/>
      <c r="K512" s="120">
        <v>12</v>
      </c>
      <c r="L512" s="120">
        <v>11472</v>
      </c>
    </row>
    <row r="513" spans="2:12" outlineLevel="2">
      <c r="B513" s="40">
        <f t="shared" si="20"/>
        <v>51</v>
      </c>
      <c r="C513" s="41" t="s">
        <v>8</v>
      </c>
      <c r="D513" s="41" t="s">
        <v>196</v>
      </c>
      <c r="E513" s="216">
        <v>33025</v>
      </c>
      <c r="F513" s="216" t="s">
        <v>172</v>
      </c>
      <c r="G513" s="223">
        <v>29281</v>
      </c>
      <c r="H513" s="41"/>
      <c r="I513" s="212">
        <v>44902</v>
      </c>
      <c r="J513" s="41"/>
      <c r="K513" s="213">
        <v>44</v>
      </c>
      <c r="L513" s="120">
        <v>12536</v>
      </c>
    </row>
    <row r="514" spans="2:12" outlineLevel="2">
      <c r="B514" s="40">
        <f t="shared" si="20"/>
        <v>52</v>
      </c>
      <c r="C514" s="41" t="s">
        <v>8</v>
      </c>
      <c r="D514" s="41" t="s">
        <v>196</v>
      </c>
      <c r="E514" s="217">
        <v>169257</v>
      </c>
      <c r="F514" s="215" t="s">
        <v>398</v>
      </c>
      <c r="G514" s="222">
        <v>32448</v>
      </c>
      <c r="H514" s="41"/>
      <c r="I514" s="211">
        <v>44903</v>
      </c>
      <c r="J514" s="41"/>
      <c r="K514" s="214">
        <v>32</v>
      </c>
      <c r="L514" s="241">
        <v>12602</v>
      </c>
    </row>
    <row r="515" spans="2:12" outlineLevel="2">
      <c r="B515" s="40">
        <f t="shared" si="20"/>
        <v>53</v>
      </c>
      <c r="C515" s="41" t="s">
        <v>8</v>
      </c>
      <c r="D515" s="41" t="s">
        <v>196</v>
      </c>
      <c r="E515" s="217">
        <v>58513</v>
      </c>
      <c r="F515" s="215" t="s">
        <v>172</v>
      </c>
      <c r="G515" s="222">
        <v>29465</v>
      </c>
      <c r="H515" s="41"/>
      <c r="I515" s="211">
        <v>44903</v>
      </c>
      <c r="J515" s="41"/>
      <c r="K515" s="214">
        <v>10</v>
      </c>
      <c r="L515" s="241">
        <v>12606</v>
      </c>
    </row>
    <row r="516" spans="2:12" outlineLevel="2">
      <c r="B516" s="40">
        <f t="shared" si="20"/>
        <v>54</v>
      </c>
      <c r="C516" s="41" t="s">
        <v>8</v>
      </c>
      <c r="D516" s="41" t="s">
        <v>196</v>
      </c>
      <c r="E516" s="217">
        <v>136026</v>
      </c>
      <c r="F516" s="215" t="s">
        <v>172</v>
      </c>
      <c r="G516" s="222">
        <v>31778</v>
      </c>
      <c r="H516" s="41"/>
      <c r="I516" s="211">
        <v>44903</v>
      </c>
      <c r="J516" s="41"/>
      <c r="K516" s="214">
        <v>21</v>
      </c>
      <c r="L516" s="241">
        <v>12616</v>
      </c>
    </row>
    <row r="517" spans="2:12" outlineLevel="2">
      <c r="B517" s="40">
        <f t="shared" si="20"/>
        <v>55</v>
      </c>
      <c r="C517" s="41" t="s">
        <v>8</v>
      </c>
      <c r="D517" s="41" t="s">
        <v>196</v>
      </c>
      <c r="E517" s="217">
        <v>8823051</v>
      </c>
      <c r="F517" s="215" t="s">
        <v>172</v>
      </c>
      <c r="G517" s="222">
        <v>32234</v>
      </c>
      <c r="H517" s="41"/>
      <c r="I517" s="211">
        <v>44903</v>
      </c>
      <c r="J517" s="41"/>
      <c r="K517" s="241">
        <v>48</v>
      </c>
      <c r="L517" s="241">
        <v>12621</v>
      </c>
    </row>
    <row r="518" spans="2:12" outlineLevel="2">
      <c r="B518" s="40">
        <f t="shared" si="20"/>
        <v>56</v>
      </c>
      <c r="C518" s="41" t="s">
        <v>8</v>
      </c>
      <c r="D518" s="41" t="s">
        <v>196</v>
      </c>
      <c r="E518" s="218">
        <v>8646624</v>
      </c>
      <c r="F518" s="209" t="s">
        <v>172</v>
      </c>
      <c r="G518" s="225">
        <v>31717</v>
      </c>
      <c r="H518" s="41"/>
      <c r="I518" s="212">
        <v>44956</v>
      </c>
      <c r="J518" s="41"/>
      <c r="K518" s="213">
        <v>21</v>
      </c>
      <c r="L518" s="120">
        <v>14778</v>
      </c>
    </row>
    <row r="519" spans="2:12" outlineLevel="2">
      <c r="B519" s="40">
        <f t="shared" si="20"/>
        <v>57</v>
      </c>
      <c r="C519" s="41" t="s">
        <v>8</v>
      </c>
      <c r="D519" s="41" t="s">
        <v>196</v>
      </c>
      <c r="E519" s="218">
        <v>28376</v>
      </c>
      <c r="F519" s="209" t="s">
        <v>172</v>
      </c>
      <c r="G519" s="225">
        <v>28065</v>
      </c>
      <c r="H519" s="41"/>
      <c r="I519" s="212">
        <v>44956</v>
      </c>
      <c r="J519" s="41"/>
      <c r="K519" s="120">
        <v>38</v>
      </c>
      <c r="L519" s="120">
        <v>14779</v>
      </c>
    </row>
    <row r="520" spans="2:12" outlineLevel="2">
      <c r="B520" s="40">
        <f t="shared" si="20"/>
        <v>58</v>
      </c>
      <c r="C520" s="41" t="s">
        <v>8</v>
      </c>
      <c r="D520" s="41" t="s">
        <v>196</v>
      </c>
      <c r="E520" s="218">
        <v>33094</v>
      </c>
      <c r="F520" s="209" t="s">
        <v>172</v>
      </c>
      <c r="G520" s="225">
        <v>28034</v>
      </c>
      <c r="H520" s="41"/>
      <c r="I520" s="212">
        <v>44844</v>
      </c>
      <c r="J520" s="41"/>
      <c r="K520" s="248" t="s">
        <v>197</v>
      </c>
      <c r="L520" s="120">
        <v>14781</v>
      </c>
    </row>
    <row r="521" spans="2:12" outlineLevel="2">
      <c r="B521" s="40">
        <f t="shared" si="20"/>
        <v>59</v>
      </c>
      <c r="C521" s="41" t="s">
        <v>8</v>
      </c>
      <c r="D521" s="41" t="s">
        <v>196</v>
      </c>
      <c r="E521" s="218">
        <v>29521</v>
      </c>
      <c r="F521" s="209" t="s">
        <v>172</v>
      </c>
      <c r="G521" s="225">
        <v>29465</v>
      </c>
      <c r="H521" s="41"/>
      <c r="I521" s="212">
        <v>44844</v>
      </c>
      <c r="J521" s="41"/>
      <c r="K521" s="213">
        <v>4</v>
      </c>
      <c r="L521" s="120">
        <v>14787</v>
      </c>
    </row>
    <row r="522" spans="2:12" outlineLevel="2">
      <c r="B522" s="40">
        <f t="shared" si="20"/>
        <v>60</v>
      </c>
      <c r="C522" s="41" t="s">
        <v>8</v>
      </c>
      <c r="D522" s="41" t="s">
        <v>196</v>
      </c>
      <c r="E522" s="218" t="s">
        <v>399</v>
      </c>
      <c r="F522" s="209" t="s">
        <v>172</v>
      </c>
      <c r="G522" s="226">
        <v>25477</v>
      </c>
      <c r="H522" s="41"/>
      <c r="I522" s="212">
        <v>44964</v>
      </c>
      <c r="J522" s="41"/>
      <c r="K522" s="120">
        <v>12</v>
      </c>
      <c r="L522" s="120">
        <v>15532</v>
      </c>
    </row>
    <row r="523" spans="2:12" outlineLevel="2">
      <c r="B523" s="40">
        <f t="shared" si="20"/>
        <v>61</v>
      </c>
      <c r="C523" s="41" t="s">
        <v>8</v>
      </c>
      <c r="D523" s="41" t="s">
        <v>196</v>
      </c>
      <c r="E523" s="218">
        <v>9123523</v>
      </c>
      <c r="F523" s="209" t="s">
        <v>172</v>
      </c>
      <c r="G523" s="209">
        <v>32417</v>
      </c>
      <c r="H523" s="41"/>
      <c r="I523" s="212">
        <v>44963</v>
      </c>
      <c r="J523" s="41"/>
      <c r="K523" s="120">
        <v>18</v>
      </c>
      <c r="L523" s="120">
        <v>15549</v>
      </c>
    </row>
    <row r="524" spans="2:12" outlineLevel="2">
      <c r="B524" s="40">
        <f t="shared" si="20"/>
        <v>62</v>
      </c>
      <c r="C524" s="41" t="s">
        <v>8</v>
      </c>
      <c r="D524" s="41" t="s">
        <v>196</v>
      </c>
      <c r="E524" s="218">
        <v>29507</v>
      </c>
      <c r="F524" s="209" t="s">
        <v>172</v>
      </c>
      <c r="G524" s="226">
        <v>29465</v>
      </c>
      <c r="H524" s="41"/>
      <c r="I524" s="212">
        <v>44911</v>
      </c>
      <c r="J524" s="41"/>
      <c r="K524" s="213">
        <v>19</v>
      </c>
      <c r="L524" s="120">
        <v>15560</v>
      </c>
    </row>
    <row r="525" spans="2:12" outlineLevel="2">
      <c r="B525" s="40">
        <f t="shared" si="20"/>
        <v>63</v>
      </c>
      <c r="C525" s="41" t="s">
        <v>8</v>
      </c>
      <c r="D525" s="41" t="s">
        <v>196</v>
      </c>
      <c r="E525" s="218">
        <v>73853</v>
      </c>
      <c r="F525" s="209" t="s">
        <v>172</v>
      </c>
      <c r="G525" s="226">
        <v>32234</v>
      </c>
      <c r="H525" s="41"/>
      <c r="I525" s="212">
        <v>44902</v>
      </c>
      <c r="J525" s="41"/>
      <c r="K525" s="213">
        <v>44</v>
      </c>
      <c r="L525" s="120">
        <v>15562</v>
      </c>
    </row>
    <row r="526" spans="2:12" outlineLevel="2">
      <c r="B526" s="40">
        <f t="shared" si="20"/>
        <v>64</v>
      </c>
      <c r="C526" s="41" t="s">
        <v>8</v>
      </c>
      <c r="D526" s="41" t="s">
        <v>196</v>
      </c>
      <c r="E526" s="218">
        <v>8822965</v>
      </c>
      <c r="F526" s="209" t="s">
        <v>172</v>
      </c>
      <c r="G526" s="226">
        <v>32234</v>
      </c>
      <c r="H526" s="41"/>
      <c r="I526" s="212">
        <v>44909</v>
      </c>
      <c r="J526" s="41"/>
      <c r="K526" s="120">
        <v>39</v>
      </c>
      <c r="L526" s="120">
        <v>15564</v>
      </c>
    </row>
    <row r="527" spans="2:12" outlineLevel="2">
      <c r="B527" s="40">
        <f t="shared" si="20"/>
        <v>65</v>
      </c>
      <c r="C527" s="41" t="s">
        <v>8</v>
      </c>
      <c r="D527" s="41" t="s">
        <v>196</v>
      </c>
      <c r="E527" s="218">
        <v>870223</v>
      </c>
      <c r="F527" s="209" t="s">
        <v>172</v>
      </c>
      <c r="G527" s="226">
        <v>30072</v>
      </c>
      <c r="H527" s="41"/>
      <c r="I527" s="212">
        <v>44900</v>
      </c>
      <c r="J527" s="41"/>
      <c r="K527" s="120">
        <v>48</v>
      </c>
      <c r="L527" s="120">
        <v>15566</v>
      </c>
    </row>
    <row r="528" spans="2:12" outlineLevel="2">
      <c r="B528" s="40">
        <f t="shared" si="20"/>
        <v>66</v>
      </c>
      <c r="C528" s="41" t="s">
        <v>8</v>
      </c>
      <c r="D528" s="41" t="s">
        <v>196</v>
      </c>
      <c r="E528" s="218">
        <v>159147</v>
      </c>
      <c r="F528" s="209" t="s">
        <v>172</v>
      </c>
      <c r="G528" s="226">
        <v>31778</v>
      </c>
      <c r="H528" s="41"/>
      <c r="I528" s="212">
        <v>44887</v>
      </c>
      <c r="J528" s="41"/>
      <c r="K528" s="213">
        <v>48</v>
      </c>
      <c r="L528" s="120">
        <v>15567</v>
      </c>
    </row>
    <row r="529" spans="2:12" outlineLevel="2">
      <c r="B529" s="40">
        <f t="shared" ref="B529:B592" si="21">ROW(A67)</f>
        <v>67</v>
      </c>
      <c r="C529" s="41" t="s">
        <v>8</v>
      </c>
      <c r="D529" s="41" t="s">
        <v>196</v>
      </c>
      <c r="E529" s="218">
        <v>34866</v>
      </c>
      <c r="F529" s="209" t="s">
        <v>172</v>
      </c>
      <c r="G529" s="226">
        <v>27760</v>
      </c>
      <c r="H529" s="41"/>
      <c r="I529" s="212">
        <v>44900</v>
      </c>
      <c r="J529" s="41"/>
      <c r="K529" s="213">
        <v>43</v>
      </c>
      <c r="L529" s="120">
        <v>15568</v>
      </c>
    </row>
    <row r="530" spans="2:12" outlineLevel="2">
      <c r="B530" s="40">
        <f t="shared" si="21"/>
        <v>68</v>
      </c>
      <c r="C530" s="41" t="s">
        <v>8</v>
      </c>
      <c r="D530" s="41" t="s">
        <v>196</v>
      </c>
      <c r="E530" s="218">
        <v>21210</v>
      </c>
      <c r="F530" s="209"/>
      <c r="G530" s="225">
        <v>31413</v>
      </c>
      <c r="H530" s="41"/>
      <c r="I530" s="212">
        <v>44909</v>
      </c>
      <c r="J530" s="41"/>
      <c r="K530" s="248" t="s">
        <v>197</v>
      </c>
      <c r="L530" s="120">
        <v>16241</v>
      </c>
    </row>
    <row r="531" spans="2:12" outlineLevel="2">
      <c r="B531" s="40">
        <f t="shared" si="21"/>
        <v>69</v>
      </c>
      <c r="C531" s="41" t="s">
        <v>8</v>
      </c>
      <c r="D531" s="41" t="s">
        <v>196</v>
      </c>
      <c r="E531" s="218">
        <v>874702</v>
      </c>
      <c r="F531" s="209" t="s">
        <v>172</v>
      </c>
      <c r="G531" s="226">
        <v>31778</v>
      </c>
      <c r="H531" s="41"/>
      <c r="I531" s="212">
        <v>44915</v>
      </c>
      <c r="J531" s="41"/>
      <c r="K531" s="213">
        <v>39</v>
      </c>
      <c r="L531" s="120">
        <v>16349</v>
      </c>
    </row>
    <row r="532" spans="2:12" outlineLevel="2">
      <c r="B532" s="40">
        <f t="shared" si="21"/>
        <v>70</v>
      </c>
      <c r="C532" s="41" t="s">
        <v>8</v>
      </c>
      <c r="D532" s="41" t="s">
        <v>196</v>
      </c>
      <c r="E532" s="218">
        <v>14865</v>
      </c>
      <c r="F532" s="227" t="s">
        <v>172</v>
      </c>
      <c r="G532" s="226">
        <v>30256</v>
      </c>
      <c r="H532" s="41"/>
      <c r="I532" s="212">
        <v>44967</v>
      </c>
      <c r="J532" s="41"/>
      <c r="K532" s="213">
        <v>39</v>
      </c>
      <c r="L532" s="120">
        <v>16444</v>
      </c>
    </row>
    <row r="533" spans="2:12" outlineLevel="2">
      <c r="B533" s="40">
        <f t="shared" si="21"/>
        <v>71</v>
      </c>
      <c r="C533" s="41" t="s">
        <v>8</v>
      </c>
      <c r="D533" s="41" t="s">
        <v>196</v>
      </c>
      <c r="E533" s="218">
        <v>51861</v>
      </c>
      <c r="F533" s="227" t="s">
        <v>172</v>
      </c>
      <c r="G533" s="226">
        <v>31260</v>
      </c>
      <c r="H533" s="41"/>
      <c r="I533" s="212">
        <v>44967</v>
      </c>
      <c r="J533" s="41"/>
      <c r="K533" s="213">
        <v>41</v>
      </c>
      <c r="L533" s="120">
        <v>16466</v>
      </c>
    </row>
    <row r="534" spans="2:12" outlineLevel="2">
      <c r="B534" s="40">
        <f t="shared" si="21"/>
        <v>72</v>
      </c>
      <c r="C534" s="41" t="s">
        <v>8</v>
      </c>
      <c r="D534" s="41" t="s">
        <v>196</v>
      </c>
      <c r="E534" s="218" t="s">
        <v>400</v>
      </c>
      <c r="F534" s="227" t="s">
        <v>172</v>
      </c>
      <c r="G534" s="226">
        <v>24898</v>
      </c>
      <c r="H534" s="41"/>
      <c r="I534" s="212">
        <v>44937</v>
      </c>
      <c r="J534" s="41"/>
      <c r="K534" s="213">
        <v>43</v>
      </c>
      <c r="L534" s="120">
        <v>16484</v>
      </c>
    </row>
    <row r="535" spans="2:12" outlineLevel="2">
      <c r="B535" s="40">
        <f t="shared" si="21"/>
        <v>73</v>
      </c>
      <c r="C535" s="41" t="s">
        <v>8</v>
      </c>
      <c r="D535" s="41" t="s">
        <v>196</v>
      </c>
      <c r="E535" s="218">
        <v>8430586</v>
      </c>
      <c r="F535" s="227" t="s">
        <v>172</v>
      </c>
      <c r="G535" s="226">
        <v>30926</v>
      </c>
      <c r="H535" s="41"/>
      <c r="I535" s="212">
        <v>44966</v>
      </c>
      <c r="J535" s="41"/>
      <c r="K535" s="213">
        <v>44</v>
      </c>
      <c r="L535" s="120">
        <v>16486</v>
      </c>
    </row>
    <row r="536" spans="2:12" outlineLevel="2">
      <c r="B536" s="40">
        <f t="shared" si="21"/>
        <v>74</v>
      </c>
      <c r="C536" s="41" t="s">
        <v>8</v>
      </c>
      <c r="D536" s="41" t="s">
        <v>196</v>
      </c>
      <c r="E536" s="218" t="s">
        <v>401</v>
      </c>
      <c r="F536" s="209" t="s">
        <v>172</v>
      </c>
      <c r="G536" s="226" t="s">
        <v>159</v>
      </c>
      <c r="H536" s="41"/>
      <c r="I536" s="212"/>
      <c r="J536" s="41"/>
      <c r="K536" s="213">
        <v>40</v>
      </c>
      <c r="L536" s="120">
        <v>16527</v>
      </c>
    </row>
    <row r="537" spans="2:12" outlineLevel="2">
      <c r="B537" s="40">
        <f t="shared" si="21"/>
        <v>75</v>
      </c>
      <c r="C537" s="41" t="s">
        <v>8</v>
      </c>
      <c r="D537" s="41" t="s">
        <v>196</v>
      </c>
      <c r="E537" s="218">
        <v>29536</v>
      </c>
      <c r="F537" s="209" t="s">
        <v>172</v>
      </c>
      <c r="G537" s="226">
        <v>29465</v>
      </c>
      <c r="H537" s="41"/>
      <c r="I537" s="212">
        <v>44937</v>
      </c>
      <c r="J537" s="41"/>
      <c r="K537" s="213">
        <v>44</v>
      </c>
      <c r="L537" s="120">
        <v>16528</v>
      </c>
    </row>
    <row r="538" spans="2:12" outlineLevel="2">
      <c r="B538" s="40">
        <f t="shared" si="21"/>
        <v>76</v>
      </c>
      <c r="C538" s="41" t="s">
        <v>8</v>
      </c>
      <c r="D538" s="41" t="s">
        <v>196</v>
      </c>
      <c r="E538" s="218">
        <v>8725130</v>
      </c>
      <c r="F538" s="227" t="s">
        <v>172</v>
      </c>
      <c r="G538" s="226">
        <v>31898</v>
      </c>
      <c r="H538" s="41"/>
      <c r="I538" s="212">
        <v>44978</v>
      </c>
      <c r="J538" s="41"/>
      <c r="K538" s="120">
        <v>41</v>
      </c>
      <c r="L538" s="120">
        <v>16616</v>
      </c>
    </row>
    <row r="539" spans="2:12" outlineLevel="2">
      <c r="B539" s="40">
        <f t="shared" si="21"/>
        <v>77</v>
      </c>
      <c r="C539" s="41" t="s">
        <v>8</v>
      </c>
      <c r="D539" s="41" t="s">
        <v>196</v>
      </c>
      <c r="E539" s="218">
        <v>20297</v>
      </c>
      <c r="F539" s="227">
        <v>71784</v>
      </c>
      <c r="G539" s="226">
        <v>29068</v>
      </c>
      <c r="H539" s="41"/>
      <c r="I539" s="212">
        <v>44900</v>
      </c>
      <c r="J539" s="41"/>
      <c r="K539" s="213">
        <v>43</v>
      </c>
      <c r="L539" s="120"/>
    </row>
    <row r="540" spans="2:12" outlineLevel="2">
      <c r="B540" s="40">
        <f t="shared" si="21"/>
        <v>78</v>
      </c>
      <c r="C540" s="41" t="s">
        <v>8</v>
      </c>
      <c r="D540" s="41" t="s">
        <v>196</v>
      </c>
      <c r="E540" s="218">
        <v>8430665</v>
      </c>
      <c r="F540" s="227" t="s">
        <v>172</v>
      </c>
      <c r="G540" s="226">
        <v>30926</v>
      </c>
      <c r="H540" s="41"/>
      <c r="I540" s="212">
        <v>44946</v>
      </c>
      <c r="J540" s="41"/>
      <c r="K540" s="213">
        <v>34</v>
      </c>
      <c r="L540" s="120">
        <v>17073</v>
      </c>
    </row>
    <row r="541" spans="2:12" outlineLevel="2">
      <c r="B541" s="40">
        <f t="shared" si="21"/>
        <v>79</v>
      </c>
      <c r="C541" s="41" t="s">
        <v>8</v>
      </c>
      <c r="D541" s="41" t="s">
        <v>196</v>
      </c>
      <c r="E541" s="218">
        <v>33085</v>
      </c>
      <c r="F541" s="227" t="s">
        <v>172</v>
      </c>
      <c r="G541" s="226">
        <v>28034</v>
      </c>
      <c r="H541" s="41"/>
      <c r="I541" s="212">
        <v>44937</v>
      </c>
      <c r="J541" s="41"/>
      <c r="K541" s="120">
        <v>18</v>
      </c>
      <c r="L541" s="120">
        <v>17074</v>
      </c>
    </row>
    <row r="542" spans="2:12" outlineLevel="2">
      <c r="B542" s="40">
        <f t="shared" si="21"/>
        <v>80</v>
      </c>
      <c r="C542" s="41" t="s">
        <v>8</v>
      </c>
      <c r="D542" s="41" t="s">
        <v>196</v>
      </c>
      <c r="E542" s="218">
        <v>54754</v>
      </c>
      <c r="F542" s="227" t="s">
        <v>172</v>
      </c>
      <c r="G542" s="226">
        <v>31656</v>
      </c>
      <c r="H542" s="41"/>
      <c r="I542" s="212">
        <v>44977</v>
      </c>
      <c r="J542" s="41"/>
      <c r="K542" s="213">
        <v>41</v>
      </c>
      <c r="L542" s="120">
        <v>17079</v>
      </c>
    </row>
    <row r="543" spans="2:12" outlineLevel="2">
      <c r="B543" s="40">
        <f t="shared" si="21"/>
        <v>81</v>
      </c>
      <c r="C543" s="41" t="s">
        <v>8</v>
      </c>
      <c r="D543" s="41" t="s">
        <v>196</v>
      </c>
      <c r="E543" s="218">
        <v>8823141</v>
      </c>
      <c r="F543" s="227" t="s">
        <v>172</v>
      </c>
      <c r="G543" s="226">
        <v>32264</v>
      </c>
      <c r="H543" s="41"/>
      <c r="I543" s="212">
        <v>44977</v>
      </c>
      <c r="J543" s="41"/>
      <c r="K543" s="213">
        <v>46</v>
      </c>
      <c r="L543" s="120">
        <v>17080</v>
      </c>
    </row>
    <row r="544" spans="2:12" outlineLevel="2">
      <c r="B544" s="40">
        <f t="shared" si="21"/>
        <v>82</v>
      </c>
      <c r="C544" s="41" t="s">
        <v>8</v>
      </c>
      <c r="D544" s="41" t="s">
        <v>196</v>
      </c>
      <c r="E544" s="218">
        <v>29614</v>
      </c>
      <c r="F544" s="227" t="s">
        <v>172</v>
      </c>
      <c r="G544" s="226">
        <v>29465</v>
      </c>
      <c r="H544" s="41"/>
      <c r="I544" s="212">
        <v>44977</v>
      </c>
      <c r="J544" s="41"/>
      <c r="K544" s="213">
        <v>33</v>
      </c>
      <c r="L544" s="120">
        <v>17081</v>
      </c>
    </row>
    <row r="545" spans="2:12" outlineLevel="2">
      <c r="B545" s="40">
        <f t="shared" si="21"/>
        <v>83</v>
      </c>
      <c r="C545" s="41" t="s">
        <v>8</v>
      </c>
      <c r="D545" s="41" t="s">
        <v>196</v>
      </c>
      <c r="E545" s="218">
        <v>8430551</v>
      </c>
      <c r="F545" s="227" t="s">
        <v>172</v>
      </c>
      <c r="G545" s="226">
        <v>30926</v>
      </c>
      <c r="H545" s="41"/>
      <c r="I545" s="212">
        <v>44944</v>
      </c>
      <c r="J545" s="41"/>
      <c r="K545" s="213">
        <v>44</v>
      </c>
      <c r="L545" s="120">
        <v>17085</v>
      </c>
    </row>
    <row r="546" spans="2:12" outlineLevel="2">
      <c r="B546" s="40">
        <f t="shared" si="21"/>
        <v>84</v>
      </c>
      <c r="C546" s="41" t="s">
        <v>8</v>
      </c>
      <c r="D546" s="41" t="s">
        <v>196</v>
      </c>
      <c r="E546" s="218" t="s">
        <v>402</v>
      </c>
      <c r="F546" s="227" t="s">
        <v>172</v>
      </c>
      <c r="G546" s="226">
        <v>31564</v>
      </c>
      <c r="H546" s="41"/>
      <c r="I546" s="212">
        <v>44952</v>
      </c>
      <c r="J546" s="41"/>
      <c r="K546" s="213">
        <v>42</v>
      </c>
      <c r="L546" s="120">
        <v>17087</v>
      </c>
    </row>
    <row r="547" spans="2:12" outlineLevel="2">
      <c r="B547" s="40">
        <f t="shared" si="21"/>
        <v>85</v>
      </c>
      <c r="C547" s="41" t="s">
        <v>8</v>
      </c>
      <c r="D547" s="41" t="s">
        <v>196</v>
      </c>
      <c r="E547" s="218">
        <v>23816</v>
      </c>
      <c r="F547" s="227" t="s">
        <v>172</v>
      </c>
      <c r="G547" s="226">
        <v>30407</v>
      </c>
      <c r="H547" s="41"/>
      <c r="I547" s="212">
        <v>44949</v>
      </c>
      <c r="J547" s="41"/>
      <c r="K547" s="120">
        <v>46</v>
      </c>
      <c r="L547" s="120">
        <v>17090</v>
      </c>
    </row>
    <row r="548" spans="2:12" outlineLevel="2">
      <c r="B548" s="40">
        <f t="shared" si="21"/>
        <v>86</v>
      </c>
      <c r="C548" s="41" t="s">
        <v>8</v>
      </c>
      <c r="D548" s="41" t="s">
        <v>196</v>
      </c>
      <c r="E548" s="218">
        <v>15797</v>
      </c>
      <c r="F548" s="227" t="s">
        <v>172</v>
      </c>
      <c r="G548" s="226">
        <v>29068</v>
      </c>
      <c r="H548" s="41"/>
      <c r="I548" s="212">
        <v>44945</v>
      </c>
      <c r="J548" s="41"/>
      <c r="K548" s="213">
        <v>41</v>
      </c>
      <c r="L548" s="120">
        <v>17091</v>
      </c>
    </row>
    <row r="549" spans="2:12" outlineLevel="2">
      <c r="B549" s="40">
        <f t="shared" si="21"/>
        <v>87</v>
      </c>
      <c r="C549" s="41" t="s">
        <v>8</v>
      </c>
      <c r="D549" s="41" t="s">
        <v>196</v>
      </c>
      <c r="E549" s="218" t="s">
        <v>403</v>
      </c>
      <c r="F549" s="227" t="s">
        <v>172</v>
      </c>
      <c r="G549" s="226">
        <v>32174</v>
      </c>
      <c r="H549" s="41"/>
      <c r="I549" s="212">
        <v>44945</v>
      </c>
      <c r="J549" s="41"/>
      <c r="K549" s="213">
        <v>41</v>
      </c>
      <c r="L549" s="120">
        <v>17128</v>
      </c>
    </row>
    <row r="550" spans="2:12" outlineLevel="2">
      <c r="B550" s="40">
        <f t="shared" si="21"/>
        <v>88</v>
      </c>
      <c r="C550" s="41" t="s">
        <v>8</v>
      </c>
      <c r="D550" s="41" t="s">
        <v>196</v>
      </c>
      <c r="E550" s="218">
        <v>8822970</v>
      </c>
      <c r="F550" s="227" t="s">
        <v>172</v>
      </c>
      <c r="G550" s="226">
        <v>32234</v>
      </c>
      <c r="H550" s="41"/>
      <c r="I550" s="212">
        <v>44977</v>
      </c>
      <c r="J550" s="41"/>
      <c r="K550" s="213">
        <v>39</v>
      </c>
      <c r="L550" s="120">
        <v>17134</v>
      </c>
    </row>
    <row r="551" spans="2:12" outlineLevel="2">
      <c r="B551" s="40">
        <f t="shared" si="21"/>
        <v>89</v>
      </c>
      <c r="C551" s="41" t="s">
        <v>8</v>
      </c>
      <c r="D551" s="41" t="s">
        <v>196</v>
      </c>
      <c r="E551" s="218">
        <v>77415</v>
      </c>
      <c r="F551" s="227" t="s">
        <v>172</v>
      </c>
      <c r="G551" s="226">
        <v>29830</v>
      </c>
      <c r="H551" s="41"/>
      <c r="I551" s="212">
        <v>44945</v>
      </c>
      <c r="J551" s="41"/>
      <c r="K551" s="213">
        <v>47</v>
      </c>
      <c r="L551" s="120">
        <v>17138</v>
      </c>
    </row>
    <row r="552" spans="2:12" outlineLevel="2">
      <c r="B552" s="40">
        <f t="shared" si="21"/>
        <v>90</v>
      </c>
      <c r="C552" s="41" t="s">
        <v>8</v>
      </c>
      <c r="D552" s="41" t="s">
        <v>196</v>
      </c>
      <c r="E552" s="218">
        <v>159169</v>
      </c>
      <c r="F552" s="227" t="s">
        <v>172</v>
      </c>
      <c r="G552" s="226">
        <v>31959</v>
      </c>
      <c r="H552" s="41"/>
      <c r="I552" s="212">
        <v>44952</v>
      </c>
      <c r="J552" s="41"/>
      <c r="K552" s="213">
        <v>34</v>
      </c>
      <c r="L552" s="120">
        <v>17142</v>
      </c>
    </row>
    <row r="553" spans="2:12" outlineLevel="2">
      <c r="B553" s="40">
        <f t="shared" si="21"/>
        <v>91</v>
      </c>
      <c r="C553" s="41" t="s">
        <v>8</v>
      </c>
      <c r="D553" s="41" t="s">
        <v>196</v>
      </c>
      <c r="E553" s="216">
        <v>510328</v>
      </c>
      <c r="F553" s="216" t="s">
        <v>172</v>
      </c>
      <c r="G553" s="223">
        <v>15462</v>
      </c>
      <c r="H553" s="41"/>
      <c r="I553" s="212">
        <v>44971</v>
      </c>
      <c r="J553" s="41"/>
      <c r="K553" s="248" t="s">
        <v>197</v>
      </c>
      <c r="L553" s="120">
        <v>17804</v>
      </c>
    </row>
    <row r="554" spans="2:12" outlineLevel="2">
      <c r="B554" s="40">
        <f t="shared" si="21"/>
        <v>92</v>
      </c>
      <c r="C554" s="41" t="s">
        <v>8</v>
      </c>
      <c r="D554" s="41" t="s">
        <v>196</v>
      </c>
      <c r="E554" s="216">
        <v>175897</v>
      </c>
      <c r="F554" s="216" t="s">
        <v>172</v>
      </c>
      <c r="G554" s="223">
        <v>31717</v>
      </c>
      <c r="H554" s="41"/>
      <c r="I554" s="212">
        <v>44957</v>
      </c>
      <c r="J554" s="41"/>
      <c r="K554" s="120">
        <v>44</v>
      </c>
      <c r="L554" s="120">
        <v>17840</v>
      </c>
    </row>
    <row r="555" spans="2:12" outlineLevel="2">
      <c r="B555" s="40">
        <f t="shared" si="21"/>
        <v>93</v>
      </c>
      <c r="C555" s="41" t="s">
        <v>8</v>
      </c>
      <c r="D555" s="41" t="s">
        <v>196</v>
      </c>
      <c r="E555" s="216">
        <v>180010</v>
      </c>
      <c r="F555" s="216" t="s">
        <v>172</v>
      </c>
      <c r="G555" s="223">
        <v>31837</v>
      </c>
      <c r="H555" s="41"/>
      <c r="I555" s="212">
        <v>44972</v>
      </c>
      <c r="J555" s="41"/>
      <c r="K555" s="120">
        <v>26</v>
      </c>
      <c r="L555" s="120">
        <v>17848</v>
      </c>
    </row>
    <row r="556" spans="2:12" outlineLevel="2">
      <c r="B556" s="40">
        <f t="shared" si="21"/>
        <v>94</v>
      </c>
      <c r="C556" s="41" t="s">
        <v>8</v>
      </c>
      <c r="D556" s="41" t="s">
        <v>196</v>
      </c>
      <c r="E556" s="216">
        <v>8430647</v>
      </c>
      <c r="F556" s="216" t="s">
        <v>172</v>
      </c>
      <c r="G556" s="223">
        <v>30926</v>
      </c>
      <c r="H556" s="41"/>
      <c r="I556" s="212">
        <v>44952</v>
      </c>
      <c r="J556" s="41"/>
      <c r="K556" s="248" t="s">
        <v>197</v>
      </c>
      <c r="L556" s="120">
        <v>17889</v>
      </c>
    </row>
    <row r="557" spans="2:12" outlineLevel="2">
      <c r="B557" s="40">
        <f t="shared" si="21"/>
        <v>95</v>
      </c>
      <c r="C557" s="41" t="s">
        <v>8</v>
      </c>
      <c r="D557" s="41" t="s">
        <v>196</v>
      </c>
      <c r="E557" s="216">
        <v>8430715</v>
      </c>
      <c r="F557" s="216" t="s">
        <v>172</v>
      </c>
      <c r="G557" s="223">
        <v>30926</v>
      </c>
      <c r="H557" s="41"/>
      <c r="I557" s="212">
        <v>44972</v>
      </c>
      <c r="J557" s="41"/>
      <c r="K557" s="120">
        <v>41</v>
      </c>
      <c r="L557" s="120">
        <v>17894</v>
      </c>
    </row>
    <row r="558" spans="2:12" outlineLevel="2">
      <c r="B558" s="40">
        <f t="shared" si="21"/>
        <v>96</v>
      </c>
      <c r="C558" s="41" t="s">
        <v>8</v>
      </c>
      <c r="D558" s="41" t="s">
        <v>196</v>
      </c>
      <c r="E558" s="216">
        <v>176942</v>
      </c>
      <c r="F558" s="228" t="s">
        <v>172</v>
      </c>
      <c r="G558" s="223">
        <v>31778</v>
      </c>
      <c r="H558" s="41"/>
      <c r="I558" s="211">
        <v>44988</v>
      </c>
      <c r="J558" s="41"/>
      <c r="K558" s="241">
        <v>8</v>
      </c>
      <c r="L558" s="120">
        <v>18546</v>
      </c>
    </row>
    <row r="559" spans="2:12" outlineLevel="2">
      <c r="B559" s="40">
        <f t="shared" si="21"/>
        <v>97</v>
      </c>
      <c r="C559" s="41" t="s">
        <v>8</v>
      </c>
      <c r="D559" s="41" t="s">
        <v>196</v>
      </c>
      <c r="E559" s="216">
        <v>8823180</v>
      </c>
      <c r="F559" s="228" t="s">
        <v>172</v>
      </c>
      <c r="G559" s="223">
        <v>32234</v>
      </c>
      <c r="H559" s="41"/>
      <c r="I559" s="211">
        <v>44988</v>
      </c>
      <c r="J559" s="41"/>
      <c r="K559" s="241">
        <v>43</v>
      </c>
      <c r="L559" s="120">
        <v>18581</v>
      </c>
    </row>
    <row r="560" spans="2:12" outlineLevel="2">
      <c r="B560" s="40">
        <f t="shared" si="21"/>
        <v>98</v>
      </c>
      <c r="C560" s="41" t="s">
        <v>8</v>
      </c>
      <c r="D560" s="41" t="s">
        <v>196</v>
      </c>
      <c r="E560" s="216" t="s">
        <v>404</v>
      </c>
      <c r="F560" s="228" t="s">
        <v>172</v>
      </c>
      <c r="G560" s="224">
        <v>31717</v>
      </c>
      <c r="H560" s="41"/>
      <c r="I560" s="212">
        <v>44978</v>
      </c>
      <c r="J560" s="41"/>
      <c r="K560" s="248" t="s">
        <v>197</v>
      </c>
      <c r="L560" s="120">
        <v>19089</v>
      </c>
    </row>
    <row r="561" spans="2:12" outlineLevel="2">
      <c r="B561" s="40">
        <f t="shared" si="21"/>
        <v>99</v>
      </c>
      <c r="C561" s="41" t="s">
        <v>8</v>
      </c>
      <c r="D561" s="41" t="s">
        <v>196</v>
      </c>
      <c r="E561" s="216">
        <v>7906</v>
      </c>
      <c r="F561" s="216" t="s">
        <v>172</v>
      </c>
      <c r="G561" s="224">
        <v>30133</v>
      </c>
      <c r="H561" s="41"/>
      <c r="I561" s="212">
        <v>44978</v>
      </c>
      <c r="J561" s="41"/>
      <c r="K561" s="120">
        <v>38</v>
      </c>
      <c r="L561" s="120">
        <v>19090</v>
      </c>
    </row>
    <row r="562" spans="2:12" outlineLevel="2">
      <c r="B562" s="40">
        <f t="shared" si="21"/>
        <v>100</v>
      </c>
      <c r="C562" s="41" t="s">
        <v>8</v>
      </c>
      <c r="D562" s="41" t="s">
        <v>196</v>
      </c>
      <c r="E562" s="216" t="s">
        <v>405</v>
      </c>
      <c r="F562" s="216" t="s">
        <v>172</v>
      </c>
      <c r="G562" s="223">
        <v>31717</v>
      </c>
      <c r="H562" s="41"/>
      <c r="I562" s="212">
        <v>44994</v>
      </c>
      <c r="J562" s="41"/>
      <c r="K562" s="120">
        <v>37</v>
      </c>
      <c r="L562" s="120">
        <v>19101</v>
      </c>
    </row>
    <row r="563" spans="2:12" outlineLevel="2">
      <c r="B563" s="40">
        <f t="shared" si="21"/>
        <v>101</v>
      </c>
      <c r="C563" s="41" t="s">
        <v>8</v>
      </c>
      <c r="D563" s="41" t="s">
        <v>196</v>
      </c>
      <c r="E563" s="216">
        <v>151526</v>
      </c>
      <c r="F563" s="216" t="s">
        <v>172</v>
      </c>
      <c r="G563" s="224">
        <v>31594</v>
      </c>
      <c r="H563" s="41"/>
      <c r="I563" s="212">
        <v>44995</v>
      </c>
      <c r="J563" s="41"/>
      <c r="K563" s="120">
        <v>38</v>
      </c>
      <c r="L563" s="120">
        <v>19165</v>
      </c>
    </row>
    <row r="564" spans="2:12" outlineLevel="2">
      <c r="B564" s="40">
        <f t="shared" si="21"/>
        <v>102</v>
      </c>
      <c r="C564" s="41" t="s">
        <v>8</v>
      </c>
      <c r="D564" s="41" t="s">
        <v>196</v>
      </c>
      <c r="E564" s="216">
        <v>183509</v>
      </c>
      <c r="F564" s="216" t="s">
        <v>172</v>
      </c>
      <c r="G564" s="224">
        <v>31898</v>
      </c>
      <c r="H564" s="41"/>
      <c r="I564" s="212">
        <v>44984</v>
      </c>
      <c r="J564" s="41"/>
      <c r="K564" s="120">
        <v>38</v>
      </c>
      <c r="L564" s="120">
        <v>19179</v>
      </c>
    </row>
    <row r="565" spans="2:12" outlineLevel="2">
      <c r="B565" s="40">
        <f t="shared" si="21"/>
        <v>103</v>
      </c>
      <c r="C565" s="41" t="s">
        <v>8</v>
      </c>
      <c r="D565" s="41" t="s">
        <v>196</v>
      </c>
      <c r="E565" s="216">
        <v>15829</v>
      </c>
      <c r="F565" s="216" t="s">
        <v>172</v>
      </c>
      <c r="G565" s="224">
        <v>29099</v>
      </c>
      <c r="H565" s="41"/>
      <c r="I565" s="212">
        <v>45042</v>
      </c>
      <c r="J565" s="41"/>
      <c r="K565" s="120">
        <v>41</v>
      </c>
      <c r="L565" s="120">
        <v>21460</v>
      </c>
    </row>
    <row r="566" spans="2:12" outlineLevel="2">
      <c r="B566" s="40">
        <f t="shared" si="21"/>
        <v>104</v>
      </c>
      <c r="C566" s="41" t="s">
        <v>8</v>
      </c>
      <c r="D566" s="41" t="s">
        <v>196</v>
      </c>
      <c r="E566" s="216" t="s">
        <v>406</v>
      </c>
      <c r="F566" s="216" t="s">
        <v>172</v>
      </c>
      <c r="G566" s="223">
        <v>29099</v>
      </c>
      <c r="H566" s="41"/>
      <c r="I566" s="212">
        <v>45042</v>
      </c>
      <c r="J566" s="41"/>
      <c r="K566" s="120">
        <v>45</v>
      </c>
      <c r="L566" s="120">
        <v>21474</v>
      </c>
    </row>
    <row r="567" spans="2:12" outlineLevel="2">
      <c r="B567" s="40">
        <f t="shared" si="21"/>
        <v>105</v>
      </c>
      <c r="C567" s="41" t="s">
        <v>8</v>
      </c>
      <c r="D567" s="41" t="s">
        <v>196</v>
      </c>
      <c r="E567" s="216">
        <v>8435101</v>
      </c>
      <c r="F567" s="228" t="s">
        <v>172</v>
      </c>
      <c r="G567" s="223">
        <v>30682</v>
      </c>
      <c r="H567" s="41"/>
      <c r="I567" s="211">
        <v>45092</v>
      </c>
      <c r="J567" s="41"/>
      <c r="K567" s="241">
        <v>17</v>
      </c>
      <c r="L567" s="120">
        <v>21881</v>
      </c>
    </row>
    <row r="568" spans="2:12" outlineLevel="2">
      <c r="B568" s="40">
        <f t="shared" si="21"/>
        <v>106</v>
      </c>
      <c r="C568" s="41" t="s">
        <v>8</v>
      </c>
      <c r="D568" s="41" t="s">
        <v>196</v>
      </c>
      <c r="E568" s="216">
        <v>8822951</v>
      </c>
      <c r="F568" s="228" t="s">
        <v>172</v>
      </c>
      <c r="G568" s="223">
        <v>32234</v>
      </c>
      <c r="H568" s="41"/>
      <c r="I568" s="211">
        <v>45103</v>
      </c>
      <c r="J568" s="41"/>
      <c r="K568" s="248" t="s">
        <v>197</v>
      </c>
      <c r="L568" s="120">
        <v>21882</v>
      </c>
    </row>
    <row r="569" spans="2:12" outlineLevel="2">
      <c r="B569" s="40">
        <f t="shared" si="21"/>
        <v>107</v>
      </c>
      <c r="C569" s="41" t="s">
        <v>8</v>
      </c>
      <c r="D569" s="41" t="s">
        <v>196</v>
      </c>
      <c r="E569" s="216">
        <v>8823009</v>
      </c>
      <c r="F569" s="216" t="s">
        <v>172</v>
      </c>
      <c r="G569" s="224">
        <v>32234</v>
      </c>
      <c r="H569" s="41"/>
      <c r="I569" s="212">
        <v>45057</v>
      </c>
      <c r="J569" s="41"/>
      <c r="K569" s="120">
        <v>47</v>
      </c>
      <c r="L569" s="120">
        <v>22113</v>
      </c>
    </row>
    <row r="570" spans="2:12" outlineLevel="2">
      <c r="B570" s="40">
        <f t="shared" si="21"/>
        <v>108</v>
      </c>
      <c r="C570" s="41" t="s">
        <v>8</v>
      </c>
      <c r="D570" s="41" t="s">
        <v>196</v>
      </c>
      <c r="E570" s="216">
        <v>159229</v>
      </c>
      <c r="F570" s="216" t="s">
        <v>172</v>
      </c>
      <c r="G570" s="224">
        <v>31778</v>
      </c>
      <c r="H570" s="41"/>
      <c r="I570" s="212">
        <v>45042</v>
      </c>
      <c r="J570" s="41"/>
      <c r="K570" s="120">
        <v>21</v>
      </c>
      <c r="L570" s="120">
        <v>22122</v>
      </c>
    </row>
    <row r="571" spans="2:12" outlineLevel="2">
      <c r="B571" s="40">
        <f t="shared" si="21"/>
        <v>109</v>
      </c>
      <c r="C571" s="41" t="s">
        <v>8</v>
      </c>
      <c r="D571" s="41" t="s">
        <v>196</v>
      </c>
      <c r="E571" s="216" t="s">
        <v>407</v>
      </c>
      <c r="F571" s="216" t="s">
        <v>172</v>
      </c>
      <c r="G571" s="224">
        <v>31717</v>
      </c>
      <c r="H571" s="41"/>
      <c r="I571" s="212">
        <v>45068</v>
      </c>
      <c r="J571" s="41"/>
      <c r="K571" s="120">
        <v>27</v>
      </c>
      <c r="L571" s="120">
        <v>22125</v>
      </c>
    </row>
    <row r="572" spans="2:12" outlineLevel="2">
      <c r="B572" s="40">
        <f t="shared" si="21"/>
        <v>110</v>
      </c>
      <c r="C572" s="41" t="s">
        <v>8</v>
      </c>
      <c r="D572" s="41" t="s">
        <v>196</v>
      </c>
      <c r="E572" s="216">
        <v>714565</v>
      </c>
      <c r="F572" s="216" t="s">
        <v>172</v>
      </c>
      <c r="G572" s="224">
        <v>29373</v>
      </c>
      <c r="H572" s="41"/>
      <c r="I572" s="212">
        <v>45041</v>
      </c>
      <c r="J572" s="41"/>
      <c r="K572" s="120">
        <v>44</v>
      </c>
      <c r="L572" s="120">
        <v>22133</v>
      </c>
    </row>
    <row r="573" spans="2:12" outlineLevel="2">
      <c r="B573" s="40">
        <f t="shared" si="21"/>
        <v>111</v>
      </c>
      <c r="C573" s="41" t="s">
        <v>8</v>
      </c>
      <c r="D573" s="41" t="s">
        <v>196</v>
      </c>
      <c r="E573" s="216">
        <v>989816</v>
      </c>
      <c r="F573" s="228" t="s">
        <v>172</v>
      </c>
      <c r="G573" s="224">
        <v>32295</v>
      </c>
      <c r="H573" s="41"/>
      <c r="I573" s="211">
        <v>45061</v>
      </c>
      <c r="J573" s="41"/>
      <c r="K573" s="241">
        <v>33</v>
      </c>
      <c r="L573" s="120">
        <v>22459</v>
      </c>
    </row>
    <row r="574" spans="2:12" outlineLevel="2">
      <c r="B574" s="40">
        <f t="shared" si="21"/>
        <v>112</v>
      </c>
      <c r="C574" s="41" t="s">
        <v>8</v>
      </c>
      <c r="D574" s="41" t="s">
        <v>196</v>
      </c>
      <c r="E574" s="216">
        <v>8748406</v>
      </c>
      <c r="F574" s="228" t="s">
        <v>172</v>
      </c>
      <c r="G574" s="223">
        <v>31837</v>
      </c>
      <c r="H574" s="41"/>
      <c r="I574" s="211">
        <v>45061</v>
      </c>
      <c r="J574" s="41"/>
      <c r="K574" s="241">
        <v>29</v>
      </c>
      <c r="L574" s="120">
        <v>22479</v>
      </c>
    </row>
    <row r="575" spans="2:12" outlineLevel="2">
      <c r="B575" s="40">
        <f t="shared" si="21"/>
        <v>113</v>
      </c>
      <c r="C575" s="41" t="s">
        <v>8</v>
      </c>
      <c r="D575" s="41" t="s">
        <v>196</v>
      </c>
      <c r="E575" s="216">
        <v>135952</v>
      </c>
      <c r="F575" s="228" t="s">
        <v>172</v>
      </c>
      <c r="G575" s="223">
        <v>32112</v>
      </c>
      <c r="H575" s="41"/>
      <c r="I575" s="211">
        <v>45058</v>
      </c>
      <c r="J575" s="41"/>
      <c r="K575" s="241">
        <v>25</v>
      </c>
      <c r="L575" s="120">
        <v>22483</v>
      </c>
    </row>
    <row r="576" spans="2:12" outlineLevel="2">
      <c r="B576" s="40">
        <f t="shared" si="21"/>
        <v>114</v>
      </c>
      <c r="C576" s="41" t="s">
        <v>8</v>
      </c>
      <c r="D576" s="41" t="s">
        <v>196</v>
      </c>
      <c r="E576" s="216" t="s">
        <v>408</v>
      </c>
      <c r="F576" s="228" t="s">
        <v>172</v>
      </c>
      <c r="G576" s="223">
        <v>31564</v>
      </c>
      <c r="H576" s="41"/>
      <c r="I576" s="211">
        <v>45058</v>
      </c>
      <c r="J576" s="41"/>
      <c r="K576" s="241">
        <v>34</v>
      </c>
      <c r="L576" s="120">
        <v>22484</v>
      </c>
    </row>
    <row r="577" spans="2:12" outlineLevel="2">
      <c r="B577" s="40">
        <f t="shared" si="21"/>
        <v>115</v>
      </c>
      <c r="C577" s="41" t="s">
        <v>8</v>
      </c>
      <c r="D577" s="41" t="s">
        <v>196</v>
      </c>
      <c r="E577" s="216">
        <v>8853820</v>
      </c>
      <c r="F577" s="228" t="s">
        <v>172</v>
      </c>
      <c r="G577" s="223">
        <v>32264</v>
      </c>
      <c r="H577" s="41"/>
      <c r="I577" s="211">
        <v>45058</v>
      </c>
      <c r="J577" s="41"/>
      <c r="K577" s="241">
        <v>17</v>
      </c>
      <c r="L577" s="120">
        <v>22488</v>
      </c>
    </row>
    <row r="578" spans="2:12" outlineLevel="2">
      <c r="B578" s="40">
        <f t="shared" si="21"/>
        <v>116</v>
      </c>
      <c r="C578" s="41" t="s">
        <v>8</v>
      </c>
      <c r="D578" s="41" t="s">
        <v>196</v>
      </c>
      <c r="E578" s="216">
        <v>8720758</v>
      </c>
      <c r="F578" s="216" t="s">
        <v>172</v>
      </c>
      <c r="G578" s="224">
        <v>31898</v>
      </c>
      <c r="H578" s="41"/>
      <c r="I578" s="212">
        <v>45078</v>
      </c>
      <c r="J578" s="41"/>
      <c r="K578" s="120">
        <v>49</v>
      </c>
      <c r="L578" s="242">
        <v>22836</v>
      </c>
    </row>
    <row r="579" spans="2:12" outlineLevel="2">
      <c r="B579" s="40">
        <f t="shared" si="21"/>
        <v>117</v>
      </c>
      <c r="C579" s="41" t="s">
        <v>8</v>
      </c>
      <c r="D579" s="41" t="s">
        <v>196</v>
      </c>
      <c r="E579" s="216">
        <v>16484</v>
      </c>
      <c r="F579" s="216" t="s">
        <v>172</v>
      </c>
      <c r="G579" s="223">
        <v>32478</v>
      </c>
      <c r="H579" s="41"/>
      <c r="I579" s="212">
        <v>45065</v>
      </c>
      <c r="J579" s="41"/>
      <c r="K579" s="120">
        <v>27</v>
      </c>
      <c r="L579" s="242">
        <v>22937</v>
      </c>
    </row>
    <row r="580" spans="2:12" outlineLevel="2">
      <c r="B580" s="40">
        <f t="shared" si="21"/>
        <v>118</v>
      </c>
      <c r="C580" s="41" t="s">
        <v>8</v>
      </c>
      <c r="D580" s="41" t="s">
        <v>196</v>
      </c>
      <c r="E580" s="216">
        <v>158859</v>
      </c>
      <c r="F580" s="216" t="s">
        <v>172</v>
      </c>
      <c r="G580" s="216">
        <v>31778</v>
      </c>
      <c r="H580" s="41"/>
      <c r="I580" s="212">
        <v>45068</v>
      </c>
      <c r="J580" s="41"/>
      <c r="K580" s="120">
        <v>8</v>
      </c>
      <c r="L580" s="242">
        <v>23029</v>
      </c>
    </row>
    <row r="581" spans="2:12" outlineLevel="2">
      <c r="B581" s="40">
        <f t="shared" si="21"/>
        <v>119</v>
      </c>
      <c r="C581" s="41" t="s">
        <v>8</v>
      </c>
      <c r="D581" s="41" t="s">
        <v>196</v>
      </c>
      <c r="E581" s="216">
        <v>8823221</v>
      </c>
      <c r="F581" s="216" t="s">
        <v>172</v>
      </c>
      <c r="G581" s="223">
        <v>32234</v>
      </c>
      <c r="H581" s="41"/>
      <c r="I581" s="212">
        <v>45068</v>
      </c>
      <c r="J581" s="41"/>
      <c r="K581" s="120">
        <v>41</v>
      </c>
      <c r="L581" s="242">
        <v>23031</v>
      </c>
    </row>
    <row r="582" spans="2:12" outlineLevel="2">
      <c r="B582" s="40">
        <f t="shared" si="21"/>
        <v>120</v>
      </c>
      <c r="C582" s="41" t="s">
        <v>8</v>
      </c>
      <c r="D582" s="41" t="s">
        <v>196</v>
      </c>
      <c r="E582" s="216">
        <v>8430611</v>
      </c>
      <c r="F582" s="216" t="s">
        <v>172</v>
      </c>
      <c r="G582" s="223">
        <v>30926</v>
      </c>
      <c r="H582" s="41"/>
      <c r="I582" s="212">
        <v>45068</v>
      </c>
      <c r="J582" s="41"/>
      <c r="K582" s="120">
        <v>25</v>
      </c>
      <c r="L582" s="242">
        <v>23032</v>
      </c>
    </row>
    <row r="583" spans="2:12" outlineLevel="2">
      <c r="B583" s="40">
        <f t="shared" si="21"/>
        <v>121</v>
      </c>
      <c r="C583" s="41" t="s">
        <v>8</v>
      </c>
      <c r="D583" s="41" t="s">
        <v>196</v>
      </c>
      <c r="E583" s="216">
        <v>8430587</v>
      </c>
      <c r="F583" s="216" t="s">
        <v>172</v>
      </c>
      <c r="G583" s="223">
        <v>32021</v>
      </c>
      <c r="H583" s="41"/>
      <c r="I583" s="212">
        <v>45063</v>
      </c>
      <c r="J583" s="41"/>
      <c r="K583" s="120">
        <v>45</v>
      </c>
      <c r="L583" s="242">
        <v>23170</v>
      </c>
    </row>
    <row r="584" spans="2:12" outlineLevel="2">
      <c r="B584" s="40">
        <f t="shared" si="21"/>
        <v>122</v>
      </c>
      <c r="C584" s="41" t="s">
        <v>8</v>
      </c>
      <c r="D584" s="41" t="s">
        <v>196</v>
      </c>
      <c r="E584" s="216">
        <v>105050</v>
      </c>
      <c r="F584" s="216" t="s">
        <v>172</v>
      </c>
      <c r="G584" s="229">
        <v>15462</v>
      </c>
      <c r="H584" s="41"/>
      <c r="I584" s="212">
        <v>45084</v>
      </c>
      <c r="J584" s="41"/>
      <c r="K584" s="248" t="s">
        <v>197</v>
      </c>
      <c r="L584" s="242">
        <v>23523</v>
      </c>
    </row>
    <row r="585" spans="2:12" outlineLevel="2">
      <c r="B585" s="40">
        <f t="shared" si="21"/>
        <v>123</v>
      </c>
      <c r="C585" s="41" t="s">
        <v>8</v>
      </c>
      <c r="D585" s="41" t="s">
        <v>196</v>
      </c>
      <c r="E585" s="216">
        <v>135063</v>
      </c>
      <c r="F585" s="216" t="s">
        <v>172</v>
      </c>
      <c r="G585" s="230">
        <v>31778</v>
      </c>
      <c r="H585" s="41"/>
      <c r="I585" s="212">
        <v>45099</v>
      </c>
      <c r="J585" s="41"/>
      <c r="K585" s="120">
        <v>17</v>
      </c>
      <c r="L585" s="242">
        <v>24531</v>
      </c>
    </row>
    <row r="586" spans="2:12" outlineLevel="2">
      <c r="B586" s="40">
        <f t="shared" si="21"/>
        <v>124</v>
      </c>
      <c r="C586" s="41" t="s">
        <v>8</v>
      </c>
      <c r="D586" s="41" t="s">
        <v>196</v>
      </c>
      <c r="E586" s="219">
        <v>88969</v>
      </c>
      <c r="F586" s="215">
        <v>79321</v>
      </c>
      <c r="G586" s="222">
        <v>31717</v>
      </c>
      <c r="H586" s="41"/>
      <c r="I586" s="238">
        <v>45103</v>
      </c>
      <c r="J586" s="41"/>
      <c r="K586" s="241">
        <v>12</v>
      </c>
      <c r="L586" s="244">
        <v>25122</v>
      </c>
    </row>
    <row r="587" spans="2:12" outlineLevel="2">
      <c r="B587" s="40">
        <f t="shared" si="21"/>
        <v>125</v>
      </c>
      <c r="C587" s="41" t="s">
        <v>8</v>
      </c>
      <c r="D587" s="41" t="s">
        <v>196</v>
      </c>
      <c r="E587" s="216">
        <v>85531</v>
      </c>
      <c r="F587" s="216" t="s">
        <v>172</v>
      </c>
      <c r="G587" s="223">
        <v>32325</v>
      </c>
      <c r="H587" s="41"/>
      <c r="I587" s="239">
        <v>45106</v>
      </c>
      <c r="J587" s="41"/>
      <c r="K587" s="120">
        <v>23</v>
      </c>
      <c r="L587" s="242">
        <v>25157</v>
      </c>
    </row>
    <row r="588" spans="2:12" outlineLevel="2">
      <c r="B588" s="40">
        <f t="shared" si="21"/>
        <v>126</v>
      </c>
      <c r="C588" s="41" t="s">
        <v>8</v>
      </c>
      <c r="D588" s="41" t="s">
        <v>196</v>
      </c>
      <c r="E588" s="209">
        <v>33043</v>
      </c>
      <c r="F588" s="209" t="s">
        <v>172</v>
      </c>
      <c r="G588" s="226">
        <v>28034</v>
      </c>
      <c r="H588" s="41"/>
      <c r="I588" s="212">
        <v>45161</v>
      </c>
      <c r="J588" s="41"/>
      <c r="K588" s="120">
        <v>40</v>
      </c>
      <c r="L588" s="242">
        <v>26705</v>
      </c>
    </row>
    <row r="589" spans="2:12" outlineLevel="2">
      <c r="B589" s="40">
        <f t="shared" si="21"/>
        <v>127</v>
      </c>
      <c r="C589" s="41" t="s">
        <v>8</v>
      </c>
      <c r="D589" s="41" t="s">
        <v>196</v>
      </c>
      <c r="E589" s="209">
        <v>61592</v>
      </c>
      <c r="F589" s="209" t="s">
        <v>172</v>
      </c>
      <c r="G589" s="226">
        <v>29587</v>
      </c>
      <c r="H589" s="41"/>
      <c r="I589" s="212">
        <v>45161</v>
      </c>
      <c r="J589" s="41"/>
      <c r="K589" s="120">
        <v>12</v>
      </c>
      <c r="L589" s="242">
        <v>26713</v>
      </c>
    </row>
    <row r="590" spans="2:12" outlineLevel="2">
      <c r="B590" s="40">
        <f t="shared" si="21"/>
        <v>128</v>
      </c>
      <c r="C590" s="41" t="s">
        <v>8</v>
      </c>
      <c r="D590" s="41" t="s">
        <v>196</v>
      </c>
      <c r="E590" s="209">
        <v>56737</v>
      </c>
      <c r="F590" s="209" t="s">
        <v>172</v>
      </c>
      <c r="G590" s="226">
        <v>31809</v>
      </c>
      <c r="H590" s="41"/>
      <c r="I590" s="212">
        <v>45161</v>
      </c>
      <c r="J590" s="41"/>
      <c r="K590" s="120">
        <v>35</v>
      </c>
      <c r="L590" s="242">
        <v>26716</v>
      </c>
    </row>
    <row r="591" spans="2:12" outlineLevel="2">
      <c r="B591" s="40">
        <f t="shared" si="21"/>
        <v>129</v>
      </c>
      <c r="C591" s="41" t="s">
        <v>8</v>
      </c>
      <c r="D591" s="41" t="s">
        <v>196</v>
      </c>
      <c r="E591" s="220" t="s">
        <v>409</v>
      </c>
      <c r="F591" s="231" t="s">
        <v>172</v>
      </c>
      <c r="G591" s="232">
        <v>31717</v>
      </c>
      <c r="H591" s="41"/>
      <c r="I591" s="211">
        <v>45169</v>
      </c>
      <c r="J591" s="41"/>
      <c r="K591" s="241">
        <v>25</v>
      </c>
      <c r="L591" s="244">
        <v>26804</v>
      </c>
    </row>
    <row r="592" spans="2:12" outlineLevel="2">
      <c r="B592" s="40">
        <f t="shared" si="21"/>
        <v>130</v>
      </c>
      <c r="C592" s="41" t="s">
        <v>8</v>
      </c>
      <c r="D592" s="41" t="s">
        <v>196</v>
      </c>
      <c r="E592" s="220">
        <v>44600</v>
      </c>
      <c r="F592" s="231" t="s">
        <v>172</v>
      </c>
      <c r="G592" s="232">
        <v>28491</v>
      </c>
      <c r="H592" s="41"/>
      <c r="I592" s="211">
        <v>45169</v>
      </c>
      <c r="J592" s="41"/>
      <c r="K592" s="241">
        <v>32</v>
      </c>
      <c r="L592" s="244">
        <v>26808</v>
      </c>
    </row>
    <row r="593" spans="2:12" outlineLevel="2">
      <c r="B593" s="40">
        <f t="shared" ref="B593:B656" si="22">ROW(A131)</f>
        <v>131</v>
      </c>
      <c r="C593" s="41" t="s">
        <v>8</v>
      </c>
      <c r="D593" s="41" t="s">
        <v>196</v>
      </c>
      <c r="E593" s="209">
        <v>8412875</v>
      </c>
      <c r="F593" s="209" t="s">
        <v>172</v>
      </c>
      <c r="G593" s="226">
        <v>31048</v>
      </c>
      <c r="H593" s="41"/>
      <c r="I593" s="212">
        <v>45175</v>
      </c>
      <c r="J593" s="41"/>
      <c r="K593" s="120">
        <v>25</v>
      </c>
      <c r="L593" s="242">
        <v>26911</v>
      </c>
    </row>
    <row r="594" spans="2:12" outlineLevel="2">
      <c r="B594" s="40">
        <f t="shared" si="22"/>
        <v>132</v>
      </c>
      <c r="C594" s="41" t="s">
        <v>8</v>
      </c>
      <c r="D594" s="41" t="s">
        <v>196</v>
      </c>
      <c r="E594" s="209">
        <v>47994</v>
      </c>
      <c r="F594" s="209" t="s">
        <v>172</v>
      </c>
      <c r="G594" s="226">
        <v>31686</v>
      </c>
      <c r="H594" s="41"/>
      <c r="I594" s="212">
        <v>45175</v>
      </c>
      <c r="J594" s="41"/>
      <c r="K594" s="120">
        <v>32</v>
      </c>
      <c r="L594" s="242">
        <v>26920</v>
      </c>
    </row>
    <row r="595" spans="2:12" outlineLevel="2">
      <c r="B595" s="40">
        <f t="shared" si="22"/>
        <v>133</v>
      </c>
      <c r="C595" s="41" t="s">
        <v>8</v>
      </c>
      <c r="D595" s="41" t="s">
        <v>196</v>
      </c>
      <c r="E595" s="221">
        <v>22975</v>
      </c>
      <c r="F595" s="231" t="s">
        <v>172</v>
      </c>
      <c r="G595" s="233">
        <v>32234</v>
      </c>
      <c r="H595" s="41"/>
      <c r="I595" s="211">
        <v>45176</v>
      </c>
      <c r="J595" s="41"/>
      <c r="K595" s="241">
        <v>31</v>
      </c>
      <c r="L595" s="244">
        <v>26944</v>
      </c>
    </row>
    <row r="596" spans="2:12" outlineLevel="2">
      <c r="B596" s="40">
        <f t="shared" si="22"/>
        <v>134</v>
      </c>
      <c r="C596" s="41" t="s">
        <v>8</v>
      </c>
      <c r="D596" s="41" t="s">
        <v>196</v>
      </c>
      <c r="E596" s="221">
        <v>72117</v>
      </c>
      <c r="F596" s="231" t="s">
        <v>172</v>
      </c>
      <c r="G596" s="233">
        <v>30560</v>
      </c>
      <c r="H596" s="41"/>
      <c r="I596" s="211">
        <v>45175</v>
      </c>
      <c r="J596" s="41"/>
      <c r="K596" s="241">
        <v>12</v>
      </c>
      <c r="L596" s="244">
        <v>26949</v>
      </c>
    </row>
    <row r="597" spans="2:12" outlineLevel="2">
      <c r="B597" s="40">
        <f t="shared" si="22"/>
        <v>135</v>
      </c>
      <c r="C597" s="41" t="s">
        <v>8</v>
      </c>
      <c r="D597" s="41" t="s">
        <v>196</v>
      </c>
      <c r="E597" s="221">
        <v>8641241</v>
      </c>
      <c r="F597" s="231" t="s">
        <v>172</v>
      </c>
      <c r="G597" s="233">
        <v>31564</v>
      </c>
      <c r="H597" s="41"/>
      <c r="I597" s="211">
        <v>45175</v>
      </c>
      <c r="J597" s="41"/>
      <c r="K597" s="241">
        <v>29</v>
      </c>
      <c r="L597" s="244">
        <v>26951</v>
      </c>
    </row>
    <row r="598" spans="2:12" outlineLevel="2">
      <c r="B598" s="40">
        <f t="shared" si="22"/>
        <v>136</v>
      </c>
      <c r="C598" s="41" t="s">
        <v>8</v>
      </c>
      <c r="D598" s="41" t="s">
        <v>196</v>
      </c>
      <c r="E598" s="209">
        <v>15565</v>
      </c>
      <c r="F598" s="209" t="s">
        <v>172</v>
      </c>
      <c r="G598" s="226">
        <v>27211</v>
      </c>
      <c r="H598" s="41"/>
      <c r="I598" s="212">
        <v>45184</v>
      </c>
      <c r="J598" s="41"/>
      <c r="K598" s="120">
        <v>43</v>
      </c>
      <c r="L598" s="242">
        <v>27058</v>
      </c>
    </row>
    <row r="599" spans="2:12" outlineLevel="2">
      <c r="B599" s="40">
        <f t="shared" si="22"/>
        <v>137</v>
      </c>
      <c r="C599" s="41" t="s">
        <v>8</v>
      </c>
      <c r="D599" s="41" t="s">
        <v>196</v>
      </c>
      <c r="E599" s="209">
        <v>1223001</v>
      </c>
      <c r="F599" s="209">
        <v>99187</v>
      </c>
      <c r="G599" s="226">
        <v>18050</v>
      </c>
      <c r="H599" s="41"/>
      <c r="I599" s="212">
        <v>45196</v>
      </c>
      <c r="J599" s="41"/>
      <c r="K599" s="246" t="s">
        <v>199</v>
      </c>
      <c r="L599" s="120">
        <v>27412</v>
      </c>
    </row>
    <row r="600" spans="2:12" outlineLevel="2">
      <c r="B600" s="40">
        <f t="shared" si="22"/>
        <v>138</v>
      </c>
      <c r="C600" s="41" t="s">
        <v>8</v>
      </c>
      <c r="D600" s="41" t="s">
        <v>196</v>
      </c>
      <c r="E600" s="220">
        <v>8430570</v>
      </c>
      <c r="F600" s="231" t="s">
        <v>172</v>
      </c>
      <c r="G600" s="232">
        <v>30926</v>
      </c>
      <c r="H600" s="41"/>
      <c r="I600" s="211">
        <v>45195</v>
      </c>
      <c r="J600" s="41"/>
      <c r="K600" s="247">
        <v>48</v>
      </c>
      <c r="L600" s="241">
        <v>27541</v>
      </c>
    </row>
    <row r="601" spans="2:12" outlineLevel="2">
      <c r="B601" s="40">
        <f t="shared" si="22"/>
        <v>139</v>
      </c>
      <c r="C601" s="41" t="s">
        <v>8</v>
      </c>
      <c r="D601" s="41" t="s">
        <v>196</v>
      </c>
      <c r="E601" s="220">
        <v>6447</v>
      </c>
      <c r="F601" s="231" t="s">
        <v>172</v>
      </c>
      <c r="G601" s="232">
        <v>29556</v>
      </c>
      <c r="H601" s="41"/>
      <c r="I601" s="211">
        <v>45201</v>
      </c>
      <c r="J601" s="41"/>
      <c r="K601" s="247" t="s">
        <v>199</v>
      </c>
      <c r="L601" s="241">
        <v>27572</v>
      </c>
    </row>
    <row r="602" spans="2:12" outlineLevel="2">
      <c r="B602" s="40">
        <f t="shared" si="22"/>
        <v>140</v>
      </c>
      <c r="C602" s="41" t="s">
        <v>8</v>
      </c>
      <c r="D602" s="41" t="s">
        <v>196</v>
      </c>
      <c r="E602" s="220">
        <v>8420492</v>
      </c>
      <c r="F602" s="231" t="s">
        <v>172</v>
      </c>
      <c r="G602" s="232">
        <v>30864</v>
      </c>
      <c r="H602" s="41"/>
      <c r="I602" s="211">
        <v>45197</v>
      </c>
      <c r="J602" s="41"/>
      <c r="K602" s="247">
        <v>41</v>
      </c>
      <c r="L602" s="241">
        <v>27628</v>
      </c>
    </row>
    <row r="603" spans="2:12" outlineLevel="2">
      <c r="B603" s="40">
        <f t="shared" si="22"/>
        <v>141</v>
      </c>
      <c r="C603" s="41" t="s">
        <v>8</v>
      </c>
      <c r="D603" s="41" t="s">
        <v>196</v>
      </c>
      <c r="E603" s="209">
        <v>8710852</v>
      </c>
      <c r="F603" s="209" t="s">
        <v>172</v>
      </c>
      <c r="G603" s="226">
        <v>31717</v>
      </c>
      <c r="H603" s="41"/>
      <c r="I603" s="240">
        <v>45205</v>
      </c>
      <c r="J603" s="41"/>
      <c r="K603" s="248">
        <v>39</v>
      </c>
      <c r="L603" s="242">
        <v>27826</v>
      </c>
    </row>
    <row r="604" spans="2:12" outlineLevel="2">
      <c r="B604" s="40">
        <f t="shared" si="22"/>
        <v>142</v>
      </c>
      <c r="C604" s="41" t="s">
        <v>8</v>
      </c>
      <c r="D604" s="41" t="s">
        <v>196</v>
      </c>
      <c r="E604" s="220">
        <v>8748395</v>
      </c>
      <c r="F604" s="234" t="s">
        <v>172</v>
      </c>
      <c r="G604" s="235">
        <v>31837</v>
      </c>
      <c r="H604" s="41"/>
      <c r="I604" s="240">
        <v>45215</v>
      </c>
      <c r="J604" s="41"/>
      <c r="K604" s="248">
        <v>22</v>
      </c>
      <c r="L604" s="244">
        <v>27950</v>
      </c>
    </row>
    <row r="605" spans="2:12" outlineLevel="2">
      <c r="B605" s="40">
        <f t="shared" si="22"/>
        <v>143</v>
      </c>
      <c r="C605" s="41" t="s">
        <v>8</v>
      </c>
      <c r="D605" s="41" t="s">
        <v>196</v>
      </c>
      <c r="E605" s="221">
        <v>8822894</v>
      </c>
      <c r="F605" s="221" t="s">
        <v>172</v>
      </c>
      <c r="G605" s="232">
        <v>32234</v>
      </c>
      <c r="H605" s="41"/>
      <c r="I605" s="240">
        <v>45218</v>
      </c>
      <c r="J605" s="41"/>
      <c r="K605" s="248">
        <v>44</v>
      </c>
      <c r="L605" s="242">
        <v>28174</v>
      </c>
    </row>
    <row r="606" spans="2:12" outlineLevel="2">
      <c r="B606" s="40">
        <f t="shared" si="22"/>
        <v>144</v>
      </c>
      <c r="C606" s="41" t="s">
        <v>8</v>
      </c>
      <c r="D606" s="41" t="s">
        <v>196</v>
      </c>
      <c r="E606" s="221">
        <v>159192</v>
      </c>
      <c r="F606" s="221" t="s">
        <v>172</v>
      </c>
      <c r="G606" s="232">
        <v>31778</v>
      </c>
      <c r="H606" s="41"/>
      <c r="I606" s="240">
        <v>45218</v>
      </c>
      <c r="J606" s="41"/>
      <c r="K606" s="248">
        <v>12</v>
      </c>
      <c r="L606" s="242">
        <v>28175</v>
      </c>
    </row>
    <row r="607" spans="2:12" outlineLevel="2">
      <c r="B607" s="40">
        <f t="shared" si="22"/>
        <v>145</v>
      </c>
      <c r="C607" s="41" t="s">
        <v>8</v>
      </c>
      <c r="D607" s="41" t="s">
        <v>196</v>
      </c>
      <c r="E607" s="221" t="s">
        <v>410</v>
      </c>
      <c r="F607" s="221" t="s">
        <v>172</v>
      </c>
      <c r="G607" s="232">
        <v>32264</v>
      </c>
      <c r="H607" s="41"/>
      <c r="I607" s="240">
        <v>45218</v>
      </c>
      <c r="J607" s="41"/>
      <c r="K607" s="248">
        <v>39</v>
      </c>
      <c r="L607" s="242">
        <v>28177</v>
      </c>
    </row>
    <row r="608" spans="2:12" outlineLevel="2">
      <c r="B608" s="40">
        <f t="shared" si="22"/>
        <v>146</v>
      </c>
      <c r="C608" s="41" t="s">
        <v>8</v>
      </c>
      <c r="D608" s="41" t="s">
        <v>196</v>
      </c>
      <c r="E608" s="221">
        <v>8430572</v>
      </c>
      <c r="F608" s="221" t="s">
        <v>172</v>
      </c>
      <c r="G608" s="221">
        <v>30926</v>
      </c>
      <c r="H608" s="41"/>
      <c r="I608" s="240">
        <v>45218</v>
      </c>
      <c r="J608" s="41"/>
      <c r="K608" s="248">
        <v>40</v>
      </c>
      <c r="L608" s="242">
        <v>28183</v>
      </c>
    </row>
    <row r="609" spans="2:12" outlineLevel="2">
      <c r="B609" s="40">
        <f t="shared" si="22"/>
        <v>147</v>
      </c>
      <c r="C609" s="41" t="s">
        <v>8</v>
      </c>
      <c r="D609" s="41" t="s">
        <v>196</v>
      </c>
      <c r="E609" s="221">
        <v>8822898</v>
      </c>
      <c r="F609" s="221" t="s">
        <v>172</v>
      </c>
      <c r="G609" s="221">
        <v>32234</v>
      </c>
      <c r="H609" s="41"/>
      <c r="I609" s="240">
        <v>45271</v>
      </c>
      <c r="J609" s="41"/>
      <c r="K609" s="248">
        <v>47</v>
      </c>
      <c r="L609" s="241">
        <v>28811</v>
      </c>
    </row>
    <row r="610" spans="2:12" outlineLevel="2">
      <c r="B610" s="40">
        <f t="shared" si="22"/>
        <v>148</v>
      </c>
      <c r="C610" s="41" t="s">
        <v>8</v>
      </c>
      <c r="D610" s="41" t="s">
        <v>196</v>
      </c>
      <c r="E610" s="221">
        <v>6721</v>
      </c>
      <c r="F610" s="221" t="s">
        <v>172</v>
      </c>
      <c r="G610" s="232">
        <v>26238</v>
      </c>
      <c r="H610" s="41"/>
      <c r="I610" s="240">
        <v>45271</v>
      </c>
      <c r="J610" s="41"/>
      <c r="K610" s="248">
        <v>32</v>
      </c>
      <c r="L610" s="241">
        <v>28812</v>
      </c>
    </row>
    <row r="611" spans="2:12" outlineLevel="2">
      <c r="B611" s="40">
        <f t="shared" si="22"/>
        <v>149</v>
      </c>
      <c r="C611" s="41" t="s">
        <v>8</v>
      </c>
      <c r="D611" s="41" t="s">
        <v>196</v>
      </c>
      <c r="E611" s="221">
        <v>8751997</v>
      </c>
      <c r="F611" s="221" t="s">
        <v>172</v>
      </c>
      <c r="G611" s="232">
        <v>32112</v>
      </c>
      <c r="H611" s="41"/>
      <c r="I611" s="240">
        <v>45271</v>
      </c>
      <c r="J611" s="41"/>
      <c r="K611" s="248">
        <v>25</v>
      </c>
      <c r="L611" s="241">
        <v>28817</v>
      </c>
    </row>
    <row r="612" spans="2:12" outlineLevel="2">
      <c r="B612" s="40">
        <f t="shared" si="22"/>
        <v>150</v>
      </c>
      <c r="C612" s="41" t="s">
        <v>8</v>
      </c>
      <c r="D612" s="41" t="s">
        <v>196</v>
      </c>
      <c r="E612" s="221">
        <v>8430610</v>
      </c>
      <c r="F612" s="221" t="s">
        <v>172</v>
      </c>
      <c r="G612" s="232">
        <v>30956</v>
      </c>
      <c r="H612" s="41"/>
      <c r="I612" s="240">
        <v>45271</v>
      </c>
      <c r="J612" s="41"/>
      <c r="K612" s="248">
        <v>39</v>
      </c>
      <c r="L612" s="241">
        <v>28818</v>
      </c>
    </row>
    <row r="613" spans="2:12" outlineLevel="2">
      <c r="B613" s="40">
        <f t="shared" si="22"/>
        <v>151</v>
      </c>
      <c r="C613" s="41" t="s">
        <v>8</v>
      </c>
      <c r="D613" s="41" t="s">
        <v>196</v>
      </c>
      <c r="E613" s="220">
        <v>63075</v>
      </c>
      <c r="F613" s="231" t="s">
        <v>172</v>
      </c>
      <c r="G613" s="232">
        <v>30713</v>
      </c>
      <c r="H613" s="41"/>
      <c r="I613" s="240">
        <v>45272</v>
      </c>
      <c r="J613" s="41"/>
      <c r="K613" s="248">
        <v>13</v>
      </c>
      <c r="L613" s="244">
        <v>28872</v>
      </c>
    </row>
    <row r="614" spans="2:12" outlineLevel="2">
      <c r="B614" s="40">
        <f t="shared" si="22"/>
        <v>152</v>
      </c>
      <c r="C614" s="41" t="s">
        <v>8</v>
      </c>
      <c r="D614" s="41" t="s">
        <v>196</v>
      </c>
      <c r="E614" s="220">
        <v>136425</v>
      </c>
      <c r="F614" s="231" t="s">
        <v>172</v>
      </c>
      <c r="G614" s="232">
        <v>31444</v>
      </c>
      <c r="H614" s="41"/>
      <c r="I614" s="240">
        <v>45275</v>
      </c>
      <c r="J614" s="41"/>
      <c r="K614" s="248">
        <v>27</v>
      </c>
      <c r="L614" s="244">
        <v>28958</v>
      </c>
    </row>
    <row r="615" spans="2:12" outlineLevel="2">
      <c r="B615" s="40">
        <f t="shared" si="22"/>
        <v>153</v>
      </c>
      <c r="C615" s="41" t="s">
        <v>8</v>
      </c>
      <c r="D615" s="41" t="s">
        <v>196</v>
      </c>
      <c r="E615" s="221">
        <v>123107</v>
      </c>
      <c r="F615" s="231" t="s">
        <v>172</v>
      </c>
      <c r="G615" s="232">
        <v>31229</v>
      </c>
      <c r="H615" s="41"/>
      <c r="I615" s="240">
        <v>45275</v>
      </c>
      <c r="J615" s="41"/>
      <c r="K615" s="248">
        <v>21</v>
      </c>
      <c r="L615" s="244">
        <v>29016</v>
      </c>
    </row>
    <row r="616" spans="2:12" outlineLevel="2">
      <c r="B616" s="40">
        <f t="shared" si="22"/>
        <v>154</v>
      </c>
      <c r="C616" s="41" t="s">
        <v>8</v>
      </c>
      <c r="D616" s="41" t="s">
        <v>196</v>
      </c>
      <c r="E616" s="221">
        <v>8823052</v>
      </c>
      <c r="F616" s="231" t="s">
        <v>172</v>
      </c>
      <c r="G616" s="232">
        <v>32234</v>
      </c>
      <c r="H616" s="41"/>
      <c r="I616" s="240">
        <v>45275</v>
      </c>
      <c r="J616" s="41"/>
      <c r="K616" s="248">
        <v>45</v>
      </c>
      <c r="L616" s="244">
        <v>29074</v>
      </c>
    </row>
    <row r="617" spans="2:12" outlineLevel="2">
      <c r="B617" s="40">
        <f t="shared" si="22"/>
        <v>155</v>
      </c>
      <c r="C617" s="41" t="s">
        <v>8</v>
      </c>
      <c r="D617" s="41" t="s">
        <v>196</v>
      </c>
      <c r="E617" s="221">
        <v>8430640</v>
      </c>
      <c r="F617" s="221" t="s">
        <v>172</v>
      </c>
      <c r="G617" s="232">
        <v>30864</v>
      </c>
      <c r="H617" s="41"/>
      <c r="I617" s="240">
        <v>45306</v>
      </c>
      <c r="J617" s="41"/>
      <c r="K617" s="248">
        <v>30</v>
      </c>
      <c r="L617" s="244">
        <v>29465</v>
      </c>
    </row>
    <row r="618" spans="2:12" outlineLevel="2">
      <c r="B618" s="40">
        <f t="shared" si="22"/>
        <v>156</v>
      </c>
      <c r="C618" s="41" t="s">
        <v>8</v>
      </c>
      <c r="D618" s="41" t="s">
        <v>196</v>
      </c>
      <c r="E618" s="221">
        <v>8823150</v>
      </c>
      <c r="F618" s="221" t="s">
        <v>172</v>
      </c>
      <c r="G618" s="232">
        <v>32264</v>
      </c>
      <c r="H618" s="41"/>
      <c r="I618" s="240">
        <v>45306</v>
      </c>
      <c r="J618" s="41"/>
      <c r="K618" s="248">
        <v>39</v>
      </c>
      <c r="L618" s="244">
        <v>29469</v>
      </c>
    </row>
    <row r="619" spans="2:12" outlineLevel="2">
      <c r="B619" s="40">
        <f t="shared" si="22"/>
        <v>157</v>
      </c>
      <c r="C619" s="41" t="s">
        <v>8</v>
      </c>
      <c r="D619" s="41" t="s">
        <v>196</v>
      </c>
      <c r="E619" s="221">
        <v>39719</v>
      </c>
      <c r="F619" s="221" t="s">
        <v>172</v>
      </c>
      <c r="G619" s="232">
        <v>1970</v>
      </c>
      <c r="H619" s="41"/>
      <c r="I619" s="240">
        <v>45306</v>
      </c>
      <c r="J619" s="41"/>
      <c r="K619" s="248">
        <v>19</v>
      </c>
      <c r="L619" s="244">
        <v>29471</v>
      </c>
    </row>
    <row r="620" spans="2:12" outlineLevel="2">
      <c r="B620" s="40">
        <f t="shared" si="22"/>
        <v>158</v>
      </c>
      <c r="C620" s="41" t="s">
        <v>8</v>
      </c>
      <c r="D620" s="41" t="s">
        <v>196</v>
      </c>
      <c r="E620" s="221">
        <v>39689</v>
      </c>
      <c r="F620" s="231" t="s">
        <v>172</v>
      </c>
      <c r="G620" s="232">
        <v>31747</v>
      </c>
      <c r="H620" s="41"/>
      <c r="I620" s="240">
        <v>45315</v>
      </c>
      <c r="J620" s="41"/>
      <c r="K620" s="248">
        <v>41</v>
      </c>
      <c r="L620" s="244">
        <v>30211</v>
      </c>
    </row>
    <row r="621" spans="2:12" outlineLevel="2">
      <c r="B621" s="40">
        <f t="shared" si="22"/>
        <v>159</v>
      </c>
      <c r="C621" s="41" t="s">
        <v>8</v>
      </c>
      <c r="D621" s="41" t="s">
        <v>196</v>
      </c>
      <c r="E621" s="221">
        <v>159321</v>
      </c>
      <c r="F621" s="231" t="s">
        <v>172</v>
      </c>
      <c r="G621" s="232">
        <v>1987</v>
      </c>
      <c r="H621" s="41"/>
      <c r="I621" s="240">
        <v>45322</v>
      </c>
      <c r="J621" s="41"/>
      <c r="K621" s="248">
        <v>8</v>
      </c>
      <c r="L621" s="244">
        <v>30454</v>
      </c>
    </row>
    <row r="622" spans="2:12" outlineLevel="2">
      <c r="B622" s="40">
        <f t="shared" si="22"/>
        <v>160</v>
      </c>
      <c r="C622" s="41" t="s">
        <v>8</v>
      </c>
      <c r="D622" s="41" t="s">
        <v>196</v>
      </c>
      <c r="E622" s="221">
        <v>8822993</v>
      </c>
      <c r="F622" s="231" t="s">
        <v>172</v>
      </c>
      <c r="G622" s="232">
        <v>32234</v>
      </c>
      <c r="H622" s="41"/>
      <c r="I622" s="240">
        <v>45322</v>
      </c>
      <c r="J622" s="41"/>
      <c r="K622" s="248">
        <v>38</v>
      </c>
      <c r="L622" s="244">
        <v>30457</v>
      </c>
    </row>
    <row r="623" spans="2:12" outlineLevel="2">
      <c r="B623" s="40">
        <f t="shared" si="22"/>
        <v>161</v>
      </c>
      <c r="C623" s="41" t="s">
        <v>8</v>
      </c>
      <c r="D623" s="41" t="s">
        <v>196</v>
      </c>
      <c r="E623" s="221">
        <v>8332272</v>
      </c>
      <c r="F623" s="231" t="s">
        <v>172</v>
      </c>
      <c r="G623" s="232">
        <v>1983</v>
      </c>
      <c r="H623" s="41"/>
      <c r="I623" s="240">
        <v>45322</v>
      </c>
      <c r="J623" s="41"/>
      <c r="K623" s="248">
        <v>25</v>
      </c>
      <c r="L623" s="244">
        <v>30459</v>
      </c>
    </row>
    <row r="624" spans="2:12" outlineLevel="2">
      <c r="B624" s="40">
        <f t="shared" si="22"/>
        <v>162</v>
      </c>
      <c r="C624" s="41" t="s">
        <v>8</v>
      </c>
      <c r="D624" s="41" t="s">
        <v>196</v>
      </c>
      <c r="E624" s="221">
        <v>7915001</v>
      </c>
      <c r="F624" s="231" t="s">
        <v>172</v>
      </c>
      <c r="G624" s="232">
        <v>1979</v>
      </c>
      <c r="H624" s="41"/>
      <c r="I624" s="240">
        <v>45322</v>
      </c>
      <c r="J624" s="41"/>
      <c r="K624" s="248">
        <v>27</v>
      </c>
      <c r="L624" s="244">
        <v>30472</v>
      </c>
    </row>
    <row r="625" spans="2:12" outlineLevel="2">
      <c r="B625" s="40">
        <f t="shared" si="22"/>
        <v>163</v>
      </c>
      <c r="C625" s="41" t="s">
        <v>8</v>
      </c>
      <c r="D625" s="41" t="s">
        <v>196</v>
      </c>
      <c r="E625" s="221">
        <v>8823021</v>
      </c>
      <c r="F625" s="231" t="s">
        <v>172</v>
      </c>
      <c r="G625" s="232">
        <v>32234</v>
      </c>
      <c r="H625" s="41"/>
      <c r="I625" s="240">
        <v>45322</v>
      </c>
      <c r="J625" s="41"/>
      <c r="K625" s="248">
        <v>44</v>
      </c>
      <c r="L625" s="244">
        <v>30473</v>
      </c>
    </row>
    <row r="626" spans="2:12" outlineLevel="2">
      <c r="B626" s="40">
        <f t="shared" si="22"/>
        <v>164</v>
      </c>
      <c r="C626" s="41" t="s">
        <v>8</v>
      </c>
      <c r="D626" s="41" t="s">
        <v>196</v>
      </c>
      <c r="E626" s="221">
        <v>8823106</v>
      </c>
      <c r="F626" s="231" t="s">
        <v>172</v>
      </c>
      <c r="G626" s="232">
        <v>32264</v>
      </c>
      <c r="H626" s="41"/>
      <c r="I626" s="240">
        <v>45328</v>
      </c>
      <c r="J626" s="41"/>
      <c r="K626" s="248">
        <v>45</v>
      </c>
      <c r="L626" s="244">
        <v>30505</v>
      </c>
    </row>
    <row r="627" spans="2:12" outlineLevel="2">
      <c r="B627" s="40">
        <f t="shared" si="22"/>
        <v>165</v>
      </c>
      <c r="C627" s="41" t="s">
        <v>8</v>
      </c>
      <c r="D627" s="41" t="s">
        <v>196</v>
      </c>
      <c r="E627" s="221">
        <v>76019040</v>
      </c>
      <c r="F627" s="231" t="s">
        <v>172</v>
      </c>
      <c r="G627" s="232">
        <v>31533</v>
      </c>
      <c r="H627" s="41"/>
      <c r="I627" s="240">
        <v>45328</v>
      </c>
      <c r="J627" s="41"/>
      <c r="K627" s="248">
        <v>31</v>
      </c>
      <c r="L627" s="244">
        <v>30506</v>
      </c>
    </row>
    <row r="628" spans="2:12" outlineLevel="2">
      <c r="B628" s="40">
        <f t="shared" si="22"/>
        <v>166</v>
      </c>
      <c r="C628" s="41" t="s">
        <v>8</v>
      </c>
      <c r="D628" s="41" t="s">
        <v>196</v>
      </c>
      <c r="E628" s="220">
        <v>8748404</v>
      </c>
      <c r="F628" s="231" t="s">
        <v>172</v>
      </c>
      <c r="G628" s="232">
        <v>31837</v>
      </c>
      <c r="H628" s="41"/>
      <c r="I628" s="240">
        <v>45330</v>
      </c>
      <c r="J628" s="41"/>
      <c r="K628" s="248">
        <v>19</v>
      </c>
      <c r="L628" s="244">
        <v>30682</v>
      </c>
    </row>
    <row r="629" spans="2:12" outlineLevel="2">
      <c r="B629" s="40">
        <f t="shared" si="22"/>
        <v>167</v>
      </c>
      <c r="C629" s="41" t="s">
        <v>8</v>
      </c>
      <c r="D629" s="41" t="s">
        <v>196</v>
      </c>
      <c r="E629" s="220">
        <v>8537593</v>
      </c>
      <c r="F629" s="231" t="s">
        <v>172</v>
      </c>
      <c r="G629" s="232">
        <v>1985</v>
      </c>
      <c r="H629" s="41"/>
      <c r="I629" s="240">
        <v>45330</v>
      </c>
      <c r="J629" s="41"/>
      <c r="K629" s="248">
        <v>31</v>
      </c>
      <c r="L629" s="244">
        <v>30685</v>
      </c>
    </row>
    <row r="630" spans="2:12" outlineLevel="2">
      <c r="B630" s="40">
        <f t="shared" si="22"/>
        <v>168</v>
      </c>
      <c r="C630" s="41" t="s">
        <v>8</v>
      </c>
      <c r="D630" s="41" t="s">
        <v>196</v>
      </c>
      <c r="E630" s="220">
        <v>29539</v>
      </c>
      <c r="F630" s="231" t="s">
        <v>172</v>
      </c>
      <c r="G630" s="221">
        <v>29465</v>
      </c>
      <c r="H630" s="41"/>
      <c r="I630" s="240">
        <v>45330</v>
      </c>
      <c r="J630" s="41"/>
      <c r="K630" s="248">
        <v>40</v>
      </c>
      <c r="L630" s="244">
        <v>30686</v>
      </c>
    </row>
    <row r="631" spans="2:12" outlineLevel="2">
      <c r="B631" s="40">
        <f t="shared" si="22"/>
        <v>169</v>
      </c>
      <c r="C631" s="41" t="s">
        <v>8</v>
      </c>
      <c r="D631" s="41" t="s">
        <v>196</v>
      </c>
      <c r="E631" s="217">
        <v>24367</v>
      </c>
      <c r="F631" s="217" t="s">
        <v>172</v>
      </c>
      <c r="G631" s="222">
        <v>30437</v>
      </c>
      <c r="H631" s="41"/>
      <c r="I631" s="240">
        <v>45355</v>
      </c>
      <c r="J631" s="41"/>
      <c r="K631" s="248" t="s">
        <v>197</v>
      </c>
      <c r="L631" s="245">
        <v>30877</v>
      </c>
    </row>
    <row r="632" spans="2:12" outlineLevel="2">
      <c r="B632" s="40">
        <f t="shared" si="22"/>
        <v>170</v>
      </c>
      <c r="C632" s="41" t="s">
        <v>8</v>
      </c>
      <c r="D632" s="41" t="s">
        <v>196</v>
      </c>
      <c r="E632" s="217">
        <v>88679</v>
      </c>
      <c r="F632" s="217" t="s">
        <v>172</v>
      </c>
      <c r="G632" s="222">
        <v>30225</v>
      </c>
      <c r="H632" s="41"/>
      <c r="I632" s="240">
        <v>45356</v>
      </c>
      <c r="J632" s="41"/>
      <c r="K632" s="248">
        <v>27</v>
      </c>
      <c r="L632" s="244">
        <v>31023</v>
      </c>
    </row>
    <row r="633" spans="2:12" outlineLevel="2">
      <c r="B633" s="40">
        <f t="shared" si="22"/>
        <v>171</v>
      </c>
      <c r="C633" s="41" t="s">
        <v>8</v>
      </c>
      <c r="D633" s="41" t="s">
        <v>196</v>
      </c>
      <c r="E633" s="217">
        <v>8430645</v>
      </c>
      <c r="F633" s="217" t="s">
        <v>172</v>
      </c>
      <c r="G633" s="222">
        <v>30926</v>
      </c>
      <c r="H633" s="41"/>
      <c r="I633" s="240">
        <v>45356</v>
      </c>
      <c r="J633" s="41"/>
      <c r="K633" s="248">
        <v>41</v>
      </c>
      <c r="L633" s="244">
        <v>31046</v>
      </c>
    </row>
    <row r="634" spans="2:12" outlineLevel="2">
      <c r="B634" s="40">
        <f t="shared" si="22"/>
        <v>172</v>
      </c>
      <c r="C634" s="41" t="s">
        <v>8</v>
      </c>
      <c r="D634" s="41" t="s">
        <v>196</v>
      </c>
      <c r="E634" s="217">
        <v>8823110</v>
      </c>
      <c r="F634" s="217" t="s">
        <v>172</v>
      </c>
      <c r="G634" s="222">
        <v>32264</v>
      </c>
      <c r="H634" s="41"/>
      <c r="I634" s="240">
        <v>45356</v>
      </c>
      <c r="J634" s="41"/>
      <c r="K634" s="248">
        <v>35</v>
      </c>
      <c r="L634" s="244">
        <v>31047</v>
      </c>
    </row>
    <row r="635" spans="2:12" outlineLevel="2">
      <c r="B635" s="40">
        <f t="shared" si="22"/>
        <v>173</v>
      </c>
      <c r="C635" s="41" t="s">
        <v>8</v>
      </c>
      <c r="D635" s="41" t="s">
        <v>196</v>
      </c>
      <c r="E635" s="217" t="s">
        <v>411</v>
      </c>
      <c r="F635" s="217" t="s">
        <v>172</v>
      </c>
      <c r="G635" s="217">
        <v>1984</v>
      </c>
      <c r="H635" s="41"/>
      <c r="I635" s="240">
        <v>45356</v>
      </c>
      <c r="J635" s="41"/>
      <c r="K635" s="248">
        <v>33</v>
      </c>
      <c r="L635" s="245">
        <v>31048</v>
      </c>
    </row>
    <row r="636" spans="2:12" outlineLevel="2">
      <c r="B636" s="40">
        <f t="shared" si="22"/>
        <v>174</v>
      </c>
      <c r="C636" s="41" t="s">
        <v>8</v>
      </c>
      <c r="D636" s="41" t="s">
        <v>196</v>
      </c>
      <c r="E636" s="217">
        <v>159218</v>
      </c>
      <c r="F636" s="217" t="s">
        <v>172</v>
      </c>
      <c r="G636" s="222">
        <v>1987</v>
      </c>
      <c r="H636" s="41"/>
      <c r="I636" s="240">
        <v>45356</v>
      </c>
      <c r="J636" s="41"/>
      <c r="K636" s="248">
        <v>32</v>
      </c>
      <c r="L636" s="244">
        <v>31050</v>
      </c>
    </row>
    <row r="637" spans="2:12" outlineLevel="2">
      <c r="B637" s="40">
        <f t="shared" si="22"/>
        <v>175</v>
      </c>
      <c r="C637" s="41" t="s">
        <v>8</v>
      </c>
      <c r="D637" s="41" t="s">
        <v>196</v>
      </c>
      <c r="E637" s="217">
        <v>27475</v>
      </c>
      <c r="F637" s="217" t="s">
        <v>172</v>
      </c>
      <c r="G637" s="222">
        <v>32417</v>
      </c>
      <c r="H637" s="41"/>
      <c r="I637" s="240">
        <v>45356</v>
      </c>
      <c r="J637" s="41"/>
      <c r="K637" s="248">
        <v>6</v>
      </c>
      <c r="L637" s="245">
        <v>31051</v>
      </c>
    </row>
    <row r="638" spans="2:12" outlineLevel="2">
      <c r="B638" s="40">
        <f t="shared" si="22"/>
        <v>176</v>
      </c>
      <c r="C638" s="41" t="s">
        <v>8</v>
      </c>
      <c r="D638" s="41" t="s">
        <v>196</v>
      </c>
      <c r="E638" s="219">
        <v>2821</v>
      </c>
      <c r="F638" s="217" t="s">
        <v>172</v>
      </c>
      <c r="G638" s="217">
        <v>31929</v>
      </c>
      <c r="H638" s="41"/>
      <c r="I638" s="240">
        <v>45358</v>
      </c>
      <c r="J638" s="41"/>
      <c r="K638" s="248">
        <v>27</v>
      </c>
      <c r="L638" s="245">
        <v>31117</v>
      </c>
    </row>
    <row r="639" spans="2:12" outlineLevel="2">
      <c r="B639" s="40">
        <f t="shared" si="22"/>
        <v>177</v>
      </c>
      <c r="C639" s="41" t="s">
        <v>8</v>
      </c>
      <c r="D639" s="41" t="s">
        <v>196</v>
      </c>
      <c r="E639" s="219">
        <v>159310</v>
      </c>
      <c r="F639" s="217" t="s">
        <v>172</v>
      </c>
      <c r="G639" s="222">
        <v>31778</v>
      </c>
      <c r="H639" s="41"/>
      <c r="I639" s="240">
        <v>45358</v>
      </c>
      <c r="J639" s="41"/>
      <c r="K639" s="248">
        <v>21</v>
      </c>
      <c r="L639" s="244">
        <v>31128</v>
      </c>
    </row>
    <row r="640" spans="2:12" outlineLevel="2">
      <c r="B640" s="40">
        <f t="shared" si="22"/>
        <v>178</v>
      </c>
      <c r="C640" s="41" t="s">
        <v>8</v>
      </c>
      <c r="D640" s="41" t="s">
        <v>196</v>
      </c>
      <c r="E640" s="219">
        <v>159374</v>
      </c>
      <c r="F640" s="217" t="s">
        <v>172</v>
      </c>
      <c r="G640" s="222">
        <v>1987</v>
      </c>
      <c r="H640" s="41"/>
      <c r="I640" s="240">
        <v>45358</v>
      </c>
      <c r="J640" s="41"/>
      <c r="K640" s="248">
        <v>7</v>
      </c>
      <c r="L640" s="244">
        <v>31130</v>
      </c>
    </row>
    <row r="641" spans="2:12" outlineLevel="2">
      <c r="B641" s="40">
        <f t="shared" si="22"/>
        <v>179</v>
      </c>
      <c r="C641" s="41" t="s">
        <v>8</v>
      </c>
      <c r="D641" s="41" t="s">
        <v>196</v>
      </c>
      <c r="E641" s="219">
        <v>8419442</v>
      </c>
      <c r="F641" s="217" t="s">
        <v>172</v>
      </c>
      <c r="G641" s="222">
        <v>30834</v>
      </c>
      <c r="H641" s="41"/>
      <c r="I641" s="240">
        <v>45358</v>
      </c>
      <c r="J641" s="41"/>
      <c r="K641" s="248">
        <v>21</v>
      </c>
      <c r="L641" s="245">
        <v>31132</v>
      </c>
    </row>
    <row r="642" spans="2:12" outlineLevel="2">
      <c r="B642" s="40">
        <f t="shared" si="22"/>
        <v>180</v>
      </c>
      <c r="C642" s="41" t="s">
        <v>8</v>
      </c>
      <c r="D642" s="41" t="s">
        <v>196</v>
      </c>
      <c r="E642" s="219">
        <v>22448</v>
      </c>
      <c r="F642" s="217" t="s">
        <v>172</v>
      </c>
      <c r="G642" s="222">
        <v>31898</v>
      </c>
      <c r="H642" s="41"/>
      <c r="I642" s="240">
        <v>45358</v>
      </c>
      <c r="J642" s="41"/>
      <c r="K642" s="248">
        <v>19</v>
      </c>
      <c r="L642" s="244">
        <v>31133</v>
      </c>
    </row>
    <row r="643" spans="2:12" outlineLevel="2">
      <c r="B643" s="40">
        <f t="shared" si="22"/>
        <v>181</v>
      </c>
      <c r="C643" s="41" t="s">
        <v>8</v>
      </c>
      <c r="D643" s="41" t="s">
        <v>196</v>
      </c>
      <c r="E643" s="219">
        <v>13095</v>
      </c>
      <c r="F643" s="217" t="s">
        <v>172</v>
      </c>
      <c r="G643" s="222">
        <v>30376</v>
      </c>
      <c r="H643" s="41"/>
      <c r="I643" s="240">
        <v>45358</v>
      </c>
      <c r="J643" s="41"/>
      <c r="K643" s="248">
        <v>10</v>
      </c>
      <c r="L643" s="244">
        <v>31135</v>
      </c>
    </row>
    <row r="644" spans="2:12" outlineLevel="2">
      <c r="B644" s="40">
        <f t="shared" si="22"/>
        <v>182</v>
      </c>
      <c r="C644" s="41" t="s">
        <v>8</v>
      </c>
      <c r="D644" s="41" t="s">
        <v>196</v>
      </c>
      <c r="E644" s="217" t="s">
        <v>412</v>
      </c>
      <c r="F644" s="215" t="s">
        <v>172</v>
      </c>
      <c r="G644" s="222">
        <v>30164</v>
      </c>
      <c r="H644" s="41"/>
      <c r="I644" s="240">
        <v>45362</v>
      </c>
      <c r="J644" s="41"/>
      <c r="K644" s="248">
        <v>48</v>
      </c>
      <c r="L644" s="256">
        <v>31685</v>
      </c>
    </row>
    <row r="645" spans="2:12" outlineLevel="2">
      <c r="B645" s="40">
        <f t="shared" si="22"/>
        <v>183</v>
      </c>
      <c r="C645" s="41" t="s">
        <v>8</v>
      </c>
      <c r="D645" s="41" t="s">
        <v>196</v>
      </c>
      <c r="E645" s="217">
        <v>159102</v>
      </c>
      <c r="F645" s="215" t="s">
        <v>172</v>
      </c>
      <c r="G645" s="222">
        <v>31959</v>
      </c>
      <c r="H645" s="41"/>
      <c r="I645" s="240">
        <v>45362</v>
      </c>
      <c r="J645" s="41"/>
      <c r="K645" s="248">
        <v>21</v>
      </c>
      <c r="L645" s="241">
        <v>31688</v>
      </c>
    </row>
    <row r="646" spans="2:12" outlineLevel="2">
      <c r="B646" s="40">
        <f t="shared" si="22"/>
        <v>184</v>
      </c>
      <c r="C646" s="41" t="s">
        <v>8</v>
      </c>
      <c r="D646" s="41" t="s">
        <v>196</v>
      </c>
      <c r="E646" s="217">
        <v>20782</v>
      </c>
      <c r="F646" s="215" t="s">
        <v>172</v>
      </c>
      <c r="G646" s="222">
        <v>30195</v>
      </c>
      <c r="H646" s="41"/>
      <c r="I646" s="240">
        <v>45362</v>
      </c>
      <c r="J646" s="41"/>
      <c r="K646" s="248">
        <v>37</v>
      </c>
      <c r="L646" s="255">
        <v>31694</v>
      </c>
    </row>
    <row r="647" spans="2:12" outlineLevel="2">
      <c r="B647" s="40">
        <f t="shared" si="22"/>
        <v>185</v>
      </c>
      <c r="C647" s="41" t="s">
        <v>8</v>
      </c>
      <c r="D647" s="41" t="s">
        <v>196</v>
      </c>
      <c r="E647" s="217">
        <v>23827</v>
      </c>
      <c r="F647" s="215" t="s">
        <v>172</v>
      </c>
      <c r="G647" s="222">
        <v>30407</v>
      </c>
      <c r="H647" s="41"/>
      <c r="I647" s="240">
        <v>45362</v>
      </c>
      <c r="J647" s="41"/>
      <c r="K647" s="248" t="s">
        <v>197</v>
      </c>
      <c r="L647" s="241">
        <v>31695</v>
      </c>
    </row>
    <row r="648" spans="2:12" outlineLevel="2">
      <c r="B648" s="40">
        <f t="shared" si="22"/>
        <v>186</v>
      </c>
      <c r="C648" s="41" t="s">
        <v>8</v>
      </c>
      <c r="D648" s="41" t="s">
        <v>196</v>
      </c>
      <c r="E648" s="217" t="s">
        <v>413</v>
      </c>
      <c r="F648" s="215" t="s">
        <v>172</v>
      </c>
      <c r="G648" s="222">
        <v>30987</v>
      </c>
      <c r="H648" s="41"/>
      <c r="I648" s="240">
        <v>45363</v>
      </c>
      <c r="J648" s="41"/>
      <c r="K648" s="248">
        <v>42</v>
      </c>
      <c r="L648" s="241">
        <v>31745</v>
      </c>
    </row>
    <row r="649" spans="2:12" outlineLevel="2">
      <c r="B649" s="40">
        <f t="shared" si="22"/>
        <v>187</v>
      </c>
      <c r="C649" s="41" t="s">
        <v>8</v>
      </c>
      <c r="D649" s="41" t="s">
        <v>196</v>
      </c>
      <c r="E649" s="217">
        <v>52608</v>
      </c>
      <c r="F649" s="215" t="s">
        <v>172</v>
      </c>
      <c r="G649" s="222">
        <v>30864</v>
      </c>
      <c r="H649" s="41"/>
      <c r="I649" s="240">
        <v>45352</v>
      </c>
      <c r="J649" s="41"/>
      <c r="K649" s="248">
        <v>39</v>
      </c>
      <c r="L649" s="241">
        <v>31801</v>
      </c>
    </row>
    <row r="650" spans="2:12" outlineLevel="2">
      <c r="B650" s="40">
        <f t="shared" si="22"/>
        <v>188</v>
      </c>
      <c r="C650" s="41" t="s">
        <v>8</v>
      </c>
      <c r="D650" s="41" t="s">
        <v>196</v>
      </c>
      <c r="E650" s="217">
        <v>1100</v>
      </c>
      <c r="F650" s="215" t="s">
        <v>172</v>
      </c>
      <c r="G650" s="222">
        <v>31413</v>
      </c>
      <c r="H650" s="41"/>
      <c r="I650" s="240">
        <v>45352</v>
      </c>
      <c r="J650" s="41"/>
      <c r="K650" s="248">
        <v>41</v>
      </c>
      <c r="L650" s="241">
        <v>31807</v>
      </c>
    </row>
    <row r="651" spans="2:12" outlineLevel="2">
      <c r="B651" s="40">
        <f t="shared" si="22"/>
        <v>189</v>
      </c>
      <c r="C651" s="41" t="s">
        <v>8</v>
      </c>
      <c r="D651" s="41" t="s">
        <v>196</v>
      </c>
      <c r="E651" s="217">
        <v>15788</v>
      </c>
      <c r="F651" s="215" t="s">
        <v>172</v>
      </c>
      <c r="G651" s="222">
        <v>29007</v>
      </c>
      <c r="H651" s="41"/>
      <c r="I651" s="240">
        <v>45352</v>
      </c>
      <c r="J651" s="41"/>
      <c r="K651" s="248">
        <v>48</v>
      </c>
      <c r="L651" s="241">
        <v>31808</v>
      </c>
    </row>
    <row r="652" spans="2:12" outlineLevel="2">
      <c r="B652" s="40">
        <f t="shared" si="22"/>
        <v>190</v>
      </c>
      <c r="C652" s="41" t="s">
        <v>8</v>
      </c>
      <c r="D652" s="41" t="s">
        <v>196</v>
      </c>
      <c r="E652" s="217">
        <v>8626575</v>
      </c>
      <c r="F652" s="215" t="s">
        <v>172</v>
      </c>
      <c r="G652" s="222">
        <v>1986</v>
      </c>
      <c r="H652" s="41"/>
      <c r="I652" s="240">
        <v>45352</v>
      </c>
      <c r="J652" s="41"/>
      <c r="K652" s="248">
        <v>44</v>
      </c>
      <c r="L652" s="241">
        <v>31824</v>
      </c>
    </row>
    <row r="653" spans="2:12" outlineLevel="2">
      <c r="B653" s="40">
        <f t="shared" si="22"/>
        <v>191</v>
      </c>
      <c r="C653" s="41" t="s">
        <v>8</v>
      </c>
      <c r="D653" s="41" t="s">
        <v>196</v>
      </c>
      <c r="E653" s="217">
        <v>151261</v>
      </c>
      <c r="F653" s="215" t="s">
        <v>172</v>
      </c>
      <c r="G653" s="222">
        <v>1987</v>
      </c>
      <c r="H653" s="41"/>
      <c r="I653" s="240">
        <v>45350</v>
      </c>
      <c r="J653" s="41"/>
      <c r="K653" s="248">
        <v>31</v>
      </c>
      <c r="L653" s="241">
        <v>32056</v>
      </c>
    </row>
    <row r="654" spans="2:12" outlineLevel="2">
      <c r="B654" s="40">
        <f t="shared" si="22"/>
        <v>192</v>
      </c>
      <c r="C654" s="41" t="s">
        <v>8</v>
      </c>
      <c r="D654" s="41" t="s">
        <v>196</v>
      </c>
      <c r="E654" s="219">
        <v>7873</v>
      </c>
      <c r="F654" s="215" t="s">
        <v>172</v>
      </c>
      <c r="G654" s="236">
        <v>30133</v>
      </c>
      <c r="H654" s="41"/>
      <c r="I654" s="240">
        <v>45350</v>
      </c>
      <c r="J654" s="41"/>
      <c r="K654" s="248">
        <v>25</v>
      </c>
      <c r="L654" s="241">
        <v>32061</v>
      </c>
    </row>
    <row r="655" spans="2:12" outlineLevel="2">
      <c r="B655" s="40">
        <f t="shared" si="22"/>
        <v>193</v>
      </c>
      <c r="C655" s="41" t="s">
        <v>8</v>
      </c>
      <c r="D655" s="41" t="s">
        <v>196</v>
      </c>
      <c r="E655" s="219">
        <v>735887</v>
      </c>
      <c r="F655" s="215" t="s">
        <v>172</v>
      </c>
      <c r="G655" s="219">
        <v>31717</v>
      </c>
      <c r="H655" s="41"/>
      <c r="I655" s="240">
        <v>45350</v>
      </c>
      <c r="J655" s="41"/>
      <c r="K655" s="248">
        <v>41</v>
      </c>
      <c r="L655" s="241">
        <v>32064</v>
      </c>
    </row>
    <row r="656" spans="2:12" outlineLevel="2">
      <c r="B656" s="40">
        <f t="shared" si="22"/>
        <v>194</v>
      </c>
      <c r="C656" s="41" t="s">
        <v>8</v>
      </c>
      <c r="D656" s="41" t="s">
        <v>196</v>
      </c>
      <c r="E656" s="219">
        <v>28118</v>
      </c>
      <c r="F656" s="215" t="s">
        <v>172</v>
      </c>
      <c r="G656" s="222">
        <v>1983</v>
      </c>
      <c r="H656" s="41"/>
      <c r="I656" s="240">
        <v>45376</v>
      </c>
      <c r="J656" s="41"/>
      <c r="K656" s="248">
        <v>34</v>
      </c>
      <c r="L656" s="242">
        <v>32474</v>
      </c>
    </row>
    <row r="657" spans="2:12" outlineLevel="2">
      <c r="B657" s="40">
        <f t="shared" ref="B657:B690" si="23">ROW(A195)</f>
        <v>195</v>
      </c>
      <c r="C657" s="41" t="s">
        <v>8</v>
      </c>
      <c r="D657" s="41" t="s">
        <v>196</v>
      </c>
      <c r="E657" s="219">
        <v>1543</v>
      </c>
      <c r="F657" s="215" t="s">
        <v>172</v>
      </c>
      <c r="G657" s="222">
        <v>31444</v>
      </c>
      <c r="H657" s="41"/>
      <c r="I657" s="240">
        <v>45376</v>
      </c>
      <c r="J657" s="41"/>
      <c r="K657" s="248">
        <v>24</v>
      </c>
      <c r="L657" s="242">
        <v>32482</v>
      </c>
    </row>
    <row r="658" spans="2:12" outlineLevel="2">
      <c r="B658" s="40">
        <f t="shared" si="23"/>
        <v>196</v>
      </c>
      <c r="C658" s="41" t="s">
        <v>8</v>
      </c>
      <c r="D658" s="41" t="s">
        <v>196</v>
      </c>
      <c r="E658" s="217">
        <v>29322</v>
      </c>
      <c r="F658" s="217" t="s">
        <v>172</v>
      </c>
      <c r="G658" s="222">
        <v>30713</v>
      </c>
      <c r="H658" s="41"/>
      <c r="I658" s="240">
        <v>45390</v>
      </c>
      <c r="J658" s="41"/>
      <c r="K658" s="248">
        <v>39</v>
      </c>
      <c r="L658" s="241">
        <v>33205</v>
      </c>
    </row>
    <row r="659" spans="2:12" outlineLevel="2">
      <c r="B659" s="40">
        <f t="shared" si="23"/>
        <v>197</v>
      </c>
      <c r="C659" s="41" t="s">
        <v>8</v>
      </c>
      <c r="D659" s="41" t="s">
        <v>196</v>
      </c>
      <c r="E659" s="217">
        <v>65063</v>
      </c>
      <c r="F659" s="217" t="s">
        <v>172</v>
      </c>
      <c r="G659" s="222">
        <v>31291</v>
      </c>
      <c r="H659" s="41"/>
      <c r="I659" s="240">
        <v>45390</v>
      </c>
      <c r="J659" s="41"/>
      <c r="K659" s="248">
        <v>22</v>
      </c>
      <c r="L659" s="241">
        <v>33223</v>
      </c>
    </row>
    <row r="660" spans="2:12" outlineLevel="2">
      <c r="B660" s="40">
        <f t="shared" si="23"/>
        <v>198</v>
      </c>
      <c r="C660" s="41" t="s">
        <v>8</v>
      </c>
      <c r="D660" s="41" t="s">
        <v>196</v>
      </c>
      <c r="E660" s="217">
        <v>60336</v>
      </c>
      <c r="F660" s="215" t="s">
        <v>172</v>
      </c>
      <c r="G660" s="222">
        <v>30317</v>
      </c>
      <c r="H660" s="41"/>
      <c r="I660" s="240">
        <v>45386</v>
      </c>
      <c r="J660" s="41"/>
      <c r="K660" s="248">
        <v>48</v>
      </c>
      <c r="L660" s="241">
        <v>33484</v>
      </c>
    </row>
    <row r="661" spans="2:12" outlineLevel="2">
      <c r="B661" s="40">
        <f t="shared" si="23"/>
        <v>199</v>
      </c>
      <c r="C661" s="41" t="s">
        <v>8</v>
      </c>
      <c r="D661" s="41" t="s">
        <v>196</v>
      </c>
      <c r="E661" s="217">
        <v>8541102</v>
      </c>
      <c r="F661" s="217" t="s">
        <v>172</v>
      </c>
      <c r="G661" s="222">
        <v>31352</v>
      </c>
      <c r="H661" s="41"/>
      <c r="I661" s="130">
        <v>45399</v>
      </c>
      <c r="J661" s="41"/>
      <c r="K661" s="248">
        <v>35</v>
      </c>
      <c r="L661" s="241">
        <v>33798</v>
      </c>
    </row>
    <row r="662" spans="2:12" outlineLevel="2">
      <c r="B662" s="40">
        <f t="shared" si="23"/>
        <v>200</v>
      </c>
      <c r="C662" s="41" t="s">
        <v>8</v>
      </c>
      <c r="D662" s="41" t="s">
        <v>196</v>
      </c>
      <c r="E662" s="217">
        <v>736864</v>
      </c>
      <c r="F662" s="217" t="s">
        <v>172</v>
      </c>
      <c r="G662" s="222">
        <v>31717</v>
      </c>
      <c r="H662" s="41"/>
      <c r="I662" s="130">
        <v>45399</v>
      </c>
      <c r="J662" s="41"/>
      <c r="K662" s="248">
        <v>47</v>
      </c>
      <c r="L662" s="241">
        <v>33800</v>
      </c>
    </row>
    <row r="663" spans="2:12" outlineLevel="2">
      <c r="B663" s="40">
        <f t="shared" si="23"/>
        <v>201</v>
      </c>
      <c r="C663" s="41" t="s">
        <v>8</v>
      </c>
      <c r="D663" s="41" t="s">
        <v>196</v>
      </c>
      <c r="E663" s="217">
        <v>49744</v>
      </c>
      <c r="F663" s="217" t="s">
        <v>172</v>
      </c>
      <c r="G663" s="217">
        <v>26846</v>
      </c>
      <c r="H663" s="41"/>
      <c r="I663" s="130">
        <v>45399</v>
      </c>
      <c r="J663" s="41"/>
      <c r="K663" s="248">
        <v>39</v>
      </c>
      <c r="L663" s="241">
        <v>33804</v>
      </c>
    </row>
    <row r="664" spans="2:12" outlineLevel="2">
      <c r="B664" s="40">
        <f t="shared" si="23"/>
        <v>202</v>
      </c>
      <c r="C664" s="41" t="s">
        <v>8</v>
      </c>
      <c r="D664" s="41" t="s">
        <v>196</v>
      </c>
      <c r="E664" s="217">
        <v>134828</v>
      </c>
      <c r="F664" s="217" t="s">
        <v>172</v>
      </c>
      <c r="G664" s="222">
        <v>31533</v>
      </c>
      <c r="H664" s="41"/>
      <c r="I664" s="130">
        <v>45399</v>
      </c>
      <c r="J664" s="41"/>
      <c r="K664" s="248">
        <v>35</v>
      </c>
      <c r="L664" s="241">
        <v>33826</v>
      </c>
    </row>
    <row r="665" spans="2:12" outlineLevel="2">
      <c r="B665" s="40">
        <f t="shared" si="23"/>
        <v>203</v>
      </c>
      <c r="C665" s="41" t="s">
        <v>8</v>
      </c>
      <c r="D665" s="41" t="s">
        <v>196</v>
      </c>
      <c r="E665" s="217">
        <v>13001</v>
      </c>
      <c r="F665" s="217" t="s">
        <v>172</v>
      </c>
      <c r="G665" s="222">
        <v>31533</v>
      </c>
      <c r="H665" s="41"/>
      <c r="I665" s="130">
        <v>45399</v>
      </c>
      <c r="J665" s="41"/>
      <c r="K665" s="248">
        <v>24</v>
      </c>
      <c r="L665" s="241">
        <v>33827</v>
      </c>
    </row>
    <row r="666" spans="2:12" outlineLevel="2">
      <c r="B666" s="40">
        <f t="shared" si="23"/>
        <v>204</v>
      </c>
      <c r="C666" s="41" t="s">
        <v>8</v>
      </c>
      <c r="D666" s="41" t="s">
        <v>196</v>
      </c>
      <c r="E666" s="217">
        <v>26594</v>
      </c>
      <c r="F666" s="217" t="s">
        <v>172</v>
      </c>
      <c r="G666" s="222">
        <v>31990</v>
      </c>
      <c r="H666" s="41"/>
      <c r="I666" s="130">
        <v>45405</v>
      </c>
      <c r="J666" s="41"/>
      <c r="K666" s="248">
        <v>21</v>
      </c>
      <c r="L666" s="241">
        <v>33879</v>
      </c>
    </row>
    <row r="667" spans="2:12" outlineLevel="2">
      <c r="B667" s="40">
        <f t="shared" si="23"/>
        <v>205</v>
      </c>
      <c r="C667" s="41" t="s">
        <v>8</v>
      </c>
      <c r="D667" s="41" t="s">
        <v>196</v>
      </c>
      <c r="E667" s="217">
        <v>22</v>
      </c>
      <c r="F667" s="217" t="s">
        <v>172</v>
      </c>
      <c r="G667" s="222">
        <v>31990</v>
      </c>
      <c r="H667" s="41"/>
      <c r="I667" s="130">
        <v>45405</v>
      </c>
      <c r="J667" s="41"/>
      <c r="K667" s="248">
        <v>38</v>
      </c>
      <c r="L667" s="241">
        <v>33880</v>
      </c>
    </row>
    <row r="668" spans="2:12" outlineLevel="2">
      <c r="B668" s="40">
        <f t="shared" si="23"/>
        <v>206</v>
      </c>
      <c r="C668" s="41" t="s">
        <v>8</v>
      </c>
      <c r="D668" s="41" t="s">
        <v>196</v>
      </c>
      <c r="E668" s="217">
        <v>159154</v>
      </c>
      <c r="F668" s="217" t="s">
        <v>172</v>
      </c>
      <c r="G668" s="222">
        <v>1987</v>
      </c>
      <c r="H668" s="41"/>
      <c r="I668" s="130">
        <v>45405</v>
      </c>
      <c r="J668" s="41"/>
      <c r="K668" s="248">
        <v>24</v>
      </c>
      <c r="L668" s="241">
        <v>33881</v>
      </c>
    </row>
    <row r="669" spans="2:12" outlineLevel="2">
      <c r="B669" s="40">
        <f t="shared" si="23"/>
        <v>207</v>
      </c>
      <c r="C669" s="41" t="s">
        <v>8</v>
      </c>
      <c r="D669" s="41" t="s">
        <v>196</v>
      </c>
      <c r="E669" s="217">
        <v>135992</v>
      </c>
      <c r="F669" s="217" t="s">
        <v>172</v>
      </c>
      <c r="G669" s="222">
        <v>1987</v>
      </c>
      <c r="H669" s="41"/>
      <c r="I669" s="130">
        <v>45419</v>
      </c>
      <c r="J669" s="41"/>
      <c r="K669" s="248">
        <v>21</v>
      </c>
      <c r="L669" s="241">
        <v>33935</v>
      </c>
    </row>
    <row r="670" spans="2:12" outlineLevel="2">
      <c r="B670" s="40">
        <f t="shared" si="23"/>
        <v>208</v>
      </c>
      <c r="C670" s="41" t="s">
        <v>8</v>
      </c>
      <c r="D670" s="41" t="s">
        <v>196</v>
      </c>
      <c r="E670" s="217">
        <v>88225</v>
      </c>
      <c r="F670" s="217" t="s">
        <v>172</v>
      </c>
      <c r="G670" s="222">
        <v>30164</v>
      </c>
      <c r="H670" s="41"/>
      <c r="I670" s="130">
        <v>45418</v>
      </c>
      <c r="J670" s="41"/>
      <c r="K670" s="248">
        <v>32</v>
      </c>
      <c r="L670" s="241">
        <v>33989</v>
      </c>
    </row>
    <row r="671" spans="2:12" outlineLevel="2">
      <c r="B671" s="40">
        <f t="shared" si="23"/>
        <v>209</v>
      </c>
      <c r="C671" s="41" t="s">
        <v>8</v>
      </c>
      <c r="D671" s="41" t="s">
        <v>196</v>
      </c>
      <c r="E671" s="217">
        <v>12954</v>
      </c>
      <c r="F671" s="217" t="s">
        <v>172</v>
      </c>
      <c r="G671" s="222">
        <v>28034</v>
      </c>
      <c r="H671" s="41"/>
      <c r="I671" s="130">
        <v>45419</v>
      </c>
      <c r="J671" s="41"/>
      <c r="K671" s="248">
        <v>37</v>
      </c>
      <c r="L671" s="241">
        <v>34035</v>
      </c>
    </row>
    <row r="672" spans="2:12" outlineLevel="2">
      <c r="B672" s="40">
        <f t="shared" si="23"/>
        <v>210</v>
      </c>
      <c r="C672" s="41" t="s">
        <v>8</v>
      </c>
      <c r="D672" s="41" t="s">
        <v>196</v>
      </c>
      <c r="E672" s="219">
        <v>130880</v>
      </c>
      <c r="F672" s="219" t="s">
        <v>172</v>
      </c>
      <c r="G672" s="236">
        <v>31260</v>
      </c>
      <c r="H672" s="41"/>
      <c r="I672" s="130">
        <v>45420</v>
      </c>
      <c r="J672" s="41"/>
      <c r="K672" s="248">
        <v>20</v>
      </c>
      <c r="L672" s="241">
        <v>35125</v>
      </c>
    </row>
    <row r="673" spans="2:12" outlineLevel="2">
      <c r="B673" s="40">
        <f t="shared" si="23"/>
        <v>211</v>
      </c>
      <c r="C673" s="41" t="s">
        <v>8</v>
      </c>
      <c r="D673" s="41" t="s">
        <v>196</v>
      </c>
      <c r="E673" s="219">
        <v>150243</v>
      </c>
      <c r="F673" s="219" t="s">
        <v>172</v>
      </c>
      <c r="G673" s="236">
        <v>30803</v>
      </c>
      <c r="H673" s="41"/>
      <c r="I673" s="130">
        <v>45420</v>
      </c>
      <c r="J673" s="41"/>
      <c r="K673" s="248">
        <v>40</v>
      </c>
      <c r="L673" s="241">
        <v>35132</v>
      </c>
    </row>
    <row r="674" spans="2:12" outlineLevel="2">
      <c r="B674" s="40">
        <f t="shared" si="23"/>
        <v>212</v>
      </c>
      <c r="C674" s="41" t="s">
        <v>8</v>
      </c>
      <c r="D674" s="41" t="s">
        <v>196</v>
      </c>
      <c r="E674" s="219">
        <v>63744</v>
      </c>
      <c r="F674" s="237" t="s">
        <v>172</v>
      </c>
      <c r="G674" s="236">
        <v>1981</v>
      </c>
      <c r="H674" s="41"/>
      <c r="I674" s="240">
        <v>45426</v>
      </c>
      <c r="J674" s="41"/>
      <c r="K674" s="248">
        <v>21</v>
      </c>
      <c r="L674" s="241">
        <v>35386</v>
      </c>
    </row>
    <row r="675" spans="2:12" outlineLevel="2">
      <c r="B675" s="40">
        <f t="shared" si="23"/>
        <v>213</v>
      </c>
      <c r="C675" s="41" t="s">
        <v>8</v>
      </c>
      <c r="D675" s="41" t="s">
        <v>196</v>
      </c>
      <c r="E675" s="219">
        <v>8823076</v>
      </c>
      <c r="F675" s="237" t="s">
        <v>172</v>
      </c>
      <c r="G675" s="236">
        <v>32264</v>
      </c>
      <c r="H675" s="41"/>
      <c r="I675" s="240">
        <v>45426</v>
      </c>
      <c r="J675" s="41"/>
      <c r="K675" s="248">
        <v>48</v>
      </c>
      <c r="L675" s="241">
        <v>35387</v>
      </c>
    </row>
    <row r="676" spans="2:12" outlineLevel="2">
      <c r="B676" s="40">
        <f t="shared" si="23"/>
        <v>214</v>
      </c>
      <c r="C676" s="41" t="s">
        <v>8</v>
      </c>
      <c r="D676" s="41" t="s">
        <v>196</v>
      </c>
      <c r="E676" s="219">
        <v>8822896</v>
      </c>
      <c r="F676" s="237" t="s">
        <v>172</v>
      </c>
      <c r="G676" s="236">
        <v>32234</v>
      </c>
      <c r="H676" s="41"/>
      <c r="I676" s="240">
        <v>45426</v>
      </c>
      <c r="J676" s="41"/>
      <c r="K676" s="248">
        <v>44</v>
      </c>
      <c r="L676" s="241">
        <v>35388</v>
      </c>
    </row>
    <row r="677" spans="2:12" outlineLevel="2">
      <c r="B677" s="40">
        <f t="shared" si="23"/>
        <v>215</v>
      </c>
      <c r="C677" s="41" t="s">
        <v>8</v>
      </c>
      <c r="D677" s="41" t="s">
        <v>196</v>
      </c>
      <c r="E677" s="219" t="s">
        <v>414</v>
      </c>
      <c r="F677" s="237" t="s">
        <v>172</v>
      </c>
      <c r="G677" s="236">
        <v>31778</v>
      </c>
      <c r="H677" s="41"/>
      <c r="I677" s="225">
        <v>45426</v>
      </c>
      <c r="J677" s="41"/>
      <c r="K677" s="209">
        <v>42</v>
      </c>
      <c r="L677" s="241">
        <v>35389</v>
      </c>
    </row>
    <row r="678" spans="2:12" outlineLevel="2">
      <c r="B678" s="40">
        <f t="shared" si="23"/>
        <v>216</v>
      </c>
      <c r="C678" s="41" t="s">
        <v>8</v>
      </c>
      <c r="D678" s="41" t="s">
        <v>196</v>
      </c>
      <c r="E678" s="219">
        <v>68783</v>
      </c>
      <c r="F678" s="237" t="s">
        <v>172</v>
      </c>
      <c r="G678" s="236">
        <v>29281</v>
      </c>
      <c r="H678" s="41"/>
      <c r="I678" s="240">
        <v>45426</v>
      </c>
      <c r="J678" s="41"/>
      <c r="K678" s="248">
        <v>32</v>
      </c>
      <c r="L678" s="241">
        <v>35390</v>
      </c>
    </row>
    <row r="679" spans="2:12" outlineLevel="2">
      <c r="B679" s="40">
        <f t="shared" si="23"/>
        <v>217</v>
      </c>
      <c r="C679" s="41" t="s">
        <v>8</v>
      </c>
      <c r="D679" s="41" t="s">
        <v>196</v>
      </c>
      <c r="E679" s="219">
        <v>8430701</v>
      </c>
      <c r="F679" s="237" t="s">
        <v>172</v>
      </c>
      <c r="G679" s="236">
        <v>30926</v>
      </c>
      <c r="H679" s="41"/>
      <c r="I679" s="240">
        <v>45426</v>
      </c>
      <c r="J679" s="41"/>
      <c r="K679" s="248">
        <v>39</v>
      </c>
      <c r="L679" s="241">
        <v>35391</v>
      </c>
    </row>
    <row r="680" spans="2:12" outlineLevel="2">
      <c r="B680" s="40">
        <f t="shared" si="23"/>
        <v>218</v>
      </c>
      <c r="C680" s="41" t="s">
        <v>8</v>
      </c>
      <c r="D680" s="41" t="s">
        <v>196</v>
      </c>
      <c r="E680" s="219">
        <v>262405</v>
      </c>
      <c r="F680" s="237" t="s">
        <v>172</v>
      </c>
      <c r="G680" s="236">
        <v>30926</v>
      </c>
      <c r="H680" s="41"/>
      <c r="I680" s="240">
        <v>45426</v>
      </c>
      <c r="J680" s="41"/>
      <c r="K680" s="248">
        <v>21</v>
      </c>
      <c r="L680" s="241">
        <v>35392</v>
      </c>
    </row>
    <row r="681" spans="2:12" outlineLevel="2">
      <c r="B681" s="40">
        <f t="shared" si="23"/>
        <v>219</v>
      </c>
      <c r="C681" s="41" t="s">
        <v>8</v>
      </c>
      <c r="D681" s="41" t="s">
        <v>196</v>
      </c>
      <c r="E681" s="219">
        <v>8750674</v>
      </c>
      <c r="F681" s="219" t="s">
        <v>172</v>
      </c>
      <c r="G681" s="236">
        <v>1987</v>
      </c>
      <c r="H681" s="41"/>
      <c r="I681" s="209">
        <v>45443</v>
      </c>
      <c r="J681" s="41"/>
      <c r="K681" s="209">
        <v>45</v>
      </c>
      <c r="L681" s="241">
        <v>35753</v>
      </c>
    </row>
    <row r="682" spans="2:12" outlineLevel="2">
      <c r="B682" s="40">
        <f t="shared" si="23"/>
        <v>220</v>
      </c>
      <c r="C682" s="41" t="s">
        <v>8</v>
      </c>
      <c r="D682" s="41" t="s">
        <v>196</v>
      </c>
      <c r="E682" s="219">
        <v>15784</v>
      </c>
      <c r="F682" s="219" t="s">
        <v>172</v>
      </c>
      <c r="G682" s="236">
        <v>29007</v>
      </c>
      <c r="H682" s="41"/>
      <c r="I682" s="209">
        <v>45442</v>
      </c>
      <c r="J682" s="41"/>
      <c r="K682" s="209">
        <v>30</v>
      </c>
      <c r="L682" s="241">
        <v>35755</v>
      </c>
    </row>
    <row r="683" spans="2:12" outlineLevel="2">
      <c r="B683" s="40">
        <f t="shared" si="23"/>
        <v>221</v>
      </c>
      <c r="C683" s="41" t="s">
        <v>8</v>
      </c>
      <c r="D683" s="41" t="s">
        <v>196</v>
      </c>
      <c r="E683" s="219">
        <v>17249</v>
      </c>
      <c r="F683" s="219" t="s">
        <v>172</v>
      </c>
      <c r="G683" s="236">
        <v>30895</v>
      </c>
      <c r="H683" s="41"/>
      <c r="I683" s="209">
        <v>45443</v>
      </c>
      <c r="J683" s="41"/>
      <c r="K683" s="209">
        <v>21</v>
      </c>
      <c r="L683" s="241">
        <v>35758</v>
      </c>
    </row>
    <row r="684" spans="2:12" outlineLevel="2">
      <c r="B684" s="40">
        <f t="shared" si="23"/>
        <v>222</v>
      </c>
      <c r="C684" s="41" t="s">
        <v>8</v>
      </c>
      <c r="D684" s="41" t="s">
        <v>196</v>
      </c>
      <c r="E684" s="219">
        <v>33081</v>
      </c>
      <c r="F684" s="219" t="s">
        <v>172</v>
      </c>
      <c r="G684" s="236">
        <v>28034</v>
      </c>
      <c r="H684" s="41"/>
      <c r="I684" s="209">
        <v>45443</v>
      </c>
      <c r="J684" s="41"/>
      <c r="K684" s="209">
        <v>39</v>
      </c>
      <c r="L684" s="241">
        <v>35759</v>
      </c>
    </row>
    <row r="685" spans="2:12" outlineLevel="2">
      <c r="B685" s="40">
        <f t="shared" si="23"/>
        <v>223</v>
      </c>
      <c r="C685" s="41" t="s">
        <v>8</v>
      </c>
      <c r="D685" s="41" t="s">
        <v>196</v>
      </c>
      <c r="E685" s="219">
        <v>8430696</v>
      </c>
      <c r="F685" s="219" t="s">
        <v>172</v>
      </c>
      <c r="G685" s="236">
        <v>30926</v>
      </c>
      <c r="H685" s="41"/>
      <c r="I685" s="209">
        <v>45408</v>
      </c>
      <c r="J685" s="41"/>
      <c r="K685" s="209">
        <v>46</v>
      </c>
      <c r="L685" s="241">
        <v>35871</v>
      </c>
    </row>
    <row r="686" spans="2:12" outlineLevel="2">
      <c r="B686" s="40">
        <f t="shared" si="23"/>
        <v>224</v>
      </c>
      <c r="C686" s="41" t="s">
        <v>8</v>
      </c>
      <c r="D686" s="41" t="s">
        <v>196</v>
      </c>
      <c r="E686" s="219">
        <v>8541090</v>
      </c>
      <c r="F686" s="219" t="s">
        <v>172</v>
      </c>
      <c r="G686" s="236">
        <v>1985</v>
      </c>
      <c r="H686" s="41"/>
      <c r="I686" s="209">
        <v>45408</v>
      </c>
      <c r="J686" s="41"/>
      <c r="K686" s="209">
        <v>27</v>
      </c>
      <c r="L686" s="241">
        <v>35872</v>
      </c>
    </row>
    <row r="687" spans="2:12" outlineLevel="2">
      <c r="B687" s="40">
        <f t="shared" si="23"/>
        <v>225</v>
      </c>
      <c r="C687" s="41" t="s">
        <v>8</v>
      </c>
      <c r="D687" s="41" t="s">
        <v>196</v>
      </c>
      <c r="E687" s="219">
        <v>50705</v>
      </c>
      <c r="F687" s="237" t="s">
        <v>172</v>
      </c>
      <c r="G687" s="236">
        <v>31199</v>
      </c>
      <c r="H687" s="41"/>
      <c r="I687" s="240" t="s">
        <v>172</v>
      </c>
      <c r="J687" s="41"/>
      <c r="K687" s="248" t="s">
        <v>172</v>
      </c>
      <c r="L687" s="241">
        <v>36081</v>
      </c>
    </row>
    <row r="688" spans="2:12" outlineLevel="2">
      <c r="B688" s="40">
        <f t="shared" si="23"/>
        <v>226</v>
      </c>
      <c r="C688" s="41" t="s">
        <v>8</v>
      </c>
      <c r="D688" s="41" t="s">
        <v>196</v>
      </c>
      <c r="E688" s="219">
        <v>175396</v>
      </c>
      <c r="F688" s="237">
        <v>222620</v>
      </c>
      <c r="G688" s="236">
        <v>31717</v>
      </c>
      <c r="H688" s="41"/>
      <c r="I688" s="225">
        <v>45447</v>
      </c>
      <c r="J688" s="41"/>
      <c r="K688" s="209">
        <v>12</v>
      </c>
      <c r="L688" s="241">
        <v>37785</v>
      </c>
    </row>
    <row r="689" spans="2:12" outlineLevel="2">
      <c r="B689" s="40">
        <f t="shared" si="23"/>
        <v>227</v>
      </c>
      <c r="C689" s="41" t="s">
        <v>8</v>
      </c>
      <c r="D689" s="41" t="s">
        <v>196</v>
      </c>
      <c r="E689" s="219">
        <v>7870</v>
      </c>
      <c r="F689" s="237">
        <v>222959</v>
      </c>
      <c r="G689" s="236">
        <v>30133</v>
      </c>
      <c r="H689" s="41"/>
      <c r="I689" s="209">
        <v>45455</v>
      </c>
      <c r="J689" s="41"/>
      <c r="K689" s="209">
        <v>39</v>
      </c>
      <c r="L689" s="241">
        <v>37951</v>
      </c>
    </row>
    <row r="690" spans="2:12" outlineLevel="2">
      <c r="B690" s="40">
        <f t="shared" si="23"/>
        <v>228</v>
      </c>
      <c r="C690" s="41" t="s">
        <v>8</v>
      </c>
      <c r="D690" s="41" t="s">
        <v>196</v>
      </c>
      <c r="E690" s="219">
        <v>8437087</v>
      </c>
      <c r="F690" s="237">
        <v>222965</v>
      </c>
      <c r="G690" s="236">
        <v>1984</v>
      </c>
      <c r="H690" s="41"/>
      <c r="I690" s="209">
        <v>45455</v>
      </c>
      <c r="J690" s="41"/>
      <c r="K690" s="209">
        <v>21</v>
      </c>
      <c r="L690" s="241">
        <v>37958</v>
      </c>
    </row>
    <row r="691" spans="2:12" outlineLevel="1">
      <c r="B691" s="59" t="s">
        <v>203</v>
      </c>
      <c r="C691" s="41">
        <f>SUBTOTAL(3,C463:C690)</f>
        <v>228</v>
      </c>
      <c r="D691" s="41"/>
      <c r="E691" s="41"/>
      <c r="F691" s="41"/>
      <c r="G691" s="41"/>
      <c r="H691" s="41"/>
      <c r="I691" s="42"/>
      <c r="J691" s="41"/>
      <c r="K691" s="41"/>
      <c r="L691" s="43"/>
    </row>
    <row r="692" spans="2:12" outlineLevel="2">
      <c r="B692" s="40">
        <f t="shared" ref="B692:B755" si="24">ROW(A229)</f>
        <v>229</v>
      </c>
      <c r="C692" s="41" t="s">
        <v>9</v>
      </c>
      <c r="D692" s="41" t="s">
        <v>196</v>
      </c>
      <c r="E692" s="209">
        <v>3411</v>
      </c>
      <c r="F692" s="209">
        <v>216565</v>
      </c>
      <c r="G692" s="226">
        <v>41030</v>
      </c>
      <c r="H692" s="41"/>
      <c r="I692" s="240">
        <v>45218</v>
      </c>
      <c r="J692" s="41"/>
      <c r="K692" s="248">
        <v>21</v>
      </c>
      <c r="L692" s="242">
        <v>28086</v>
      </c>
    </row>
    <row r="693" spans="2:12" outlineLevel="2">
      <c r="B693" s="40">
        <f t="shared" si="24"/>
        <v>230</v>
      </c>
      <c r="C693" s="41" t="s">
        <v>9</v>
      </c>
      <c r="D693" s="41" t="s">
        <v>196</v>
      </c>
      <c r="E693" s="209">
        <v>15153</v>
      </c>
      <c r="F693" s="209">
        <v>216566</v>
      </c>
      <c r="G693" s="226">
        <v>41214</v>
      </c>
      <c r="H693" s="41"/>
      <c r="I693" s="240">
        <v>45218</v>
      </c>
      <c r="J693" s="41"/>
      <c r="K693" s="248">
        <v>19</v>
      </c>
      <c r="L693" s="242">
        <v>28087</v>
      </c>
    </row>
    <row r="694" spans="2:12" outlineLevel="2">
      <c r="B694" s="40">
        <f t="shared" si="24"/>
        <v>231</v>
      </c>
      <c r="C694" s="41" t="s">
        <v>9</v>
      </c>
      <c r="D694" s="41" t="s">
        <v>196</v>
      </c>
      <c r="E694" s="209">
        <v>89706</v>
      </c>
      <c r="F694" s="209">
        <v>216562</v>
      </c>
      <c r="G694" s="226">
        <v>41548</v>
      </c>
      <c r="H694" s="41"/>
      <c r="I694" s="240">
        <v>45218</v>
      </c>
      <c r="J694" s="41"/>
      <c r="K694" s="248" t="s">
        <v>199</v>
      </c>
      <c r="L694" s="242">
        <v>28088</v>
      </c>
    </row>
    <row r="695" spans="2:12" outlineLevel="2">
      <c r="B695" s="40">
        <f t="shared" si="24"/>
        <v>232</v>
      </c>
      <c r="C695" s="41" t="s">
        <v>9</v>
      </c>
      <c r="D695" s="41" t="s">
        <v>196</v>
      </c>
      <c r="E695" s="209">
        <v>183695</v>
      </c>
      <c r="F695" s="209">
        <v>216568</v>
      </c>
      <c r="G695" s="226">
        <v>40269</v>
      </c>
      <c r="H695" s="41"/>
      <c r="I695" s="240">
        <v>45218</v>
      </c>
      <c r="J695" s="41"/>
      <c r="K695" s="248" t="s">
        <v>199</v>
      </c>
      <c r="L695" s="242">
        <v>28089</v>
      </c>
    </row>
    <row r="696" spans="2:12" outlineLevel="2">
      <c r="B696" s="40">
        <f t="shared" si="24"/>
        <v>233</v>
      </c>
      <c r="C696" s="41" t="s">
        <v>9</v>
      </c>
      <c r="D696" s="41" t="s">
        <v>196</v>
      </c>
      <c r="E696" s="209">
        <v>347060</v>
      </c>
      <c r="F696" s="209">
        <v>216569</v>
      </c>
      <c r="G696" s="209">
        <v>44166</v>
      </c>
      <c r="H696" s="41"/>
      <c r="I696" s="240">
        <v>45218</v>
      </c>
      <c r="J696" s="41"/>
      <c r="K696" s="248" t="s">
        <v>199</v>
      </c>
      <c r="L696" s="242">
        <v>28090</v>
      </c>
    </row>
    <row r="697" spans="2:12" outlineLevel="2">
      <c r="B697" s="40">
        <f t="shared" si="24"/>
        <v>234</v>
      </c>
      <c r="C697" s="41" t="s">
        <v>9</v>
      </c>
      <c r="D697" s="41" t="s">
        <v>196</v>
      </c>
      <c r="E697" s="209">
        <v>369527</v>
      </c>
      <c r="F697" s="209">
        <v>216564</v>
      </c>
      <c r="G697" s="226">
        <v>43647</v>
      </c>
      <c r="H697" s="41"/>
      <c r="I697" s="240">
        <v>45218</v>
      </c>
      <c r="J697" s="41"/>
      <c r="K697" s="248" t="s">
        <v>199</v>
      </c>
      <c r="L697" s="242">
        <v>28091</v>
      </c>
    </row>
    <row r="698" spans="2:12" outlineLevel="2">
      <c r="B698" s="40">
        <f t="shared" si="24"/>
        <v>235</v>
      </c>
      <c r="C698" s="41" t="s">
        <v>9</v>
      </c>
      <c r="D698" s="41" t="s">
        <v>196</v>
      </c>
      <c r="E698" s="209">
        <v>1207719</v>
      </c>
      <c r="F698" s="209">
        <v>216563</v>
      </c>
      <c r="G698" s="209">
        <v>43770</v>
      </c>
      <c r="H698" s="41"/>
      <c r="I698" s="240">
        <v>45218</v>
      </c>
      <c r="J698" s="41"/>
      <c r="K698" s="248" t="s">
        <v>199</v>
      </c>
      <c r="L698" s="242">
        <v>28092</v>
      </c>
    </row>
    <row r="699" spans="2:12" outlineLevel="2">
      <c r="B699" s="40">
        <f t="shared" si="24"/>
        <v>236</v>
      </c>
      <c r="C699" s="41" t="s">
        <v>9</v>
      </c>
      <c r="D699" s="41" t="s">
        <v>196</v>
      </c>
      <c r="E699" s="209" t="s">
        <v>415</v>
      </c>
      <c r="F699" s="209">
        <v>216567</v>
      </c>
      <c r="G699" s="226">
        <v>42005</v>
      </c>
      <c r="H699" s="41"/>
      <c r="I699" s="240">
        <v>45218</v>
      </c>
      <c r="J699" s="41"/>
      <c r="K699" s="248" t="s">
        <v>199</v>
      </c>
      <c r="L699" s="242">
        <v>28093</v>
      </c>
    </row>
    <row r="700" spans="2:12" outlineLevel="2">
      <c r="B700" s="40">
        <f t="shared" si="24"/>
        <v>237</v>
      </c>
      <c r="C700" s="41" t="s">
        <v>9</v>
      </c>
      <c r="D700" s="41" t="s">
        <v>196</v>
      </c>
      <c r="E700" s="209">
        <v>607567</v>
      </c>
      <c r="F700" s="209">
        <v>205318</v>
      </c>
      <c r="G700" s="226">
        <v>44593</v>
      </c>
      <c r="H700" s="41"/>
      <c r="I700" s="240">
        <v>45168</v>
      </c>
      <c r="J700" s="41"/>
      <c r="K700" s="248" t="s">
        <v>199</v>
      </c>
      <c r="L700" s="242">
        <v>28094</v>
      </c>
    </row>
    <row r="701" spans="2:12" outlineLevel="2">
      <c r="B701" s="40">
        <f t="shared" si="24"/>
        <v>238</v>
      </c>
      <c r="C701" s="41" t="s">
        <v>9</v>
      </c>
      <c r="D701" s="41" t="s">
        <v>196</v>
      </c>
      <c r="E701" s="209">
        <v>348938</v>
      </c>
      <c r="F701" s="209">
        <v>1</v>
      </c>
      <c r="G701" s="226">
        <v>38596</v>
      </c>
      <c r="H701" s="41"/>
      <c r="I701" s="240">
        <v>45168</v>
      </c>
      <c r="J701" s="41"/>
      <c r="K701" s="248" t="s">
        <v>199</v>
      </c>
      <c r="L701" s="242">
        <v>28095</v>
      </c>
    </row>
    <row r="702" spans="2:12" outlineLevel="2">
      <c r="B702" s="40">
        <f t="shared" si="24"/>
        <v>239</v>
      </c>
      <c r="C702" s="41" t="s">
        <v>9</v>
      </c>
      <c r="D702" s="41" t="s">
        <v>196</v>
      </c>
      <c r="E702" s="209">
        <v>484397</v>
      </c>
      <c r="F702" s="209">
        <v>216102</v>
      </c>
      <c r="G702" s="226">
        <v>43344</v>
      </c>
      <c r="H702" s="41"/>
      <c r="I702" s="240">
        <v>45168</v>
      </c>
      <c r="J702" s="41"/>
      <c r="K702" s="248" t="s">
        <v>199</v>
      </c>
      <c r="L702" s="242">
        <v>28096</v>
      </c>
    </row>
    <row r="703" spans="2:12" outlineLevel="2">
      <c r="B703" s="40">
        <f t="shared" si="24"/>
        <v>240</v>
      </c>
      <c r="C703" s="41" t="s">
        <v>9</v>
      </c>
      <c r="D703" s="41" t="s">
        <v>196</v>
      </c>
      <c r="E703" s="209">
        <v>660907</v>
      </c>
      <c r="F703" s="209">
        <v>216107</v>
      </c>
      <c r="G703" s="226">
        <v>44866</v>
      </c>
      <c r="H703" s="41"/>
      <c r="I703" s="240">
        <v>45168</v>
      </c>
      <c r="J703" s="41"/>
      <c r="K703" s="248" t="s">
        <v>199</v>
      </c>
      <c r="L703" s="242">
        <v>28097</v>
      </c>
    </row>
    <row r="704" spans="2:12" outlineLevel="2">
      <c r="B704" s="40">
        <f t="shared" si="24"/>
        <v>241</v>
      </c>
      <c r="C704" s="41" t="s">
        <v>9</v>
      </c>
      <c r="D704" s="41" t="s">
        <v>196</v>
      </c>
      <c r="E704" s="209" t="s">
        <v>416</v>
      </c>
      <c r="F704" s="209">
        <v>76560</v>
      </c>
      <c r="G704" s="226">
        <v>42186</v>
      </c>
      <c r="H704" s="41"/>
      <c r="I704" s="240">
        <v>45168</v>
      </c>
      <c r="J704" s="41"/>
      <c r="K704" s="248" t="s">
        <v>199</v>
      </c>
      <c r="L704" s="242">
        <v>28098</v>
      </c>
    </row>
    <row r="705" spans="2:12" outlineLevel="2">
      <c r="B705" s="40">
        <f t="shared" si="24"/>
        <v>242</v>
      </c>
      <c r="C705" s="41" t="s">
        <v>9</v>
      </c>
      <c r="D705" s="41" t="s">
        <v>196</v>
      </c>
      <c r="E705" s="209">
        <v>133091</v>
      </c>
      <c r="F705" s="209">
        <v>216092</v>
      </c>
      <c r="G705" s="226">
        <v>37530</v>
      </c>
      <c r="H705" s="41"/>
      <c r="I705" s="240">
        <v>45168</v>
      </c>
      <c r="J705" s="41"/>
      <c r="K705" s="248" t="s">
        <v>199</v>
      </c>
      <c r="L705" s="242">
        <v>28099</v>
      </c>
    </row>
    <row r="706" spans="2:12" outlineLevel="2">
      <c r="B706" s="40">
        <f t="shared" si="24"/>
        <v>243</v>
      </c>
      <c r="C706" s="41" t="s">
        <v>9</v>
      </c>
      <c r="D706" s="41" t="s">
        <v>196</v>
      </c>
      <c r="E706" s="209">
        <v>200289</v>
      </c>
      <c r="F706" s="209">
        <v>216104</v>
      </c>
      <c r="G706" s="226">
        <v>43221</v>
      </c>
      <c r="H706" s="41"/>
      <c r="I706" s="240">
        <v>45168</v>
      </c>
      <c r="J706" s="41"/>
      <c r="K706" s="248">
        <v>12</v>
      </c>
      <c r="L706" s="242">
        <v>28100</v>
      </c>
    </row>
    <row r="707" spans="2:12" outlineLevel="2">
      <c r="B707" s="40">
        <f t="shared" si="24"/>
        <v>244</v>
      </c>
      <c r="C707" s="41" t="s">
        <v>9</v>
      </c>
      <c r="D707" s="41" t="s">
        <v>196</v>
      </c>
      <c r="E707" s="209">
        <v>646341</v>
      </c>
      <c r="F707" s="209">
        <v>208488</v>
      </c>
      <c r="G707" s="226">
        <v>44835</v>
      </c>
      <c r="H707" s="41"/>
      <c r="I707" s="240">
        <v>45168</v>
      </c>
      <c r="J707" s="41"/>
      <c r="K707" s="248" t="s">
        <v>199</v>
      </c>
      <c r="L707" s="242">
        <v>28101</v>
      </c>
    </row>
    <row r="708" spans="2:12" outlineLevel="2">
      <c r="B708" s="40">
        <f t="shared" si="24"/>
        <v>245</v>
      </c>
      <c r="C708" s="41" t="s">
        <v>9</v>
      </c>
      <c r="D708" s="41" t="s">
        <v>196</v>
      </c>
      <c r="E708" s="209">
        <v>1472104</v>
      </c>
      <c r="F708" s="209">
        <v>209677</v>
      </c>
      <c r="G708" s="226">
        <v>44805</v>
      </c>
      <c r="H708" s="41"/>
      <c r="I708" s="240">
        <v>45168</v>
      </c>
      <c r="J708" s="41"/>
      <c r="K708" s="248" t="s">
        <v>199</v>
      </c>
      <c r="L708" s="242">
        <v>28102</v>
      </c>
    </row>
    <row r="709" spans="2:12" outlineLevel="2">
      <c r="B709" s="40">
        <f t="shared" si="24"/>
        <v>246</v>
      </c>
      <c r="C709" s="41" t="s">
        <v>9</v>
      </c>
      <c r="D709" s="41" t="s">
        <v>196</v>
      </c>
      <c r="E709" s="209">
        <v>426943</v>
      </c>
      <c r="F709" s="209">
        <v>216101</v>
      </c>
      <c r="G709" s="226">
        <v>42186</v>
      </c>
      <c r="H709" s="41"/>
      <c r="I709" s="240">
        <v>45168</v>
      </c>
      <c r="J709" s="41"/>
      <c r="K709" s="248" t="s">
        <v>199</v>
      </c>
      <c r="L709" s="242">
        <v>28103</v>
      </c>
    </row>
    <row r="710" spans="2:12" outlineLevel="2">
      <c r="B710" s="40">
        <f t="shared" si="24"/>
        <v>247</v>
      </c>
      <c r="C710" s="41" t="s">
        <v>9</v>
      </c>
      <c r="D710" s="41" t="s">
        <v>196</v>
      </c>
      <c r="E710" s="209">
        <v>572903</v>
      </c>
      <c r="F710" s="209">
        <v>200020</v>
      </c>
      <c r="G710" s="226">
        <v>44256</v>
      </c>
      <c r="H710" s="41"/>
      <c r="I710" s="240">
        <v>45168</v>
      </c>
      <c r="J710" s="41"/>
      <c r="K710" s="248" t="s">
        <v>199</v>
      </c>
      <c r="L710" s="242">
        <v>28104</v>
      </c>
    </row>
    <row r="711" spans="2:12" outlineLevel="2">
      <c r="B711" s="40">
        <f t="shared" si="24"/>
        <v>248</v>
      </c>
      <c r="C711" s="41" t="s">
        <v>9</v>
      </c>
      <c r="D711" s="41" t="s">
        <v>196</v>
      </c>
      <c r="E711" s="209">
        <v>35792</v>
      </c>
      <c r="F711" s="209">
        <v>216090</v>
      </c>
      <c r="G711" s="226">
        <v>44682</v>
      </c>
      <c r="H711" s="41"/>
      <c r="I711" s="240">
        <v>45168</v>
      </c>
      <c r="J711" s="41"/>
      <c r="K711" s="248">
        <v>25</v>
      </c>
      <c r="L711" s="242">
        <v>28105</v>
      </c>
    </row>
    <row r="712" spans="2:12" outlineLevel="2">
      <c r="B712" s="40">
        <f t="shared" si="24"/>
        <v>249</v>
      </c>
      <c r="C712" s="41" t="s">
        <v>9</v>
      </c>
      <c r="D712" s="41" t="s">
        <v>196</v>
      </c>
      <c r="E712" s="209">
        <v>161113</v>
      </c>
      <c r="F712" s="209">
        <v>342952</v>
      </c>
      <c r="G712" s="226">
        <v>43647</v>
      </c>
      <c r="H712" s="41"/>
      <c r="I712" s="240">
        <v>45168</v>
      </c>
      <c r="J712" s="41"/>
      <c r="K712" s="248" t="s">
        <v>199</v>
      </c>
      <c r="L712" s="242">
        <v>28106</v>
      </c>
    </row>
    <row r="713" spans="2:12" outlineLevel="2">
      <c r="B713" s="40">
        <f t="shared" si="24"/>
        <v>250</v>
      </c>
      <c r="C713" s="41" t="s">
        <v>9</v>
      </c>
      <c r="D713" s="41" t="s">
        <v>196</v>
      </c>
      <c r="E713" s="209">
        <v>526785</v>
      </c>
      <c r="F713" s="209">
        <v>216089</v>
      </c>
      <c r="G713" s="226">
        <v>39539</v>
      </c>
      <c r="H713" s="41"/>
      <c r="I713" s="240">
        <v>45168</v>
      </c>
      <c r="J713" s="41"/>
      <c r="K713" s="248" t="s">
        <v>199</v>
      </c>
      <c r="L713" s="242">
        <v>28107</v>
      </c>
    </row>
    <row r="714" spans="2:12" outlineLevel="2">
      <c r="B714" s="40">
        <f t="shared" si="24"/>
        <v>251</v>
      </c>
      <c r="C714" s="41" t="s">
        <v>9</v>
      </c>
      <c r="D714" s="41" t="s">
        <v>196</v>
      </c>
      <c r="E714" s="209">
        <v>817939</v>
      </c>
      <c r="F714" s="209">
        <v>216106</v>
      </c>
      <c r="G714" s="226">
        <v>42370</v>
      </c>
      <c r="H714" s="41"/>
      <c r="I714" s="240">
        <v>45168</v>
      </c>
      <c r="J714" s="41"/>
      <c r="K714" s="248">
        <v>10</v>
      </c>
      <c r="L714" s="242">
        <v>28108</v>
      </c>
    </row>
    <row r="715" spans="2:12" outlineLevel="2">
      <c r="B715" s="40">
        <f t="shared" si="24"/>
        <v>252</v>
      </c>
      <c r="C715" s="41" t="s">
        <v>9</v>
      </c>
      <c r="D715" s="41" t="s">
        <v>196</v>
      </c>
      <c r="E715" s="209">
        <v>130494</v>
      </c>
      <c r="F715" s="209">
        <v>216093</v>
      </c>
      <c r="G715" s="226">
        <v>44835</v>
      </c>
      <c r="H715" s="41"/>
      <c r="I715" s="240">
        <v>45168</v>
      </c>
      <c r="J715" s="41"/>
      <c r="K715" s="248" t="s">
        <v>199</v>
      </c>
      <c r="L715" s="242">
        <v>28109</v>
      </c>
    </row>
    <row r="716" spans="2:12" outlineLevel="2">
      <c r="B716" s="40">
        <f t="shared" si="24"/>
        <v>253</v>
      </c>
      <c r="C716" s="41" t="s">
        <v>9</v>
      </c>
      <c r="D716" s="41" t="s">
        <v>196</v>
      </c>
      <c r="E716" s="209">
        <v>200352</v>
      </c>
      <c r="F716" s="209">
        <v>216091</v>
      </c>
      <c r="G716" s="226">
        <v>43313</v>
      </c>
      <c r="H716" s="41"/>
      <c r="I716" s="240">
        <v>45168</v>
      </c>
      <c r="J716" s="41"/>
      <c r="K716" s="248">
        <v>12</v>
      </c>
      <c r="L716" s="242">
        <v>28110</v>
      </c>
    </row>
    <row r="717" spans="2:12" outlineLevel="2">
      <c r="B717" s="40">
        <f t="shared" si="24"/>
        <v>254</v>
      </c>
      <c r="C717" s="41" t="s">
        <v>9</v>
      </c>
      <c r="D717" s="41" t="s">
        <v>196</v>
      </c>
      <c r="E717" s="209">
        <v>311617</v>
      </c>
      <c r="F717" s="209">
        <v>216103</v>
      </c>
      <c r="G717" s="226">
        <v>44348</v>
      </c>
      <c r="H717" s="41"/>
      <c r="I717" s="240">
        <v>45168</v>
      </c>
      <c r="J717" s="41"/>
      <c r="K717" s="248" t="s">
        <v>199</v>
      </c>
      <c r="L717" s="242">
        <v>28111</v>
      </c>
    </row>
    <row r="718" spans="2:12" outlineLevel="2">
      <c r="B718" s="40">
        <f t="shared" si="24"/>
        <v>255</v>
      </c>
      <c r="C718" s="41" t="s">
        <v>9</v>
      </c>
      <c r="D718" s="41" t="s">
        <v>196</v>
      </c>
      <c r="E718" s="209">
        <v>675832</v>
      </c>
      <c r="F718" s="209">
        <v>216105</v>
      </c>
      <c r="G718" s="226">
        <v>44986</v>
      </c>
      <c r="H718" s="41"/>
      <c r="I718" s="240">
        <v>45168</v>
      </c>
      <c r="J718" s="41"/>
      <c r="K718" s="248" t="s">
        <v>199</v>
      </c>
      <c r="L718" s="242">
        <v>28112</v>
      </c>
    </row>
    <row r="719" spans="2:12" outlineLevel="2">
      <c r="B719" s="40">
        <f t="shared" si="24"/>
        <v>256</v>
      </c>
      <c r="C719" s="41" t="s">
        <v>9</v>
      </c>
      <c r="D719" s="41" t="s">
        <v>196</v>
      </c>
      <c r="E719" s="209">
        <v>1347154</v>
      </c>
      <c r="F719" s="209">
        <v>109802</v>
      </c>
      <c r="G719" s="226">
        <v>36923</v>
      </c>
      <c r="H719" s="41"/>
      <c r="I719" s="240">
        <v>45168</v>
      </c>
      <c r="J719" s="41"/>
      <c r="K719" s="248" t="s">
        <v>199</v>
      </c>
      <c r="L719" s="242">
        <v>28113</v>
      </c>
    </row>
    <row r="720" spans="2:12" outlineLevel="2">
      <c r="B720" s="40">
        <f t="shared" si="24"/>
        <v>257</v>
      </c>
      <c r="C720" s="41" t="s">
        <v>9</v>
      </c>
      <c r="D720" s="41" t="s">
        <v>196</v>
      </c>
      <c r="E720" s="209">
        <v>71450</v>
      </c>
      <c r="F720" s="209">
        <v>925843</v>
      </c>
      <c r="G720" s="226">
        <v>40575</v>
      </c>
      <c r="H720" s="41"/>
      <c r="I720" s="240">
        <v>45168</v>
      </c>
      <c r="J720" s="41"/>
      <c r="K720" s="248" t="s">
        <v>199</v>
      </c>
      <c r="L720" s="242">
        <v>28114</v>
      </c>
    </row>
    <row r="721" spans="2:12" outlineLevel="2">
      <c r="B721" s="40">
        <f t="shared" si="24"/>
        <v>258</v>
      </c>
      <c r="C721" s="41" t="s">
        <v>9</v>
      </c>
      <c r="D721" s="41" t="s">
        <v>196</v>
      </c>
      <c r="E721" s="209">
        <v>26355</v>
      </c>
      <c r="F721" s="209">
        <v>216099</v>
      </c>
      <c r="G721" s="209">
        <v>40756</v>
      </c>
      <c r="H721" s="41"/>
      <c r="I721" s="240">
        <v>45168</v>
      </c>
      <c r="J721" s="41"/>
      <c r="K721" s="248">
        <v>6</v>
      </c>
      <c r="L721" s="242">
        <v>28115</v>
      </c>
    </row>
    <row r="722" spans="2:12" outlineLevel="2">
      <c r="B722" s="40">
        <f t="shared" si="24"/>
        <v>259</v>
      </c>
      <c r="C722" s="41" t="s">
        <v>9</v>
      </c>
      <c r="D722" s="41" t="s">
        <v>196</v>
      </c>
      <c r="E722" s="209">
        <v>28277</v>
      </c>
      <c r="F722" s="209">
        <v>216098</v>
      </c>
      <c r="G722" s="226">
        <v>41153</v>
      </c>
      <c r="H722" s="41"/>
      <c r="I722" s="240">
        <v>45168</v>
      </c>
      <c r="J722" s="41"/>
      <c r="K722" s="248" t="s">
        <v>199</v>
      </c>
      <c r="L722" s="242">
        <v>28116</v>
      </c>
    </row>
    <row r="723" spans="2:12" outlineLevel="2">
      <c r="B723" s="40">
        <f t="shared" si="24"/>
        <v>260</v>
      </c>
      <c r="C723" s="41" t="s">
        <v>9</v>
      </c>
      <c r="D723" s="41" t="s">
        <v>196</v>
      </c>
      <c r="E723" s="209">
        <v>15063</v>
      </c>
      <c r="F723" s="209">
        <v>216100</v>
      </c>
      <c r="G723" s="226">
        <v>42125</v>
      </c>
      <c r="H723" s="41"/>
      <c r="I723" s="240">
        <v>45168</v>
      </c>
      <c r="J723" s="41"/>
      <c r="K723" s="248">
        <v>8</v>
      </c>
      <c r="L723" s="242">
        <v>28117</v>
      </c>
    </row>
    <row r="724" spans="2:12" outlineLevel="2">
      <c r="B724" s="40">
        <f t="shared" si="24"/>
        <v>261</v>
      </c>
      <c r="C724" s="41" t="s">
        <v>9</v>
      </c>
      <c r="D724" s="41" t="s">
        <v>196</v>
      </c>
      <c r="E724" s="209" t="s">
        <v>417</v>
      </c>
      <c r="F724" s="209">
        <v>216097</v>
      </c>
      <c r="G724" s="226">
        <v>43282</v>
      </c>
      <c r="H724" s="41"/>
      <c r="I724" s="240">
        <v>45168</v>
      </c>
      <c r="J724" s="41"/>
      <c r="K724" s="248" t="s">
        <v>199</v>
      </c>
      <c r="L724" s="242">
        <v>28118</v>
      </c>
    </row>
    <row r="725" spans="2:12" outlineLevel="2">
      <c r="B725" s="40">
        <f t="shared" si="24"/>
        <v>262</v>
      </c>
      <c r="C725" s="41" t="s">
        <v>9</v>
      </c>
      <c r="D725" s="41" t="s">
        <v>196</v>
      </c>
      <c r="E725" s="209">
        <v>167862</v>
      </c>
      <c r="F725" s="209">
        <v>216096</v>
      </c>
      <c r="G725" s="209">
        <v>40787</v>
      </c>
      <c r="H725" s="41"/>
      <c r="I725" s="240">
        <v>45168</v>
      </c>
      <c r="J725" s="41"/>
      <c r="K725" s="248" t="s">
        <v>199</v>
      </c>
      <c r="L725" s="242">
        <v>28120</v>
      </c>
    </row>
    <row r="726" spans="2:12" outlineLevel="2">
      <c r="B726" s="40">
        <f t="shared" si="24"/>
        <v>263</v>
      </c>
      <c r="C726" s="41" t="s">
        <v>9</v>
      </c>
      <c r="D726" s="41" t="s">
        <v>196</v>
      </c>
      <c r="E726" s="209">
        <v>118493</v>
      </c>
      <c r="F726" s="209">
        <v>216095</v>
      </c>
      <c r="G726" s="209">
        <v>39814</v>
      </c>
      <c r="H726" s="41"/>
      <c r="I726" s="240">
        <v>45168</v>
      </c>
      <c r="J726" s="41"/>
      <c r="K726" s="248" t="s">
        <v>199</v>
      </c>
      <c r="L726" s="242">
        <v>28121</v>
      </c>
    </row>
    <row r="727" spans="2:12" outlineLevel="2">
      <c r="B727" s="40">
        <f t="shared" si="24"/>
        <v>264</v>
      </c>
      <c r="C727" s="41" t="s">
        <v>9</v>
      </c>
      <c r="D727" s="41" t="s">
        <v>196</v>
      </c>
      <c r="E727" s="209">
        <v>124691</v>
      </c>
      <c r="F727" s="209">
        <v>216094</v>
      </c>
      <c r="G727" s="226">
        <v>39114</v>
      </c>
      <c r="H727" s="41"/>
      <c r="I727" s="240">
        <v>45168</v>
      </c>
      <c r="J727" s="41"/>
      <c r="K727" s="248" t="s">
        <v>199</v>
      </c>
      <c r="L727" s="242">
        <v>28122</v>
      </c>
    </row>
    <row r="728" spans="2:12" outlineLevel="2">
      <c r="B728" s="40">
        <f t="shared" si="24"/>
        <v>265</v>
      </c>
      <c r="C728" s="41" t="s">
        <v>9</v>
      </c>
      <c r="D728" s="41" t="s">
        <v>196</v>
      </c>
      <c r="E728" s="209">
        <v>606458</v>
      </c>
      <c r="F728" s="209">
        <v>205544</v>
      </c>
      <c r="G728" s="226">
        <v>44593</v>
      </c>
      <c r="H728" s="41"/>
      <c r="I728" s="240">
        <v>45222</v>
      </c>
      <c r="J728" s="41"/>
      <c r="K728" s="248" t="s">
        <v>199</v>
      </c>
      <c r="L728" s="242">
        <v>28145</v>
      </c>
    </row>
    <row r="729" spans="2:12" outlineLevel="2">
      <c r="B729" s="40">
        <f t="shared" si="24"/>
        <v>266</v>
      </c>
      <c r="C729" s="41" t="s">
        <v>9</v>
      </c>
      <c r="D729" s="41" t="s">
        <v>196</v>
      </c>
      <c r="E729" s="209">
        <v>641036</v>
      </c>
      <c r="F729" s="209">
        <v>208144</v>
      </c>
      <c r="G729" s="226">
        <v>44774</v>
      </c>
      <c r="H729" s="41"/>
      <c r="I729" s="240">
        <v>45222</v>
      </c>
      <c r="J729" s="41"/>
      <c r="K729" s="248" t="s">
        <v>199</v>
      </c>
      <c r="L729" s="242">
        <v>28146</v>
      </c>
    </row>
    <row r="730" spans="2:12" outlineLevel="2">
      <c r="B730" s="40">
        <f t="shared" si="24"/>
        <v>267</v>
      </c>
      <c r="C730" s="41" t="s">
        <v>9</v>
      </c>
      <c r="D730" s="41" t="s">
        <v>196</v>
      </c>
      <c r="E730" s="209">
        <v>646656</v>
      </c>
      <c r="F730" s="209">
        <v>208742</v>
      </c>
      <c r="G730" s="226">
        <v>44835</v>
      </c>
      <c r="H730" s="41"/>
      <c r="I730" s="240">
        <v>45222</v>
      </c>
      <c r="J730" s="41"/>
      <c r="K730" s="248" t="s">
        <v>199</v>
      </c>
      <c r="L730" s="242">
        <v>28147</v>
      </c>
    </row>
    <row r="731" spans="2:12" outlineLevel="2">
      <c r="B731" s="40">
        <f t="shared" si="24"/>
        <v>268</v>
      </c>
      <c r="C731" s="41" t="s">
        <v>9</v>
      </c>
      <c r="D731" s="41" t="s">
        <v>196</v>
      </c>
      <c r="E731" s="209">
        <v>653334</v>
      </c>
      <c r="F731" s="209">
        <v>209921</v>
      </c>
      <c r="G731" s="209">
        <v>44835</v>
      </c>
      <c r="H731" s="41"/>
      <c r="I731" s="240">
        <v>45222</v>
      </c>
      <c r="J731" s="41"/>
      <c r="K731" s="248" t="s">
        <v>199</v>
      </c>
      <c r="L731" s="242">
        <v>28148</v>
      </c>
    </row>
    <row r="732" spans="2:12" outlineLevel="2">
      <c r="B732" s="40">
        <f t="shared" si="24"/>
        <v>269</v>
      </c>
      <c r="C732" s="41" t="s">
        <v>9</v>
      </c>
      <c r="D732" s="41" t="s">
        <v>196</v>
      </c>
      <c r="E732" s="209">
        <v>1488781</v>
      </c>
      <c r="F732" s="209">
        <v>211721</v>
      </c>
      <c r="G732" s="226">
        <v>44866</v>
      </c>
      <c r="H732" s="41"/>
      <c r="I732" s="240">
        <v>45222</v>
      </c>
      <c r="J732" s="41"/>
      <c r="K732" s="248" t="s">
        <v>199</v>
      </c>
      <c r="L732" s="242">
        <v>28149</v>
      </c>
    </row>
    <row r="733" spans="2:12" outlineLevel="2">
      <c r="B733" s="40">
        <f t="shared" si="24"/>
        <v>270</v>
      </c>
      <c r="C733" s="41" t="s">
        <v>9</v>
      </c>
      <c r="D733" s="41" t="s">
        <v>196</v>
      </c>
      <c r="E733" s="209">
        <v>1496877</v>
      </c>
      <c r="F733" s="209">
        <v>212197</v>
      </c>
      <c r="G733" s="226">
        <v>44896</v>
      </c>
      <c r="H733" s="41"/>
      <c r="I733" s="240">
        <v>45222</v>
      </c>
      <c r="J733" s="41"/>
      <c r="K733" s="248" t="s">
        <v>199</v>
      </c>
      <c r="L733" s="242">
        <v>28150</v>
      </c>
    </row>
    <row r="734" spans="2:12" outlineLevel="2">
      <c r="B734" s="40">
        <f t="shared" si="24"/>
        <v>271</v>
      </c>
      <c r="C734" s="41" t="s">
        <v>9</v>
      </c>
      <c r="D734" s="41" t="s">
        <v>196</v>
      </c>
      <c r="E734" s="209">
        <v>1496916</v>
      </c>
      <c r="F734" s="209">
        <v>212236</v>
      </c>
      <c r="G734" s="226">
        <v>44896</v>
      </c>
      <c r="H734" s="41"/>
      <c r="I734" s="240">
        <v>45222</v>
      </c>
      <c r="J734" s="41"/>
      <c r="K734" s="248" t="s">
        <v>199</v>
      </c>
      <c r="L734" s="242">
        <v>28151</v>
      </c>
    </row>
    <row r="735" spans="2:12" outlineLevel="2">
      <c r="B735" s="40">
        <f t="shared" si="24"/>
        <v>272</v>
      </c>
      <c r="C735" s="41" t="s">
        <v>9</v>
      </c>
      <c r="D735" s="41" t="s">
        <v>196</v>
      </c>
      <c r="E735" s="209">
        <v>453180</v>
      </c>
      <c r="F735" s="209">
        <v>205762</v>
      </c>
      <c r="G735" s="226">
        <v>44593</v>
      </c>
      <c r="H735" s="41"/>
      <c r="I735" s="240">
        <v>45222</v>
      </c>
      <c r="J735" s="41"/>
      <c r="K735" s="248" t="s">
        <v>199</v>
      </c>
      <c r="L735" s="242">
        <v>28152</v>
      </c>
    </row>
    <row r="736" spans="2:12" outlineLevel="2">
      <c r="B736" s="40">
        <f t="shared" si="24"/>
        <v>273</v>
      </c>
      <c r="C736" s="41" t="s">
        <v>9</v>
      </c>
      <c r="D736" s="41" t="s">
        <v>196</v>
      </c>
      <c r="E736" s="209">
        <v>1369773</v>
      </c>
      <c r="F736" s="209">
        <v>207980</v>
      </c>
      <c r="G736" s="226">
        <v>44713</v>
      </c>
      <c r="H736" s="41"/>
      <c r="I736" s="240">
        <v>45222</v>
      </c>
      <c r="J736" s="41"/>
      <c r="K736" s="248" t="s">
        <v>199</v>
      </c>
      <c r="L736" s="242">
        <v>28153</v>
      </c>
    </row>
    <row r="737" spans="2:12" outlineLevel="2">
      <c r="B737" s="40">
        <f t="shared" si="24"/>
        <v>274</v>
      </c>
      <c r="C737" s="41" t="s">
        <v>9</v>
      </c>
      <c r="D737" s="41" t="s">
        <v>196</v>
      </c>
      <c r="E737" s="221">
        <v>30158</v>
      </c>
      <c r="F737" s="221">
        <v>218627</v>
      </c>
      <c r="G737" s="232">
        <v>37622</v>
      </c>
      <c r="H737" s="41"/>
      <c r="I737" s="240">
        <v>45266</v>
      </c>
      <c r="J737" s="41"/>
      <c r="K737" s="248" t="s">
        <v>199</v>
      </c>
      <c r="L737" s="244">
        <v>29310</v>
      </c>
    </row>
    <row r="738" spans="2:12" outlineLevel="2">
      <c r="B738" s="40">
        <f t="shared" si="24"/>
        <v>275</v>
      </c>
      <c r="C738" s="41" t="s">
        <v>9</v>
      </c>
      <c r="D738" s="41" t="s">
        <v>196</v>
      </c>
      <c r="E738" s="221">
        <v>32705</v>
      </c>
      <c r="F738" s="221">
        <v>218632</v>
      </c>
      <c r="G738" s="232">
        <v>44713</v>
      </c>
      <c r="H738" s="41"/>
      <c r="I738" s="240">
        <v>45266</v>
      </c>
      <c r="J738" s="41"/>
      <c r="K738" s="248" t="s">
        <v>199</v>
      </c>
      <c r="L738" s="244">
        <v>29311</v>
      </c>
    </row>
    <row r="739" spans="2:12" outlineLevel="2">
      <c r="B739" s="40">
        <f t="shared" si="24"/>
        <v>276</v>
      </c>
      <c r="C739" s="41" t="s">
        <v>9</v>
      </c>
      <c r="D739" s="41" t="s">
        <v>196</v>
      </c>
      <c r="E739" s="221">
        <v>250781</v>
      </c>
      <c r="F739" s="221">
        <v>218630</v>
      </c>
      <c r="G739" s="232">
        <v>41000</v>
      </c>
      <c r="H739" s="41"/>
      <c r="I739" s="240">
        <v>45266</v>
      </c>
      <c r="J739" s="41"/>
      <c r="K739" s="248" t="s">
        <v>199</v>
      </c>
      <c r="L739" s="244">
        <v>29313</v>
      </c>
    </row>
    <row r="740" spans="2:12" outlineLevel="2">
      <c r="B740" s="40">
        <f t="shared" si="24"/>
        <v>277</v>
      </c>
      <c r="C740" s="41" t="s">
        <v>9</v>
      </c>
      <c r="D740" s="41" t="s">
        <v>196</v>
      </c>
      <c r="E740" s="221">
        <v>447719</v>
      </c>
      <c r="F740" s="221">
        <v>218628</v>
      </c>
      <c r="G740" s="232">
        <v>43040</v>
      </c>
      <c r="H740" s="41"/>
      <c r="I740" s="240">
        <v>45266</v>
      </c>
      <c r="J740" s="41"/>
      <c r="K740" s="248" t="s">
        <v>199</v>
      </c>
      <c r="L740" s="244">
        <v>29314</v>
      </c>
    </row>
    <row r="741" spans="2:12" outlineLevel="2">
      <c r="B741" s="40">
        <f t="shared" si="24"/>
        <v>278</v>
      </c>
      <c r="C741" s="41" t="s">
        <v>9</v>
      </c>
      <c r="D741" s="41" t="s">
        <v>196</v>
      </c>
      <c r="E741" s="221">
        <v>507182</v>
      </c>
      <c r="F741" s="221">
        <v>218626</v>
      </c>
      <c r="G741" s="232">
        <v>43647</v>
      </c>
      <c r="H741" s="41"/>
      <c r="I741" s="240">
        <v>45266</v>
      </c>
      <c r="J741" s="41"/>
      <c r="K741" s="248" t="s">
        <v>199</v>
      </c>
      <c r="L741" s="244">
        <v>29315</v>
      </c>
    </row>
    <row r="742" spans="2:12" outlineLevel="2">
      <c r="B742" s="40">
        <f t="shared" si="24"/>
        <v>279</v>
      </c>
      <c r="C742" s="41" t="s">
        <v>9</v>
      </c>
      <c r="D742" s="41" t="s">
        <v>196</v>
      </c>
      <c r="E742" s="221">
        <v>591374</v>
      </c>
      <c r="F742" s="221">
        <v>201909</v>
      </c>
      <c r="G742" s="232">
        <v>44409</v>
      </c>
      <c r="H742" s="41"/>
      <c r="I742" s="240">
        <v>45266</v>
      </c>
      <c r="J742" s="41"/>
      <c r="K742" s="248" t="s">
        <v>199</v>
      </c>
      <c r="L742" s="244">
        <v>29316</v>
      </c>
    </row>
    <row r="743" spans="2:12" outlineLevel="2">
      <c r="B743" s="40">
        <f t="shared" si="24"/>
        <v>280</v>
      </c>
      <c r="C743" s="41" t="s">
        <v>9</v>
      </c>
      <c r="D743" s="41" t="s">
        <v>196</v>
      </c>
      <c r="E743" s="221">
        <v>668866</v>
      </c>
      <c r="F743" s="221">
        <v>211459</v>
      </c>
      <c r="G743" s="232">
        <v>44896</v>
      </c>
      <c r="H743" s="41"/>
      <c r="I743" s="240">
        <v>45266</v>
      </c>
      <c r="J743" s="41"/>
      <c r="K743" s="248" t="s">
        <v>199</v>
      </c>
      <c r="L743" s="244">
        <v>29317</v>
      </c>
    </row>
    <row r="744" spans="2:12" outlineLevel="2">
      <c r="B744" s="40">
        <f t="shared" si="24"/>
        <v>281</v>
      </c>
      <c r="C744" s="41" t="s">
        <v>9</v>
      </c>
      <c r="D744" s="41" t="s">
        <v>196</v>
      </c>
      <c r="E744" s="221">
        <v>1407965</v>
      </c>
      <c r="F744" s="221">
        <v>203340</v>
      </c>
      <c r="G744" s="232">
        <v>44562</v>
      </c>
      <c r="H744" s="41"/>
      <c r="I744" s="240">
        <v>45266</v>
      </c>
      <c r="J744" s="41"/>
      <c r="K744" s="248" t="s">
        <v>199</v>
      </c>
      <c r="L744" s="244">
        <v>29318</v>
      </c>
    </row>
    <row r="745" spans="2:12" outlineLevel="2">
      <c r="B745" s="40">
        <f t="shared" si="24"/>
        <v>282</v>
      </c>
      <c r="C745" s="41" t="s">
        <v>9</v>
      </c>
      <c r="D745" s="41" t="s">
        <v>196</v>
      </c>
      <c r="E745" s="221">
        <v>1460019</v>
      </c>
      <c r="F745" s="221">
        <v>218625</v>
      </c>
      <c r="G745" s="232">
        <v>44774</v>
      </c>
      <c r="H745" s="41"/>
      <c r="I745" s="240">
        <v>45266</v>
      </c>
      <c r="J745" s="41"/>
      <c r="K745" s="248" t="s">
        <v>199</v>
      </c>
      <c r="L745" s="244">
        <v>29319</v>
      </c>
    </row>
    <row r="746" spans="2:12" outlineLevel="2">
      <c r="B746" s="40">
        <f t="shared" si="24"/>
        <v>283</v>
      </c>
      <c r="C746" s="41" t="s">
        <v>9</v>
      </c>
      <c r="D746" s="41" t="s">
        <v>196</v>
      </c>
      <c r="E746" s="221">
        <v>1497248</v>
      </c>
      <c r="F746" s="221">
        <v>212394</v>
      </c>
      <c r="G746" s="232">
        <v>44896</v>
      </c>
      <c r="H746" s="41"/>
      <c r="I746" s="240">
        <v>45266</v>
      </c>
      <c r="J746" s="41"/>
      <c r="K746" s="248" t="s">
        <v>199</v>
      </c>
      <c r="L746" s="244">
        <v>29320</v>
      </c>
    </row>
    <row r="747" spans="2:12" outlineLevel="2">
      <c r="B747" s="40">
        <f t="shared" si="24"/>
        <v>284</v>
      </c>
      <c r="C747" s="41" t="s">
        <v>9</v>
      </c>
      <c r="D747" s="41" t="s">
        <v>196</v>
      </c>
      <c r="E747" s="221" t="s">
        <v>418</v>
      </c>
      <c r="F747" s="221">
        <v>73220</v>
      </c>
      <c r="G747" s="232">
        <v>41609</v>
      </c>
      <c r="H747" s="41"/>
      <c r="I747" s="240">
        <v>45266</v>
      </c>
      <c r="J747" s="41"/>
      <c r="K747" s="248" t="s">
        <v>199</v>
      </c>
      <c r="L747" s="244">
        <v>29321</v>
      </c>
    </row>
    <row r="748" spans="2:12" outlineLevel="2">
      <c r="B748" s="40">
        <f t="shared" si="24"/>
        <v>285</v>
      </c>
      <c r="C748" s="41" t="s">
        <v>9</v>
      </c>
      <c r="D748" s="41" t="s">
        <v>196</v>
      </c>
      <c r="E748" s="221">
        <v>264084</v>
      </c>
      <c r="F748" s="221">
        <v>218617</v>
      </c>
      <c r="G748" s="232">
        <v>41183</v>
      </c>
      <c r="H748" s="41"/>
      <c r="I748" s="240">
        <v>45266</v>
      </c>
      <c r="J748" s="41"/>
      <c r="K748" s="248" t="s">
        <v>199</v>
      </c>
      <c r="L748" s="244">
        <v>29323</v>
      </c>
    </row>
    <row r="749" spans="2:12" outlineLevel="2">
      <c r="B749" s="40">
        <f t="shared" si="24"/>
        <v>286</v>
      </c>
      <c r="C749" s="41" t="s">
        <v>9</v>
      </c>
      <c r="D749" s="41" t="s">
        <v>196</v>
      </c>
      <c r="E749" s="221">
        <v>1204801</v>
      </c>
      <c r="F749" s="221">
        <v>218616</v>
      </c>
      <c r="G749" s="232">
        <v>41334</v>
      </c>
      <c r="H749" s="41"/>
      <c r="I749" s="240">
        <v>45266</v>
      </c>
      <c r="J749" s="41"/>
      <c r="K749" s="248" t="s">
        <v>199</v>
      </c>
      <c r="L749" s="244">
        <v>29324</v>
      </c>
    </row>
    <row r="750" spans="2:12" outlineLevel="2">
      <c r="B750" s="40">
        <f t="shared" si="24"/>
        <v>287</v>
      </c>
      <c r="C750" s="41" t="s">
        <v>9</v>
      </c>
      <c r="D750" s="41" t="s">
        <v>196</v>
      </c>
      <c r="E750" s="221">
        <v>1441143</v>
      </c>
      <c r="F750" s="221">
        <v>212081</v>
      </c>
      <c r="G750" s="221">
        <v>44896</v>
      </c>
      <c r="H750" s="41"/>
      <c r="I750" s="240">
        <v>45266</v>
      </c>
      <c r="J750" s="41"/>
      <c r="K750" s="248" t="s">
        <v>199</v>
      </c>
      <c r="L750" s="244">
        <v>29325</v>
      </c>
    </row>
    <row r="751" spans="2:12" outlineLevel="2">
      <c r="B751" s="40">
        <f t="shared" si="24"/>
        <v>288</v>
      </c>
      <c r="C751" s="41" t="s">
        <v>9</v>
      </c>
      <c r="D751" s="41" t="s">
        <v>196</v>
      </c>
      <c r="E751" s="221" t="s">
        <v>419</v>
      </c>
      <c r="F751" s="221">
        <v>218619</v>
      </c>
      <c r="G751" s="232">
        <v>42887</v>
      </c>
      <c r="H751" s="41"/>
      <c r="I751" s="240">
        <v>45266</v>
      </c>
      <c r="J751" s="41"/>
      <c r="K751" s="248" t="s">
        <v>199</v>
      </c>
      <c r="L751" s="244">
        <v>29326</v>
      </c>
    </row>
    <row r="752" spans="2:12" outlineLevel="2">
      <c r="B752" s="40">
        <f t="shared" si="24"/>
        <v>289</v>
      </c>
      <c r="C752" s="41" t="s">
        <v>9</v>
      </c>
      <c r="D752" s="41" t="s">
        <v>196</v>
      </c>
      <c r="E752" s="221">
        <v>189017</v>
      </c>
      <c r="F752" s="221">
        <v>218615</v>
      </c>
      <c r="G752" s="232">
        <v>42856</v>
      </c>
      <c r="H752" s="41"/>
      <c r="I752" s="240">
        <v>45266</v>
      </c>
      <c r="J752" s="41"/>
      <c r="K752" s="248">
        <v>23</v>
      </c>
      <c r="L752" s="244">
        <v>29327</v>
      </c>
    </row>
    <row r="753" spans="2:12" outlineLevel="2">
      <c r="B753" s="40">
        <f t="shared" si="24"/>
        <v>290</v>
      </c>
      <c r="C753" s="41" t="s">
        <v>9</v>
      </c>
      <c r="D753" s="41" t="s">
        <v>196</v>
      </c>
      <c r="E753" s="221">
        <v>368123</v>
      </c>
      <c r="F753" s="221">
        <v>56914</v>
      </c>
      <c r="G753" s="232">
        <v>43617</v>
      </c>
      <c r="H753" s="41"/>
      <c r="I753" s="240">
        <v>45266</v>
      </c>
      <c r="J753" s="41"/>
      <c r="K753" s="248" t="s">
        <v>199</v>
      </c>
      <c r="L753" s="244">
        <v>29328</v>
      </c>
    </row>
    <row r="754" spans="2:12" outlineLevel="2">
      <c r="B754" s="40">
        <f t="shared" si="24"/>
        <v>291</v>
      </c>
      <c r="C754" s="41" t="s">
        <v>9</v>
      </c>
      <c r="D754" s="41" t="s">
        <v>196</v>
      </c>
      <c r="E754" s="221">
        <v>430368</v>
      </c>
      <c r="F754" s="221">
        <v>86775</v>
      </c>
      <c r="G754" s="232">
        <v>42887</v>
      </c>
      <c r="H754" s="41"/>
      <c r="I754" s="240">
        <v>45266</v>
      </c>
      <c r="J754" s="41"/>
      <c r="K754" s="248" t="s">
        <v>199</v>
      </c>
      <c r="L754" s="244">
        <v>29329</v>
      </c>
    </row>
    <row r="755" spans="2:12" outlineLevel="2">
      <c r="B755" s="40">
        <f t="shared" si="24"/>
        <v>292</v>
      </c>
      <c r="C755" s="41" t="s">
        <v>9</v>
      </c>
      <c r="D755" s="41" t="s">
        <v>196</v>
      </c>
      <c r="E755" s="221">
        <v>436569</v>
      </c>
      <c r="F755" s="221">
        <v>103536</v>
      </c>
      <c r="G755" s="232">
        <v>40725</v>
      </c>
      <c r="H755" s="41"/>
      <c r="I755" s="240">
        <v>45266</v>
      </c>
      <c r="J755" s="41"/>
      <c r="K755" s="248" t="s">
        <v>199</v>
      </c>
      <c r="L755" s="244">
        <v>29330</v>
      </c>
    </row>
    <row r="756" spans="2:12" outlineLevel="2">
      <c r="B756" s="40">
        <f t="shared" ref="B756:B819" si="25">ROW(A293)</f>
        <v>293</v>
      </c>
      <c r="C756" s="41" t="s">
        <v>9</v>
      </c>
      <c r="D756" s="41" t="s">
        <v>196</v>
      </c>
      <c r="E756" s="221">
        <v>1145582</v>
      </c>
      <c r="F756" s="221">
        <v>90058</v>
      </c>
      <c r="G756" s="232">
        <v>43221</v>
      </c>
      <c r="H756" s="41"/>
      <c r="I756" s="240">
        <v>45266</v>
      </c>
      <c r="J756" s="41"/>
      <c r="K756" s="248" t="s">
        <v>199</v>
      </c>
      <c r="L756" s="244">
        <v>29331</v>
      </c>
    </row>
    <row r="757" spans="2:12" outlineLevel="2">
      <c r="B757" s="40">
        <f t="shared" si="25"/>
        <v>294</v>
      </c>
      <c r="C757" s="41" t="s">
        <v>9</v>
      </c>
      <c r="D757" s="41" t="s">
        <v>196</v>
      </c>
      <c r="E757" s="221">
        <v>1229337</v>
      </c>
      <c r="F757" s="221">
        <v>108028</v>
      </c>
      <c r="G757" s="232">
        <v>43922</v>
      </c>
      <c r="H757" s="41"/>
      <c r="I757" s="240">
        <v>45266</v>
      </c>
      <c r="J757" s="41"/>
      <c r="K757" s="248" t="s">
        <v>199</v>
      </c>
      <c r="L757" s="244">
        <v>29332</v>
      </c>
    </row>
    <row r="758" spans="2:12" outlineLevel="2">
      <c r="B758" s="40">
        <f t="shared" si="25"/>
        <v>295</v>
      </c>
      <c r="C758" s="41" t="s">
        <v>9</v>
      </c>
      <c r="D758" s="41" t="s">
        <v>196</v>
      </c>
      <c r="E758" s="221">
        <v>1371392</v>
      </c>
      <c r="F758" s="221">
        <v>207854</v>
      </c>
      <c r="G758" s="232">
        <v>44713</v>
      </c>
      <c r="H758" s="41"/>
      <c r="I758" s="240">
        <v>45266</v>
      </c>
      <c r="J758" s="41"/>
      <c r="K758" s="248" t="s">
        <v>199</v>
      </c>
      <c r="L758" s="244">
        <v>29333</v>
      </c>
    </row>
    <row r="759" spans="2:12" outlineLevel="2">
      <c r="B759" s="40">
        <f t="shared" si="25"/>
        <v>296</v>
      </c>
      <c r="C759" s="41" t="s">
        <v>9</v>
      </c>
      <c r="D759" s="41" t="s">
        <v>196</v>
      </c>
      <c r="E759" s="221" t="s">
        <v>420</v>
      </c>
      <c r="F759" s="221">
        <v>218623</v>
      </c>
      <c r="G759" s="232">
        <v>42644</v>
      </c>
      <c r="H759" s="41"/>
      <c r="I759" s="240">
        <v>45266</v>
      </c>
      <c r="J759" s="41"/>
      <c r="K759" s="248" t="s">
        <v>199</v>
      </c>
      <c r="L759" s="244">
        <v>29334</v>
      </c>
    </row>
    <row r="760" spans="2:12" outlineLevel="2">
      <c r="B760" s="40">
        <f t="shared" si="25"/>
        <v>297</v>
      </c>
      <c r="C760" s="41" t="s">
        <v>9</v>
      </c>
      <c r="D760" s="41" t="s">
        <v>196</v>
      </c>
      <c r="E760" s="221" t="s">
        <v>421</v>
      </c>
      <c r="F760" s="221">
        <v>218621</v>
      </c>
      <c r="G760" s="232">
        <v>40148</v>
      </c>
      <c r="H760" s="41"/>
      <c r="I760" s="240">
        <v>45266</v>
      </c>
      <c r="J760" s="41"/>
      <c r="K760" s="248" t="s">
        <v>199</v>
      </c>
      <c r="L760" s="244">
        <v>29335</v>
      </c>
    </row>
    <row r="761" spans="2:12" outlineLevel="2">
      <c r="B761" s="40">
        <f t="shared" si="25"/>
        <v>298</v>
      </c>
      <c r="C761" s="41" t="s">
        <v>9</v>
      </c>
      <c r="D761" s="41" t="s">
        <v>196</v>
      </c>
      <c r="E761" s="221" t="s">
        <v>422</v>
      </c>
      <c r="F761" s="221">
        <v>55711</v>
      </c>
      <c r="G761" s="232">
        <v>40756</v>
      </c>
      <c r="H761" s="41"/>
      <c r="I761" s="240">
        <v>45266</v>
      </c>
      <c r="J761" s="41"/>
      <c r="K761" s="248" t="s">
        <v>199</v>
      </c>
      <c r="L761" s="244">
        <v>29336</v>
      </c>
    </row>
    <row r="762" spans="2:12" outlineLevel="2">
      <c r="B762" s="40">
        <f t="shared" si="25"/>
        <v>299</v>
      </c>
      <c r="C762" s="41" t="s">
        <v>9</v>
      </c>
      <c r="D762" s="41" t="s">
        <v>196</v>
      </c>
      <c r="E762" s="221">
        <v>161662</v>
      </c>
      <c r="F762" s="221">
        <v>218624</v>
      </c>
      <c r="G762" s="232">
        <v>40664</v>
      </c>
      <c r="H762" s="41"/>
      <c r="I762" s="240">
        <v>45266</v>
      </c>
      <c r="J762" s="41"/>
      <c r="K762" s="248" t="s">
        <v>199</v>
      </c>
      <c r="L762" s="244">
        <v>29337</v>
      </c>
    </row>
    <row r="763" spans="2:12" outlineLevel="2">
      <c r="B763" s="40">
        <f t="shared" si="25"/>
        <v>300</v>
      </c>
      <c r="C763" s="41" t="s">
        <v>9</v>
      </c>
      <c r="D763" s="41" t="s">
        <v>196</v>
      </c>
      <c r="E763" s="221">
        <v>177215</v>
      </c>
      <c r="F763" s="221">
        <v>218618</v>
      </c>
      <c r="G763" s="221">
        <v>40909</v>
      </c>
      <c r="H763" s="41"/>
      <c r="I763" s="240">
        <v>45266</v>
      </c>
      <c r="J763" s="41"/>
      <c r="K763" s="248" t="s">
        <v>199</v>
      </c>
      <c r="L763" s="244">
        <v>29338</v>
      </c>
    </row>
    <row r="764" spans="2:12" outlineLevel="2">
      <c r="B764" s="40">
        <f t="shared" si="25"/>
        <v>301</v>
      </c>
      <c r="C764" s="41" t="s">
        <v>9</v>
      </c>
      <c r="D764" s="41" t="s">
        <v>196</v>
      </c>
      <c r="E764" s="221">
        <v>264198</v>
      </c>
      <c r="F764" s="221">
        <v>218622</v>
      </c>
      <c r="G764" s="221">
        <v>41183</v>
      </c>
      <c r="H764" s="41"/>
      <c r="I764" s="240">
        <v>45266</v>
      </c>
      <c r="J764" s="41"/>
      <c r="K764" s="248" t="s">
        <v>199</v>
      </c>
      <c r="L764" s="244">
        <v>29339</v>
      </c>
    </row>
    <row r="765" spans="2:12" outlineLevel="2">
      <c r="B765" s="40">
        <f t="shared" si="25"/>
        <v>302</v>
      </c>
      <c r="C765" s="41" t="s">
        <v>9</v>
      </c>
      <c r="D765" s="41" t="s">
        <v>196</v>
      </c>
      <c r="E765" s="221">
        <v>369284</v>
      </c>
      <c r="F765" s="221">
        <v>97348</v>
      </c>
      <c r="G765" s="232">
        <v>43617</v>
      </c>
      <c r="H765" s="41"/>
      <c r="I765" s="240">
        <v>45266</v>
      </c>
      <c r="J765" s="41"/>
      <c r="K765" s="248" t="s">
        <v>199</v>
      </c>
      <c r="L765" s="244">
        <v>29340</v>
      </c>
    </row>
    <row r="766" spans="2:12" outlineLevel="2">
      <c r="B766" s="40">
        <f t="shared" si="25"/>
        <v>303</v>
      </c>
      <c r="C766" s="41" t="s">
        <v>9</v>
      </c>
      <c r="D766" s="41" t="s">
        <v>196</v>
      </c>
      <c r="E766" s="221">
        <v>369353</v>
      </c>
      <c r="F766" s="221">
        <v>97417</v>
      </c>
      <c r="G766" s="232">
        <v>43617</v>
      </c>
      <c r="H766" s="41"/>
      <c r="I766" s="240">
        <v>45266</v>
      </c>
      <c r="J766" s="41"/>
      <c r="K766" s="248" t="s">
        <v>199</v>
      </c>
      <c r="L766" s="244">
        <v>29341</v>
      </c>
    </row>
    <row r="767" spans="2:12" outlineLevel="2">
      <c r="B767" s="40">
        <f t="shared" si="25"/>
        <v>304</v>
      </c>
      <c r="C767" s="41" t="s">
        <v>9</v>
      </c>
      <c r="D767" s="41" t="s">
        <v>196</v>
      </c>
      <c r="E767" s="221">
        <v>403449</v>
      </c>
      <c r="F767" s="221">
        <v>218620</v>
      </c>
      <c r="G767" s="232">
        <v>42614</v>
      </c>
      <c r="H767" s="41"/>
      <c r="I767" s="240">
        <v>45266</v>
      </c>
      <c r="J767" s="41"/>
      <c r="K767" s="248" t="s">
        <v>199</v>
      </c>
      <c r="L767" s="244">
        <v>29342</v>
      </c>
    </row>
    <row r="768" spans="2:12" outlineLevel="2">
      <c r="B768" s="40">
        <f t="shared" si="25"/>
        <v>305</v>
      </c>
      <c r="C768" s="41" t="s">
        <v>9</v>
      </c>
      <c r="D768" s="41" t="s">
        <v>196</v>
      </c>
      <c r="E768" s="221">
        <v>253142</v>
      </c>
      <c r="F768" s="221">
        <v>61298</v>
      </c>
      <c r="G768" s="232">
        <v>41030</v>
      </c>
      <c r="H768" s="41"/>
      <c r="I768" s="240">
        <v>45280</v>
      </c>
      <c r="J768" s="41"/>
      <c r="K768" s="248" t="s">
        <v>199</v>
      </c>
      <c r="L768" s="244">
        <v>29343</v>
      </c>
    </row>
    <row r="769" spans="2:12" outlineLevel="2">
      <c r="B769" s="40">
        <f t="shared" si="25"/>
        <v>306</v>
      </c>
      <c r="C769" s="41" t="s">
        <v>9</v>
      </c>
      <c r="D769" s="41" t="s">
        <v>196</v>
      </c>
      <c r="E769" s="221">
        <v>759239</v>
      </c>
      <c r="F769" s="221">
        <v>218944</v>
      </c>
      <c r="G769" s="221">
        <v>45078</v>
      </c>
      <c r="H769" s="41"/>
      <c r="I769" s="240">
        <v>45280</v>
      </c>
      <c r="J769" s="41"/>
      <c r="K769" s="248">
        <v>15</v>
      </c>
      <c r="L769" s="244">
        <v>29344</v>
      </c>
    </row>
    <row r="770" spans="2:12" outlineLevel="2">
      <c r="B770" s="40">
        <f t="shared" si="25"/>
        <v>307</v>
      </c>
      <c r="C770" s="41" t="s">
        <v>9</v>
      </c>
      <c r="D770" s="41" t="s">
        <v>196</v>
      </c>
      <c r="E770" s="221">
        <v>1409023</v>
      </c>
      <c r="F770" s="221">
        <v>203880</v>
      </c>
      <c r="G770" s="232">
        <v>44562</v>
      </c>
      <c r="H770" s="41"/>
      <c r="I770" s="240">
        <v>45280</v>
      </c>
      <c r="J770" s="41"/>
      <c r="K770" s="248" t="s">
        <v>199</v>
      </c>
      <c r="L770" s="244">
        <v>29346</v>
      </c>
    </row>
    <row r="771" spans="2:12" outlineLevel="2">
      <c r="B771" s="40">
        <f t="shared" si="25"/>
        <v>308</v>
      </c>
      <c r="C771" s="41" t="s">
        <v>9</v>
      </c>
      <c r="D771" s="41" t="s">
        <v>196</v>
      </c>
      <c r="E771" s="221">
        <v>1415838</v>
      </c>
      <c r="F771" s="221">
        <v>204734</v>
      </c>
      <c r="G771" s="232">
        <v>44593</v>
      </c>
      <c r="H771" s="41"/>
      <c r="I771" s="240">
        <v>45280</v>
      </c>
      <c r="J771" s="41"/>
      <c r="K771" s="248" t="s">
        <v>199</v>
      </c>
      <c r="L771" s="244">
        <v>29347</v>
      </c>
    </row>
    <row r="772" spans="2:12" outlineLevel="2">
      <c r="B772" s="40">
        <f t="shared" si="25"/>
        <v>309</v>
      </c>
      <c r="C772" s="41" t="s">
        <v>9</v>
      </c>
      <c r="D772" s="41" t="s">
        <v>196</v>
      </c>
      <c r="E772" s="221" t="s">
        <v>423</v>
      </c>
      <c r="F772" s="221">
        <v>218946</v>
      </c>
      <c r="G772" s="232">
        <v>38838</v>
      </c>
      <c r="H772" s="41"/>
      <c r="I772" s="240">
        <v>45280</v>
      </c>
      <c r="J772" s="41"/>
      <c r="K772" s="248">
        <v>31</v>
      </c>
      <c r="L772" s="244">
        <v>29348</v>
      </c>
    </row>
    <row r="773" spans="2:12" outlineLevel="2">
      <c r="B773" s="40">
        <f t="shared" si="25"/>
        <v>310</v>
      </c>
      <c r="C773" s="41" t="s">
        <v>9</v>
      </c>
      <c r="D773" s="41" t="s">
        <v>196</v>
      </c>
      <c r="E773" s="221">
        <v>295350</v>
      </c>
      <c r="F773" s="221">
        <v>218945</v>
      </c>
      <c r="G773" s="232">
        <v>41487</v>
      </c>
      <c r="H773" s="41"/>
      <c r="I773" s="240">
        <v>45280</v>
      </c>
      <c r="J773" s="41"/>
      <c r="K773" s="248">
        <v>25</v>
      </c>
      <c r="L773" s="244">
        <v>29349</v>
      </c>
    </row>
    <row r="774" spans="2:12" outlineLevel="2">
      <c r="B774" s="40">
        <f t="shared" si="25"/>
        <v>311</v>
      </c>
      <c r="C774" s="41" t="s">
        <v>9</v>
      </c>
      <c r="D774" s="41" t="s">
        <v>196</v>
      </c>
      <c r="E774" s="221">
        <v>182768</v>
      </c>
      <c r="F774" s="221">
        <v>218948</v>
      </c>
      <c r="G774" s="232">
        <v>44805</v>
      </c>
      <c r="H774" s="41"/>
      <c r="I774" s="240">
        <v>45280</v>
      </c>
      <c r="J774" s="41"/>
      <c r="K774" s="248" t="s">
        <v>199</v>
      </c>
      <c r="L774" s="244">
        <v>29351</v>
      </c>
    </row>
    <row r="775" spans="2:12" outlineLevel="2">
      <c r="B775" s="40">
        <f t="shared" si="25"/>
        <v>312</v>
      </c>
      <c r="C775" s="41" t="s">
        <v>9</v>
      </c>
      <c r="D775" s="41" t="s">
        <v>196</v>
      </c>
      <c r="E775" s="221">
        <v>421691</v>
      </c>
      <c r="F775" s="221">
        <v>218952</v>
      </c>
      <c r="G775" s="232">
        <v>42826</v>
      </c>
      <c r="H775" s="41"/>
      <c r="I775" s="240">
        <v>45280</v>
      </c>
      <c r="J775" s="41"/>
      <c r="K775" s="248" t="s">
        <v>199</v>
      </c>
      <c r="L775" s="244">
        <v>29352</v>
      </c>
    </row>
    <row r="776" spans="2:12" outlineLevel="2">
      <c r="B776" s="40">
        <f t="shared" si="25"/>
        <v>313</v>
      </c>
      <c r="C776" s="41" t="s">
        <v>9</v>
      </c>
      <c r="D776" s="41" t="s">
        <v>196</v>
      </c>
      <c r="E776" s="221">
        <v>1408504</v>
      </c>
      <c r="F776" s="221">
        <v>218949</v>
      </c>
      <c r="G776" s="232">
        <v>44562</v>
      </c>
      <c r="H776" s="41"/>
      <c r="I776" s="240">
        <v>45280</v>
      </c>
      <c r="J776" s="41"/>
      <c r="K776" s="248" t="s">
        <v>199</v>
      </c>
      <c r="L776" s="244">
        <v>29353</v>
      </c>
    </row>
    <row r="777" spans="2:12" outlineLevel="2">
      <c r="B777" s="40">
        <f t="shared" si="25"/>
        <v>314</v>
      </c>
      <c r="C777" s="41" t="s">
        <v>9</v>
      </c>
      <c r="D777" s="41" t="s">
        <v>196</v>
      </c>
      <c r="E777" s="221">
        <v>264065</v>
      </c>
      <c r="F777" s="221">
        <v>636660</v>
      </c>
      <c r="G777" s="232">
        <v>41183</v>
      </c>
      <c r="H777" s="41"/>
      <c r="I777" s="240">
        <v>45280</v>
      </c>
      <c r="J777" s="41"/>
      <c r="K777" s="248" t="s">
        <v>199</v>
      </c>
      <c r="L777" s="244">
        <v>29354</v>
      </c>
    </row>
    <row r="778" spans="2:12" outlineLevel="2">
      <c r="B778" s="40">
        <f t="shared" si="25"/>
        <v>315</v>
      </c>
      <c r="C778" s="41" t="s">
        <v>9</v>
      </c>
      <c r="D778" s="41" t="s">
        <v>196</v>
      </c>
      <c r="E778" s="221">
        <v>264129</v>
      </c>
      <c r="F778" s="221">
        <v>63730</v>
      </c>
      <c r="G778" s="232">
        <v>41183</v>
      </c>
      <c r="H778" s="41"/>
      <c r="I778" s="240">
        <v>45280</v>
      </c>
      <c r="J778" s="41"/>
      <c r="K778" s="248" t="s">
        <v>199</v>
      </c>
      <c r="L778" s="244">
        <v>29355</v>
      </c>
    </row>
    <row r="779" spans="2:12" outlineLevel="2">
      <c r="B779" s="40">
        <f t="shared" si="25"/>
        <v>316</v>
      </c>
      <c r="C779" s="41" t="s">
        <v>9</v>
      </c>
      <c r="D779" s="41" t="s">
        <v>196</v>
      </c>
      <c r="E779" s="221">
        <v>269982</v>
      </c>
      <c r="F779" s="221">
        <v>704713</v>
      </c>
      <c r="G779" s="232">
        <v>41275</v>
      </c>
      <c r="H779" s="41"/>
      <c r="I779" s="240">
        <v>45280</v>
      </c>
      <c r="J779" s="41"/>
      <c r="K779" s="248" t="s">
        <v>199</v>
      </c>
      <c r="L779" s="244">
        <v>29356</v>
      </c>
    </row>
    <row r="780" spans="2:12" outlineLevel="2">
      <c r="B780" s="40">
        <f t="shared" si="25"/>
        <v>317</v>
      </c>
      <c r="C780" s="41" t="s">
        <v>9</v>
      </c>
      <c r="D780" s="41" t="s">
        <v>196</v>
      </c>
      <c r="E780" s="221">
        <v>358185</v>
      </c>
      <c r="F780" s="221">
        <v>218950</v>
      </c>
      <c r="G780" s="232">
        <v>40575</v>
      </c>
      <c r="H780" s="41"/>
      <c r="I780" s="240">
        <v>45280</v>
      </c>
      <c r="J780" s="41"/>
      <c r="K780" s="248">
        <v>12</v>
      </c>
      <c r="L780" s="244">
        <v>29357</v>
      </c>
    </row>
    <row r="781" spans="2:12" outlineLevel="2">
      <c r="B781" s="40">
        <f t="shared" si="25"/>
        <v>318</v>
      </c>
      <c r="C781" s="41" t="s">
        <v>9</v>
      </c>
      <c r="D781" s="41" t="s">
        <v>196</v>
      </c>
      <c r="E781" s="221">
        <v>421693</v>
      </c>
      <c r="F781" s="221">
        <v>85650</v>
      </c>
      <c r="G781" s="221">
        <v>42826</v>
      </c>
      <c r="H781" s="41"/>
      <c r="I781" s="240">
        <v>45280</v>
      </c>
      <c r="J781" s="41"/>
      <c r="K781" s="248" t="s">
        <v>199</v>
      </c>
      <c r="L781" s="244">
        <v>29359</v>
      </c>
    </row>
    <row r="782" spans="2:12" outlineLevel="2">
      <c r="B782" s="40">
        <f t="shared" si="25"/>
        <v>319</v>
      </c>
      <c r="C782" s="41" t="s">
        <v>9</v>
      </c>
      <c r="D782" s="41" t="s">
        <v>196</v>
      </c>
      <c r="E782" s="221">
        <v>439120</v>
      </c>
      <c r="F782" s="221">
        <v>87646</v>
      </c>
      <c r="G782" s="232">
        <v>42948</v>
      </c>
      <c r="H782" s="41"/>
      <c r="I782" s="240">
        <v>45280</v>
      </c>
      <c r="J782" s="41"/>
      <c r="K782" s="248" t="s">
        <v>199</v>
      </c>
      <c r="L782" s="244">
        <v>29360</v>
      </c>
    </row>
    <row r="783" spans="2:12" outlineLevel="2">
      <c r="B783" s="40">
        <f t="shared" si="25"/>
        <v>320</v>
      </c>
      <c r="C783" s="41" t="s">
        <v>9</v>
      </c>
      <c r="D783" s="41" t="s">
        <v>196</v>
      </c>
      <c r="E783" s="221">
        <v>1204676</v>
      </c>
      <c r="F783" s="221">
        <v>218955</v>
      </c>
      <c r="G783" s="251">
        <v>41456</v>
      </c>
      <c r="H783" s="41"/>
      <c r="I783" s="240">
        <v>45280</v>
      </c>
      <c r="J783" s="41"/>
      <c r="K783" s="248" t="s">
        <v>199</v>
      </c>
      <c r="L783" s="244">
        <v>29361</v>
      </c>
    </row>
    <row r="784" spans="2:12" outlineLevel="2">
      <c r="B784" s="40">
        <f t="shared" si="25"/>
        <v>321</v>
      </c>
      <c r="C784" s="41" t="s">
        <v>9</v>
      </c>
      <c r="D784" s="41" t="s">
        <v>196</v>
      </c>
      <c r="E784" s="221">
        <v>1204727</v>
      </c>
      <c r="F784" s="221">
        <v>218951</v>
      </c>
      <c r="G784" s="232">
        <v>43282</v>
      </c>
      <c r="H784" s="41"/>
      <c r="I784" s="240">
        <v>45280</v>
      </c>
      <c r="J784" s="41"/>
      <c r="K784" s="248" t="s">
        <v>199</v>
      </c>
      <c r="L784" s="244">
        <v>29362</v>
      </c>
    </row>
    <row r="785" spans="2:12" outlineLevel="2">
      <c r="B785" s="40">
        <f t="shared" si="25"/>
        <v>322</v>
      </c>
      <c r="C785" s="41" t="s">
        <v>9</v>
      </c>
      <c r="D785" s="41" t="s">
        <v>196</v>
      </c>
      <c r="E785" s="221">
        <v>1229231</v>
      </c>
      <c r="F785" s="221">
        <v>107949</v>
      </c>
      <c r="G785" s="232">
        <v>43922</v>
      </c>
      <c r="H785" s="41"/>
      <c r="I785" s="240">
        <v>45280</v>
      </c>
      <c r="J785" s="41"/>
      <c r="K785" s="248" t="s">
        <v>199</v>
      </c>
      <c r="L785" s="244">
        <v>29363</v>
      </c>
    </row>
    <row r="786" spans="2:12" outlineLevel="2">
      <c r="B786" s="40">
        <f t="shared" si="25"/>
        <v>323</v>
      </c>
      <c r="C786" s="41" t="s">
        <v>9</v>
      </c>
      <c r="D786" s="41" t="s">
        <v>196</v>
      </c>
      <c r="E786" s="221">
        <v>1253209</v>
      </c>
      <c r="F786" s="221">
        <v>108958</v>
      </c>
      <c r="G786" s="232">
        <v>44743</v>
      </c>
      <c r="H786" s="41"/>
      <c r="I786" s="240">
        <v>45280</v>
      </c>
      <c r="J786" s="41"/>
      <c r="K786" s="248" t="s">
        <v>199</v>
      </c>
      <c r="L786" s="244">
        <v>29365</v>
      </c>
    </row>
    <row r="787" spans="2:12" outlineLevel="2">
      <c r="B787" s="40">
        <f t="shared" si="25"/>
        <v>324</v>
      </c>
      <c r="C787" s="41" t="s">
        <v>9</v>
      </c>
      <c r="D787" s="41" t="s">
        <v>196</v>
      </c>
      <c r="E787" s="221">
        <v>9603328</v>
      </c>
      <c r="F787" s="221">
        <v>96137</v>
      </c>
      <c r="G787" s="232">
        <v>35186</v>
      </c>
      <c r="H787" s="41"/>
      <c r="I787" s="240">
        <v>45280</v>
      </c>
      <c r="J787" s="41"/>
      <c r="K787" s="248">
        <v>44</v>
      </c>
      <c r="L787" s="244">
        <v>29366</v>
      </c>
    </row>
    <row r="788" spans="2:12" outlineLevel="2">
      <c r="B788" s="40">
        <f t="shared" si="25"/>
        <v>325</v>
      </c>
      <c r="C788" s="41" t="s">
        <v>9</v>
      </c>
      <c r="D788" s="41" t="s">
        <v>196</v>
      </c>
      <c r="E788" s="221">
        <v>22427</v>
      </c>
      <c r="F788" s="221">
        <v>218956</v>
      </c>
      <c r="G788" s="232">
        <v>40695</v>
      </c>
      <c r="H788" s="41"/>
      <c r="I788" s="240">
        <v>45280</v>
      </c>
      <c r="J788" s="41"/>
      <c r="K788" s="248">
        <v>32</v>
      </c>
      <c r="L788" s="244">
        <v>29367</v>
      </c>
    </row>
    <row r="789" spans="2:12" outlineLevel="2">
      <c r="B789" s="40">
        <f t="shared" si="25"/>
        <v>326</v>
      </c>
      <c r="C789" s="41" t="s">
        <v>9</v>
      </c>
      <c r="D789" s="41" t="s">
        <v>196</v>
      </c>
      <c r="E789" s="221" t="s">
        <v>424</v>
      </c>
      <c r="F789" s="221">
        <v>74714</v>
      </c>
      <c r="G789" s="232">
        <v>42005</v>
      </c>
      <c r="H789" s="41"/>
      <c r="I789" s="240">
        <v>45280</v>
      </c>
      <c r="J789" s="41"/>
      <c r="K789" s="248" t="s">
        <v>199</v>
      </c>
      <c r="L789" s="244">
        <v>29368</v>
      </c>
    </row>
    <row r="790" spans="2:12" outlineLevel="2">
      <c r="B790" s="40">
        <f t="shared" si="25"/>
        <v>327</v>
      </c>
      <c r="C790" s="41" t="s">
        <v>9</v>
      </c>
      <c r="D790" s="41" t="s">
        <v>196</v>
      </c>
      <c r="E790" s="221">
        <v>368482</v>
      </c>
      <c r="F790" s="221">
        <v>218953</v>
      </c>
      <c r="G790" s="232">
        <v>43617</v>
      </c>
      <c r="H790" s="41"/>
      <c r="I790" s="240">
        <v>45280</v>
      </c>
      <c r="J790" s="41"/>
      <c r="K790" s="248" t="s">
        <v>199</v>
      </c>
      <c r="L790" s="244">
        <v>29369</v>
      </c>
    </row>
    <row r="791" spans="2:12" outlineLevel="2">
      <c r="B791" s="40">
        <f t="shared" si="25"/>
        <v>328</v>
      </c>
      <c r="C791" s="41" t="s">
        <v>9</v>
      </c>
      <c r="D791" s="41" t="s">
        <v>196</v>
      </c>
      <c r="E791" s="221">
        <v>1225915</v>
      </c>
      <c r="F791" s="221">
        <v>218954</v>
      </c>
      <c r="G791" s="232">
        <v>43891</v>
      </c>
      <c r="H791" s="41"/>
      <c r="I791" s="240">
        <v>45280</v>
      </c>
      <c r="J791" s="41"/>
      <c r="K791" s="248" t="s">
        <v>199</v>
      </c>
      <c r="L791" s="244">
        <v>29370</v>
      </c>
    </row>
    <row r="792" spans="2:12" outlineLevel="2">
      <c r="B792" s="40">
        <f t="shared" si="25"/>
        <v>329</v>
      </c>
      <c r="C792" s="41" t="s">
        <v>9</v>
      </c>
      <c r="D792" s="41" t="s">
        <v>196</v>
      </c>
      <c r="E792" s="221">
        <v>369292</v>
      </c>
      <c r="F792" s="221">
        <v>97356</v>
      </c>
      <c r="G792" s="232">
        <v>43617</v>
      </c>
      <c r="H792" s="41"/>
      <c r="I792" s="240">
        <v>45280</v>
      </c>
      <c r="J792" s="41"/>
      <c r="K792" s="248" t="s">
        <v>199</v>
      </c>
      <c r="L792" s="244">
        <v>29371</v>
      </c>
    </row>
    <row r="793" spans="2:12" outlineLevel="2">
      <c r="B793" s="40">
        <f t="shared" si="25"/>
        <v>330</v>
      </c>
      <c r="C793" s="41" t="s">
        <v>9</v>
      </c>
      <c r="D793" s="41" t="s">
        <v>196</v>
      </c>
      <c r="E793" s="221">
        <v>25115</v>
      </c>
      <c r="F793" s="221">
        <v>218942</v>
      </c>
      <c r="G793" s="232">
        <v>39142</v>
      </c>
      <c r="H793" s="41"/>
      <c r="I793" s="240">
        <v>45299</v>
      </c>
      <c r="J793" s="41"/>
      <c r="K793" s="248" t="s">
        <v>199</v>
      </c>
      <c r="L793" s="244">
        <v>29372</v>
      </c>
    </row>
    <row r="794" spans="2:12" outlineLevel="2">
      <c r="B794" s="40">
        <f t="shared" si="25"/>
        <v>331</v>
      </c>
      <c r="C794" s="41" t="s">
        <v>9</v>
      </c>
      <c r="D794" s="41" t="s">
        <v>196</v>
      </c>
      <c r="E794" s="221">
        <v>484802</v>
      </c>
      <c r="F794" s="221">
        <v>98427</v>
      </c>
      <c r="G794" s="232">
        <v>43344</v>
      </c>
      <c r="H794" s="41"/>
      <c r="I794" s="240">
        <v>45299</v>
      </c>
      <c r="J794" s="41"/>
      <c r="K794" s="248" t="s">
        <v>199</v>
      </c>
      <c r="L794" s="244">
        <v>29374</v>
      </c>
    </row>
    <row r="795" spans="2:12" outlineLevel="2">
      <c r="B795" s="40">
        <f t="shared" si="25"/>
        <v>332</v>
      </c>
      <c r="C795" s="41" t="s">
        <v>9</v>
      </c>
      <c r="D795" s="41" t="s">
        <v>196</v>
      </c>
      <c r="E795" s="221">
        <v>573891</v>
      </c>
      <c r="F795" s="221">
        <v>200390</v>
      </c>
      <c r="G795" s="232">
        <v>44287</v>
      </c>
      <c r="H795" s="41"/>
      <c r="I795" s="240">
        <v>45299</v>
      </c>
      <c r="J795" s="41"/>
      <c r="K795" s="248" t="s">
        <v>199</v>
      </c>
      <c r="L795" s="244">
        <v>29375</v>
      </c>
    </row>
    <row r="796" spans="2:12" outlineLevel="2">
      <c r="B796" s="40">
        <f t="shared" si="25"/>
        <v>333</v>
      </c>
      <c r="C796" s="41" t="s">
        <v>9</v>
      </c>
      <c r="D796" s="41" t="s">
        <v>196</v>
      </c>
      <c r="E796" s="221">
        <v>795849</v>
      </c>
      <c r="F796" s="221">
        <v>218938</v>
      </c>
      <c r="G796" s="232">
        <v>40664</v>
      </c>
      <c r="H796" s="41"/>
      <c r="I796" s="240">
        <v>45299</v>
      </c>
      <c r="J796" s="41"/>
      <c r="K796" s="248" t="s">
        <v>199</v>
      </c>
      <c r="L796" s="244">
        <v>29376</v>
      </c>
    </row>
    <row r="797" spans="2:12" outlineLevel="2">
      <c r="B797" s="40">
        <f t="shared" si="25"/>
        <v>334</v>
      </c>
      <c r="C797" s="41" t="s">
        <v>9</v>
      </c>
      <c r="D797" s="41" t="s">
        <v>196</v>
      </c>
      <c r="E797" s="221">
        <v>1333590</v>
      </c>
      <c r="F797" s="221">
        <v>109576</v>
      </c>
      <c r="G797" s="232">
        <v>44166</v>
      </c>
      <c r="H797" s="41"/>
      <c r="I797" s="240">
        <v>45299</v>
      </c>
      <c r="J797" s="41"/>
      <c r="K797" s="248" t="s">
        <v>199</v>
      </c>
      <c r="L797" s="244">
        <v>29377</v>
      </c>
    </row>
    <row r="798" spans="2:12" outlineLevel="2">
      <c r="B798" s="40">
        <f t="shared" si="25"/>
        <v>335</v>
      </c>
      <c r="C798" s="41" t="s">
        <v>9</v>
      </c>
      <c r="D798" s="41" t="s">
        <v>196</v>
      </c>
      <c r="E798" s="221">
        <v>1358105</v>
      </c>
      <c r="F798" s="221">
        <v>218939</v>
      </c>
      <c r="G798" s="232">
        <v>44287</v>
      </c>
      <c r="H798" s="41"/>
      <c r="I798" s="240">
        <v>45299</v>
      </c>
      <c r="J798" s="41"/>
      <c r="K798" s="248" t="s">
        <v>199</v>
      </c>
      <c r="L798" s="244">
        <v>29378</v>
      </c>
    </row>
    <row r="799" spans="2:12" outlineLevel="2">
      <c r="B799" s="40">
        <f t="shared" si="25"/>
        <v>336</v>
      </c>
      <c r="C799" s="41" t="s">
        <v>9</v>
      </c>
      <c r="D799" s="41" t="s">
        <v>196</v>
      </c>
      <c r="E799" s="221">
        <v>1408544</v>
      </c>
      <c r="F799" s="221">
        <v>203619</v>
      </c>
      <c r="G799" s="232">
        <v>44562</v>
      </c>
      <c r="H799" s="41"/>
      <c r="I799" s="240">
        <v>45299</v>
      </c>
      <c r="J799" s="41"/>
      <c r="K799" s="248" t="s">
        <v>199</v>
      </c>
      <c r="L799" s="244">
        <v>29379</v>
      </c>
    </row>
    <row r="800" spans="2:12" outlineLevel="2">
      <c r="B800" s="40">
        <f t="shared" si="25"/>
        <v>337</v>
      </c>
      <c r="C800" s="41" t="s">
        <v>9</v>
      </c>
      <c r="D800" s="41" t="s">
        <v>196</v>
      </c>
      <c r="E800" s="221">
        <v>1488775</v>
      </c>
      <c r="F800" s="221">
        <v>211715</v>
      </c>
      <c r="G800" s="232">
        <v>44866</v>
      </c>
      <c r="H800" s="41"/>
      <c r="I800" s="240">
        <v>45299</v>
      </c>
      <c r="J800" s="41"/>
      <c r="K800" s="248" t="s">
        <v>199</v>
      </c>
      <c r="L800" s="244">
        <v>29380</v>
      </c>
    </row>
    <row r="801" spans="2:12" outlineLevel="2">
      <c r="B801" s="40">
        <f t="shared" si="25"/>
        <v>338</v>
      </c>
      <c r="C801" s="41" t="s">
        <v>9</v>
      </c>
      <c r="D801" s="41" t="s">
        <v>196</v>
      </c>
      <c r="E801" s="221">
        <v>1603623</v>
      </c>
      <c r="F801" s="221">
        <v>218940</v>
      </c>
      <c r="G801" s="232">
        <v>44287</v>
      </c>
      <c r="H801" s="41"/>
      <c r="I801" s="240">
        <v>45299</v>
      </c>
      <c r="J801" s="41"/>
      <c r="K801" s="248" t="s">
        <v>199</v>
      </c>
      <c r="L801" s="244">
        <v>29381</v>
      </c>
    </row>
    <row r="802" spans="2:12" outlineLevel="2">
      <c r="B802" s="40">
        <f t="shared" si="25"/>
        <v>339</v>
      </c>
      <c r="C802" s="41" t="s">
        <v>9</v>
      </c>
      <c r="D802" s="41" t="s">
        <v>196</v>
      </c>
      <c r="E802" s="221">
        <v>2048768</v>
      </c>
      <c r="F802" s="221">
        <v>218937</v>
      </c>
      <c r="G802" s="232">
        <v>44562</v>
      </c>
      <c r="H802" s="41"/>
      <c r="I802" s="240">
        <v>45299</v>
      </c>
      <c r="J802" s="41"/>
      <c r="K802" s="248">
        <v>12</v>
      </c>
      <c r="L802" s="244">
        <v>29382</v>
      </c>
    </row>
    <row r="803" spans="2:12" outlineLevel="2">
      <c r="B803" s="40">
        <f t="shared" si="25"/>
        <v>340</v>
      </c>
      <c r="C803" s="41" t="s">
        <v>9</v>
      </c>
      <c r="D803" s="41" t="s">
        <v>196</v>
      </c>
      <c r="E803" s="221">
        <v>9016528</v>
      </c>
      <c r="F803" s="221">
        <v>218941</v>
      </c>
      <c r="G803" s="232">
        <v>32994</v>
      </c>
      <c r="H803" s="41"/>
      <c r="I803" s="240">
        <v>45299</v>
      </c>
      <c r="J803" s="41"/>
      <c r="K803" s="248">
        <v>35</v>
      </c>
      <c r="L803" s="244">
        <v>29383</v>
      </c>
    </row>
    <row r="804" spans="2:12" outlineLevel="2">
      <c r="B804" s="40">
        <f t="shared" si="25"/>
        <v>341</v>
      </c>
      <c r="C804" s="41" t="s">
        <v>9</v>
      </c>
      <c r="D804" s="41" t="s">
        <v>196</v>
      </c>
      <c r="E804" s="221">
        <v>14036</v>
      </c>
      <c r="F804" s="221">
        <v>219086</v>
      </c>
      <c r="G804" s="232">
        <v>41730</v>
      </c>
      <c r="H804" s="41"/>
      <c r="I804" s="240">
        <v>45321</v>
      </c>
      <c r="J804" s="41"/>
      <c r="K804" s="248">
        <v>31</v>
      </c>
      <c r="L804" s="244">
        <v>30111</v>
      </c>
    </row>
    <row r="805" spans="2:12" outlineLevel="2">
      <c r="B805" s="40">
        <f t="shared" si="25"/>
        <v>342</v>
      </c>
      <c r="C805" s="41" t="s">
        <v>9</v>
      </c>
      <c r="D805" s="41" t="s">
        <v>196</v>
      </c>
      <c r="E805" s="221">
        <v>30890</v>
      </c>
      <c r="F805" s="221">
        <v>219091</v>
      </c>
      <c r="G805" s="232">
        <v>41609</v>
      </c>
      <c r="H805" s="41"/>
      <c r="I805" s="240">
        <v>45321</v>
      </c>
      <c r="J805" s="41"/>
      <c r="K805" s="248">
        <v>28</v>
      </c>
      <c r="L805" s="244">
        <v>30112</v>
      </c>
    </row>
    <row r="806" spans="2:12" outlineLevel="2">
      <c r="B806" s="40">
        <f t="shared" si="25"/>
        <v>343</v>
      </c>
      <c r="C806" s="41" t="s">
        <v>9</v>
      </c>
      <c r="D806" s="41" t="s">
        <v>196</v>
      </c>
      <c r="E806" s="221">
        <v>264031</v>
      </c>
      <c r="F806" s="221">
        <v>219105</v>
      </c>
      <c r="G806" s="232">
        <v>41183</v>
      </c>
      <c r="H806" s="41"/>
      <c r="I806" s="240">
        <v>45321</v>
      </c>
      <c r="J806" s="41"/>
      <c r="K806" s="248" t="s">
        <v>197</v>
      </c>
      <c r="L806" s="244">
        <v>30113</v>
      </c>
    </row>
    <row r="807" spans="2:12" outlineLevel="2">
      <c r="B807" s="40">
        <f t="shared" si="25"/>
        <v>344</v>
      </c>
      <c r="C807" s="41" t="s">
        <v>9</v>
      </c>
      <c r="D807" s="41" t="s">
        <v>196</v>
      </c>
      <c r="E807" s="221">
        <v>264034</v>
      </c>
      <c r="F807" s="221">
        <v>219088</v>
      </c>
      <c r="G807" s="232">
        <v>41183</v>
      </c>
      <c r="H807" s="41"/>
      <c r="I807" s="240">
        <v>45321</v>
      </c>
      <c r="J807" s="41"/>
      <c r="K807" s="248" t="s">
        <v>197</v>
      </c>
      <c r="L807" s="244">
        <v>30114</v>
      </c>
    </row>
    <row r="808" spans="2:12" outlineLevel="2">
      <c r="B808" s="40">
        <f t="shared" si="25"/>
        <v>345</v>
      </c>
      <c r="C808" s="41" t="s">
        <v>9</v>
      </c>
      <c r="D808" s="41" t="s">
        <v>196</v>
      </c>
      <c r="E808" s="221">
        <v>264063</v>
      </c>
      <c r="F808" s="231">
        <v>63644</v>
      </c>
      <c r="G808" s="232">
        <v>41183</v>
      </c>
      <c r="H808" s="41"/>
      <c r="I808" s="240">
        <v>45321</v>
      </c>
      <c r="J808" s="41"/>
      <c r="K808" s="248" t="s">
        <v>197</v>
      </c>
      <c r="L808" s="244">
        <v>30115</v>
      </c>
    </row>
    <row r="809" spans="2:12" outlineLevel="2">
      <c r="B809" s="40">
        <f t="shared" si="25"/>
        <v>346</v>
      </c>
      <c r="C809" s="41" t="s">
        <v>9</v>
      </c>
      <c r="D809" s="41" t="s">
        <v>196</v>
      </c>
      <c r="E809" s="221">
        <v>363473</v>
      </c>
      <c r="F809" s="231">
        <v>103517</v>
      </c>
      <c r="G809" s="232">
        <v>40695</v>
      </c>
      <c r="H809" s="41"/>
      <c r="I809" s="240">
        <v>45321</v>
      </c>
      <c r="J809" s="41"/>
      <c r="K809" s="248">
        <v>19</v>
      </c>
      <c r="L809" s="244">
        <v>30116</v>
      </c>
    </row>
    <row r="810" spans="2:12" outlineLevel="2">
      <c r="B810" s="40">
        <f t="shared" si="25"/>
        <v>347</v>
      </c>
      <c r="C810" s="41" t="s">
        <v>9</v>
      </c>
      <c r="D810" s="41" t="s">
        <v>196</v>
      </c>
      <c r="E810" s="221">
        <v>368293</v>
      </c>
      <c r="F810" s="231">
        <v>219090</v>
      </c>
      <c r="G810" s="232">
        <v>43617</v>
      </c>
      <c r="H810" s="41"/>
      <c r="I810" s="240">
        <v>45321</v>
      </c>
      <c r="J810" s="41"/>
      <c r="K810" s="248" t="s">
        <v>197</v>
      </c>
      <c r="L810" s="244">
        <v>30117</v>
      </c>
    </row>
    <row r="811" spans="2:12" outlineLevel="2">
      <c r="B811" s="40">
        <f t="shared" si="25"/>
        <v>348</v>
      </c>
      <c r="C811" s="41" t="s">
        <v>9</v>
      </c>
      <c r="D811" s="41" t="s">
        <v>196</v>
      </c>
      <c r="E811" s="221">
        <v>368947</v>
      </c>
      <c r="F811" s="231">
        <v>219099</v>
      </c>
      <c r="G811" s="232">
        <v>43617</v>
      </c>
      <c r="H811" s="41"/>
      <c r="I811" s="240">
        <v>45321</v>
      </c>
      <c r="J811" s="41"/>
      <c r="K811" s="248" t="s">
        <v>197</v>
      </c>
      <c r="L811" s="244">
        <v>30118</v>
      </c>
    </row>
    <row r="812" spans="2:12" outlineLevel="2">
      <c r="B812" s="40">
        <f t="shared" si="25"/>
        <v>349</v>
      </c>
      <c r="C812" s="41" t="s">
        <v>9</v>
      </c>
      <c r="D812" s="41" t="s">
        <v>196</v>
      </c>
      <c r="E812" s="221">
        <v>429846</v>
      </c>
      <c r="F812" s="231">
        <v>219087</v>
      </c>
      <c r="G812" s="232">
        <v>44348</v>
      </c>
      <c r="H812" s="41"/>
      <c r="I812" s="240">
        <v>45321</v>
      </c>
      <c r="J812" s="41"/>
      <c r="K812" s="248" t="s">
        <v>197</v>
      </c>
      <c r="L812" s="244">
        <v>30119</v>
      </c>
    </row>
    <row r="813" spans="2:12" outlineLevel="2">
      <c r="B813" s="40">
        <f t="shared" si="25"/>
        <v>350</v>
      </c>
      <c r="C813" s="41" t="s">
        <v>9</v>
      </c>
      <c r="D813" s="41" t="s">
        <v>196</v>
      </c>
      <c r="E813" s="221" t="s">
        <v>425</v>
      </c>
      <c r="F813" s="231">
        <v>219089</v>
      </c>
      <c r="G813" s="232">
        <v>40238</v>
      </c>
      <c r="H813" s="41"/>
      <c r="I813" s="240">
        <v>45321</v>
      </c>
      <c r="J813" s="41"/>
      <c r="K813" s="248" t="s">
        <v>197</v>
      </c>
      <c r="L813" s="244">
        <v>30120</v>
      </c>
    </row>
    <row r="814" spans="2:12" outlineLevel="2">
      <c r="B814" s="40">
        <f t="shared" si="25"/>
        <v>351</v>
      </c>
      <c r="C814" s="41" t="s">
        <v>9</v>
      </c>
      <c r="D814" s="41" t="s">
        <v>196</v>
      </c>
      <c r="E814" s="221" t="s">
        <v>426</v>
      </c>
      <c r="F814" s="231">
        <v>219092</v>
      </c>
      <c r="G814" s="232">
        <v>40452</v>
      </c>
      <c r="H814" s="41"/>
      <c r="I814" s="240">
        <v>45321</v>
      </c>
      <c r="J814" s="41"/>
      <c r="K814" s="248" t="s">
        <v>197</v>
      </c>
      <c r="L814" s="244">
        <v>30121</v>
      </c>
    </row>
    <row r="815" spans="2:12" outlineLevel="2">
      <c r="B815" s="40">
        <f t="shared" si="25"/>
        <v>352</v>
      </c>
      <c r="C815" s="41" t="s">
        <v>9</v>
      </c>
      <c r="D815" s="41" t="s">
        <v>196</v>
      </c>
      <c r="E815" s="221">
        <v>5576</v>
      </c>
      <c r="F815" s="231">
        <v>219103</v>
      </c>
      <c r="G815" s="232">
        <v>41275</v>
      </c>
      <c r="H815" s="41"/>
      <c r="I815" s="240">
        <v>45321</v>
      </c>
      <c r="J815" s="41"/>
      <c r="K815" s="248">
        <v>10</v>
      </c>
      <c r="L815" s="244">
        <v>30122</v>
      </c>
    </row>
    <row r="816" spans="2:12" outlineLevel="2">
      <c r="B816" s="40">
        <f t="shared" si="25"/>
        <v>353</v>
      </c>
      <c r="C816" s="41" t="s">
        <v>9</v>
      </c>
      <c r="D816" s="41" t="s">
        <v>196</v>
      </c>
      <c r="E816" s="221">
        <v>32334</v>
      </c>
      <c r="F816" s="231">
        <v>219102</v>
      </c>
      <c r="G816" s="232">
        <v>42522</v>
      </c>
      <c r="H816" s="41"/>
      <c r="I816" s="240">
        <v>45321</v>
      </c>
      <c r="J816" s="41"/>
      <c r="K816" s="248">
        <v>30</v>
      </c>
      <c r="L816" s="244">
        <v>30123</v>
      </c>
    </row>
    <row r="817" spans="2:12" outlineLevel="2">
      <c r="B817" s="40">
        <f t="shared" si="25"/>
        <v>354</v>
      </c>
      <c r="C817" s="41" t="s">
        <v>9</v>
      </c>
      <c r="D817" s="41" t="s">
        <v>196</v>
      </c>
      <c r="E817" s="221">
        <v>366418</v>
      </c>
      <c r="F817" s="231">
        <v>219101</v>
      </c>
      <c r="G817" s="232">
        <v>43586</v>
      </c>
      <c r="H817" s="41"/>
      <c r="I817" s="240">
        <v>45321</v>
      </c>
      <c r="J817" s="41"/>
      <c r="K817" s="248" t="s">
        <v>197</v>
      </c>
      <c r="L817" s="244">
        <v>30125</v>
      </c>
    </row>
    <row r="818" spans="2:12" outlineLevel="2">
      <c r="B818" s="40">
        <f t="shared" si="25"/>
        <v>355</v>
      </c>
      <c r="C818" s="41" t="s">
        <v>9</v>
      </c>
      <c r="D818" s="41" t="s">
        <v>196</v>
      </c>
      <c r="E818" s="221">
        <v>1229313</v>
      </c>
      <c r="F818" s="231">
        <v>108004</v>
      </c>
      <c r="G818" s="232">
        <v>43922</v>
      </c>
      <c r="H818" s="41"/>
      <c r="I818" s="240">
        <v>45321</v>
      </c>
      <c r="J818" s="41"/>
      <c r="K818" s="248" t="s">
        <v>197</v>
      </c>
      <c r="L818" s="244">
        <v>30126</v>
      </c>
    </row>
    <row r="819" spans="2:12" outlineLevel="2">
      <c r="B819" s="40">
        <f t="shared" si="25"/>
        <v>356</v>
      </c>
      <c r="C819" s="41" t="s">
        <v>9</v>
      </c>
      <c r="D819" s="41" t="s">
        <v>196</v>
      </c>
      <c r="E819" s="221" t="s">
        <v>427</v>
      </c>
      <c r="F819" s="231">
        <v>219094</v>
      </c>
      <c r="G819" s="232">
        <v>42125</v>
      </c>
      <c r="H819" s="41"/>
      <c r="I819" s="240">
        <v>45321</v>
      </c>
      <c r="J819" s="41"/>
      <c r="K819" s="248" t="s">
        <v>197</v>
      </c>
      <c r="L819" s="244">
        <v>30127</v>
      </c>
    </row>
    <row r="820" spans="2:12" outlineLevel="2">
      <c r="B820" s="40">
        <f t="shared" ref="B820:B883" si="26">ROW(A357)</f>
        <v>357</v>
      </c>
      <c r="C820" s="41" t="s">
        <v>9</v>
      </c>
      <c r="D820" s="41" t="s">
        <v>196</v>
      </c>
      <c r="E820" s="221" t="s">
        <v>428</v>
      </c>
      <c r="F820" s="231">
        <v>219093</v>
      </c>
      <c r="G820" s="232">
        <v>42461</v>
      </c>
      <c r="H820" s="41"/>
      <c r="I820" s="240">
        <v>45321</v>
      </c>
      <c r="J820" s="41"/>
      <c r="K820" s="248" t="s">
        <v>197</v>
      </c>
      <c r="L820" s="244">
        <v>30128</v>
      </c>
    </row>
    <row r="821" spans="2:12" outlineLevel="2">
      <c r="B821" s="40">
        <f t="shared" si="26"/>
        <v>358</v>
      </c>
      <c r="C821" s="41" t="s">
        <v>9</v>
      </c>
      <c r="D821" s="41" t="s">
        <v>196</v>
      </c>
      <c r="E821" s="221" t="s">
        <v>429</v>
      </c>
      <c r="F821" s="231">
        <v>219095</v>
      </c>
      <c r="G821" s="232">
        <v>40725</v>
      </c>
      <c r="H821" s="41"/>
      <c r="I821" s="240">
        <v>45321</v>
      </c>
      <c r="J821" s="41"/>
      <c r="K821" s="248" t="s">
        <v>197</v>
      </c>
      <c r="L821" s="244">
        <v>30129</v>
      </c>
    </row>
    <row r="822" spans="2:12" outlineLevel="2">
      <c r="B822" s="40">
        <f t="shared" si="26"/>
        <v>359</v>
      </c>
      <c r="C822" s="41" t="s">
        <v>9</v>
      </c>
      <c r="D822" s="41" t="s">
        <v>196</v>
      </c>
      <c r="E822" s="221">
        <v>32355</v>
      </c>
      <c r="F822" s="231">
        <v>219100</v>
      </c>
      <c r="G822" s="232">
        <v>42522</v>
      </c>
      <c r="H822" s="41"/>
      <c r="I822" s="240">
        <v>45321</v>
      </c>
      <c r="J822" s="41"/>
      <c r="K822" s="248">
        <v>28</v>
      </c>
      <c r="L822" s="244">
        <v>30130</v>
      </c>
    </row>
    <row r="823" spans="2:12" outlineLevel="2">
      <c r="B823" s="40">
        <f t="shared" si="26"/>
        <v>360</v>
      </c>
      <c r="C823" s="41" t="s">
        <v>9</v>
      </c>
      <c r="D823" s="41" t="s">
        <v>196</v>
      </c>
      <c r="E823" s="221">
        <v>129888</v>
      </c>
      <c r="F823" s="231">
        <v>219098</v>
      </c>
      <c r="G823" s="232">
        <v>39569</v>
      </c>
      <c r="H823" s="41"/>
      <c r="I823" s="240">
        <v>45321</v>
      </c>
      <c r="J823" s="41"/>
      <c r="K823" s="248" t="s">
        <v>197</v>
      </c>
      <c r="L823" s="244">
        <v>30131</v>
      </c>
    </row>
    <row r="824" spans="2:12" outlineLevel="2">
      <c r="B824" s="40">
        <f t="shared" si="26"/>
        <v>361</v>
      </c>
      <c r="C824" s="41" t="s">
        <v>9</v>
      </c>
      <c r="D824" s="41" t="s">
        <v>196</v>
      </c>
      <c r="E824" s="221">
        <v>158597</v>
      </c>
      <c r="F824" s="231">
        <v>219097</v>
      </c>
      <c r="G824" s="232">
        <v>40603</v>
      </c>
      <c r="H824" s="41"/>
      <c r="I824" s="240">
        <v>45321</v>
      </c>
      <c r="J824" s="41"/>
      <c r="K824" s="248" t="s">
        <v>197</v>
      </c>
      <c r="L824" s="244">
        <v>30132</v>
      </c>
    </row>
    <row r="825" spans="2:12" outlineLevel="2">
      <c r="B825" s="40">
        <f t="shared" si="26"/>
        <v>362</v>
      </c>
      <c r="C825" s="41" t="s">
        <v>9</v>
      </c>
      <c r="D825" s="41" t="s">
        <v>196</v>
      </c>
      <c r="E825" s="221">
        <v>161683</v>
      </c>
      <c r="F825" s="231">
        <v>219096</v>
      </c>
      <c r="G825" s="232">
        <v>40664</v>
      </c>
      <c r="H825" s="41"/>
      <c r="I825" s="240">
        <v>45321</v>
      </c>
      <c r="J825" s="41"/>
      <c r="K825" s="248" t="s">
        <v>197</v>
      </c>
      <c r="L825" s="244">
        <v>30133</v>
      </c>
    </row>
    <row r="826" spans="2:12" outlineLevel="2">
      <c r="B826" s="40">
        <f t="shared" si="26"/>
        <v>363</v>
      </c>
      <c r="C826" s="41" t="s">
        <v>9</v>
      </c>
      <c r="D826" s="41" t="s">
        <v>196</v>
      </c>
      <c r="E826" s="220">
        <v>269896</v>
      </c>
      <c r="F826" s="231">
        <v>703853</v>
      </c>
      <c r="G826" s="232">
        <v>41275</v>
      </c>
      <c r="H826" s="41"/>
      <c r="I826" s="240">
        <v>45323</v>
      </c>
      <c r="J826" s="41"/>
      <c r="K826" s="248" t="s">
        <v>197</v>
      </c>
      <c r="L826" s="244">
        <v>30226</v>
      </c>
    </row>
    <row r="827" spans="2:12" outlineLevel="2">
      <c r="B827" s="40">
        <f t="shared" si="26"/>
        <v>364</v>
      </c>
      <c r="C827" s="41" t="s">
        <v>9</v>
      </c>
      <c r="D827" s="41" t="s">
        <v>196</v>
      </c>
      <c r="E827" s="220">
        <v>368950</v>
      </c>
      <c r="F827" s="231">
        <v>97014</v>
      </c>
      <c r="G827" s="232">
        <v>43617</v>
      </c>
      <c r="H827" s="41"/>
      <c r="I827" s="240">
        <v>45323</v>
      </c>
      <c r="J827" s="41"/>
      <c r="K827" s="248" t="s">
        <v>197</v>
      </c>
      <c r="L827" s="244">
        <v>30227</v>
      </c>
    </row>
    <row r="828" spans="2:12" outlineLevel="2">
      <c r="B828" s="40">
        <f t="shared" si="26"/>
        <v>365</v>
      </c>
      <c r="C828" s="41" t="s">
        <v>9</v>
      </c>
      <c r="D828" s="41" t="s">
        <v>196</v>
      </c>
      <c r="E828" s="220">
        <v>369569</v>
      </c>
      <c r="F828" s="231">
        <v>97658</v>
      </c>
      <c r="G828" s="232">
        <v>43647</v>
      </c>
      <c r="H828" s="41"/>
      <c r="I828" s="240">
        <v>45323</v>
      </c>
      <c r="J828" s="41"/>
      <c r="K828" s="248" t="s">
        <v>197</v>
      </c>
      <c r="L828" s="244">
        <v>30228</v>
      </c>
    </row>
    <row r="829" spans="2:12" outlineLevel="2">
      <c r="B829" s="40">
        <f t="shared" si="26"/>
        <v>366</v>
      </c>
      <c r="C829" s="41" t="s">
        <v>9</v>
      </c>
      <c r="D829" s="41" t="s">
        <v>196</v>
      </c>
      <c r="E829" s="220">
        <v>369658</v>
      </c>
      <c r="F829" s="231">
        <v>1</v>
      </c>
      <c r="G829" s="232">
        <v>43647</v>
      </c>
      <c r="H829" s="41"/>
      <c r="I829" s="240">
        <v>45323</v>
      </c>
      <c r="J829" s="41"/>
      <c r="K829" s="248" t="s">
        <v>197</v>
      </c>
      <c r="L829" s="244">
        <v>30229</v>
      </c>
    </row>
    <row r="830" spans="2:12" outlineLevel="2">
      <c r="B830" s="40">
        <f t="shared" si="26"/>
        <v>367</v>
      </c>
      <c r="C830" s="41" t="s">
        <v>9</v>
      </c>
      <c r="D830" s="41" t="s">
        <v>196</v>
      </c>
      <c r="E830" s="220">
        <v>369688</v>
      </c>
      <c r="F830" s="231">
        <v>97540</v>
      </c>
      <c r="G830" s="232">
        <v>43647</v>
      </c>
      <c r="H830" s="41"/>
      <c r="I830" s="240">
        <v>45323</v>
      </c>
      <c r="J830" s="41"/>
      <c r="K830" s="248" t="s">
        <v>197</v>
      </c>
      <c r="L830" s="244">
        <v>30230</v>
      </c>
    </row>
    <row r="831" spans="2:12" outlineLevel="2">
      <c r="B831" s="40">
        <f t="shared" si="26"/>
        <v>368</v>
      </c>
      <c r="C831" s="41" t="s">
        <v>9</v>
      </c>
      <c r="D831" s="41" t="s">
        <v>196</v>
      </c>
      <c r="E831" s="220">
        <v>391862</v>
      </c>
      <c r="F831" s="231">
        <v>108079</v>
      </c>
      <c r="G831" s="232">
        <v>43922</v>
      </c>
      <c r="H831" s="41"/>
      <c r="I831" s="240">
        <v>45323</v>
      </c>
      <c r="J831" s="41"/>
      <c r="K831" s="248" t="s">
        <v>197</v>
      </c>
      <c r="L831" s="244">
        <v>30231</v>
      </c>
    </row>
    <row r="832" spans="2:12" outlineLevel="2">
      <c r="B832" s="40">
        <f t="shared" si="26"/>
        <v>369</v>
      </c>
      <c r="C832" s="41" t="s">
        <v>9</v>
      </c>
      <c r="D832" s="41" t="s">
        <v>196</v>
      </c>
      <c r="E832" s="220">
        <v>488283</v>
      </c>
      <c r="F832" s="231">
        <v>215367</v>
      </c>
      <c r="G832" s="232">
        <v>44986</v>
      </c>
      <c r="H832" s="41"/>
      <c r="I832" s="240">
        <v>45323</v>
      </c>
      <c r="J832" s="41"/>
      <c r="K832" s="248" t="s">
        <v>197</v>
      </c>
      <c r="L832" s="244">
        <v>30232</v>
      </c>
    </row>
    <row r="833" spans="2:12" outlineLevel="2">
      <c r="B833" s="40">
        <f t="shared" si="26"/>
        <v>370</v>
      </c>
      <c r="C833" s="41" t="s">
        <v>9</v>
      </c>
      <c r="D833" s="41" t="s">
        <v>196</v>
      </c>
      <c r="E833" s="220" t="s">
        <v>430</v>
      </c>
      <c r="F833" s="231">
        <v>219128</v>
      </c>
      <c r="G833" s="232">
        <v>40238</v>
      </c>
      <c r="H833" s="41"/>
      <c r="I833" s="240">
        <v>45323</v>
      </c>
      <c r="J833" s="41"/>
      <c r="K833" s="248">
        <v>12</v>
      </c>
      <c r="L833" s="244">
        <v>30233</v>
      </c>
    </row>
    <row r="834" spans="2:12" outlineLevel="2">
      <c r="B834" s="40">
        <f t="shared" si="26"/>
        <v>371</v>
      </c>
      <c r="C834" s="41" t="s">
        <v>9</v>
      </c>
      <c r="D834" s="41" t="s">
        <v>196</v>
      </c>
      <c r="E834" s="220">
        <v>298066</v>
      </c>
      <c r="F834" s="231">
        <v>219130</v>
      </c>
      <c r="G834" s="232">
        <v>41579</v>
      </c>
      <c r="H834" s="41"/>
      <c r="I834" s="240">
        <v>45323</v>
      </c>
      <c r="J834" s="41"/>
      <c r="K834" s="248" t="s">
        <v>197</v>
      </c>
      <c r="L834" s="244">
        <v>30234</v>
      </c>
    </row>
    <row r="835" spans="2:12" outlineLevel="2">
      <c r="B835" s="40">
        <f t="shared" si="26"/>
        <v>372</v>
      </c>
      <c r="C835" s="41" t="s">
        <v>9</v>
      </c>
      <c r="D835" s="41" t="s">
        <v>196</v>
      </c>
      <c r="E835" s="220">
        <v>26225</v>
      </c>
      <c r="F835" s="231">
        <v>219125</v>
      </c>
      <c r="G835" s="232">
        <v>40695</v>
      </c>
      <c r="H835" s="41"/>
      <c r="I835" s="240">
        <v>45323</v>
      </c>
      <c r="J835" s="41"/>
      <c r="K835" s="248">
        <v>27</v>
      </c>
      <c r="L835" s="244">
        <v>30236</v>
      </c>
    </row>
    <row r="836" spans="2:12" outlineLevel="2">
      <c r="B836" s="40">
        <f t="shared" si="26"/>
        <v>373</v>
      </c>
      <c r="C836" s="41" t="s">
        <v>9</v>
      </c>
      <c r="D836" s="41" t="s">
        <v>196</v>
      </c>
      <c r="E836" s="220" t="s">
        <v>431</v>
      </c>
      <c r="F836" s="231">
        <v>72713</v>
      </c>
      <c r="G836" s="232">
        <v>41609</v>
      </c>
      <c r="H836" s="41"/>
      <c r="I836" s="240">
        <v>45323</v>
      </c>
      <c r="J836" s="41"/>
      <c r="K836" s="248" t="s">
        <v>197</v>
      </c>
      <c r="L836" s="244">
        <v>30238</v>
      </c>
    </row>
    <row r="837" spans="2:12" outlineLevel="2">
      <c r="B837" s="40">
        <f t="shared" si="26"/>
        <v>374</v>
      </c>
      <c r="C837" s="41" t="s">
        <v>9</v>
      </c>
      <c r="D837" s="41" t="s">
        <v>196</v>
      </c>
      <c r="E837" s="220" t="s">
        <v>432</v>
      </c>
      <c r="F837" s="231">
        <v>748997</v>
      </c>
      <c r="G837" s="232">
        <v>41944</v>
      </c>
      <c r="H837" s="41"/>
      <c r="I837" s="240">
        <v>45323</v>
      </c>
      <c r="J837" s="41"/>
      <c r="K837" s="248" t="s">
        <v>197</v>
      </c>
      <c r="L837" s="244">
        <v>30239</v>
      </c>
    </row>
    <row r="838" spans="2:12" outlineLevel="2">
      <c r="B838" s="40">
        <f t="shared" si="26"/>
        <v>375</v>
      </c>
      <c r="C838" s="41" t="s">
        <v>9</v>
      </c>
      <c r="D838" s="41" t="s">
        <v>196</v>
      </c>
      <c r="E838" s="220" t="s">
        <v>433</v>
      </c>
      <c r="F838" s="231">
        <v>75505</v>
      </c>
      <c r="G838" s="232">
        <v>42095</v>
      </c>
      <c r="H838" s="41"/>
      <c r="I838" s="240">
        <v>45323</v>
      </c>
      <c r="J838" s="41"/>
      <c r="K838" s="248" t="s">
        <v>197</v>
      </c>
      <c r="L838" s="244">
        <v>30240</v>
      </c>
    </row>
    <row r="839" spans="2:12" outlineLevel="2">
      <c r="B839" s="40">
        <f t="shared" si="26"/>
        <v>376</v>
      </c>
      <c r="C839" s="41" t="s">
        <v>9</v>
      </c>
      <c r="D839" s="41" t="s">
        <v>196</v>
      </c>
      <c r="E839" s="220" t="s">
        <v>434</v>
      </c>
      <c r="F839" s="231">
        <v>81669</v>
      </c>
      <c r="G839" s="232">
        <v>42522</v>
      </c>
      <c r="H839" s="41"/>
      <c r="I839" s="240">
        <v>45323</v>
      </c>
      <c r="J839" s="41"/>
      <c r="K839" s="248" t="s">
        <v>197</v>
      </c>
      <c r="L839" s="244">
        <v>30241</v>
      </c>
    </row>
    <row r="840" spans="2:12" outlineLevel="2">
      <c r="B840" s="40">
        <f t="shared" si="26"/>
        <v>377</v>
      </c>
      <c r="C840" s="41" t="s">
        <v>9</v>
      </c>
      <c r="D840" s="41" t="s">
        <v>196</v>
      </c>
      <c r="E840" s="220" t="s">
        <v>435</v>
      </c>
      <c r="F840" s="231">
        <v>219127</v>
      </c>
      <c r="G840" s="232">
        <v>40725</v>
      </c>
      <c r="H840" s="41"/>
      <c r="I840" s="240">
        <v>45323</v>
      </c>
      <c r="J840" s="41"/>
      <c r="K840" s="248" t="s">
        <v>197</v>
      </c>
      <c r="L840" s="244">
        <v>30242</v>
      </c>
    </row>
    <row r="841" spans="2:12" outlineLevel="2">
      <c r="B841" s="40">
        <f t="shared" si="26"/>
        <v>378</v>
      </c>
      <c r="C841" s="41" t="s">
        <v>9</v>
      </c>
      <c r="D841" s="41" t="s">
        <v>196</v>
      </c>
      <c r="E841" s="220">
        <v>32353</v>
      </c>
      <c r="F841" s="231">
        <v>219126</v>
      </c>
      <c r="G841" s="221">
        <v>42522</v>
      </c>
      <c r="H841" s="41"/>
      <c r="I841" s="240">
        <v>45323</v>
      </c>
      <c r="J841" s="41"/>
      <c r="K841" s="248">
        <v>31</v>
      </c>
      <c r="L841" s="244">
        <v>30243</v>
      </c>
    </row>
    <row r="842" spans="2:12" outlineLevel="2">
      <c r="B842" s="40">
        <f t="shared" si="26"/>
        <v>379</v>
      </c>
      <c r="C842" s="41" t="s">
        <v>9</v>
      </c>
      <c r="D842" s="41" t="s">
        <v>196</v>
      </c>
      <c r="E842" s="220">
        <v>86179</v>
      </c>
      <c r="F842" s="231">
        <v>219124</v>
      </c>
      <c r="G842" s="232">
        <v>39114</v>
      </c>
      <c r="H842" s="41"/>
      <c r="I842" s="240">
        <v>45323</v>
      </c>
      <c r="J842" s="41"/>
      <c r="K842" s="248" t="s">
        <v>197</v>
      </c>
      <c r="L842" s="244">
        <v>30244</v>
      </c>
    </row>
    <row r="843" spans="2:12" outlineLevel="2">
      <c r="B843" s="40">
        <f t="shared" si="26"/>
        <v>380</v>
      </c>
      <c r="C843" s="41" t="s">
        <v>9</v>
      </c>
      <c r="D843" s="41" t="s">
        <v>196</v>
      </c>
      <c r="E843" s="220">
        <v>129985</v>
      </c>
      <c r="F843" s="231">
        <v>219129</v>
      </c>
      <c r="G843" s="232">
        <v>40087</v>
      </c>
      <c r="H843" s="41"/>
      <c r="I843" s="240">
        <v>45323</v>
      </c>
      <c r="J843" s="41"/>
      <c r="K843" s="248" t="s">
        <v>197</v>
      </c>
      <c r="L843" s="244">
        <v>30245</v>
      </c>
    </row>
    <row r="844" spans="2:12" outlineLevel="2">
      <c r="B844" s="40">
        <f t="shared" si="26"/>
        <v>381</v>
      </c>
      <c r="C844" s="41" t="s">
        <v>9</v>
      </c>
      <c r="D844" s="41" t="s">
        <v>196</v>
      </c>
      <c r="E844" s="220">
        <v>270042</v>
      </c>
      <c r="F844" s="231">
        <v>705313</v>
      </c>
      <c r="G844" s="221">
        <v>41275</v>
      </c>
      <c r="H844" s="41"/>
      <c r="I844" s="240">
        <v>45323</v>
      </c>
      <c r="J844" s="41"/>
      <c r="K844" s="248" t="s">
        <v>197</v>
      </c>
      <c r="L844" s="244">
        <v>30246</v>
      </c>
    </row>
    <row r="845" spans="2:12" outlineLevel="2">
      <c r="B845" s="40">
        <f t="shared" si="26"/>
        <v>382</v>
      </c>
      <c r="C845" s="41" t="s">
        <v>9</v>
      </c>
      <c r="D845" s="41" t="s">
        <v>196</v>
      </c>
      <c r="E845" s="220">
        <v>277758</v>
      </c>
      <c r="F845" s="231">
        <v>219131</v>
      </c>
      <c r="G845" s="232">
        <v>42430</v>
      </c>
      <c r="H845" s="41"/>
      <c r="I845" s="240">
        <v>45323</v>
      </c>
      <c r="J845" s="41"/>
      <c r="K845" s="248" t="s">
        <v>197</v>
      </c>
      <c r="L845" s="244">
        <v>30247</v>
      </c>
    </row>
    <row r="846" spans="2:12" outlineLevel="2">
      <c r="B846" s="40">
        <f t="shared" si="26"/>
        <v>383</v>
      </c>
      <c r="C846" s="41" t="s">
        <v>9</v>
      </c>
      <c r="D846" s="41" t="s">
        <v>196</v>
      </c>
      <c r="E846" s="220">
        <v>1360000</v>
      </c>
      <c r="F846" s="231">
        <v>200977</v>
      </c>
      <c r="G846" s="232">
        <v>44317</v>
      </c>
      <c r="H846" s="41"/>
      <c r="I846" s="240">
        <v>45323</v>
      </c>
      <c r="J846" s="41"/>
      <c r="K846" s="248" t="s">
        <v>197</v>
      </c>
      <c r="L846" s="244">
        <v>30305</v>
      </c>
    </row>
    <row r="847" spans="2:12" outlineLevel="2">
      <c r="B847" s="40">
        <f t="shared" si="26"/>
        <v>384</v>
      </c>
      <c r="C847" s="41" t="s">
        <v>9</v>
      </c>
      <c r="D847" s="41" t="s">
        <v>196</v>
      </c>
      <c r="E847" s="220">
        <v>1365226</v>
      </c>
      <c r="F847" s="231">
        <v>63088</v>
      </c>
      <c r="G847" s="232">
        <v>44348</v>
      </c>
      <c r="H847" s="41"/>
      <c r="I847" s="240">
        <v>45323</v>
      </c>
      <c r="J847" s="41"/>
      <c r="K847" s="248" t="s">
        <v>197</v>
      </c>
      <c r="L847" s="244">
        <v>30306</v>
      </c>
    </row>
    <row r="848" spans="2:12" outlineLevel="2">
      <c r="B848" s="40">
        <f t="shared" si="26"/>
        <v>385</v>
      </c>
      <c r="C848" s="41" t="s">
        <v>9</v>
      </c>
      <c r="D848" s="41" t="s">
        <v>196</v>
      </c>
      <c r="E848" s="220">
        <v>64209</v>
      </c>
      <c r="F848" s="231">
        <v>219296</v>
      </c>
      <c r="G848" s="232">
        <v>35156</v>
      </c>
      <c r="H848" s="41"/>
      <c r="I848" s="240">
        <v>45323</v>
      </c>
      <c r="J848" s="41"/>
      <c r="K848" s="248" t="s">
        <v>197</v>
      </c>
      <c r="L848" s="244">
        <v>30307</v>
      </c>
    </row>
    <row r="849" spans="2:12" outlineLevel="2">
      <c r="B849" s="40">
        <f t="shared" si="26"/>
        <v>386</v>
      </c>
      <c r="C849" s="41" t="s">
        <v>9</v>
      </c>
      <c r="D849" s="41" t="s">
        <v>196</v>
      </c>
      <c r="E849" s="220">
        <v>26328</v>
      </c>
      <c r="F849" s="231">
        <v>219302</v>
      </c>
      <c r="G849" s="232">
        <v>40756</v>
      </c>
      <c r="H849" s="41"/>
      <c r="I849" s="240">
        <v>45323</v>
      </c>
      <c r="J849" s="41"/>
      <c r="K849" s="248">
        <v>19</v>
      </c>
      <c r="L849" s="244">
        <v>30308</v>
      </c>
    </row>
    <row r="850" spans="2:12" outlineLevel="2">
      <c r="B850" s="40">
        <f t="shared" si="26"/>
        <v>387</v>
      </c>
      <c r="C850" s="41" t="s">
        <v>9</v>
      </c>
      <c r="D850" s="41" t="s">
        <v>196</v>
      </c>
      <c r="E850" s="220">
        <v>258506</v>
      </c>
      <c r="F850" s="231">
        <v>62777</v>
      </c>
      <c r="G850" s="232">
        <v>41122</v>
      </c>
      <c r="H850" s="41"/>
      <c r="I850" s="240">
        <v>45323</v>
      </c>
      <c r="J850" s="41"/>
      <c r="K850" s="248" t="s">
        <v>197</v>
      </c>
      <c r="L850" s="244">
        <v>30309</v>
      </c>
    </row>
    <row r="851" spans="2:12" outlineLevel="2">
      <c r="B851" s="40">
        <f t="shared" si="26"/>
        <v>388</v>
      </c>
      <c r="C851" s="41" t="s">
        <v>9</v>
      </c>
      <c r="D851" s="41" t="s">
        <v>196</v>
      </c>
      <c r="E851" s="220">
        <v>358060</v>
      </c>
      <c r="F851" s="231">
        <v>219300</v>
      </c>
      <c r="G851" s="232">
        <v>40544</v>
      </c>
      <c r="H851" s="41"/>
      <c r="I851" s="240">
        <v>45323</v>
      </c>
      <c r="J851" s="41"/>
      <c r="K851" s="248">
        <v>25</v>
      </c>
      <c r="L851" s="244">
        <v>30310</v>
      </c>
    </row>
    <row r="852" spans="2:12" outlineLevel="2">
      <c r="B852" s="40">
        <f t="shared" si="26"/>
        <v>389</v>
      </c>
      <c r="C852" s="41" t="s">
        <v>9</v>
      </c>
      <c r="D852" s="41" t="s">
        <v>196</v>
      </c>
      <c r="E852" s="220">
        <v>366384</v>
      </c>
      <c r="F852" s="231">
        <v>219299</v>
      </c>
      <c r="G852" s="232">
        <v>38657</v>
      </c>
      <c r="H852" s="41"/>
      <c r="I852" s="240">
        <v>45323</v>
      </c>
      <c r="J852" s="41"/>
      <c r="K852" s="248" t="s">
        <v>197</v>
      </c>
      <c r="L852" s="244">
        <v>30311</v>
      </c>
    </row>
    <row r="853" spans="2:12" outlineLevel="2">
      <c r="B853" s="40">
        <f t="shared" si="26"/>
        <v>390</v>
      </c>
      <c r="C853" s="41" t="s">
        <v>9</v>
      </c>
      <c r="D853" s="41" t="s">
        <v>196</v>
      </c>
      <c r="E853" s="220">
        <v>455468</v>
      </c>
      <c r="F853" s="231">
        <v>12587</v>
      </c>
      <c r="G853" s="232">
        <v>39661</v>
      </c>
      <c r="H853" s="41"/>
      <c r="I853" s="240">
        <v>45323</v>
      </c>
      <c r="J853" s="41"/>
      <c r="K853" s="248" t="s">
        <v>197</v>
      </c>
      <c r="L853" s="244">
        <v>30312</v>
      </c>
    </row>
    <row r="854" spans="2:12" outlineLevel="2">
      <c r="B854" s="40">
        <f t="shared" si="26"/>
        <v>391</v>
      </c>
      <c r="C854" s="41" t="s">
        <v>9</v>
      </c>
      <c r="D854" s="41" t="s">
        <v>196</v>
      </c>
      <c r="E854" s="220">
        <v>1204703</v>
      </c>
      <c r="F854" s="231">
        <v>219288</v>
      </c>
      <c r="G854" s="232">
        <v>41456</v>
      </c>
      <c r="H854" s="41"/>
      <c r="I854" s="240">
        <v>45323</v>
      </c>
      <c r="J854" s="41"/>
      <c r="K854" s="248">
        <v>4</v>
      </c>
      <c r="L854" s="244">
        <v>30313</v>
      </c>
    </row>
    <row r="855" spans="2:12" outlineLevel="2">
      <c r="B855" s="40">
        <f t="shared" si="26"/>
        <v>392</v>
      </c>
      <c r="C855" s="41" t="s">
        <v>9</v>
      </c>
      <c r="D855" s="41" t="s">
        <v>196</v>
      </c>
      <c r="E855" s="220">
        <v>29420</v>
      </c>
      <c r="F855" s="231">
        <v>219293</v>
      </c>
      <c r="G855" s="232">
        <v>41456</v>
      </c>
      <c r="H855" s="41"/>
      <c r="I855" s="240">
        <v>45323</v>
      </c>
      <c r="J855" s="41"/>
      <c r="K855" s="248">
        <v>28</v>
      </c>
      <c r="L855" s="244">
        <v>30317</v>
      </c>
    </row>
    <row r="856" spans="2:12" outlineLevel="2">
      <c r="B856" s="40">
        <f t="shared" si="26"/>
        <v>393</v>
      </c>
      <c r="C856" s="41" t="s">
        <v>9</v>
      </c>
      <c r="D856" s="41" t="s">
        <v>196</v>
      </c>
      <c r="E856" s="220">
        <v>368150</v>
      </c>
      <c r="F856" s="231">
        <v>219297</v>
      </c>
      <c r="G856" s="232">
        <v>43617</v>
      </c>
      <c r="H856" s="41"/>
      <c r="I856" s="240">
        <v>45323</v>
      </c>
      <c r="J856" s="41"/>
      <c r="K856" s="248" t="s">
        <v>197</v>
      </c>
      <c r="L856" s="244">
        <v>30318</v>
      </c>
    </row>
    <row r="857" spans="2:12" outlineLevel="2">
      <c r="B857" s="40">
        <f t="shared" si="26"/>
        <v>394</v>
      </c>
      <c r="C857" s="41" t="s">
        <v>9</v>
      </c>
      <c r="D857" s="41" t="s">
        <v>196</v>
      </c>
      <c r="E857" s="220">
        <v>984815</v>
      </c>
      <c r="F857" s="231">
        <v>219294</v>
      </c>
      <c r="G857" s="232">
        <v>36251</v>
      </c>
      <c r="H857" s="41"/>
      <c r="I857" s="240">
        <v>45323</v>
      </c>
      <c r="J857" s="41"/>
      <c r="K857" s="248">
        <v>32</v>
      </c>
      <c r="L857" s="244">
        <v>30320</v>
      </c>
    </row>
    <row r="858" spans="2:12" outlineLevel="2">
      <c r="B858" s="40">
        <f t="shared" si="26"/>
        <v>395</v>
      </c>
      <c r="C858" s="41" t="s">
        <v>9</v>
      </c>
      <c r="D858" s="41" t="s">
        <v>196</v>
      </c>
      <c r="E858" s="220" t="s">
        <v>436</v>
      </c>
      <c r="F858" s="231">
        <v>81076</v>
      </c>
      <c r="G858" s="232">
        <v>42522</v>
      </c>
      <c r="H858" s="41"/>
      <c r="I858" s="240">
        <v>45323</v>
      </c>
      <c r="J858" s="41"/>
      <c r="K858" s="248" t="s">
        <v>197</v>
      </c>
      <c r="L858" s="244">
        <v>30321</v>
      </c>
    </row>
    <row r="859" spans="2:12" outlineLevel="2">
      <c r="B859" s="40">
        <f t="shared" si="26"/>
        <v>396</v>
      </c>
      <c r="C859" s="41" t="s">
        <v>9</v>
      </c>
      <c r="D859" s="41" t="s">
        <v>196</v>
      </c>
      <c r="E859" s="220" t="s">
        <v>437</v>
      </c>
      <c r="F859" s="231">
        <v>213159</v>
      </c>
      <c r="G859" s="232">
        <v>40210</v>
      </c>
      <c r="H859" s="41"/>
      <c r="I859" s="240">
        <v>45323</v>
      </c>
      <c r="J859" s="41"/>
      <c r="K859" s="248" t="s">
        <v>197</v>
      </c>
      <c r="L859" s="244">
        <v>30322</v>
      </c>
    </row>
    <row r="860" spans="2:12" outlineLevel="2">
      <c r="B860" s="40">
        <f t="shared" si="26"/>
        <v>397</v>
      </c>
      <c r="C860" s="41" t="s">
        <v>9</v>
      </c>
      <c r="D860" s="41" t="s">
        <v>196</v>
      </c>
      <c r="E860" s="220">
        <v>24147</v>
      </c>
      <c r="F860" s="231">
        <v>219292</v>
      </c>
      <c r="G860" s="232">
        <v>40238</v>
      </c>
      <c r="H860" s="41"/>
      <c r="I860" s="240">
        <v>45323</v>
      </c>
      <c r="J860" s="41"/>
      <c r="K860" s="248">
        <v>12</v>
      </c>
      <c r="L860" s="244">
        <v>30323</v>
      </c>
    </row>
    <row r="861" spans="2:12" outlineLevel="2">
      <c r="B861" s="40">
        <f t="shared" si="26"/>
        <v>398</v>
      </c>
      <c r="C861" s="41" t="s">
        <v>9</v>
      </c>
      <c r="D861" s="41" t="s">
        <v>196</v>
      </c>
      <c r="E861" s="220">
        <v>157910</v>
      </c>
      <c r="F861" s="231">
        <v>219291</v>
      </c>
      <c r="G861" s="232">
        <v>40603</v>
      </c>
      <c r="H861" s="41"/>
      <c r="I861" s="240">
        <v>45323</v>
      </c>
      <c r="J861" s="41"/>
      <c r="K861" s="248" t="s">
        <v>197</v>
      </c>
      <c r="L861" s="244">
        <v>30324</v>
      </c>
    </row>
    <row r="862" spans="2:12" outlineLevel="2">
      <c r="B862" s="40">
        <f t="shared" si="26"/>
        <v>399</v>
      </c>
      <c r="C862" s="41" t="s">
        <v>9</v>
      </c>
      <c r="D862" s="41" t="s">
        <v>196</v>
      </c>
      <c r="E862" s="220">
        <v>258593</v>
      </c>
      <c r="F862" s="231">
        <v>1</v>
      </c>
      <c r="G862" s="232">
        <v>41122</v>
      </c>
      <c r="H862" s="41"/>
      <c r="I862" s="240">
        <v>45323</v>
      </c>
      <c r="J862" s="41"/>
      <c r="K862" s="248" t="s">
        <v>197</v>
      </c>
      <c r="L862" s="244">
        <v>30325</v>
      </c>
    </row>
    <row r="863" spans="2:12" outlineLevel="2">
      <c r="B863" s="40">
        <f t="shared" si="26"/>
        <v>400</v>
      </c>
      <c r="C863" s="41" t="s">
        <v>9</v>
      </c>
      <c r="D863" s="41" t="s">
        <v>196</v>
      </c>
      <c r="E863" s="220">
        <v>270026</v>
      </c>
      <c r="F863" s="231">
        <v>219298</v>
      </c>
      <c r="G863" s="232">
        <v>41275</v>
      </c>
      <c r="H863" s="41"/>
      <c r="I863" s="240">
        <v>45323</v>
      </c>
      <c r="J863" s="41"/>
      <c r="K863" s="248" t="s">
        <v>197</v>
      </c>
      <c r="L863" s="244">
        <v>30326</v>
      </c>
    </row>
    <row r="864" spans="2:12" outlineLevel="2">
      <c r="B864" s="40">
        <f t="shared" si="26"/>
        <v>401</v>
      </c>
      <c r="C864" s="41" t="s">
        <v>9</v>
      </c>
      <c r="D864" s="41" t="s">
        <v>196</v>
      </c>
      <c r="E864" s="220">
        <v>444131</v>
      </c>
      <c r="F864" s="231">
        <v>88410</v>
      </c>
      <c r="G864" s="232">
        <v>43009</v>
      </c>
      <c r="H864" s="41"/>
      <c r="I864" s="240">
        <v>45323</v>
      </c>
      <c r="J864" s="41"/>
      <c r="K864" s="248" t="s">
        <v>197</v>
      </c>
      <c r="L864" s="244">
        <v>30327</v>
      </c>
    </row>
    <row r="865" spans="2:12" outlineLevel="2">
      <c r="B865" s="40">
        <f t="shared" si="26"/>
        <v>402</v>
      </c>
      <c r="C865" s="41" t="s">
        <v>9</v>
      </c>
      <c r="D865" s="41" t="s">
        <v>196</v>
      </c>
      <c r="E865" s="220" t="s">
        <v>438</v>
      </c>
      <c r="F865" s="231">
        <v>219295</v>
      </c>
      <c r="G865" s="232">
        <v>43160</v>
      </c>
      <c r="H865" s="41"/>
      <c r="I865" s="240">
        <v>45323</v>
      </c>
      <c r="J865" s="41"/>
      <c r="K865" s="248" t="s">
        <v>197</v>
      </c>
      <c r="L865" s="244">
        <v>30328</v>
      </c>
    </row>
    <row r="866" spans="2:12" outlineLevel="2">
      <c r="B866" s="40">
        <f t="shared" si="26"/>
        <v>403</v>
      </c>
      <c r="C866" s="41" t="s">
        <v>9</v>
      </c>
      <c r="D866" s="41" t="s">
        <v>196</v>
      </c>
      <c r="E866" s="220">
        <v>130425</v>
      </c>
      <c r="F866" s="231">
        <v>219290</v>
      </c>
      <c r="G866" s="232">
        <v>40118</v>
      </c>
      <c r="H866" s="41"/>
      <c r="I866" s="240">
        <v>45323</v>
      </c>
      <c r="J866" s="41"/>
      <c r="K866" s="248" t="s">
        <v>197</v>
      </c>
      <c r="L866" s="244">
        <v>30329</v>
      </c>
    </row>
    <row r="867" spans="2:12" outlineLevel="2">
      <c r="B867" s="40">
        <f t="shared" si="26"/>
        <v>404</v>
      </c>
      <c r="C867" s="41" t="s">
        <v>9</v>
      </c>
      <c r="D867" s="41" t="s">
        <v>196</v>
      </c>
      <c r="E867" s="220">
        <v>119223</v>
      </c>
      <c r="F867" s="231">
        <v>219113</v>
      </c>
      <c r="G867" s="232">
        <v>44378</v>
      </c>
      <c r="H867" s="41"/>
      <c r="I867" s="240">
        <v>45314</v>
      </c>
      <c r="J867" s="41"/>
      <c r="K867" s="248" t="s">
        <v>197</v>
      </c>
      <c r="L867" s="244">
        <v>30330</v>
      </c>
    </row>
    <row r="868" spans="2:12" outlineLevel="2">
      <c r="B868" s="40">
        <f t="shared" si="26"/>
        <v>405</v>
      </c>
      <c r="C868" s="41" t="s">
        <v>9</v>
      </c>
      <c r="D868" s="41" t="s">
        <v>196</v>
      </c>
      <c r="E868" s="220">
        <v>240616</v>
      </c>
      <c r="F868" s="231">
        <v>58234</v>
      </c>
      <c r="G868" s="232">
        <v>40848</v>
      </c>
      <c r="H868" s="41"/>
      <c r="I868" s="240">
        <v>45314</v>
      </c>
      <c r="J868" s="41"/>
      <c r="K868" s="248" t="s">
        <v>197</v>
      </c>
      <c r="L868" s="244">
        <v>30331</v>
      </c>
    </row>
    <row r="869" spans="2:12" outlineLevel="2">
      <c r="B869" s="40">
        <f t="shared" si="26"/>
        <v>406</v>
      </c>
      <c r="C869" s="41" t="s">
        <v>9</v>
      </c>
      <c r="D869" s="41" t="s">
        <v>196</v>
      </c>
      <c r="E869" s="220">
        <v>1237026</v>
      </c>
      <c r="F869" s="231">
        <v>101747</v>
      </c>
      <c r="G869" s="232">
        <v>43678</v>
      </c>
      <c r="H869" s="41"/>
      <c r="I869" s="240">
        <v>45314</v>
      </c>
      <c r="J869" s="41"/>
      <c r="K869" s="248" t="s">
        <v>197</v>
      </c>
      <c r="L869" s="244">
        <v>30332</v>
      </c>
    </row>
    <row r="870" spans="2:12" outlineLevel="2">
      <c r="B870" s="40">
        <f t="shared" si="26"/>
        <v>407</v>
      </c>
      <c r="C870" s="41" t="s">
        <v>9</v>
      </c>
      <c r="D870" s="41" t="s">
        <v>196</v>
      </c>
      <c r="E870" s="220">
        <v>1409174</v>
      </c>
      <c r="F870" s="231">
        <v>204001</v>
      </c>
      <c r="G870" s="232">
        <v>44562</v>
      </c>
      <c r="H870" s="41"/>
      <c r="I870" s="240">
        <v>45314</v>
      </c>
      <c r="J870" s="41"/>
      <c r="K870" s="248" t="s">
        <v>197</v>
      </c>
      <c r="L870" s="244">
        <v>30333</v>
      </c>
    </row>
    <row r="871" spans="2:12" outlineLevel="2">
      <c r="B871" s="40">
        <f t="shared" si="26"/>
        <v>408</v>
      </c>
      <c r="C871" s="41" t="s">
        <v>9</v>
      </c>
      <c r="D871" s="41" t="s">
        <v>196</v>
      </c>
      <c r="E871" s="220">
        <v>1416413</v>
      </c>
      <c r="F871" s="231">
        <v>205264</v>
      </c>
      <c r="G871" s="232">
        <v>44593</v>
      </c>
      <c r="H871" s="41"/>
      <c r="I871" s="240">
        <v>45314</v>
      </c>
      <c r="J871" s="41"/>
      <c r="K871" s="248" t="s">
        <v>197</v>
      </c>
      <c r="L871" s="244">
        <v>30334</v>
      </c>
    </row>
    <row r="872" spans="2:12" outlineLevel="2">
      <c r="B872" s="40">
        <f t="shared" si="26"/>
        <v>409</v>
      </c>
      <c r="C872" s="41" t="s">
        <v>9</v>
      </c>
      <c r="D872" s="41" t="s">
        <v>196</v>
      </c>
      <c r="E872" s="220">
        <v>1496910</v>
      </c>
      <c r="F872" s="231">
        <v>212230</v>
      </c>
      <c r="G872" s="232">
        <v>44896</v>
      </c>
      <c r="H872" s="41"/>
      <c r="I872" s="240">
        <v>45314</v>
      </c>
      <c r="J872" s="41"/>
      <c r="K872" s="248" t="s">
        <v>197</v>
      </c>
      <c r="L872" s="244">
        <v>30335</v>
      </c>
    </row>
    <row r="873" spans="2:12" outlineLevel="2">
      <c r="B873" s="40">
        <f t="shared" si="26"/>
        <v>410</v>
      </c>
      <c r="C873" s="41" t="s">
        <v>9</v>
      </c>
      <c r="D873" s="41" t="s">
        <v>196</v>
      </c>
      <c r="E873" s="220">
        <v>210548</v>
      </c>
      <c r="F873" s="231">
        <v>219122</v>
      </c>
      <c r="G873" s="232">
        <v>43405</v>
      </c>
      <c r="H873" s="41"/>
      <c r="I873" s="240">
        <v>45314</v>
      </c>
      <c r="J873" s="41"/>
      <c r="K873" s="248" t="s">
        <v>197</v>
      </c>
      <c r="L873" s="244">
        <v>30336</v>
      </c>
    </row>
    <row r="874" spans="2:12" outlineLevel="2">
      <c r="B874" s="40">
        <f t="shared" si="26"/>
        <v>411</v>
      </c>
      <c r="C874" s="41" t="s">
        <v>9</v>
      </c>
      <c r="D874" s="41" t="s">
        <v>196</v>
      </c>
      <c r="E874" s="220">
        <v>582564</v>
      </c>
      <c r="F874" s="231">
        <v>218737</v>
      </c>
      <c r="G874" s="232">
        <v>44378</v>
      </c>
      <c r="H874" s="41"/>
      <c r="I874" s="240">
        <v>45314</v>
      </c>
      <c r="J874" s="41"/>
      <c r="K874" s="248" t="s">
        <v>197</v>
      </c>
      <c r="L874" s="244">
        <v>30337</v>
      </c>
    </row>
    <row r="875" spans="2:12" outlineLevel="2">
      <c r="B875" s="40">
        <f t="shared" si="26"/>
        <v>412</v>
      </c>
      <c r="C875" s="41" t="s">
        <v>9</v>
      </c>
      <c r="D875" s="41" t="s">
        <v>196</v>
      </c>
      <c r="E875" s="220" t="s">
        <v>439</v>
      </c>
      <c r="F875" s="231">
        <v>219119</v>
      </c>
      <c r="G875" s="232">
        <v>41275</v>
      </c>
      <c r="H875" s="41"/>
      <c r="I875" s="240">
        <v>45314</v>
      </c>
      <c r="J875" s="41"/>
      <c r="K875" s="248" t="s">
        <v>197</v>
      </c>
      <c r="L875" s="244">
        <v>30338</v>
      </c>
    </row>
    <row r="876" spans="2:12" outlineLevel="2">
      <c r="B876" s="40">
        <f t="shared" si="26"/>
        <v>413</v>
      </c>
      <c r="C876" s="41" t="s">
        <v>9</v>
      </c>
      <c r="D876" s="41" t="s">
        <v>196</v>
      </c>
      <c r="E876" s="220">
        <v>6397</v>
      </c>
      <c r="F876" s="231">
        <v>219107</v>
      </c>
      <c r="G876" s="232">
        <v>33390</v>
      </c>
      <c r="H876" s="41"/>
      <c r="I876" s="240">
        <v>45314</v>
      </c>
      <c r="J876" s="41"/>
      <c r="K876" s="248" t="s">
        <v>197</v>
      </c>
      <c r="L876" s="244">
        <v>30339</v>
      </c>
    </row>
    <row r="877" spans="2:12" outlineLevel="2">
      <c r="B877" s="40">
        <f t="shared" si="26"/>
        <v>414</v>
      </c>
      <c r="C877" s="41" t="s">
        <v>9</v>
      </c>
      <c r="D877" s="41" t="s">
        <v>196</v>
      </c>
      <c r="E877" s="220">
        <v>1441181</v>
      </c>
      <c r="F877" s="231">
        <v>212052</v>
      </c>
      <c r="G877" s="232">
        <v>44896</v>
      </c>
      <c r="H877" s="41"/>
      <c r="I877" s="240">
        <v>45314</v>
      </c>
      <c r="J877" s="41"/>
      <c r="K877" s="248" t="s">
        <v>197</v>
      </c>
      <c r="L877" s="244">
        <v>30340</v>
      </c>
    </row>
    <row r="878" spans="2:12" outlineLevel="2">
      <c r="B878" s="40">
        <f t="shared" si="26"/>
        <v>415</v>
      </c>
      <c r="C878" s="41" t="s">
        <v>9</v>
      </c>
      <c r="D878" s="41" t="s">
        <v>196</v>
      </c>
      <c r="E878" s="220">
        <v>1441184</v>
      </c>
      <c r="F878" s="231">
        <v>212055</v>
      </c>
      <c r="G878" s="232">
        <v>44896</v>
      </c>
      <c r="H878" s="41"/>
      <c r="I878" s="240">
        <v>45314</v>
      </c>
      <c r="J878" s="41"/>
      <c r="K878" s="248" t="s">
        <v>197</v>
      </c>
      <c r="L878" s="244">
        <v>30341</v>
      </c>
    </row>
    <row r="879" spans="2:12" outlineLevel="2">
      <c r="B879" s="40">
        <f t="shared" si="26"/>
        <v>416</v>
      </c>
      <c r="C879" s="41" t="s">
        <v>9</v>
      </c>
      <c r="D879" s="41" t="s">
        <v>196</v>
      </c>
      <c r="E879" s="220">
        <v>10032</v>
      </c>
      <c r="F879" s="231">
        <v>219121</v>
      </c>
      <c r="G879" s="232">
        <v>40909</v>
      </c>
      <c r="H879" s="41"/>
      <c r="I879" s="240">
        <v>45314</v>
      </c>
      <c r="J879" s="41"/>
      <c r="K879" s="248" t="s">
        <v>197</v>
      </c>
      <c r="L879" s="244">
        <v>30342</v>
      </c>
    </row>
    <row r="880" spans="2:12" outlineLevel="2">
      <c r="B880" s="40">
        <f t="shared" si="26"/>
        <v>417</v>
      </c>
      <c r="C880" s="41" t="s">
        <v>9</v>
      </c>
      <c r="D880" s="41" t="s">
        <v>196</v>
      </c>
      <c r="E880" s="220">
        <v>127638</v>
      </c>
      <c r="F880" s="231">
        <v>219111</v>
      </c>
      <c r="G880" s="232">
        <v>39539</v>
      </c>
      <c r="H880" s="41"/>
      <c r="I880" s="240">
        <v>45314</v>
      </c>
      <c r="J880" s="41"/>
      <c r="K880" s="248" t="s">
        <v>197</v>
      </c>
      <c r="L880" s="244">
        <v>30343</v>
      </c>
    </row>
    <row r="881" spans="2:12" outlineLevel="2">
      <c r="B881" s="40">
        <f t="shared" si="26"/>
        <v>418</v>
      </c>
      <c r="C881" s="41" t="s">
        <v>9</v>
      </c>
      <c r="D881" s="41" t="s">
        <v>196</v>
      </c>
      <c r="E881" s="220">
        <v>258517</v>
      </c>
      <c r="F881" s="231">
        <v>219115</v>
      </c>
      <c r="G881" s="232">
        <v>41122</v>
      </c>
      <c r="H881" s="41"/>
      <c r="I881" s="240">
        <v>45314</v>
      </c>
      <c r="J881" s="41"/>
      <c r="K881" s="248" t="s">
        <v>197</v>
      </c>
      <c r="L881" s="244">
        <v>30344</v>
      </c>
    </row>
    <row r="882" spans="2:12" outlineLevel="2">
      <c r="B882" s="40">
        <f t="shared" si="26"/>
        <v>419</v>
      </c>
      <c r="C882" s="41" t="s">
        <v>9</v>
      </c>
      <c r="D882" s="41" t="s">
        <v>196</v>
      </c>
      <c r="E882" s="220">
        <v>264138</v>
      </c>
      <c r="F882" s="231">
        <v>219110</v>
      </c>
      <c r="G882" s="232">
        <v>41183</v>
      </c>
      <c r="H882" s="41"/>
      <c r="I882" s="240">
        <v>45314</v>
      </c>
      <c r="J882" s="41"/>
      <c r="K882" s="248" t="s">
        <v>197</v>
      </c>
      <c r="L882" s="244">
        <v>30345</v>
      </c>
    </row>
    <row r="883" spans="2:12" outlineLevel="2">
      <c r="B883" s="40">
        <f t="shared" si="26"/>
        <v>420</v>
      </c>
      <c r="C883" s="41" t="s">
        <v>9</v>
      </c>
      <c r="D883" s="41" t="s">
        <v>196</v>
      </c>
      <c r="E883" s="220">
        <v>266067</v>
      </c>
      <c r="F883" s="231">
        <v>219109</v>
      </c>
      <c r="G883" s="232">
        <v>41214</v>
      </c>
      <c r="H883" s="41"/>
      <c r="I883" s="240">
        <v>45314</v>
      </c>
      <c r="J883" s="41"/>
      <c r="K883" s="248" t="s">
        <v>197</v>
      </c>
      <c r="L883" s="244">
        <v>30346</v>
      </c>
    </row>
    <row r="884" spans="2:12" outlineLevel="2">
      <c r="B884" s="40">
        <f t="shared" ref="B884:B919" si="27">ROW(A421)</f>
        <v>421</v>
      </c>
      <c r="C884" s="41" t="s">
        <v>9</v>
      </c>
      <c r="D884" s="41" t="s">
        <v>196</v>
      </c>
      <c r="E884" s="220">
        <v>361791</v>
      </c>
      <c r="F884" s="231">
        <v>50417</v>
      </c>
      <c r="G884" s="232">
        <v>40634</v>
      </c>
      <c r="H884" s="41"/>
      <c r="I884" s="240">
        <v>45314</v>
      </c>
      <c r="J884" s="41"/>
      <c r="K884" s="248" t="s">
        <v>197</v>
      </c>
      <c r="L884" s="244">
        <v>30347</v>
      </c>
    </row>
    <row r="885" spans="2:12" outlineLevel="2">
      <c r="B885" s="40">
        <f t="shared" si="27"/>
        <v>422</v>
      </c>
      <c r="C885" s="41" t="s">
        <v>9</v>
      </c>
      <c r="D885" s="41" t="s">
        <v>196</v>
      </c>
      <c r="E885" s="220">
        <v>361834</v>
      </c>
      <c r="F885" s="231">
        <v>5044</v>
      </c>
      <c r="G885" s="232">
        <v>40725</v>
      </c>
      <c r="H885" s="41"/>
      <c r="I885" s="240">
        <v>45314</v>
      </c>
      <c r="J885" s="41"/>
      <c r="K885" s="248" t="s">
        <v>197</v>
      </c>
      <c r="L885" s="244">
        <v>30348</v>
      </c>
    </row>
    <row r="886" spans="2:12" outlineLevel="2">
      <c r="B886" s="40">
        <f t="shared" si="27"/>
        <v>423</v>
      </c>
      <c r="C886" s="41" t="s">
        <v>9</v>
      </c>
      <c r="D886" s="41" t="s">
        <v>196</v>
      </c>
      <c r="E886" s="220">
        <v>368361</v>
      </c>
      <c r="F886" s="231">
        <v>219116</v>
      </c>
      <c r="G886" s="232">
        <v>43617</v>
      </c>
      <c r="H886" s="41"/>
      <c r="I886" s="240">
        <v>45314</v>
      </c>
      <c r="J886" s="41"/>
      <c r="K886" s="248" t="s">
        <v>197</v>
      </c>
      <c r="L886" s="244">
        <v>30349</v>
      </c>
    </row>
    <row r="887" spans="2:12" outlineLevel="2">
      <c r="B887" s="40">
        <f t="shared" si="27"/>
        <v>424</v>
      </c>
      <c r="C887" s="41" t="s">
        <v>9</v>
      </c>
      <c r="D887" s="41" t="s">
        <v>196</v>
      </c>
      <c r="E887" s="220">
        <v>452234</v>
      </c>
      <c r="F887" s="231">
        <v>89524</v>
      </c>
      <c r="G887" s="232">
        <v>43191</v>
      </c>
      <c r="H887" s="41"/>
      <c r="I887" s="240">
        <v>45314</v>
      </c>
      <c r="J887" s="41"/>
      <c r="K887" s="248" t="s">
        <v>197</v>
      </c>
      <c r="L887" s="244">
        <v>30350</v>
      </c>
    </row>
    <row r="888" spans="2:12" outlineLevel="2">
      <c r="B888" s="40">
        <f t="shared" si="27"/>
        <v>425</v>
      </c>
      <c r="C888" s="41" t="s">
        <v>9</v>
      </c>
      <c r="D888" s="41" t="s">
        <v>196</v>
      </c>
      <c r="E888" s="220">
        <v>504894</v>
      </c>
      <c r="F888" s="231">
        <v>219114</v>
      </c>
      <c r="G888" s="232">
        <v>38777</v>
      </c>
      <c r="H888" s="41"/>
      <c r="I888" s="240">
        <v>45314</v>
      </c>
      <c r="J888" s="41"/>
      <c r="K888" s="248" t="s">
        <v>197</v>
      </c>
      <c r="L888" s="244">
        <v>30351</v>
      </c>
    </row>
    <row r="889" spans="2:12" outlineLevel="2">
      <c r="B889" s="40">
        <f t="shared" si="27"/>
        <v>426</v>
      </c>
      <c r="C889" s="41" t="s">
        <v>9</v>
      </c>
      <c r="D889" s="41" t="s">
        <v>196</v>
      </c>
      <c r="E889" s="220">
        <v>1225861</v>
      </c>
      <c r="F889" s="231">
        <v>219120</v>
      </c>
      <c r="G889" s="232">
        <v>43891</v>
      </c>
      <c r="H889" s="41"/>
      <c r="I889" s="240">
        <v>45314</v>
      </c>
      <c r="J889" s="41"/>
      <c r="K889" s="248" t="s">
        <v>197</v>
      </c>
      <c r="L889" s="244">
        <v>30352</v>
      </c>
    </row>
    <row r="890" spans="2:12" outlineLevel="2">
      <c r="B890" s="40">
        <f t="shared" si="27"/>
        <v>427</v>
      </c>
      <c r="C890" s="41" t="s">
        <v>9</v>
      </c>
      <c r="D890" s="41" t="s">
        <v>196</v>
      </c>
      <c r="E890" s="220" t="s">
        <v>440</v>
      </c>
      <c r="F890" s="231">
        <v>219117</v>
      </c>
      <c r="G890" s="232">
        <v>40179</v>
      </c>
      <c r="H890" s="41"/>
      <c r="I890" s="240">
        <v>45314</v>
      </c>
      <c r="J890" s="41"/>
      <c r="K890" s="248" t="s">
        <v>197</v>
      </c>
      <c r="L890" s="244">
        <v>30353</v>
      </c>
    </row>
    <row r="891" spans="2:12" outlineLevel="2">
      <c r="B891" s="40">
        <f t="shared" si="27"/>
        <v>428</v>
      </c>
      <c r="C891" s="41" t="s">
        <v>9</v>
      </c>
      <c r="D891" s="41" t="s">
        <v>196</v>
      </c>
      <c r="E891" s="220" t="s">
        <v>441</v>
      </c>
      <c r="F891" s="231">
        <v>219112</v>
      </c>
      <c r="G891" s="232">
        <v>40725</v>
      </c>
      <c r="H891" s="41"/>
      <c r="I891" s="240">
        <v>45314</v>
      </c>
      <c r="J891" s="41"/>
      <c r="K891" s="248" t="s">
        <v>197</v>
      </c>
      <c r="L891" s="244">
        <v>30354</v>
      </c>
    </row>
    <row r="892" spans="2:12" outlineLevel="2">
      <c r="B892" s="40">
        <f t="shared" si="27"/>
        <v>429</v>
      </c>
      <c r="C892" s="41" t="s">
        <v>9</v>
      </c>
      <c r="D892" s="41" t="s">
        <v>196</v>
      </c>
      <c r="E892" s="118" t="s">
        <v>442</v>
      </c>
      <c r="F892" s="227"/>
      <c r="G892" s="164">
        <v>40695</v>
      </c>
      <c r="H892" s="41"/>
      <c r="I892" s="212">
        <v>44796</v>
      </c>
      <c r="J892" s="41"/>
      <c r="K892" s="120">
        <v>33</v>
      </c>
      <c r="L892" s="213">
        <v>2096</v>
      </c>
    </row>
    <row r="893" spans="2:12" outlineLevel="2">
      <c r="B893" s="40">
        <f t="shared" si="27"/>
        <v>430</v>
      </c>
      <c r="C893" s="41" t="s">
        <v>9</v>
      </c>
      <c r="D893" s="41" t="s">
        <v>196</v>
      </c>
      <c r="E893" s="220" t="s">
        <v>443</v>
      </c>
      <c r="F893" s="231">
        <v>219108</v>
      </c>
      <c r="G893" s="232">
        <v>42125</v>
      </c>
      <c r="H893" s="41"/>
      <c r="I893" s="240">
        <v>45314</v>
      </c>
      <c r="J893" s="41"/>
      <c r="K893" s="248" t="s">
        <v>197</v>
      </c>
      <c r="L893" s="244">
        <v>30356</v>
      </c>
    </row>
    <row r="894" spans="2:12" outlineLevel="2">
      <c r="B894" s="40">
        <f t="shared" si="27"/>
        <v>431</v>
      </c>
      <c r="C894" s="41" t="s">
        <v>9</v>
      </c>
      <c r="D894" s="41" t="s">
        <v>196</v>
      </c>
      <c r="E894" s="220" t="s">
        <v>444</v>
      </c>
      <c r="F894" s="231">
        <v>218738</v>
      </c>
      <c r="G894" s="232">
        <v>42401</v>
      </c>
      <c r="H894" s="41"/>
      <c r="I894" s="240">
        <v>45314</v>
      </c>
      <c r="J894" s="41"/>
      <c r="K894" s="248" t="s">
        <v>197</v>
      </c>
      <c r="L894" s="244">
        <v>30357</v>
      </c>
    </row>
    <row r="895" spans="2:12" outlineLevel="2">
      <c r="B895" s="40">
        <f t="shared" si="27"/>
        <v>432</v>
      </c>
      <c r="C895" s="41" t="s">
        <v>9</v>
      </c>
      <c r="D895" s="41" t="s">
        <v>196</v>
      </c>
      <c r="E895" s="220" t="s">
        <v>445</v>
      </c>
      <c r="F895" s="231">
        <v>219106</v>
      </c>
      <c r="G895" s="232">
        <v>40756</v>
      </c>
      <c r="H895" s="41"/>
      <c r="I895" s="240">
        <v>45314</v>
      </c>
      <c r="J895" s="41"/>
      <c r="K895" s="248" t="s">
        <v>197</v>
      </c>
      <c r="L895" s="244">
        <v>30358</v>
      </c>
    </row>
    <row r="896" spans="2:12" outlineLevel="2">
      <c r="B896" s="40">
        <f t="shared" si="27"/>
        <v>433</v>
      </c>
      <c r="C896" s="41" t="s">
        <v>9</v>
      </c>
      <c r="D896" s="41" t="s">
        <v>196</v>
      </c>
      <c r="E896" s="220">
        <v>368860</v>
      </c>
      <c r="F896" s="231">
        <v>219118</v>
      </c>
      <c r="G896" s="232">
        <v>43617</v>
      </c>
      <c r="H896" s="41"/>
      <c r="I896" s="240">
        <v>45314</v>
      </c>
      <c r="J896" s="41"/>
      <c r="K896" s="248" t="s">
        <v>197</v>
      </c>
      <c r="L896" s="244">
        <v>30359</v>
      </c>
    </row>
    <row r="897" spans="2:12" outlineLevel="2">
      <c r="B897" s="40">
        <f t="shared" si="27"/>
        <v>434</v>
      </c>
      <c r="C897" s="41" t="s">
        <v>9</v>
      </c>
      <c r="D897" s="41" t="s">
        <v>196</v>
      </c>
      <c r="E897" s="220">
        <v>327889</v>
      </c>
      <c r="F897" s="231">
        <v>219123</v>
      </c>
      <c r="G897" s="232">
        <v>41883</v>
      </c>
      <c r="H897" s="41"/>
      <c r="I897" s="240">
        <v>45314</v>
      </c>
      <c r="J897" s="41"/>
      <c r="K897" s="248" t="s">
        <v>197</v>
      </c>
      <c r="L897" s="244">
        <v>30360</v>
      </c>
    </row>
    <row r="898" spans="2:12" outlineLevel="2">
      <c r="B898" s="40">
        <f t="shared" si="27"/>
        <v>435</v>
      </c>
      <c r="C898" s="41" t="s">
        <v>9</v>
      </c>
      <c r="D898" s="41" t="s">
        <v>196</v>
      </c>
      <c r="E898" s="220">
        <v>8108</v>
      </c>
      <c r="F898" s="231">
        <v>219068</v>
      </c>
      <c r="G898" s="232">
        <v>44774</v>
      </c>
      <c r="H898" s="41"/>
      <c r="I898" s="240">
        <v>45320</v>
      </c>
      <c r="J898" s="41"/>
      <c r="K898" s="248" t="s">
        <v>197</v>
      </c>
      <c r="L898" s="244">
        <v>30361</v>
      </c>
    </row>
    <row r="899" spans="2:12" outlineLevel="2">
      <c r="B899" s="40">
        <f t="shared" si="27"/>
        <v>436</v>
      </c>
      <c r="C899" s="41" t="s">
        <v>9</v>
      </c>
      <c r="D899" s="41" t="s">
        <v>196</v>
      </c>
      <c r="E899" s="220">
        <v>256321</v>
      </c>
      <c r="F899" s="231">
        <v>219081</v>
      </c>
      <c r="G899" s="232">
        <v>41091</v>
      </c>
      <c r="H899" s="41"/>
      <c r="I899" s="240">
        <v>45320</v>
      </c>
      <c r="J899" s="41"/>
      <c r="K899" s="248" t="s">
        <v>197</v>
      </c>
      <c r="L899" s="244">
        <v>30362</v>
      </c>
    </row>
    <row r="900" spans="2:12" outlineLevel="2">
      <c r="B900" s="40">
        <f t="shared" si="27"/>
        <v>437</v>
      </c>
      <c r="C900" s="41" t="s">
        <v>9</v>
      </c>
      <c r="D900" s="41" t="s">
        <v>196</v>
      </c>
      <c r="E900" s="220">
        <v>484441</v>
      </c>
      <c r="F900" s="231">
        <v>219076</v>
      </c>
      <c r="G900" s="232">
        <v>43344</v>
      </c>
      <c r="H900" s="41"/>
      <c r="I900" s="240">
        <v>45320</v>
      </c>
      <c r="J900" s="41"/>
      <c r="K900" s="248" t="s">
        <v>197</v>
      </c>
      <c r="L900" s="244">
        <v>30363</v>
      </c>
    </row>
    <row r="901" spans="2:12" outlineLevel="2">
      <c r="B901" s="40">
        <f t="shared" si="27"/>
        <v>438</v>
      </c>
      <c r="C901" s="41" t="s">
        <v>9</v>
      </c>
      <c r="D901" s="41" t="s">
        <v>196</v>
      </c>
      <c r="E901" s="220">
        <v>484444</v>
      </c>
      <c r="F901" s="231">
        <v>219077</v>
      </c>
      <c r="G901" s="232">
        <v>43344</v>
      </c>
      <c r="H901" s="41"/>
      <c r="I901" s="240">
        <v>45320</v>
      </c>
      <c r="J901" s="41"/>
      <c r="K901" s="248" t="s">
        <v>197</v>
      </c>
      <c r="L901" s="244">
        <v>30364</v>
      </c>
    </row>
    <row r="902" spans="2:12" outlineLevel="2">
      <c r="B902" s="40">
        <f t="shared" si="27"/>
        <v>439</v>
      </c>
      <c r="C902" s="41" t="s">
        <v>9</v>
      </c>
      <c r="D902" s="41" t="s">
        <v>196</v>
      </c>
      <c r="E902" s="220">
        <v>804988</v>
      </c>
      <c r="F902" s="231">
        <v>219069</v>
      </c>
      <c r="G902" s="232">
        <v>42675</v>
      </c>
      <c r="H902" s="41"/>
      <c r="I902" s="240">
        <v>45320</v>
      </c>
      <c r="J902" s="41"/>
      <c r="K902" s="248" t="s">
        <v>197</v>
      </c>
      <c r="L902" s="244">
        <v>30367</v>
      </c>
    </row>
    <row r="903" spans="2:12" outlineLevel="2">
      <c r="B903" s="40">
        <f t="shared" si="27"/>
        <v>440</v>
      </c>
      <c r="C903" s="41" t="s">
        <v>9</v>
      </c>
      <c r="D903" s="41" t="s">
        <v>196</v>
      </c>
      <c r="E903" s="220">
        <v>1478622</v>
      </c>
      <c r="F903" s="231">
        <v>210709</v>
      </c>
      <c r="G903" s="221">
        <v>44835</v>
      </c>
      <c r="H903" s="41"/>
      <c r="I903" s="240">
        <v>45320</v>
      </c>
      <c r="J903" s="41"/>
      <c r="K903" s="248" t="s">
        <v>197</v>
      </c>
      <c r="L903" s="244">
        <v>30368</v>
      </c>
    </row>
    <row r="904" spans="2:12" outlineLevel="2">
      <c r="B904" s="40">
        <f t="shared" si="27"/>
        <v>441</v>
      </c>
      <c r="C904" s="41" t="s">
        <v>9</v>
      </c>
      <c r="D904" s="41" t="s">
        <v>196</v>
      </c>
      <c r="E904" s="220" t="s">
        <v>446</v>
      </c>
      <c r="F904" s="231">
        <v>219079</v>
      </c>
      <c r="G904" s="232">
        <v>39173</v>
      </c>
      <c r="H904" s="41"/>
      <c r="I904" s="240">
        <v>45320</v>
      </c>
      <c r="J904" s="41"/>
      <c r="K904" s="248" t="s">
        <v>197</v>
      </c>
      <c r="L904" s="244">
        <v>30369</v>
      </c>
    </row>
    <row r="905" spans="2:12" outlineLevel="2">
      <c r="B905" s="40">
        <f t="shared" si="27"/>
        <v>442</v>
      </c>
      <c r="C905" s="41" t="s">
        <v>9</v>
      </c>
      <c r="D905" s="41" t="s">
        <v>196</v>
      </c>
      <c r="E905" s="220">
        <v>477343</v>
      </c>
      <c r="F905" s="231">
        <v>93766</v>
      </c>
      <c r="G905" s="232">
        <v>43282</v>
      </c>
      <c r="H905" s="41"/>
      <c r="I905" s="240">
        <v>45320</v>
      </c>
      <c r="J905" s="41"/>
      <c r="K905" s="248" t="s">
        <v>197</v>
      </c>
      <c r="L905" s="244">
        <v>30370</v>
      </c>
    </row>
    <row r="906" spans="2:12" outlineLevel="2">
      <c r="B906" s="40">
        <f t="shared" si="27"/>
        <v>443</v>
      </c>
      <c r="C906" s="41" t="s">
        <v>9</v>
      </c>
      <c r="D906" s="41" t="s">
        <v>196</v>
      </c>
      <c r="E906" s="220">
        <v>554422</v>
      </c>
      <c r="F906" s="231">
        <v>219075</v>
      </c>
      <c r="G906" s="232">
        <v>44044</v>
      </c>
      <c r="H906" s="41"/>
      <c r="I906" s="240">
        <v>45320</v>
      </c>
      <c r="J906" s="41"/>
      <c r="K906" s="248" t="s">
        <v>197</v>
      </c>
      <c r="L906" s="244">
        <v>30371</v>
      </c>
    </row>
    <row r="907" spans="2:12" outlineLevel="2">
      <c r="B907" s="40">
        <f t="shared" si="27"/>
        <v>444</v>
      </c>
      <c r="C907" s="41" t="s">
        <v>9</v>
      </c>
      <c r="D907" s="41" t="s">
        <v>196</v>
      </c>
      <c r="E907" s="220">
        <v>576459</v>
      </c>
      <c r="F907" s="231">
        <v>219078</v>
      </c>
      <c r="G907" s="232">
        <v>44317</v>
      </c>
      <c r="H907" s="41"/>
      <c r="I907" s="240">
        <v>45320</v>
      </c>
      <c r="J907" s="41"/>
      <c r="K907" s="248" t="s">
        <v>197</v>
      </c>
      <c r="L907" s="244">
        <v>30372</v>
      </c>
    </row>
    <row r="908" spans="2:12" outlineLevel="2">
      <c r="B908" s="40">
        <f t="shared" si="27"/>
        <v>445</v>
      </c>
      <c r="C908" s="41" t="s">
        <v>9</v>
      </c>
      <c r="D908" s="41" t="s">
        <v>196</v>
      </c>
      <c r="E908" s="220">
        <v>4492</v>
      </c>
      <c r="F908" s="231">
        <v>219072</v>
      </c>
      <c r="G908" s="232">
        <v>40513</v>
      </c>
      <c r="H908" s="41"/>
      <c r="I908" s="240">
        <v>45320</v>
      </c>
      <c r="J908" s="41"/>
      <c r="K908" s="248">
        <v>12</v>
      </c>
      <c r="L908" s="244">
        <v>30373</v>
      </c>
    </row>
    <row r="909" spans="2:12" outlineLevel="2">
      <c r="B909" s="40">
        <f t="shared" si="27"/>
        <v>446</v>
      </c>
      <c r="C909" s="41" t="s">
        <v>9</v>
      </c>
      <c r="D909" s="41" t="s">
        <v>196</v>
      </c>
      <c r="E909" s="220">
        <v>46879</v>
      </c>
      <c r="F909" s="231">
        <v>219070</v>
      </c>
      <c r="G909" s="232">
        <v>44409</v>
      </c>
      <c r="H909" s="41"/>
      <c r="I909" s="240">
        <v>45320</v>
      </c>
      <c r="J909" s="41"/>
      <c r="K909" s="248" t="s">
        <v>197</v>
      </c>
      <c r="L909" s="244">
        <v>30374</v>
      </c>
    </row>
    <row r="910" spans="2:12" outlineLevel="2">
      <c r="B910" s="40">
        <f t="shared" si="27"/>
        <v>447</v>
      </c>
      <c r="C910" s="41" t="s">
        <v>9</v>
      </c>
      <c r="D910" s="41" t="s">
        <v>196</v>
      </c>
      <c r="E910" s="220">
        <v>626109</v>
      </c>
      <c r="F910" s="231">
        <v>207182</v>
      </c>
      <c r="G910" s="232">
        <v>44682</v>
      </c>
      <c r="H910" s="41"/>
      <c r="I910" s="240">
        <v>45320</v>
      </c>
      <c r="J910" s="41"/>
      <c r="K910" s="248" t="s">
        <v>197</v>
      </c>
      <c r="L910" s="244">
        <v>30376</v>
      </c>
    </row>
    <row r="911" spans="2:12" outlineLevel="2">
      <c r="B911" s="40">
        <f t="shared" si="27"/>
        <v>448</v>
      </c>
      <c r="C911" s="41" t="s">
        <v>9</v>
      </c>
      <c r="D911" s="41" t="s">
        <v>196</v>
      </c>
      <c r="E911" s="220">
        <v>808346</v>
      </c>
      <c r="F911" s="231">
        <v>218879</v>
      </c>
      <c r="G911" s="232">
        <v>41214</v>
      </c>
      <c r="H911" s="41"/>
      <c r="I911" s="240">
        <v>45320</v>
      </c>
      <c r="J911" s="41"/>
      <c r="K911" s="248" t="s">
        <v>197</v>
      </c>
      <c r="L911" s="244">
        <v>30377</v>
      </c>
    </row>
    <row r="912" spans="2:12" outlineLevel="2">
      <c r="B912" s="40">
        <f t="shared" si="27"/>
        <v>449</v>
      </c>
      <c r="C912" s="41" t="s">
        <v>9</v>
      </c>
      <c r="D912" s="41" t="s">
        <v>196</v>
      </c>
      <c r="E912" s="220">
        <v>1233290</v>
      </c>
      <c r="F912" s="231">
        <v>102554</v>
      </c>
      <c r="G912" s="232">
        <v>43647</v>
      </c>
      <c r="H912" s="41"/>
      <c r="I912" s="240">
        <v>45320</v>
      </c>
      <c r="J912" s="41"/>
      <c r="K912" s="248" t="s">
        <v>197</v>
      </c>
      <c r="L912" s="244">
        <v>30378</v>
      </c>
    </row>
    <row r="913" spans="2:12" outlineLevel="2">
      <c r="B913" s="40">
        <f t="shared" si="27"/>
        <v>450</v>
      </c>
      <c r="C913" s="41" t="s">
        <v>9</v>
      </c>
      <c r="D913" s="41" t="s">
        <v>196</v>
      </c>
      <c r="E913" s="220">
        <v>1237768</v>
      </c>
      <c r="F913" s="231">
        <v>101119</v>
      </c>
      <c r="G913" s="232">
        <v>43678</v>
      </c>
      <c r="H913" s="41"/>
      <c r="I913" s="240">
        <v>45320</v>
      </c>
      <c r="J913" s="41"/>
      <c r="K913" s="248" t="s">
        <v>197</v>
      </c>
      <c r="L913" s="244">
        <v>30379</v>
      </c>
    </row>
    <row r="914" spans="2:12" outlineLevel="2">
      <c r="B914" s="40">
        <f t="shared" si="27"/>
        <v>451</v>
      </c>
      <c r="C914" s="41" t="s">
        <v>9</v>
      </c>
      <c r="D914" s="41" t="s">
        <v>196</v>
      </c>
      <c r="E914" s="220" t="s">
        <v>447</v>
      </c>
      <c r="F914" s="231">
        <v>219083</v>
      </c>
      <c r="G914" s="221">
        <v>40634</v>
      </c>
      <c r="H914" s="41"/>
      <c r="I914" s="240">
        <v>45320</v>
      </c>
      <c r="J914" s="41"/>
      <c r="K914" s="248" t="s">
        <v>197</v>
      </c>
      <c r="L914" s="244">
        <v>30380</v>
      </c>
    </row>
    <row r="915" spans="2:12" outlineLevel="2">
      <c r="B915" s="40">
        <f t="shared" si="27"/>
        <v>452</v>
      </c>
      <c r="C915" s="41" t="s">
        <v>9</v>
      </c>
      <c r="D915" s="41" t="s">
        <v>196</v>
      </c>
      <c r="E915" s="220">
        <v>4145</v>
      </c>
      <c r="F915" s="231">
        <v>219064</v>
      </c>
      <c r="G915" s="232">
        <v>40360</v>
      </c>
      <c r="H915" s="41"/>
      <c r="I915" s="240">
        <v>45320</v>
      </c>
      <c r="J915" s="41"/>
      <c r="K915" s="248">
        <v>19</v>
      </c>
      <c r="L915" s="244">
        <v>30381</v>
      </c>
    </row>
    <row r="916" spans="2:12" outlineLevel="2">
      <c r="B916" s="40">
        <f t="shared" si="27"/>
        <v>453</v>
      </c>
      <c r="C916" s="41" t="s">
        <v>9</v>
      </c>
      <c r="D916" s="41" t="s">
        <v>196</v>
      </c>
      <c r="E916" s="220">
        <v>32372</v>
      </c>
      <c r="F916" s="231">
        <v>219080</v>
      </c>
      <c r="G916" s="232">
        <v>37895</v>
      </c>
      <c r="H916" s="41"/>
      <c r="I916" s="240">
        <v>45320</v>
      </c>
      <c r="J916" s="41"/>
      <c r="K916" s="248" t="s">
        <v>197</v>
      </c>
      <c r="L916" s="244">
        <v>30382</v>
      </c>
    </row>
    <row r="917" spans="2:12" outlineLevel="2">
      <c r="B917" s="40">
        <f t="shared" si="27"/>
        <v>454</v>
      </c>
      <c r="C917" s="41" t="s">
        <v>9</v>
      </c>
      <c r="D917" s="41" t="s">
        <v>196</v>
      </c>
      <c r="E917" s="220">
        <v>266070</v>
      </c>
      <c r="F917" s="231">
        <v>643603</v>
      </c>
      <c r="G917" s="232">
        <v>41214</v>
      </c>
      <c r="H917" s="41"/>
      <c r="I917" s="240">
        <v>45320</v>
      </c>
      <c r="J917" s="41"/>
      <c r="K917" s="248" t="s">
        <v>197</v>
      </c>
      <c r="L917" s="244">
        <v>30383</v>
      </c>
    </row>
    <row r="918" spans="2:12" outlineLevel="2">
      <c r="B918" s="40">
        <f t="shared" si="27"/>
        <v>455</v>
      </c>
      <c r="C918" s="41" t="s">
        <v>9</v>
      </c>
      <c r="D918" s="41" t="s">
        <v>196</v>
      </c>
      <c r="E918" s="220">
        <v>1291739</v>
      </c>
      <c r="F918" s="231">
        <v>110074</v>
      </c>
      <c r="G918" s="232">
        <v>44287</v>
      </c>
      <c r="H918" s="41"/>
      <c r="I918" s="240">
        <v>45320</v>
      </c>
      <c r="J918" s="41"/>
      <c r="K918" s="248" t="s">
        <v>197</v>
      </c>
      <c r="L918" s="244">
        <v>30394</v>
      </c>
    </row>
    <row r="919" spans="2:12" outlineLevel="2">
      <c r="B919" s="40">
        <f t="shared" si="27"/>
        <v>456</v>
      </c>
      <c r="C919" s="41" t="s">
        <v>9</v>
      </c>
      <c r="D919" s="41" t="s">
        <v>196</v>
      </c>
      <c r="E919" s="220">
        <v>32352</v>
      </c>
      <c r="F919" s="231">
        <v>219062</v>
      </c>
      <c r="G919" s="232">
        <v>42522</v>
      </c>
      <c r="H919" s="41"/>
      <c r="I919" s="240">
        <v>45320</v>
      </c>
      <c r="J919" s="41"/>
      <c r="K919" s="248">
        <v>31</v>
      </c>
      <c r="L919" s="244">
        <v>30395</v>
      </c>
    </row>
    <row r="920" spans="2:12" outlineLevel="1">
      <c r="B920" s="59" t="s">
        <v>255</v>
      </c>
      <c r="C920" s="41">
        <f>SUBTOTAL(3,C692:C919)</f>
        <v>228</v>
      </c>
      <c r="D920" s="41"/>
      <c r="E920" s="41"/>
      <c r="F920" s="41"/>
      <c r="G920" s="41"/>
      <c r="H920" s="41"/>
      <c r="I920" s="42"/>
      <c r="J920" s="41"/>
      <c r="K920" s="41"/>
      <c r="L920" s="43"/>
    </row>
    <row r="921" spans="2:12" outlineLevel="2">
      <c r="B921" s="40">
        <f t="shared" ref="B921:B952" si="28">ROW(A457)</f>
        <v>457</v>
      </c>
      <c r="C921" s="41" t="s">
        <v>175</v>
      </c>
      <c r="D921" s="41" t="s">
        <v>196</v>
      </c>
      <c r="E921" s="218" t="s">
        <v>448</v>
      </c>
      <c r="F921" s="227">
        <v>212140</v>
      </c>
      <c r="G921" s="226">
        <v>43282</v>
      </c>
      <c r="H921" s="41"/>
      <c r="I921" s="212">
        <v>44585</v>
      </c>
      <c r="J921" s="41"/>
      <c r="K921" s="213">
        <v>31</v>
      </c>
      <c r="L921" s="120">
        <v>17404</v>
      </c>
    </row>
    <row r="922" spans="2:12" outlineLevel="2">
      <c r="B922" s="40">
        <f t="shared" si="28"/>
        <v>458</v>
      </c>
      <c r="C922" s="41" t="s">
        <v>175</v>
      </c>
      <c r="D922" s="41" t="s">
        <v>196</v>
      </c>
      <c r="E922" s="216">
        <v>1201913</v>
      </c>
      <c r="F922" s="216">
        <v>213138</v>
      </c>
      <c r="G922" s="223">
        <v>41244</v>
      </c>
      <c r="H922" s="41"/>
      <c r="I922" s="212">
        <v>44971</v>
      </c>
      <c r="J922" s="41"/>
      <c r="K922" s="120">
        <v>28</v>
      </c>
      <c r="L922" s="120">
        <v>17734</v>
      </c>
    </row>
    <row r="923" spans="2:12" outlineLevel="2">
      <c r="B923" s="40">
        <f t="shared" si="28"/>
        <v>459</v>
      </c>
      <c r="C923" s="41" t="s">
        <v>175</v>
      </c>
      <c r="D923" s="41" t="s">
        <v>196</v>
      </c>
      <c r="E923" s="216">
        <v>1368598</v>
      </c>
      <c r="F923" s="216">
        <v>207230</v>
      </c>
      <c r="G923" s="223">
        <v>44682</v>
      </c>
      <c r="H923" s="41"/>
      <c r="I923" s="212">
        <v>44971</v>
      </c>
      <c r="J923" s="41"/>
      <c r="K923" s="120">
        <v>21</v>
      </c>
      <c r="L923" s="120">
        <v>17736</v>
      </c>
    </row>
    <row r="924" spans="2:12" outlineLevel="2">
      <c r="B924" s="40">
        <f t="shared" si="28"/>
        <v>460</v>
      </c>
      <c r="C924" s="41" t="s">
        <v>175</v>
      </c>
      <c r="D924" s="41" t="s">
        <v>196</v>
      </c>
      <c r="E924" s="216">
        <v>673406</v>
      </c>
      <c r="F924" s="216">
        <v>51214</v>
      </c>
      <c r="G924" s="223">
        <v>41214</v>
      </c>
      <c r="H924" s="41"/>
      <c r="I924" s="212">
        <v>44971</v>
      </c>
      <c r="J924" s="41"/>
      <c r="K924" s="120">
        <v>19</v>
      </c>
      <c r="L924" s="120">
        <v>17750</v>
      </c>
    </row>
    <row r="925" spans="2:12" outlineLevel="2">
      <c r="B925" s="40">
        <f t="shared" si="28"/>
        <v>461</v>
      </c>
      <c r="C925" s="41" t="s">
        <v>175</v>
      </c>
      <c r="D925" s="41" t="s">
        <v>196</v>
      </c>
      <c r="E925" s="216">
        <v>453178</v>
      </c>
      <c r="F925" s="216">
        <v>205760</v>
      </c>
      <c r="G925" s="223">
        <v>44593</v>
      </c>
      <c r="H925" s="41"/>
      <c r="I925" s="212">
        <v>44971</v>
      </c>
      <c r="J925" s="41"/>
      <c r="K925" s="248" t="s">
        <v>197</v>
      </c>
      <c r="L925" s="120">
        <v>17768</v>
      </c>
    </row>
    <row r="926" spans="2:12" outlineLevel="2">
      <c r="B926" s="40">
        <f t="shared" si="28"/>
        <v>462</v>
      </c>
      <c r="C926" s="41" t="s">
        <v>175</v>
      </c>
      <c r="D926" s="41" t="s">
        <v>196</v>
      </c>
      <c r="E926" s="216">
        <v>33082</v>
      </c>
      <c r="F926" s="216">
        <v>213163</v>
      </c>
      <c r="G926" s="223">
        <v>28034</v>
      </c>
      <c r="H926" s="41"/>
      <c r="I926" s="212">
        <v>44971</v>
      </c>
      <c r="J926" s="41"/>
      <c r="K926" s="120">
        <v>31</v>
      </c>
      <c r="L926" s="120">
        <v>17775</v>
      </c>
    </row>
    <row r="927" spans="2:12" outlineLevel="2">
      <c r="B927" s="40">
        <f t="shared" si="28"/>
        <v>463</v>
      </c>
      <c r="C927" s="41" t="s">
        <v>175</v>
      </c>
      <c r="D927" s="41" t="s">
        <v>196</v>
      </c>
      <c r="E927" s="216">
        <v>9795097</v>
      </c>
      <c r="F927" s="216">
        <v>213162</v>
      </c>
      <c r="G927" s="223">
        <v>37165</v>
      </c>
      <c r="H927" s="41"/>
      <c r="I927" s="212">
        <v>44971</v>
      </c>
      <c r="J927" s="41"/>
      <c r="K927" s="120">
        <v>31</v>
      </c>
      <c r="L927" s="120">
        <v>17794</v>
      </c>
    </row>
    <row r="928" spans="2:12" outlineLevel="2">
      <c r="B928" s="40">
        <f t="shared" si="28"/>
        <v>464</v>
      </c>
      <c r="C928" s="41" t="s">
        <v>175</v>
      </c>
      <c r="D928" s="41" t="s">
        <v>196</v>
      </c>
      <c r="E928" s="216">
        <v>15120</v>
      </c>
      <c r="F928" s="216" t="s">
        <v>172</v>
      </c>
      <c r="G928" s="223">
        <v>36982</v>
      </c>
      <c r="H928" s="41"/>
      <c r="I928" s="212">
        <v>44972</v>
      </c>
      <c r="J928" s="41"/>
      <c r="K928" s="120">
        <v>23</v>
      </c>
      <c r="L928" s="120">
        <v>17833</v>
      </c>
    </row>
    <row r="929" spans="2:12" outlineLevel="2">
      <c r="B929" s="40">
        <f t="shared" si="28"/>
        <v>465</v>
      </c>
      <c r="C929" s="41" t="s">
        <v>175</v>
      </c>
      <c r="D929" s="41" t="s">
        <v>196</v>
      </c>
      <c r="E929" s="218">
        <v>584555</v>
      </c>
      <c r="F929" s="227" t="s">
        <v>172</v>
      </c>
      <c r="G929" s="226">
        <v>36404</v>
      </c>
      <c r="H929" s="41"/>
      <c r="I929" s="212">
        <v>44946</v>
      </c>
      <c r="J929" s="41"/>
      <c r="K929" s="213">
        <v>48</v>
      </c>
      <c r="L929" s="120">
        <v>17066</v>
      </c>
    </row>
    <row r="930" spans="2:12" outlineLevel="2">
      <c r="B930" s="40">
        <f t="shared" si="28"/>
        <v>466</v>
      </c>
      <c r="C930" s="41" t="s">
        <v>175</v>
      </c>
      <c r="D930" s="41" t="s">
        <v>196</v>
      </c>
      <c r="E930" s="218">
        <v>145596</v>
      </c>
      <c r="F930" s="227" t="s">
        <v>172</v>
      </c>
      <c r="G930" s="226">
        <v>35643</v>
      </c>
      <c r="H930" s="41"/>
      <c r="I930" s="212">
        <v>44946</v>
      </c>
      <c r="J930" s="41"/>
      <c r="K930" s="213">
        <v>46</v>
      </c>
      <c r="L930" s="120">
        <v>17069</v>
      </c>
    </row>
    <row r="931" spans="2:12" outlineLevel="2">
      <c r="B931" s="40">
        <f t="shared" si="28"/>
        <v>467</v>
      </c>
      <c r="C931" s="41" t="s">
        <v>175</v>
      </c>
      <c r="D931" s="41" t="s">
        <v>196</v>
      </c>
      <c r="E931" s="218">
        <v>19104</v>
      </c>
      <c r="F931" s="227" t="s">
        <v>172</v>
      </c>
      <c r="G931" s="226">
        <v>32234</v>
      </c>
      <c r="H931" s="41"/>
      <c r="I931" s="212">
        <v>44951</v>
      </c>
      <c r="J931" s="41"/>
      <c r="K931" s="213">
        <v>40</v>
      </c>
      <c r="L931" s="120">
        <v>17076</v>
      </c>
    </row>
    <row r="932" spans="2:12" outlineLevel="2">
      <c r="B932" s="40">
        <f t="shared" si="28"/>
        <v>468</v>
      </c>
      <c r="C932" s="41" t="s">
        <v>175</v>
      </c>
      <c r="D932" s="41" t="s">
        <v>196</v>
      </c>
      <c r="E932" s="209">
        <v>184152</v>
      </c>
      <c r="F932" s="227" t="s">
        <v>172</v>
      </c>
      <c r="G932" s="226">
        <v>35521</v>
      </c>
      <c r="H932" s="41"/>
      <c r="I932" s="212">
        <v>45176</v>
      </c>
      <c r="J932" s="41"/>
      <c r="K932" s="120">
        <v>10</v>
      </c>
      <c r="L932" s="242">
        <v>26928</v>
      </c>
    </row>
    <row r="933" spans="2:12" outlineLevel="2">
      <c r="B933" s="40">
        <f t="shared" si="28"/>
        <v>469</v>
      </c>
      <c r="C933" s="41" t="s">
        <v>175</v>
      </c>
      <c r="D933" s="41" t="s">
        <v>196</v>
      </c>
      <c r="E933" s="218">
        <v>14035</v>
      </c>
      <c r="F933" s="227" t="s">
        <v>172</v>
      </c>
      <c r="G933" s="226">
        <v>30834</v>
      </c>
      <c r="H933" s="41"/>
      <c r="I933" s="212">
        <v>44977</v>
      </c>
      <c r="J933" s="41"/>
      <c r="K933" s="213">
        <v>27</v>
      </c>
      <c r="L933" s="120">
        <v>17082</v>
      </c>
    </row>
    <row r="934" spans="2:12" outlineLevel="2">
      <c r="B934" s="40">
        <f t="shared" si="28"/>
        <v>470</v>
      </c>
      <c r="C934" s="41" t="s">
        <v>175</v>
      </c>
      <c r="D934" s="41" t="s">
        <v>196</v>
      </c>
      <c r="E934" s="218">
        <v>8419444</v>
      </c>
      <c r="F934" s="227" t="s">
        <v>172</v>
      </c>
      <c r="G934" s="226">
        <v>35704</v>
      </c>
      <c r="H934" s="41"/>
      <c r="I934" s="212">
        <v>44945</v>
      </c>
      <c r="J934" s="41"/>
      <c r="K934" s="213">
        <v>49</v>
      </c>
      <c r="L934" s="120">
        <v>17089</v>
      </c>
    </row>
    <row r="935" spans="2:12" outlineLevel="2">
      <c r="B935" s="40">
        <f t="shared" si="28"/>
        <v>471</v>
      </c>
      <c r="C935" s="41" t="s">
        <v>175</v>
      </c>
      <c r="D935" s="41" t="s">
        <v>196</v>
      </c>
      <c r="E935" s="218">
        <v>97092865</v>
      </c>
      <c r="F935" s="227" t="s">
        <v>172</v>
      </c>
      <c r="G935" s="226">
        <v>41030</v>
      </c>
      <c r="H935" s="41"/>
      <c r="I935" s="212">
        <v>44977</v>
      </c>
      <c r="J935" s="41"/>
      <c r="K935" s="213">
        <v>17</v>
      </c>
      <c r="L935" s="120">
        <v>17096</v>
      </c>
    </row>
    <row r="936" spans="2:12" outlineLevel="2">
      <c r="B936" s="40">
        <f t="shared" si="28"/>
        <v>472</v>
      </c>
      <c r="C936" s="41" t="s">
        <v>175</v>
      </c>
      <c r="D936" s="41" t="s">
        <v>196</v>
      </c>
      <c r="E936" s="218">
        <v>253005</v>
      </c>
      <c r="F936" s="227" t="s">
        <v>172</v>
      </c>
      <c r="G936" s="226">
        <v>38657</v>
      </c>
      <c r="H936" s="41"/>
      <c r="I936" s="212">
        <v>44977</v>
      </c>
      <c r="J936" s="41"/>
      <c r="K936" s="213">
        <v>21</v>
      </c>
      <c r="L936" s="120">
        <v>17097</v>
      </c>
    </row>
    <row r="937" spans="2:12" outlineLevel="2">
      <c r="B937" s="40">
        <f t="shared" si="28"/>
        <v>473</v>
      </c>
      <c r="C937" s="41" t="s">
        <v>175</v>
      </c>
      <c r="D937" s="41" t="s">
        <v>196</v>
      </c>
      <c r="E937" s="209">
        <v>83214</v>
      </c>
      <c r="F937" s="227" t="s">
        <v>172</v>
      </c>
      <c r="G937" s="226">
        <v>35582</v>
      </c>
      <c r="H937" s="41"/>
      <c r="I937" s="212">
        <v>45175</v>
      </c>
      <c r="J937" s="41"/>
      <c r="K937" s="120">
        <v>15</v>
      </c>
      <c r="L937" s="242">
        <v>26927</v>
      </c>
    </row>
    <row r="938" spans="2:12" outlineLevel="2">
      <c r="B938" s="40">
        <f t="shared" si="28"/>
        <v>474</v>
      </c>
      <c r="C938" s="41" t="s">
        <v>175</v>
      </c>
      <c r="D938" s="41" t="s">
        <v>196</v>
      </c>
      <c r="E938" s="218">
        <v>254876</v>
      </c>
      <c r="F938" s="227" t="s">
        <v>172</v>
      </c>
      <c r="G938" s="226">
        <v>38930</v>
      </c>
      <c r="H938" s="41"/>
      <c r="I938" s="212">
        <v>44977</v>
      </c>
      <c r="J938" s="41"/>
      <c r="K938" s="213">
        <v>16</v>
      </c>
      <c r="L938" s="120">
        <v>17106</v>
      </c>
    </row>
    <row r="939" spans="2:12" outlineLevel="2">
      <c r="B939" s="40">
        <f t="shared" si="28"/>
        <v>475</v>
      </c>
      <c r="C939" s="41" t="s">
        <v>175</v>
      </c>
      <c r="D939" s="41" t="s">
        <v>196</v>
      </c>
      <c r="E939" s="218">
        <v>538910</v>
      </c>
      <c r="F939" s="227" t="s">
        <v>172</v>
      </c>
      <c r="G939" s="226">
        <v>37226</v>
      </c>
      <c r="H939" s="41"/>
      <c r="I939" s="212">
        <v>44977</v>
      </c>
      <c r="J939" s="41"/>
      <c r="K939" s="213">
        <v>4</v>
      </c>
      <c r="L939" s="120">
        <v>17109</v>
      </c>
    </row>
    <row r="940" spans="2:12" outlineLevel="2">
      <c r="B940" s="40">
        <f t="shared" si="28"/>
        <v>476</v>
      </c>
      <c r="C940" s="41" t="s">
        <v>175</v>
      </c>
      <c r="D940" s="41" t="s">
        <v>196</v>
      </c>
      <c r="E940" s="218">
        <v>21943</v>
      </c>
      <c r="F940" s="227" t="s">
        <v>172</v>
      </c>
      <c r="G940" s="226">
        <v>37834</v>
      </c>
      <c r="H940" s="41"/>
      <c r="I940" s="212">
        <v>44977</v>
      </c>
      <c r="J940" s="41"/>
      <c r="K940" s="120">
        <v>30</v>
      </c>
      <c r="L940" s="120">
        <v>17111</v>
      </c>
    </row>
    <row r="941" spans="2:12" outlineLevel="2">
      <c r="B941" s="40">
        <f t="shared" si="28"/>
        <v>477</v>
      </c>
      <c r="C941" s="41" t="s">
        <v>175</v>
      </c>
      <c r="D941" s="41" t="s">
        <v>196</v>
      </c>
      <c r="E941" s="218">
        <v>8434613</v>
      </c>
      <c r="F941" s="227" t="s">
        <v>172</v>
      </c>
      <c r="G941" s="226">
        <v>36526</v>
      </c>
      <c r="H941" s="41"/>
      <c r="I941" s="212">
        <v>44977</v>
      </c>
      <c r="J941" s="41"/>
      <c r="K941" s="213">
        <v>28</v>
      </c>
      <c r="L941" s="120">
        <v>17114</v>
      </c>
    </row>
    <row r="942" spans="2:12" outlineLevel="2">
      <c r="B942" s="40">
        <f t="shared" si="28"/>
        <v>478</v>
      </c>
      <c r="C942" s="41" t="s">
        <v>175</v>
      </c>
      <c r="D942" s="41" t="s">
        <v>196</v>
      </c>
      <c r="E942" s="218">
        <v>5474</v>
      </c>
      <c r="F942" s="227" t="s">
        <v>172</v>
      </c>
      <c r="G942" s="226">
        <v>37895</v>
      </c>
      <c r="H942" s="41"/>
      <c r="I942" s="212">
        <v>44977</v>
      </c>
      <c r="J942" s="41"/>
      <c r="K942" s="213">
        <v>33</v>
      </c>
      <c r="L942" s="120">
        <v>17117</v>
      </c>
    </row>
    <row r="943" spans="2:12" outlineLevel="2">
      <c r="B943" s="40">
        <f t="shared" si="28"/>
        <v>479</v>
      </c>
      <c r="C943" s="41" t="s">
        <v>175</v>
      </c>
      <c r="D943" s="41" t="s">
        <v>196</v>
      </c>
      <c r="E943" s="218">
        <v>8814127</v>
      </c>
      <c r="F943" s="227" t="s">
        <v>172</v>
      </c>
      <c r="G943" s="209">
        <v>29373</v>
      </c>
      <c r="H943" s="41"/>
      <c r="I943" s="212">
        <v>44949</v>
      </c>
      <c r="J943" s="41"/>
      <c r="K943" s="120">
        <v>41</v>
      </c>
      <c r="L943" s="120">
        <v>17135</v>
      </c>
    </row>
    <row r="944" spans="2:12" outlineLevel="2">
      <c r="B944" s="40">
        <f t="shared" si="28"/>
        <v>480</v>
      </c>
      <c r="C944" s="41" t="s">
        <v>175</v>
      </c>
      <c r="D944" s="41" t="s">
        <v>196</v>
      </c>
      <c r="E944" s="218">
        <v>69679</v>
      </c>
      <c r="F944" s="227" t="s">
        <v>172</v>
      </c>
      <c r="G944" s="226">
        <v>36404</v>
      </c>
      <c r="H944" s="41"/>
      <c r="I944" s="252">
        <v>44977</v>
      </c>
      <c r="J944" s="41"/>
      <c r="K944" s="213">
        <v>24</v>
      </c>
      <c r="L944" s="120">
        <v>17143</v>
      </c>
    </row>
    <row r="945" spans="2:12" outlineLevel="2">
      <c r="B945" s="40">
        <f t="shared" si="28"/>
        <v>481</v>
      </c>
      <c r="C945" s="41" t="s">
        <v>175</v>
      </c>
      <c r="D945" s="41" t="s">
        <v>196</v>
      </c>
      <c r="E945" s="218">
        <v>272721</v>
      </c>
      <c r="F945" s="227" t="s">
        <v>172</v>
      </c>
      <c r="G945" s="226">
        <v>39965</v>
      </c>
      <c r="H945" s="41"/>
      <c r="I945" s="253">
        <v>44977</v>
      </c>
      <c r="J945" s="41"/>
      <c r="K945" s="242">
        <v>10</v>
      </c>
      <c r="L945" s="254">
        <v>17145</v>
      </c>
    </row>
    <row r="946" spans="2:12" outlineLevel="2">
      <c r="B946" s="40">
        <f t="shared" si="28"/>
        <v>482</v>
      </c>
      <c r="C946" s="41" t="s">
        <v>175</v>
      </c>
      <c r="D946" s="41" t="s">
        <v>196</v>
      </c>
      <c r="E946" s="209">
        <v>26032</v>
      </c>
      <c r="F946" s="227" t="s">
        <v>172</v>
      </c>
      <c r="G946" s="226">
        <v>2002</v>
      </c>
      <c r="H946" s="41"/>
      <c r="I946" s="212">
        <v>45175</v>
      </c>
      <c r="J946" s="41"/>
      <c r="K946" s="120">
        <v>22</v>
      </c>
      <c r="L946" s="242">
        <v>26922</v>
      </c>
    </row>
    <row r="947" spans="2:12" outlineLevel="2">
      <c r="B947" s="40">
        <f t="shared" si="28"/>
        <v>483</v>
      </c>
      <c r="C947" s="41" t="s">
        <v>175</v>
      </c>
      <c r="D947" s="41" t="s">
        <v>196</v>
      </c>
      <c r="E947" s="218" t="s">
        <v>449</v>
      </c>
      <c r="F947" s="227" t="s">
        <v>172</v>
      </c>
      <c r="G947" s="226">
        <v>36982</v>
      </c>
      <c r="H947" s="41"/>
      <c r="I947" s="212">
        <v>44977</v>
      </c>
      <c r="J947" s="41"/>
      <c r="K947" s="213">
        <v>6</v>
      </c>
      <c r="L947" s="120">
        <v>17162</v>
      </c>
    </row>
    <row r="948" spans="2:12" outlineLevel="2">
      <c r="B948" s="40">
        <f t="shared" si="28"/>
        <v>484</v>
      </c>
      <c r="C948" s="41" t="s">
        <v>175</v>
      </c>
      <c r="D948" s="41" t="s">
        <v>196</v>
      </c>
      <c r="E948" s="218">
        <v>14975</v>
      </c>
      <c r="F948" s="227" t="s">
        <v>172</v>
      </c>
      <c r="G948" s="226">
        <v>35551</v>
      </c>
      <c r="H948" s="41"/>
      <c r="I948" s="212">
        <v>44958</v>
      </c>
      <c r="J948" s="41"/>
      <c r="K948" s="213">
        <v>4</v>
      </c>
      <c r="L948" s="120">
        <v>17174</v>
      </c>
    </row>
    <row r="949" spans="2:12" outlineLevel="2">
      <c r="B949" s="40">
        <f t="shared" si="28"/>
        <v>485</v>
      </c>
      <c r="C949" s="41" t="s">
        <v>175</v>
      </c>
      <c r="D949" s="41" t="s">
        <v>196</v>
      </c>
      <c r="E949" s="218">
        <v>97052171</v>
      </c>
      <c r="F949" s="227" t="s">
        <v>172</v>
      </c>
      <c r="G949" s="226">
        <v>37165</v>
      </c>
      <c r="H949" s="41"/>
      <c r="I949" s="212">
        <v>44979</v>
      </c>
      <c r="J949" s="41"/>
      <c r="K949" s="213">
        <v>29</v>
      </c>
      <c r="L949" s="120">
        <v>17186</v>
      </c>
    </row>
    <row r="950" spans="2:12" outlineLevel="2">
      <c r="B950" s="40">
        <f t="shared" si="28"/>
        <v>486</v>
      </c>
      <c r="C950" s="41" t="s">
        <v>175</v>
      </c>
      <c r="D950" s="41" t="s">
        <v>196</v>
      </c>
      <c r="E950" s="218">
        <v>189017</v>
      </c>
      <c r="F950" s="227" t="s">
        <v>172</v>
      </c>
      <c r="G950" s="226">
        <v>35370</v>
      </c>
      <c r="H950" s="41"/>
      <c r="I950" s="212">
        <v>44979</v>
      </c>
      <c r="J950" s="41"/>
      <c r="K950" s="213">
        <v>33</v>
      </c>
      <c r="L950" s="120">
        <v>17190</v>
      </c>
    </row>
    <row r="951" spans="2:12" outlineLevel="2">
      <c r="B951" s="40">
        <f t="shared" si="28"/>
        <v>487</v>
      </c>
      <c r="C951" s="41" t="s">
        <v>175</v>
      </c>
      <c r="D951" s="41" t="s">
        <v>196</v>
      </c>
      <c r="E951" s="218">
        <v>96111844</v>
      </c>
      <c r="F951" s="227" t="s">
        <v>172</v>
      </c>
      <c r="G951" s="226">
        <v>36465</v>
      </c>
      <c r="H951" s="41"/>
      <c r="I951" s="212">
        <v>44979</v>
      </c>
      <c r="J951" s="41"/>
      <c r="K951" s="213">
        <v>29</v>
      </c>
      <c r="L951" s="120">
        <v>17204</v>
      </c>
    </row>
    <row r="952" spans="2:12" outlineLevel="2">
      <c r="B952" s="40">
        <f t="shared" si="28"/>
        <v>488</v>
      </c>
      <c r="C952" s="41" t="s">
        <v>175</v>
      </c>
      <c r="D952" s="41" t="s">
        <v>196</v>
      </c>
      <c r="E952" s="218">
        <v>995163</v>
      </c>
      <c r="F952" s="227" t="s">
        <v>172</v>
      </c>
      <c r="G952" s="226">
        <v>40422</v>
      </c>
      <c r="H952" s="41"/>
      <c r="I952" s="212">
        <v>44979</v>
      </c>
      <c r="J952" s="41"/>
      <c r="K952" s="213">
        <v>27</v>
      </c>
      <c r="L952" s="120">
        <v>17205</v>
      </c>
    </row>
    <row r="953" spans="2:12" outlineLevel="2">
      <c r="B953" s="40">
        <f t="shared" ref="B953:B984" si="29">ROW(A489)</f>
        <v>489</v>
      </c>
      <c r="C953" s="41" t="s">
        <v>175</v>
      </c>
      <c r="D953" s="41" t="s">
        <v>196</v>
      </c>
      <c r="E953" s="216">
        <v>673406</v>
      </c>
      <c r="F953" s="216">
        <v>51214</v>
      </c>
      <c r="G953" s="224">
        <v>41214</v>
      </c>
      <c r="H953" s="41"/>
      <c r="I953" s="212">
        <v>44973</v>
      </c>
      <c r="J953" s="41"/>
      <c r="K953" s="120">
        <v>31</v>
      </c>
      <c r="L953" s="120">
        <v>18350</v>
      </c>
    </row>
    <row r="954" spans="2:12" outlineLevel="2">
      <c r="B954" s="40">
        <f t="shared" si="29"/>
        <v>490</v>
      </c>
      <c r="C954" s="41" t="s">
        <v>175</v>
      </c>
      <c r="D954" s="41" t="s">
        <v>196</v>
      </c>
      <c r="E954" s="216">
        <v>366203</v>
      </c>
      <c r="F954" s="216">
        <v>53472</v>
      </c>
      <c r="G954" s="224">
        <v>40756</v>
      </c>
      <c r="H954" s="41"/>
      <c r="I954" s="212">
        <v>44973</v>
      </c>
      <c r="J954" s="41"/>
      <c r="K954" s="120">
        <v>28</v>
      </c>
      <c r="L954" s="120">
        <v>18354</v>
      </c>
    </row>
    <row r="955" spans="2:12" outlineLevel="2">
      <c r="B955" s="40">
        <f t="shared" si="29"/>
        <v>491</v>
      </c>
      <c r="C955" s="41" t="s">
        <v>175</v>
      </c>
      <c r="D955" s="41" t="s">
        <v>196</v>
      </c>
      <c r="E955" s="216">
        <v>150785</v>
      </c>
      <c r="F955" s="216">
        <v>213179</v>
      </c>
      <c r="G955" s="224">
        <v>40330</v>
      </c>
      <c r="H955" s="41"/>
      <c r="I955" s="212">
        <v>44973</v>
      </c>
      <c r="J955" s="41"/>
      <c r="K955" s="120">
        <v>30</v>
      </c>
      <c r="L955" s="120">
        <v>18361</v>
      </c>
    </row>
    <row r="956" spans="2:12" outlineLevel="2">
      <c r="B956" s="40">
        <f t="shared" si="29"/>
        <v>492</v>
      </c>
      <c r="C956" s="41" t="s">
        <v>175</v>
      </c>
      <c r="D956" s="41" t="s">
        <v>196</v>
      </c>
      <c r="E956" s="216">
        <v>127646</v>
      </c>
      <c r="F956" s="216">
        <v>127646</v>
      </c>
      <c r="G956" s="224">
        <v>39539</v>
      </c>
      <c r="H956" s="41"/>
      <c r="I956" s="212">
        <v>44973</v>
      </c>
      <c r="J956" s="41"/>
      <c r="K956" s="120">
        <v>22</v>
      </c>
      <c r="L956" s="120">
        <v>18363</v>
      </c>
    </row>
    <row r="957" spans="2:12" outlineLevel="2">
      <c r="B957" s="40">
        <f t="shared" si="29"/>
        <v>493</v>
      </c>
      <c r="C957" s="41" t="s">
        <v>175</v>
      </c>
      <c r="D957" s="41" t="s">
        <v>196</v>
      </c>
      <c r="E957" s="216">
        <v>453178</v>
      </c>
      <c r="F957" s="216">
        <v>205760</v>
      </c>
      <c r="G957" s="224">
        <v>44593</v>
      </c>
      <c r="H957" s="41"/>
      <c r="I957" s="212">
        <v>44973</v>
      </c>
      <c r="J957" s="41"/>
      <c r="K957" s="248" t="s">
        <v>197</v>
      </c>
      <c r="L957" s="120">
        <v>18366</v>
      </c>
    </row>
    <row r="958" spans="2:12" outlineLevel="2">
      <c r="B958" s="40">
        <f t="shared" si="29"/>
        <v>494</v>
      </c>
      <c r="C958" s="41" t="s">
        <v>175</v>
      </c>
      <c r="D958" s="41" t="s">
        <v>196</v>
      </c>
      <c r="E958" s="216" t="s">
        <v>450</v>
      </c>
      <c r="F958" s="216">
        <v>213741</v>
      </c>
      <c r="G958" s="224">
        <v>42278</v>
      </c>
      <c r="H958" s="41"/>
      <c r="I958" s="212">
        <v>44973</v>
      </c>
      <c r="J958" s="41"/>
      <c r="K958" s="248" t="s">
        <v>197</v>
      </c>
      <c r="L958" s="120">
        <v>18397</v>
      </c>
    </row>
    <row r="959" spans="2:12" outlineLevel="2">
      <c r="B959" s="40">
        <f t="shared" si="29"/>
        <v>495</v>
      </c>
      <c r="C959" s="41" t="s">
        <v>175</v>
      </c>
      <c r="D959" s="41" t="s">
        <v>196</v>
      </c>
      <c r="E959" s="216">
        <v>46709</v>
      </c>
      <c r="F959" s="216">
        <v>213736</v>
      </c>
      <c r="G959" s="224">
        <v>40664</v>
      </c>
      <c r="H959" s="41"/>
      <c r="I959" s="212">
        <v>44959</v>
      </c>
      <c r="J959" s="41"/>
      <c r="K959" s="120">
        <v>48</v>
      </c>
      <c r="L959" s="120">
        <v>18404</v>
      </c>
    </row>
    <row r="960" spans="2:12" outlineLevel="2">
      <c r="B960" s="40">
        <f t="shared" si="29"/>
        <v>496</v>
      </c>
      <c r="C960" s="41" t="s">
        <v>175</v>
      </c>
      <c r="D960" s="41" t="s">
        <v>196</v>
      </c>
      <c r="E960" s="216" t="s">
        <v>451</v>
      </c>
      <c r="F960" s="228" t="s">
        <v>172</v>
      </c>
      <c r="G960" s="223">
        <v>39114</v>
      </c>
      <c r="H960" s="41"/>
      <c r="I960" s="211">
        <v>44988</v>
      </c>
      <c r="J960" s="41"/>
      <c r="K960" s="241">
        <v>21</v>
      </c>
      <c r="L960" s="120">
        <v>18515</v>
      </c>
    </row>
    <row r="961" spans="2:12" outlineLevel="2">
      <c r="B961" s="40">
        <f t="shared" si="29"/>
        <v>497</v>
      </c>
      <c r="C961" s="41" t="s">
        <v>175</v>
      </c>
      <c r="D961" s="41" t="s">
        <v>196</v>
      </c>
      <c r="E961" s="216">
        <v>274631</v>
      </c>
      <c r="F961" s="228" t="s">
        <v>172</v>
      </c>
      <c r="G961" s="223">
        <v>36404</v>
      </c>
      <c r="H961" s="41"/>
      <c r="I961" s="211"/>
      <c r="J961" s="41"/>
      <c r="K961" s="241">
        <v>12</v>
      </c>
      <c r="L961" s="120">
        <v>18516</v>
      </c>
    </row>
    <row r="962" spans="2:12" outlineLevel="2">
      <c r="B962" s="40">
        <f t="shared" si="29"/>
        <v>498</v>
      </c>
      <c r="C962" s="41" t="s">
        <v>175</v>
      </c>
      <c r="D962" s="41" t="s">
        <v>196</v>
      </c>
      <c r="E962" s="216">
        <v>65668</v>
      </c>
      <c r="F962" s="228" t="s">
        <v>172</v>
      </c>
      <c r="G962" s="223">
        <v>35186</v>
      </c>
      <c r="H962" s="41"/>
      <c r="I962" s="211"/>
      <c r="J962" s="41"/>
      <c r="K962" s="241">
        <v>18</v>
      </c>
      <c r="L962" s="120">
        <v>18517</v>
      </c>
    </row>
    <row r="963" spans="2:12" outlineLevel="2">
      <c r="B963" s="40">
        <f t="shared" si="29"/>
        <v>499</v>
      </c>
      <c r="C963" s="41" t="s">
        <v>175</v>
      </c>
      <c r="D963" s="41" t="s">
        <v>196</v>
      </c>
      <c r="E963" s="216">
        <v>51332</v>
      </c>
      <c r="F963" s="228" t="s">
        <v>172</v>
      </c>
      <c r="G963" s="223">
        <v>34547</v>
      </c>
      <c r="H963" s="41"/>
      <c r="I963" s="211">
        <v>44988</v>
      </c>
      <c r="J963" s="41"/>
      <c r="K963" s="241">
        <v>18</v>
      </c>
      <c r="L963" s="120">
        <v>18520</v>
      </c>
    </row>
    <row r="964" spans="2:12" outlineLevel="2">
      <c r="B964" s="40">
        <f t="shared" si="29"/>
        <v>500</v>
      </c>
      <c r="C964" s="41" t="s">
        <v>175</v>
      </c>
      <c r="D964" s="41" t="s">
        <v>196</v>
      </c>
      <c r="E964" s="216">
        <v>192763</v>
      </c>
      <c r="F964" s="228" t="s">
        <v>172</v>
      </c>
      <c r="G964" s="223">
        <v>40391</v>
      </c>
      <c r="H964" s="41"/>
      <c r="I964" s="211">
        <v>44980</v>
      </c>
      <c r="J964" s="41"/>
      <c r="K964" s="241">
        <v>48</v>
      </c>
      <c r="L964" s="120">
        <v>18532</v>
      </c>
    </row>
    <row r="965" spans="2:12" outlineLevel="2">
      <c r="B965" s="40">
        <f t="shared" si="29"/>
        <v>501</v>
      </c>
      <c r="C965" s="41" t="s">
        <v>175</v>
      </c>
      <c r="D965" s="41" t="s">
        <v>196</v>
      </c>
      <c r="E965" s="216">
        <v>461773</v>
      </c>
      <c r="F965" s="228" t="s">
        <v>172</v>
      </c>
      <c r="G965" s="223">
        <v>38534</v>
      </c>
      <c r="H965" s="41"/>
      <c r="I965" s="211">
        <v>44980</v>
      </c>
      <c r="J965" s="41"/>
      <c r="K965" s="241">
        <v>8</v>
      </c>
      <c r="L965" s="120">
        <v>18533</v>
      </c>
    </row>
    <row r="966" spans="2:12" outlineLevel="2">
      <c r="B966" s="40">
        <f t="shared" si="29"/>
        <v>502</v>
      </c>
      <c r="C966" s="41" t="s">
        <v>175</v>
      </c>
      <c r="D966" s="41" t="s">
        <v>196</v>
      </c>
      <c r="E966" s="216">
        <v>81879</v>
      </c>
      <c r="F966" s="228" t="s">
        <v>172</v>
      </c>
      <c r="G966" s="223">
        <v>35551</v>
      </c>
      <c r="H966" s="41"/>
      <c r="I966" s="211">
        <v>44988</v>
      </c>
      <c r="J966" s="41"/>
      <c r="K966" s="241">
        <v>25</v>
      </c>
      <c r="L966" s="120">
        <v>18538</v>
      </c>
    </row>
    <row r="967" spans="2:12" outlineLevel="2">
      <c r="B967" s="40">
        <f t="shared" si="29"/>
        <v>503</v>
      </c>
      <c r="C967" s="41" t="s">
        <v>175</v>
      </c>
      <c r="D967" s="41" t="s">
        <v>196</v>
      </c>
      <c r="E967" s="216">
        <v>232821</v>
      </c>
      <c r="F967" s="228" t="s">
        <v>172</v>
      </c>
      <c r="G967" s="223">
        <v>40756</v>
      </c>
      <c r="H967" s="41"/>
      <c r="I967" s="211">
        <v>44988</v>
      </c>
      <c r="J967" s="41"/>
      <c r="K967" s="241">
        <v>13</v>
      </c>
      <c r="L967" s="120">
        <v>18539</v>
      </c>
    </row>
    <row r="968" spans="2:12" outlineLevel="2">
      <c r="B968" s="40">
        <f t="shared" si="29"/>
        <v>504</v>
      </c>
      <c r="C968" s="41" t="s">
        <v>175</v>
      </c>
      <c r="D968" s="41" t="s">
        <v>196</v>
      </c>
      <c r="E968" s="216">
        <v>72684</v>
      </c>
      <c r="F968" s="228" t="s">
        <v>172</v>
      </c>
      <c r="G968" s="223">
        <v>1996</v>
      </c>
      <c r="H968" s="41"/>
      <c r="I968" s="211">
        <v>44981</v>
      </c>
      <c r="J968" s="41"/>
      <c r="K968" s="241">
        <v>47</v>
      </c>
      <c r="L968" s="120">
        <v>18548</v>
      </c>
    </row>
    <row r="969" spans="2:12" outlineLevel="2">
      <c r="B969" s="40">
        <f t="shared" si="29"/>
        <v>505</v>
      </c>
      <c r="C969" s="41" t="s">
        <v>175</v>
      </c>
      <c r="D969" s="41" t="s">
        <v>196</v>
      </c>
      <c r="E969" s="216">
        <v>9607872</v>
      </c>
      <c r="F969" s="228" t="s">
        <v>172</v>
      </c>
      <c r="G969" s="223">
        <v>35247</v>
      </c>
      <c r="H969" s="41"/>
      <c r="I969" s="211">
        <v>44981</v>
      </c>
      <c r="J969" s="41"/>
      <c r="K969" s="241">
        <v>36</v>
      </c>
      <c r="L969" s="120">
        <v>18549</v>
      </c>
    </row>
    <row r="970" spans="2:12" outlineLevel="2">
      <c r="B970" s="40">
        <f t="shared" si="29"/>
        <v>506</v>
      </c>
      <c r="C970" s="41" t="s">
        <v>175</v>
      </c>
      <c r="D970" s="41" t="s">
        <v>196</v>
      </c>
      <c r="E970" s="216">
        <v>265293</v>
      </c>
      <c r="F970" s="228" t="s">
        <v>172</v>
      </c>
      <c r="G970" s="223">
        <v>37926</v>
      </c>
      <c r="H970" s="41"/>
      <c r="I970" s="211">
        <v>44981</v>
      </c>
      <c r="J970" s="41"/>
      <c r="K970" s="241">
        <v>24</v>
      </c>
      <c r="L970" s="120">
        <v>18553</v>
      </c>
    </row>
    <row r="971" spans="2:12" outlineLevel="2">
      <c r="B971" s="40">
        <f t="shared" si="29"/>
        <v>507</v>
      </c>
      <c r="C971" s="41" t="s">
        <v>175</v>
      </c>
      <c r="D971" s="41" t="s">
        <v>196</v>
      </c>
      <c r="E971" s="216" t="s">
        <v>452</v>
      </c>
      <c r="F971" s="228" t="s">
        <v>172</v>
      </c>
      <c r="G971" s="223">
        <v>39569</v>
      </c>
      <c r="H971" s="41"/>
      <c r="I971" s="211">
        <v>44988</v>
      </c>
      <c r="J971" s="41"/>
      <c r="K971" s="241">
        <v>17</v>
      </c>
      <c r="L971" s="120">
        <v>18554</v>
      </c>
    </row>
    <row r="972" spans="2:12" outlineLevel="2">
      <c r="B972" s="40">
        <f t="shared" si="29"/>
        <v>508</v>
      </c>
      <c r="C972" s="41" t="s">
        <v>175</v>
      </c>
      <c r="D972" s="41" t="s">
        <v>196</v>
      </c>
      <c r="E972" s="216">
        <v>994633</v>
      </c>
      <c r="F972" s="228" t="s">
        <v>172</v>
      </c>
      <c r="G972" s="223">
        <v>36373</v>
      </c>
      <c r="H972" s="41"/>
      <c r="I972" s="211">
        <v>44987</v>
      </c>
      <c r="J972" s="41"/>
      <c r="K972" s="241">
        <v>43</v>
      </c>
      <c r="L972" s="120">
        <v>18556</v>
      </c>
    </row>
    <row r="973" spans="2:12" outlineLevel="2">
      <c r="B973" s="40">
        <f t="shared" si="29"/>
        <v>509</v>
      </c>
      <c r="C973" s="41" t="s">
        <v>175</v>
      </c>
      <c r="D973" s="41" t="s">
        <v>196</v>
      </c>
      <c r="E973" s="216">
        <v>461774</v>
      </c>
      <c r="F973" s="228" t="s">
        <v>172</v>
      </c>
      <c r="G973" s="223">
        <v>38534</v>
      </c>
      <c r="H973" s="41"/>
      <c r="I973" s="211">
        <v>44988</v>
      </c>
      <c r="J973" s="41"/>
      <c r="K973" s="241">
        <v>21</v>
      </c>
      <c r="L973" s="120">
        <v>18568</v>
      </c>
    </row>
    <row r="974" spans="2:12" outlineLevel="2">
      <c r="B974" s="40">
        <f t="shared" si="29"/>
        <v>510</v>
      </c>
      <c r="C974" s="41" t="s">
        <v>175</v>
      </c>
      <c r="D974" s="41" t="s">
        <v>196</v>
      </c>
      <c r="E974" s="216">
        <v>463922</v>
      </c>
      <c r="F974" s="228" t="s">
        <v>172</v>
      </c>
      <c r="G974" s="223">
        <v>38565</v>
      </c>
      <c r="H974" s="41"/>
      <c r="I974" s="211">
        <v>44988</v>
      </c>
      <c r="J974" s="41"/>
      <c r="K974" s="241">
        <v>8</v>
      </c>
      <c r="L974" s="120">
        <v>18571</v>
      </c>
    </row>
    <row r="975" spans="2:12" outlineLevel="2">
      <c r="B975" s="40">
        <f t="shared" si="29"/>
        <v>511</v>
      </c>
      <c r="C975" s="41" t="s">
        <v>175</v>
      </c>
      <c r="D975" s="41" t="s">
        <v>196</v>
      </c>
      <c r="E975" s="216">
        <v>3247</v>
      </c>
      <c r="F975" s="228" t="s">
        <v>172</v>
      </c>
      <c r="G975" s="223">
        <v>35796</v>
      </c>
      <c r="H975" s="41"/>
      <c r="I975" s="211">
        <v>45019</v>
      </c>
      <c r="J975" s="41"/>
      <c r="K975" s="241">
        <v>48</v>
      </c>
      <c r="L975" s="120">
        <v>18574</v>
      </c>
    </row>
    <row r="976" spans="2:12" outlineLevel="2">
      <c r="B976" s="40">
        <f t="shared" si="29"/>
        <v>512</v>
      </c>
      <c r="C976" s="41" t="s">
        <v>175</v>
      </c>
      <c r="D976" s="41" t="s">
        <v>196</v>
      </c>
      <c r="E976" s="216">
        <v>9603350</v>
      </c>
      <c r="F976" s="228" t="s">
        <v>172</v>
      </c>
      <c r="G976" s="223">
        <v>35156</v>
      </c>
      <c r="H976" s="41"/>
      <c r="I976" s="211">
        <v>44980</v>
      </c>
      <c r="J976" s="41"/>
      <c r="K976" s="241">
        <v>220</v>
      </c>
      <c r="L976" s="120">
        <v>18580</v>
      </c>
    </row>
    <row r="977" spans="2:12" outlineLevel="2">
      <c r="B977" s="40">
        <f t="shared" si="29"/>
        <v>513</v>
      </c>
      <c r="C977" s="41" t="s">
        <v>175</v>
      </c>
      <c r="D977" s="41" t="s">
        <v>196</v>
      </c>
      <c r="E977" s="216">
        <v>6353</v>
      </c>
      <c r="F977" s="228" t="s">
        <v>172</v>
      </c>
      <c r="G977" s="223">
        <v>36739</v>
      </c>
      <c r="H977" s="41"/>
      <c r="I977" s="211">
        <v>45005</v>
      </c>
      <c r="J977" s="41"/>
      <c r="K977" s="241">
        <v>43</v>
      </c>
      <c r="L977" s="120">
        <v>18586</v>
      </c>
    </row>
    <row r="978" spans="2:12" outlineLevel="2">
      <c r="B978" s="40">
        <f t="shared" si="29"/>
        <v>514</v>
      </c>
      <c r="C978" s="41" t="s">
        <v>175</v>
      </c>
      <c r="D978" s="41" t="s">
        <v>196</v>
      </c>
      <c r="E978" s="216">
        <v>45971</v>
      </c>
      <c r="F978" s="228" t="s">
        <v>172</v>
      </c>
      <c r="G978" s="223">
        <v>34394</v>
      </c>
      <c r="H978" s="41"/>
      <c r="I978" s="211">
        <v>45009</v>
      </c>
      <c r="J978" s="41"/>
      <c r="K978" s="241">
        <v>17</v>
      </c>
      <c r="L978" s="120">
        <v>18587</v>
      </c>
    </row>
    <row r="979" spans="2:12" outlineLevel="2">
      <c r="B979" s="40">
        <f t="shared" si="29"/>
        <v>515</v>
      </c>
      <c r="C979" s="41" t="s">
        <v>175</v>
      </c>
      <c r="D979" s="41" t="s">
        <v>196</v>
      </c>
      <c r="E979" s="216" t="s">
        <v>453</v>
      </c>
      <c r="F979" s="228" t="s">
        <v>172</v>
      </c>
      <c r="G979" s="223">
        <v>35247</v>
      </c>
      <c r="H979" s="41"/>
      <c r="I979" s="211">
        <v>45009</v>
      </c>
      <c r="J979" s="41"/>
      <c r="K979" s="241">
        <v>47</v>
      </c>
      <c r="L979" s="120">
        <v>18589</v>
      </c>
    </row>
    <row r="980" spans="2:12" outlineLevel="2">
      <c r="B980" s="40">
        <f t="shared" si="29"/>
        <v>516</v>
      </c>
      <c r="C980" s="41" t="s">
        <v>175</v>
      </c>
      <c r="D980" s="41" t="s">
        <v>196</v>
      </c>
      <c r="E980" s="216">
        <v>2001306</v>
      </c>
      <c r="F980" s="228" t="s">
        <v>172</v>
      </c>
      <c r="G980" s="223">
        <v>37257</v>
      </c>
      <c r="H980" s="41"/>
      <c r="I980" s="211">
        <v>45005</v>
      </c>
      <c r="J980" s="41"/>
      <c r="K980" s="241">
        <v>41</v>
      </c>
      <c r="L980" s="120">
        <v>18605</v>
      </c>
    </row>
    <row r="981" spans="2:12" outlineLevel="2">
      <c r="B981" s="40">
        <f t="shared" si="29"/>
        <v>517</v>
      </c>
      <c r="C981" s="41" t="s">
        <v>175</v>
      </c>
      <c r="D981" s="41" t="s">
        <v>196</v>
      </c>
      <c r="E981" s="216">
        <v>97072451</v>
      </c>
      <c r="F981" s="228" t="s">
        <v>172</v>
      </c>
      <c r="G981" s="223">
        <v>35643</v>
      </c>
      <c r="H981" s="41"/>
      <c r="I981" s="211">
        <v>45005</v>
      </c>
      <c r="J981" s="41"/>
      <c r="K981" s="241">
        <v>41</v>
      </c>
      <c r="L981" s="120">
        <v>18608</v>
      </c>
    </row>
    <row r="982" spans="2:12" outlineLevel="2">
      <c r="B982" s="40">
        <f t="shared" si="29"/>
        <v>518</v>
      </c>
      <c r="C982" s="41" t="s">
        <v>175</v>
      </c>
      <c r="D982" s="41" t="s">
        <v>196</v>
      </c>
      <c r="E982" s="216">
        <v>189732</v>
      </c>
      <c r="F982" s="228" t="s">
        <v>172</v>
      </c>
      <c r="G982" s="223">
        <v>40330</v>
      </c>
      <c r="H982" s="41"/>
      <c r="I982" s="211">
        <v>45005</v>
      </c>
      <c r="J982" s="41"/>
      <c r="K982" s="241">
        <v>47</v>
      </c>
      <c r="L982" s="120">
        <v>18612</v>
      </c>
    </row>
    <row r="983" spans="2:12" outlineLevel="2">
      <c r="B983" s="40">
        <f t="shared" si="29"/>
        <v>519</v>
      </c>
      <c r="C983" s="41" t="s">
        <v>175</v>
      </c>
      <c r="D983" s="41" t="s">
        <v>196</v>
      </c>
      <c r="E983" s="216">
        <v>6833</v>
      </c>
      <c r="F983" s="228" t="s">
        <v>172</v>
      </c>
      <c r="G983" s="223">
        <v>36770</v>
      </c>
      <c r="H983" s="41"/>
      <c r="I983" s="211">
        <v>45009</v>
      </c>
      <c r="J983" s="41"/>
      <c r="K983" s="241">
        <v>48</v>
      </c>
      <c r="L983" s="120">
        <v>18617</v>
      </c>
    </row>
    <row r="984" spans="2:12" outlineLevel="2">
      <c r="B984" s="40">
        <f t="shared" si="29"/>
        <v>520</v>
      </c>
      <c r="C984" s="41" t="s">
        <v>175</v>
      </c>
      <c r="D984" s="41" t="s">
        <v>196</v>
      </c>
      <c r="E984" s="216">
        <v>142815</v>
      </c>
      <c r="F984" s="228" t="s">
        <v>172</v>
      </c>
      <c r="G984" s="223">
        <v>36342</v>
      </c>
      <c r="H984" s="41"/>
      <c r="I984" s="211">
        <v>45015</v>
      </c>
      <c r="J984" s="41"/>
      <c r="K984" s="241">
        <v>45</v>
      </c>
      <c r="L984" s="120">
        <v>18625</v>
      </c>
    </row>
    <row r="985" spans="2:12" outlineLevel="2">
      <c r="B985" s="40">
        <f t="shared" ref="B985" si="30">ROW(A521)</f>
        <v>521</v>
      </c>
      <c r="C985" s="41" t="s">
        <v>175</v>
      </c>
      <c r="D985" s="41" t="s">
        <v>196</v>
      </c>
      <c r="E985" s="216">
        <v>170755</v>
      </c>
      <c r="F985" s="228" t="s">
        <v>172</v>
      </c>
      <c r="G985" s="223">
        <v>40148</v>
      </c>
      <c r="H985" s="41"/>
      <c r="I985" s="211">
        <v>44988</v>
      </c>
      <c r="J985" s="41"/>
      <c r="K985" s="241">
        <v>21</v>
      </c>
      <c r="L985" s="120">
        <v>18627</v>
      </c>
    </row>
    <row r="986" spans="2:12" outlineLevel="2">
      <c r="B986" s="35">
        <f t="shared" ref="B986:B1017" si="31">(B985+1)</f>
        <v>522</v>
      </c>
      <c r="C986" s="41" t="s">
        <v>175</v>
      </c>
      <c r="D986" s="41" t="s">
        <v>196</v>
      </c>
      <c r="E986" s="216" t="s">
        <v>454</v>
      </c>
      <c r="F986" s="228" t="s">
        <v>172</v>
      </c>
      <c r="G986" s="223">
        <v>38322</v>
      </c>
      <c r="H986" s="41"/>
      <c r="I986" s="211">
        <v>44988</v>
      </c>
      <c r="J986" s="41"/>
      <c r="K986" s="241">
        <v>23</v>
      </c>
      <c r="L986" s="120">
        <v>18631</v>
      </c>
    </row>
    <row r="987" spans="2:12" outlineLevel="2">
      <c r="B987" s="35">
        <f t="shared" si="31"/>
        <v>523</v>
      </c>
      <c r="C987" s="41" t="s">
        <v>175</v>
      </c>
      <c r="D987" s="41" t="s">
        <v>196</v>
      </c>
      <c r="E987" s="216">
        <v>341946</v>
      </c>
      <c r="F987" s="228" t="s">
        <v>172</v>
      </c>
      <c r="G987" s="223">
        <v>38534</v>
      </c>
      <c r="H987" s="41"/>
      <c r="I987" s="211">
        <v>44988</v>
      </c>
      <c r="J987" s="41"/>
      <c r="K987" s="241">
        <v>12</v>
      </c>
      <c r="L987" s="120">
        <v>18632</v>
      </c>
    </row>
    <row r="988" spans="2:12" outlineLevel="2">
      <c r="B988" s="35">
        <f t="shared" si="31"/>
        <v>524</v>
      </c>
      <c r="C988" s="41" t="s">
        <v>175</v>
      </c>
      <c r="D988" s="41" t="s">
        <v>196</v>
      </c>
      <c r="E988" s="216">
        <v>264330</v>
      </c>
      <c r="F988" s="228" t="s">
        <v>172</v>
      </c>
      <c r="G988" s="216">
        <v>37926</v>
      </c>
      <c r="H988" s="41"/>
      <c r="I988" s="211">
        <v>44988</v>
      </c>
      <c r="J988" s="41"/>
      <c r="K988" s="241">
        <v>23</v>
      </c>
      <c r="L988" s="120">
        <v>18642</v>
      </c>
    </row>
    <row r="989" spans="2:12" outlineLevel="2">
      <c r="B989" s="35">
        <f t="shared" si="31"/>
        <v>525</v>
      </c>
      <c r="C989" s="41" t="s">
        <v>175</v>
      </c>
      <c r="D989" s="41" t="s">
        <v>196</v>
      </c>
      <c r="E989" s="216">
        <v>239531</v>
      </c>
      <c r="F989" s="228" t="s">
        <v>172</v>
      </c>
      <c r="G989" s="223">
        <v>40848</v>
      </c>
      <c r="H989" s="41"/>
      <c r="I989" s="211">
        <v>45005</v>
      </c>
      <c r="J989" s="41"/>
      <c r="K989" s="241">
        <v>47</v>
      </c>
      <c r="L989" s="120">
        <v>18643</v>
      </c>
    </row>
    <row r="990" spans="2:12" outlineLevel="2">
      <c r="B990" s="35">
        <f t="shared" si="31"/>
        <v>526</v>
      </c>
      <c r="C990" s="41" t="s">
        <v>175</v>
      </c>
      <c r="D990" s="41" t="s">
        <v>196</v>
      </c>
      <c r="E990" s="216">
        <v>994915</v>
      </c>
      <c r="F990" s="228" t="s">
        <v>172</v>
      </c>
      <c r="G990" s="223">
        <v>36404</v>
      </c>
      <c r="H990" s="41"/>
      <c r="I990" s="211">
        <v>44988</v>
      </c>
      <c r="J990" s="41"/>
      <c r="K990" s="241">
        <v>22</v>
      </c>
      <c r="L990" s="120">
        <v>18645</v>
      </c>
    </row>
    <row r="991" spans="2:12" outlineLevel="2">
      <c r="B991" s="35">
        <f t="shared" si="31"/>
        <v>527</v>
      </c>
      <c r="C991" s="41" t="s">
        <v>175</v>
      </c>
      <c r="D991" s="41" t="s">
        <v>196</v>
      </c>
      <c r="E991" s="216">
        <v>725715</v>
      </c>
      <c r="F991" s="228" t="s">
        <v>172</v>
      </c>
      <c r="G991" s="223">
        <v>1990</v>
      </c>
      <c r="H991" s="41"/>
      <c r="I991" s="211">
        <v>45009</v>
      </c>
      <c r="J991" s="41"/>
      <c r="K991" s="241">
        <v>39</v>
      </c>
      <c r="L991" s="120">
        <v>18646</v>
      </c>
    </row>
    <row r="992" spans="2:12" outlineLevel="2">
      <c r="B992" s="35">
        <f t="shared" si="31"/>
        <v>528</v>
      </c>
      <c r="C992" s="41" t="s">
        <v>175</v>
      </c>
      <c r="D992" s="41" t="s">
        <v>196</v>
      </c>
      <c r="E992" s="216">
        <v>9636795</v>
      </c>
      <c r="F992" s="228" t="s">
        <v>172</v>
      </c>
      <c r="G992" s="223">
        <v>35339</v>
      </c>
      <c r="H992" s="41"/>
      <c r="I992" s="211">
        <v>45005</v>
      </c>
      <c r="J992" s="41"/>
      <c r="K992" s="241">
        <v>48</v>
      </c>
      <c r="L992" s="120">
        <v>18661</v>
      </c>
    </row>
    <row r="993" spans="2:12" outlineLevel="2">
      <c r="B993" s="35">
        <f t="shared" si="31"/>
        <v>529</v>
      </c>
      <c r="C993" s="41" t="s">
        <v>175</v>
      </c>
      <c r="D993" s="41" t="s">
        <v>196</v>
      </c>
      <c r="E993" s="216">
        <v>27205</v>
      </c>
      <c r="F993" s="228" t="s">
        <v>172</v>
      </c>
      <c r="G993" s="223">
        <v>2002</v>
      </c>
      <c r="H993" s="41"/>
      <c r="I993" s="211">
        <v>44991</v>
      </c>
      <c r="J993" s="41"/>
      <c r="K993" s="241">
        <v>31</v>
      </c>
      <c r="L993" s="120">
        <v>18665</v>
      </c>
    </row>
    <row r="994" spans="2:12" outlineLevel="2">
      <c r="B994" s="35">
        <f t="shared" si="31"/>
        <v>530</v>
      </c>
      <c r="C994" s="41" t="s">
        <v>175</v>
      </c>
      <c r="D994" s="41" t="s">
        <v>196</v>
      </c>
      <c r="E994" s="216">
        <v>53375</v>
      </c>
      <c r="F994" s="228" t="s">
        <v>172</v>
      </c>
      <c r="G994" s="223">
        <v>43405</v>
      </c>
      <c r="H994" s="41"/>
      <c r="I994" s="211">
        <v>45009</v>
      </c>
      <c r="J994" s="41"/>
      <c r="K994" s="241">
        <v>35</v>
      </c>
      <c r="L994" s="120">
        <v>18667</v>
      </c>
    </row>
    <row r="995" spans="2:12" outlineLevel="2">
      <c r="B995" s="35">
        <f t="shared" si="31"/>
        <v>531</v>
      </c>
      <c r="C995" s="41" t="s">
        <v>175</v>
      </c>
      <c r="D995" s="41" t="s">
        <v>196</v>
      </c>
      <c r="E995" s="216">
        <v>367750</v>
      </c>
      <c r="F995" s="228" t="s">
        <v>172</v>
      </c>
      <c r="G995" s="223">
        <v>38687</v>
      </c>
      <c r="H995" s="41"/>
      <c r="I995" s="211">
        <v>44991</v>
      </c>
      <c r="J995" s="41"/>
      <c r="K995" s="241">
        <v>22</v>
      </c>
      <c r="L995" s="120">
        <v>18669</v>
      </c>
    </row>
    <row r="996" spans="2:12" outlineLevel="2">
      <c r="B996" s="35">
        <f t="shared" si="31"/>
        <v>532</v>
      </c>
      <c r="C996" s="41" t="s">
        <v>175</v>
      </c>
      <c r="D996" s="41" t="s">
        <v>196</v>
      </c>
      <c r="E996" s="216">
        <v>36556</v>
      </c>
      <c r="F996" s="228" t="s">
        <v>172</v>
      </c>
      <c r="G996" s="223">
        <v>37895</v>
      </c>
      <c r="H996" s="41"/>
      <c r="I996" s="211">
        <v>44991</v>
      </c>
      <c r="J996" s="41"/>
      <c r="K996" s="241">
        <v>26</v>
      </c>
      <c r="L996" s="120">
        <v>18670</v>
      </c>
    </row>
    <row r="997" spans="2:12" outlineLevel="2">
      <c r="B997" s="35">
        <f t="shared" si="31"/>
        <v>533</v>
      </c>
      <c r="C997" s="41" t="s">
        <v>175</v>
      </c>
      <c r="D997" s="41" t="s">
        <v>196</v>
      </c>
      <c r="E997" s="216">
        <v>995319</v>
      </c>
      <c r="F997" s="228" t="s">
        <v>172</v>
      </c>
      <c r="G997" s="223">
        <v>36526</v>
      </c>
      <c r="H997" s="41"/>
      <c r="I997" s="211">
        <v>45005</v>
      </c>
      <c r="J997" s="41"/>
      <c r="K997" s="241">
        <v>46</v>
      </c>
      <c r="L997" s="120">
        <v>18672</v>
      </c>
    </row>
    <row r="998" spans="2:12" outlineLevel="2">
      <c r="B998" s="35">
        <f t="shared" si="31"/>
        <v>534</v>
      </c>
      <c r="C998" s="41" t="s">
        <v>175</v>
      </c>
      <c r="D998" s="41" t="s">
        <v>196</v>
      </c>
      <c r="E998" s="216">
        <v>240162</v>
      </c>
      <c r="F998" s="228" t="s">
        <v>172</v>
      </c>
      <c r="G998" s="223">
        <v>37622</v>
      </c>
      <c r="H998" s="41"/>
      <c r="I998" s="211">
        <v>44991</v>
      </c>
      <c r="J998" s="41"/>
      <c r="K998" s="241">
        <v>18</v>
      </c>
      <c r="L998" s="120">
        <v>18676</v>
      </c>
    </row>
    <row r="999" spans="2:12" outlineLevel="2">
      <c r="B999" s="35">
        <f t="shared" si="31"/>
        <v>535</v>
      </c>
      <c r="C999" s="41" t="s">
        <v>175</v>
      </c>
      <c r="D999" s="41" t="s">
        <v>196</v>
      </c>
      <c r="E999" s="216">
        <v>145606</v>
      </c>
      <c r="F999" s="228" t="s">
        <v>172</v>
      </c>
      <c r="G999" s="223">
        <v>34973</v>
      </c>
      <c r="H999" s="41"/>
      <c r="I999" s="211">
        <v>44994</v>
      </c>
      <c r="J999" s="41"/>
      <c r="K999" s="241">
        <v>4</v>
      </c>
      <c r="L999" s="120">
        <v>19060</v>
      </c>
    </row>
    <row r="1000" spans="2:12" outlineLevel="2">
      <c r="B1000" s="35">
        <f t="shared" si="31"/>
        <v>536</v>
      </c>
      <c r="C1000" s="41" t="s">
        <v>175</v>
      </c>
      <c r="D1000" s="41" t="s">
        <v>196</v>
      </c>
      <c r="E1000" s="216">
        <v>1101</v>
      </c>
      <c r="F1000" s="228" t="s">
        <v>172</v>
      </c>
      <c r="G1000" s="223">
        <v>37469</v>
      </c>
      <c r="H1000" s="41"/>
      <c r="I1000" s="211">
        <v>44981</v>
      </c>
      <c r="J1000" s="41"/>
      <c r="K1000" s="241">
        <v>37</v>
      </c>
      <c r="L1000" s="120">
        <v>19063</v>
      </c>
    </row>
    <row r="1001" spans="2:12" outlineLevel="2">
      <c r="B1001" s="35">
        <f t="shared" si="31"/>
        <v>537</v>
      </c>
      <c r="C1001" s="41" t="s">
        <v>175</v>
      </c>
      <c r="D1001" s="41" t="s">
        <v>196</v>
      </c>
      <c r="E1001" s="216">
        <v>242029</v>
      </c>
      <c r="F1001" s="228" t="s">
        <v>172</v>
      </c>
      <c r="G1001" s="223">
        <v>40878</v>
      </c>
      <c r="H1001" s="41"/>
      <c r="I1001" s="211">
        <v>44980</v>
      </c>
      <c r="J1001" s="41"/>
      <c r="K1001" s="241">
        <v>35</v>
      </c>
      <c r="L1001" s="120">
        <v>19069</v>
      </c>
    </row>
    <row r="1002" spans="2:12" outlineLevel="2">
      <c r="B1002" s="35">
        <f t="shared" si="31"/>
        <v>538</v>
      </c>
      <c r="C1002" s="41" t="s">
        <v>175</v>
      </c>
      <c r="D1002" s="41" t="s">
        <v>196</v>
      </c>
      <c r="E1002" s="216">
        <v>225265</v>
      </c>
      <c r="F1002" s="228" t="s">
        <v>172</v>
      </c>
      <c r="G1002" s="216">
        <v>40695</v>
      </c>
      <c r="H1002" s="41"/>
      <c r="I1002" s="211">
        <v>45007</v>
      </c>
      <c r="J1002" s="41"/>
      <c r="K1002" s="241">
        <v>12</v>
      </c>
      <c r="L1002" s="120">
        <v>19070</v>
      </c>
    </row>
    <row r="1003" spans="2:12" outlineLevel="2">
      <c r="B1003" s="35">
        <f t="shared" si="31"/>
        <v>539</v>
      </c>
      <c r="C1003" s="41" t="s">
        <v>175</v>
      </c>
      <c r="D1003" s="41" t="s">
        <v>196</v>
      </c>
      <c r="E1003" s="216">
        <v>343183</v>
      </c>
      <c r="F1003" s="228" t="s">
        <v>172</v>
      </c>
      <c r="G1003" s="223">
        <v>38565</v>
      </c>
      <c r="H1003" s="41"/>
      <c r="I1003" s="211">
        <v>44978</v>
      </c>
      <c r="J1003" s="41"/>
      <c r="K1003" s="241">
        <v>3</v>
      </c>
      <c r="L1003" s="120">
        <v>19072</v>
      </c>
    </row>
    <row r="1004" spans="2:12" outlineLevel="2">
      <c r="B1004" s="35">
        <f t="shared" si="31"/>
        <v>540</v>
      </c>
      <c r="C1004" s="41" t="s">
        <v>175</v>
      </c>
      <c r="D1004" s="41" t="s">
        <v>196</v>
      </c>
      <c r="E1004" s="216">
        <v>241307</v>
      </c>
      <c r="F1004" s="228" t="s">
        <v>172</v>
      </c>
      <c r="G1004" s="223">
        <v>40848</v>
      </c>
      <c r="H1004" s="41"/>
      <c r="I1004" s="211">
        <v>44980</v>
      </c>
      <c r="J1004" s="41"/>
      <c r="K1004" s="241">
        <v>21</v>
      </c>
      <c r="L1004" s="120">
        <v>19073</v>
      </c>
    </row>
    <row r="1005" spans="2:12" outlineLevel="2">
      <c r="B1005" s="35">
        <f t="shared" si="31"/>
        <v>541</v>
      </c>
      <c r="C1005" s="41" t="s">
        <v>175</v>
      </c>
      <c r="D1005" s="41" t="s">
        <v>196</v>
      </c>
      <c r="E1005" s="216">
        <v>8529559</v>
      </c>
      <c r="F1005" s="228" t="s">
        <v>172</v>
      </c>
      <c r="G1005" s="223">
        <v>31048</v>
      </c>
      <c r="H1005" s="41"/>
      <c r="I1005" s="211">
        <v>44994</v>
      </c>
      <c r="J1005" s="41"/>
      <c r="K1005" s="241">
        <v>29</v>
      </c>
      <c r="L1005" s="120">
        <v>19074</v>
      </c>
    </row>
    <row r="1006" spans="2:12" outlineLevel="2">
      <c r="B1006" s="35">
        <f t="shared" si="31"/>
        <v>542</v>
      </c>
      <c r="C1006" s="41" t="s">
        <v>175</v>
      </c>
      <c r="D1006" s="41" t="s">
        <v>196</v>
      </c>
      <c r="E1006" s="216">
        <v>245060</v>
      </c>
      <c r="F1006" s="228" t="s">
        <v>172</v>
      </c>
      <c r="G1006" s="224">
        <v>40909</v>
      </c>
      <c r="H1006" s="41"/>
      <c r="I1006" s="212">
        <v>45007</v>
      </c>
      <c r="J1006" s="41"/>
      <c r="K1006" s="120">
        <v>30</v>
      </c>
      <c r="L1006" s="120">
        <v>19082</v>
      </c>
    </row>
    <row r="1007" spans="2:12" outlineLevel="2">
      <c r="B1007" s="35">
        <f t="shared" si="31"/>
        <v>543</v>
      </c>
      <c r="C1007" s="41" t="s">
        <v>175</v>
      </c>
      <c r="D1007" s="41" t="s">
        <v>196</v>
      </c>
      <c r="E1007" s="216">
        <v>114279</v>
      </c>
      <c r="F1007" s="228" t="s">
        <v>172</v>
      </c>
      <c r="G1007" s="224">
        <v>36647</v>
      </c>
      <c r="H1007" s="41"/>
      <c r="I1007" s="212">
        <v>44978</v>
      </c>
      <c r="J1007" s="41"/>
      <c r="K1007" s="120">
        <v>5</v>
      </c>
      <c r="L1007" s="120">
        <v>19088</v>
      </c>
    </row>
    <row r="1008" spans="2:12" outlineLevel="2">
      <c r="B1008" s="35">
        <f t="shared" si="31"/>
        <v>544</v>
      </c>
      <c r="C1008" s="41" t="s">
        <v>175</v>
      </c>
      <c r="D1008" s="41" t="s">
        <v>196</v>
      </c>
      <c r="E1008" s="216">
        <v>87918</v>
      </c>
      <c r="F1008" s="216" t="s">
        <v>172</v>
      </c>
      <c r="G1008" s="223">
        <v>41244</v>
      </c>
      <c r="H1008" s="41"/>
      <c r="I1008" s="212">
        <v>44994</v>
      </c>
      <c r="J1008" s="41"/>
      <c r="K1008" s="120">
        <v>24</v>
      </c>
      <c r="L1008" s="120">
        <v>19095</v>
      </c>
    </row>
    <row r="1009" spans="2:12" outlineLevel="2">
      <c r="B1009" s="35">
        <f t="shared" si="31"/>
        <v>545</v>
      </c>
      <c r="C1009" s="41" t="s">
        <v>175</v>
      </c>
      <c r="D1009" s="41" t="s">
        <v>196</v>
      </c>
      <c r="E1009" s="216">
        <v>24081</v>
      </c>
      <c r="F1009" s="216" t="s">
        <v>172</v>
      </c>
      <c r="G1009" s="223">
        <v>37316</v>
      </c>
      <c r="H1009" s="41"/>
      <c r="I1009" s="212">
        <v>44994</v>
      </c>
      <c r="J1009" s="41"/>
      <c r="K1009" s="120">
        <v>28</v>
      </c>
      <c r="L1009" s="120">
        <v>19099</v>
      </c>
    </row>
    <row r="1010" spans="2:12" outlineLevel="2">
      <c r="B1010" s="35">
        <f t="shared" si="31"/>
        <v>546</v>
      </c>
      <c r="C1010" s="41" t="s">
        <v>175</v>
      </c>
      <c r="D1010" s="41" t="s">
        <v>196</v>
      </c>
      <c r="E1010" s="209">
        <v>97042129</v>
      </c>
      <c r="F1010" s="216" t="s">
        <v>172</v>
      </c>
      <c r="G1010" s="226">
        <v>35551</v>
      </c>
      <c r="H1010" s="41"/>
      <c r="I1010" s="212">
        <v>45175</v>
      </c>
      <c r="J1010" s="41"/>
      <c r="K1010" s="120">
        <v>32</v>
      </c>
      <c r="L1010" s="242">
        <v>26904</v>
      </c>
    </row>
    <row r="1011" spans="2:12" outlineLevel="2">
      <c r="B1011" s="35">
        <f t="shared" si="31"/>
        <v>547</v>
      </c>
      <c r="C1011" s="41" t="s">
        <v>175</v>
      </c>
      <c r="D1011" s="41" t="s">
        <v>196</v>
      </c>
      <c r="E1011" s="216">
        <v>171100</v>
      </c>
      <c r="F1011" s="216" t="s">
        <v>172</v>
      </c>
      <c r="G1011" s="223">
        <v>40148</v>
      </c>
      <c r="H1011" s="41"/>
      <c r="I1011" s="212">
        <v>45007</v>
      </c>
      <c r="J1011" s="41"/>
      <c r="K1011" s="120">
        <v>6</v>
      </c>
      <c r="L1011" s="120">
        <v>19109</v>
      </c>
    </row>
    <row r="1012" spans="2:12" outlineLevel="2">
      <c r="B1012" s="35">
        <f t="shared" si="31"/>
        <v>548</v>
      </c>
      <c r="C1012" s="41" t="s">
        <v>175</v>
      </c>
      <c r="D1012" s="41" t="s">
        <v>196</v>
      </c>
      <c r="E1012" s="216" t="s">
        <v>455</v>
      </c>
      <c r="F1012" s="216" t="s">
        <v>172</v>
      </c>
      <c r="G1012" s="223">
        <v>37926</v>
      </c>
      <c r="H1012" s="41"/>
      <c r="I1012" s="212">
        <v>45007</v>
      </c>
      <c r="J1012" s="41"/>
      <c r="K1012" s="120">
        <v>44</v>
      </c>
      <c r="L1012" s="120">
        <v>19110</v>
      </c>
    </row>
    <row r="1013" spans="2:12" outlineLevel="2">
      <c r="B1013" s="35">
        <f t="shared" si="31"/>
        <v>549</v>
      </c>
      <c r="C1013" s="41" t="s">
        <v>175</v>
      </c>
      <c r="D1013" s="41" t="s">
        <v>196</v>
      </c>
      <c r="E1013" s="216">
        <v>9326569</v>
      </c>
      <c r="F1013" s="216" t="s">
        <v>172</v>
      </c>
      <c r="G1013" s="223">
        <v>34090</v>
      </c>
      <c r="H1013" s="41"/>
      <c r="I1013" s="212">
        <v>44994</v>
      </c>
      <c r="J1013" s="41"/>
      <c r="K1013" s="120">
        <v>41</v>
      </c>
      <c r="L1013" s="120">
        <v>19114</v>
      </c>
    </row>
    <row r="1014" spans="2:12" outlineLevel="2">
      <c r="B1014" s="35">
        <f t="shared" si="31"/>
        <v>550</v>
      </c>
      <c r="C1014" s="41" t="s">
        <v>175</v>
      </c>
      <c r="D1014" s="41" t="s">
        <v>196</v>
      </c>
      <c r="E1014" s="216">
        <v>245114</v>
      </c>
      <c r="F1014" s="216" t="s">
        <v>172</v>
      </c>
      <c r="G1014" s="223">
        <v>40909</v>
      </c>
      <c r="H1014" s="41"/>
      <c r="I1014" s="212">
        <v>44978</v>
      </c>
      <c r="J1014" s="41"/>
      <c r="K1014" s="120">
        <v>28</v>
      </c>
      <c r="L1014" s="120">
        <v>19115</v>
      </c>
    </row>
    <row r="1015" spans="2:12" outlineLevel="2">
      <c r="B1015" s="35">
        <f t="shared" si="31"/>
        <v>551</v>
      </c>
      <c r="C1015" s="41" t="s">
        <v>175</v>
      </c>
      <c r="D1015" s="41" t="s">
        <v>196</v>
      </c>
      <c r="E1015" s="216">
        <v>26220</v>
      </c>
      <c r="F1015" s="216" t="s">
        <v>172</v>
      </c>
      <c r="G1015" s="223">
        <v>33635</v>
      </c>
      <c r="H1015" s="41"/>
      <c r="I1015" s="212">
        <v>45007</v>
      </c>
      <c r="J1015" s="41"/>
      <c r="K1015" s="120">
        <v>24</v>
      </c>
      <c r="L1015" s="120">
        <v>19120</v>
      </c>
    </row>
    <row r="1016" spans="2:12" outlineLevel="2">
      <c r="B1016" s="35">
        <f t="shared" si="31"/>
        <v>552</v>
      </c>
      <c r="C1016" s="41" t="s">
        <v>175</v>
      </c>
      <c r="D1016" s="41" t="s">
        <v>196</v>
      </c>
      <c r="E1016" s="216">
        <v>173191</v>
      </c>
      <c r="F1016" s="216" t="s">
        <v>172</v>
      </c>
      <c r="G1016" s="224">
        <v>40210</v>
      </c>
      <c r="H1016" s="41"/>
      <c r="I1016" s="212">
        <v>44978</v>
      </c>
      <c r="J1016" s="41"/>
      <c r="K1016" s="120">
        <v>6</v>
      </c>
      <c r="L1016" s="120">
        <v>19148</v>
      </c>
    </row>
    <row r="1017" spans="2:12" outlineLevel="2">
      <c r="B1017" s="35">
        <f t="shared" si="31"/>
        <v>553</v>
      </c>
      <c r="C1017" s="41" t="s">
        <v>175</v>
      </c>
      <c r="D1017" s="41" t="s">
        <v>196</v>
      </c>
      <c r="E1017" s="216">
        <v>249699</v>
      </c>
      <c r="F1017" s="216" t="s">
        <v>172</v>
      </c>
      <c r="G1017" s="224">
        <v>41000</v>
      </c>
      <c r="H1017" s="41"/>
      <c r="I1017" s="212">
        <v>45007</v>
      </c>
      <c r="J1017" s="41"/>
      <c r="K1017" s="120">
        <v>4</v>
      </c>
      <c r="L1017" s="120">
        <v>19152</v>
      </c>
    </row>
    <row r="1018" spans="2:12" outlineLevel="2">
      <c r="B1018" s="35">
        <f t="shared" ref="B1018:B1049" si="32">(B1017+1)</f>
        <v>554</v>
      </c>
      <c r="C1018" s="41" t="s">
        <v>175</v>
      </c>
      <c r="D1018" s="41" t="s">
        <v>196</v>
      </c>
      <c r="E1018" s="216">
        <v>411585</v>
      </c>
      <c r="F1018" s="216" t="s">
        <v>172</v>
      </c>
      <c r="G1018" s="224">
        <v>42795</v>
      </c>
      <c r="H1018" s="41"/>
      <c r="I1018" s="212">
        <v>44978</v>
      </c>
      <c r="J1018" s="41"/>
      <c r="K1018" s="120">
        <v>3</v>
      </c>
      <c r="L1018" s="120">
        <v>19154</v>
      </c>
    </row>
    <row r="1019" spans="2:12" outlineLevel="2">
      <c r="B1019" s="35">
        <f t="shared" si="32"/>
        <v>555</v>
      </c>
      <c r="C1019" s="41" t="s">
        <v>175</v>
      </c>
      <c r="D1019" s="41" t="s">
        <v>196</v>
      </c>
      <c r="E1019" s="216">
        <v>232928</v>
      </c>
      <c r="F1019" s="216" t="s">
        <v>172</v>
      </c>
      <c r="G1019" s="224">
        <v>40756</v>
      </c>
      <c r="H1019" s="41"/>
      <c r="I1019" s="212">
        <v>45007</v>
      </c>
      <c r="J1019" s="41"/>
      <c r="K1019" s="120">
        <v>3</v>
      </c>
      <c r="L1019" s="120">
        <v>19158</v>
      </c>
    </row>
    <row r="1020" spans="2:12" outlineLevel="2">
      <c r="B1020" s="35">
        <f t="shared" si="32"/>
        <v>556</v>
      </c>
      <c r="C1020" s="41" t="s">
        <v>175</v>
      </c>
      <c r="D1020" s="41" t="s">
        <v>196</v>
      </c>
      <c r="E1020" s="216" t="s">
        <v>456</v>
      </c>
      <c r="F1020" s="216" t="s">
        <v>172</v>
      </c>
      <c r="G1020" s="224">
        <v>2007</v>
      </c>
      <c r="H1020" s="41"/>
      <c r="I1020" s="212">
        <v>44995</v>
      </c>
      <c r="J1020" s="41"/>
      <c r="K1020" s="120">
        <v>24</v>
      </c>
      <c r="L1020" s="120">
        <v>19159</v>
      </c>
    </row>
    <row r="1021" spans="2:12" outlineLevel="2">
      <c r="B1021" s="35">
        <f t="shared" si="32"/>
        <v>557</v>
      </c>
      <c r="C1021" s="41" t="s">
        <v>175</v>
      </c>
      <c r="D1021" s="41" t="s">
        <v>196</v>
      </c>
      <c r="E1021" s="216" t="s">
        <v>457</v>
      </c>
      <c r="F1021" s="216" t="s">
        <v>172</v>
      </c>
      <c r="G1021" s="224">
        <v>39234</v>
      </c>
      <c r="H1021" s="41"/>
      <c r="I1021" s="212">
        <v>44995</v>
      </c>
      <c r="J1021" s="41"/>
      <c r="K1021" s="120">
        <v>18</v>
      </c>
      <c r="L1021" s="120">
        <v>19161</v>
      </c>
    </row>
    <row r="1022" spans="2:12" outlineLevel="2">
      <c r="B1022" s="35">
        <f t="shared" si="32"/>
        <v>558</v>
      </c>
      <c r="C1022" s="41" t="s">
        <v>175</v>
      </c>
      <c r="D1022" s="41" t="s">
        <v>196</v>
      </c>
      <c r="E1022" s="216">
        <v>31513</v>
      </c>
      <c r="F1022" s="216" t="s">
        <v>172</v>
      </c>
      <c r="G1022" s="224">
        <v>42064</v>
      </c>
      <c r="H1022" s="41"/>
      <c r="I1022" s="212">
        <v>44995</v>
      </c>
      <c r="J1022" s="41"/>
      <c r="K1022" s="120">
        <v>37</v>
      </c>
      <c r="L1022" s="120">
        <v>19166</v>
      </c>
    </row>
    <row r="1023" spans="2:12" outlineLevel="2">
      <c r="B1023" s="35">
        <f t="shared" si="32"/>
        <v>559</v>
      </c>
      <c r="C1023" s="41" t="s">
        <v>175</v>
      </c>
      <c r="D1023" s="41" t="s">
        <v>196</v>
      </c>
      <c r="E1023" s="216">
        <v>33208</v>
      </c>
      <c r="F1023" s="216" t="s">
        <v>172</v>
      </c>
      <c r="G1023" s="224">
        <v>1996</v>
      </c>
      <c r="H1023" s="41"/>
      <c r="I1023" s="212">
        <v>44995</v>
      </c>
      <c r="J1023" s="41"/>
      <c r="K1023" s="120">
        <v>21</v>
      </c>
      <c r="L1023" s="120">
        <v>19167</v>
      </c>
    </row>
    <row r="1024" spans="2:12" outlineLevel="2">
      <c r="B1024" s="35">
        <f t="shared" si="32"/>
        <v>560</v>
      </c>
      <c r="C1024" s="41" t="s">
        <v>175</v>
      </c>
      <c r="D1024" s="41" t="s">
        <v>196</v>
      </c>
      <c r="E1024" s="216">
        <v>97092841</v>
      </c>
      <c r="F1024" s="216" t="s">
        <v>172</v>
      </c>
      <c r="G1024" s="224">
        <v>35704</v>
      </c>
      <c r="H1024" s="41"/>
      <c r="I1024" s="212">
        <v>44987</v>
      </c>
      <c r="J1024" s="41"/>
      <c r="K1024" s="120">
        <v>12</v>
      </c>
      <c r="L1024" s="120">
        <v>19177</v>
      </c>
    </row>
    <row r="1025" spans="2:12" outlineLevel="2">
      <c r="B1025" s="35">
        <f t="shared" si="32"/>
        <v>561</v>
      </c>
      <c r="C1025" s="41" t="s">
        <v>175</v>
      </c>
      <c r="D1025" s="41" t="s">
        <v>196</v>
      </c>
      <c r="E1025" s="216">
        <v>24417</v>
      </c>
      <c r="F1025" s="216" t="s">
        <v>172</v>
      </c>
      <c r="G1025" s="224">
        <v>37316</v>
      </c>
      <c r="H1025" s="41"/>
      <c r="I1025" s="212">
        <v>44981</v>
      </c>
      <c r="J1025" s="41"/>
      <c r="K1025" s="120">
        <v>11</v>
      </c>
      <c r="L1025" s="120">
        <v>19178</v>
      </c>
    </row>
    <row r="1026" spans="2:12" outlineLevel="2">
      <c r="B1026" s="35">
        <f t="shared" si="32"/>
        <v>562</v>
      </c>
      <c r="C1026" s="41" t="s">
        <v>175</v>
      </c>
      <c r="D1026" s="41" t="s">
        <v>196</v>
      </c>
      <c r="E1026" s="216">
        <v>152459</v>
      </c>
      <c r="F1026" s="216" t="s">
        <v>172</v>
      </c>
      <c r="G1026" s="224">
        <v>1993</v>
      </c>
      <c r="H1026" s="41"/>
      <c r="I1026" s="212">
        <v>44995</v>
      </c>
      <c r="J1026" s="41"/>
      <c r="K1026" s="120">
        <v>27</v>
      </c>
      <c r="L1026" s="120">
        <v>19180</v>
      </c>
    </row>
    <row r="1027" spans="2:12" outlineLevel="2">
      <c r="B1027" s="35">
        <f t="shared" si="32"/>
        <v>563</v>
      </c>
      <c r="C1027" s="41" t="s">
        <v>175</v>
      </c>
      <c r="D1027" s="41" t="s">
        <v>196</v>
      </c>
      <c r="E1027" s="216">
        <v>13081</v>
      </c>
      <c r="F1027" s="216" t="s">
        <v>172</v>
      </c>
      <c r="G1027" s="224">
        <v>39083</v>
      </c>
      <c r="H1027" s="41"/>
      <c r="I1027" s="212">
        <v>44984</v>
      </c>
      <c r="J1027" s="41"/>
      <c r="K1027" s="120">
        <v>33</v>
      </c>
      <c r="L1027" s="120">
        <v>19193</v>
      </c>
    </row>
    <row r="1028" spans="2:12" outlineLevel="2">
      <c r="B1028" s="35">
        <f t="shared" si="32"/>
        <v>564</v>
      </c>
      <c r="C1028" s="41" t="s">
        <v>175</v>
      </c>
      <c r="D1028" s="41" t="s">
        <v>196</v>
      </c>
      <c r="E1028" s="216">
        <v>58695</v>
      </c>
      <c r="F1028" s="216" t="s">
        <v>172</v>
      </c>
      <c r="G1028" s="224">
        <v>34943</v>
      </c>
      <c r="H1028" s="41"/>
      <c r="I1028" s="212">
        <v>44980</v>
      </c>
      <c r="J1028" s="41"/>
      <c r="K1028" s="120">
        <v>3</v>
      </c>
      <c r="L1028" s="120">
        <v>19194</v>
      </c>
    </row>
    <row r="1029" spans="2:12" outlineLevel="2">
      <c r="B1029" s="35">
        <f t="shared" si="32"/>
        <v>565</v>
      </c>
      <c r="C1029" s="41" t="s">
        <v>175</v>
      </c>
      <c r="D1029" s="41" t="s">
        <v>196</v>
      </c>
      <c r="E1029" s="216">
        <v>8514943</v>
      </c>
      <c r="F1029" s="216" t="s">
        <v>172</v>
      </c>
      <c r="G1029" s="224">
        <v>1985</v>
      </c>
      <c r="H1029" s="41"/>
      <c r="I1029" s="212">
        <v>44995</v>
      </c>
      <c r="J1029" s="41"/>
      <c r="K1029" s="120">
        <v>31</v>
      </c>
      <c r="L1029" s="120">
        <v>19195</v>
      </c>
    </row>
    <row r="1030" spans="2:12" outlineLevel="2">
      <c r="B1030" s="35">
        <f t="shared" si="32"/>
        <v>566</v>
      </c>
      <c r="C1030" s="41" t="s">
        <v>175</v>
      </c>
      <c r="D1030" s="41" t="s">
        <v>196</v>
      </c>
      <c r="E1030" s="216">
        <v>151311</v>
      </c>
      <c r="F1030" s="216" t="s">
        <v>172</v>
      </c>
      <c r="G1030" s="224">
        <v>36495</v>
      </c>
      <c r="H1030" s="41"/>
      <c r="I1030" s="212">
        <v>44981</v>
      </c>
      <c r="J1030" s="41"/>
      <c r="K1030" s="120">
        <v>5</v>
      </c>
      <c r="L1030" s="120">
        <v>19200</v>
      </c>
    </row>
    <row r="1031" spans="2:12" outlineLevel="2">
      <c r="B1031" s="35">
        <f t="shared" si="32"/>
        <v>567</v>
      </c>
      <c r="C1031" s="41" t="s">
        <v>175</v>
      </c>
      <c r="D1031" s="41" t="s">
        <v>196</v>
      </c>
      <c r="E1031" s="216">
        <v>6882</v>
      </c>
      <c r="F1031" s="216" t="s">
        <v>172</v>
      </c>
      <c r="G1031" s="224">
        <v>36770</v>
      </c>
      <c r="H1031" s="41"/>
      <c r="I1031" s="212">
        <v>44984</v>
      </c>
      <c r="J1031" s="41"/>
      <c r="K1031" s="120">
        <v>28</v>
      </c>
      <c r="L1031" s="120">
        <v>19201</v>
      </c>
    </row>
    <row r="1032" spans="2:12" outlineLevel="2">
      <c r="B1032" s="35">
        <f t="shared" si="32"/>
        <v>568</v>
      </c>
      <c r="C1032" s="41" t="s">
        <v>175</v>
      </c>
      <c r="D1032" s="41" t="s">
        <v>196</v>
      </c>
      <c r="E1032" s="216">
        <v>162768</v>
      </c>
      <c r="F1032" s="216" t="s">
        <v>172</v>
      </c>
      <c r="G1032" s="224">
        <v>40026</v>
      </c>
      <c r="H1032" s="41"/>
      <c r="I1032" s="212">
        <v>44981</v>
      </c>
      <c r="J1032" s="41"/>
      <c r="K1032" s="120">
        <v>4</v>
      </c>
      <c r="L1032" s="120">
        <v>19202</v>
      </c>
    </row>
    <row r="1033" spans="2:12" outlineLevel="2">
      <c r="B1033" s="35">
        <f t="shared" si="32"/>
        <v>569</v>
      </c>
      <c r="C1033" s="41" t="s">
        <v>175</v>
      </c>
      <c r="D1033" s="41" t="s">
        <v>196</v>
      </c>
      <c r="E1033" s="216">
        <v>249102</v>
      </c>
      <c r="F1033" s="216" t="s">
        <v>172</v>
      </c>
      <c r="G1033" s="224">
        <v>40969</v>
      </c>
      <c r="H1033" s="41"/>
      <c r="I1033" s="212">
        <v>44980</v>
      </c>
      <c r="J1033" s="41"/>
      <c r="K1033" s="120">
        <v>8</v>
      </c>
      <c r="L1033" s="120">
        <v>19204</v>
      </c>
    </row>
    <row r="1034" spans="2:12" outlineLevel="2">
      <c r="B1034" s="35">
        <f t="shared" si="32"/>
        <v>570</v>
      </c>
      <c r="C1034" s="41" t="s">
        <v>175</v>
      </c>
      <c r="D1034" s="41" t="s">
        <v>196</v>
      </c>
      <c r="E1034" s="216">
        <v>5852</v>
      </c>
      <c r="F1034" s="216" t="s">
        <v>172</v>
      </c>
      <c r="G1034" s="224">
        <v>36586</v>
      </c>
      <c r="H1034" s="41"/>
      <c r="I1034" s="212">
        <v>44984</v>
      </c>
      <c r="J1034" s="41"/>
      <c r="K1034" s="120">
        <v>45</v>
      </c>
      <c r="L1034" s="120">
        <v>19215</v>
      </c>
    </row>
    <row r="1035" spans="2:12" outlineLevel="2">
      <c r="B1035" s="35">
        <f t="shared" si="32"/>
        <v>571</v>
      </c>
      <c r="C1035" s="41" t="s">
        <v>175</v>
      </c>
      <c r="D1035" s="41" t="s">
        <v>196</v>
      </c>
      <c r="E1035" s="216">
        <v>274635</v>
      </c>
      <c r="F1035" s="216" t="s">
        <v>172</v>
      </c>
      <c r="G1035" s="224">
        <v>36373</v>
      </c>
      <c r="H1035" s="41"/>
      <c r="I1035" s="212">
        <v>44987</v>
      </c>
      <c r="J1035" s="41"/>
      <c r="K1035" s="120">
        <v>17</v>
      </c>
      <c r="L1035" s="120">
        <v>19219</v>
      </c>
    </row>
    <row r="1036" spans="2:12" outlineLevel="2">
      <c r="B1036" s="35">
        <f t="shared" si="32"/>
        <v>572</v>
      </c>
      <c r="C1036" s="41" t="s">
        <v>175</v>
      </c>
      <c r="D1036" s="41" t="s">
        <v>196</v>
      </c>
      <c r="E1036" s="216">
        <v>993988</v>
      </c>
      <c r="F1036" s="216" t="s">
        <v>172</v>
      </c>
      <c r="G1036" s="224">
        <v>36251</v>
      </c>
      <c r="H1036" s="41"/>
      <c r="I1036" s="212">
        <v>44984</v>
      </c>
      <c r="J1036" s="41"/>
      <c r="K1036" s="120">
        <v>41</v>
      </c>
      <c r="L1036" s="120">
        <v>19222</v>
      </c>
    </row>
    <row r="1037" spans="2:12" outlineLevel="2">
      <c r="B1037" s="35">
        <f t="shared" si="32"/>
        <v>573</v>
      </c>
      <c r="C1037" s="41" t="s">
        <v>175</v>
      </c>
      <c r="D1037" s="41" t="s">
        <v>196</v>
      </c>
      <c r="E1037" s="216" t="s">
        <v>458</v>
      </c>
      <c r="F1037" s="216" t="s">
        <v>172</v>
      </c>
      <c r="G1037" s="224">
        <v>37987</v>
      </c>
      <c r="H1037" s="41"/>
      <c r="I1037" s="212">
        <v>44995</v>
      </c>
      <c r="J1037" s="41"/>
      <c r="K1037" s="120">
        <v>38</v>
      </c>
      <c r="L1037" s="120">
        <v>19225</v>
      </c>
    </row>
    <row r="1038" spans="2:12" outlineLevel="2">
      <c r="B1038" s="35">
        <f t="shared" si="32"/>
        <v>574</v>
      </c>
      <c r="C1038" s="41" t="s">
        <v>175</v>
      </c>
      <c r="D1038" s="41" t="s">
        <v>196</v>
      </c>
      <c r="E1038" s="216">
        <v>429820</v>
      </c>
      <c r="F1038" s="216" t="s">
        <v>172</v>
      </c>
      <c r="G1038" s="224">
        <v>38961</v>
      </c>
      <c r="H1038" s="41"/>
      <c r="I1038" s="212">
        <v>44984</v>
      </c>
      <c r="J1038" s="41"/>
      <c r="K1038" s="120">
        <v>37</v>
      </c>
      <c r="L1038" s="120">
        <v>19229</v>
      </c>
    </row>
    <row r="1039" spans="2:12" outlineLevel="2">
      <c r="B1039" s="35">
        <f t="shared" si="32"/>
        <v>575</v>
      </c>
      <c r="C1039" s="41" t="s">
        <v>175</v>
      </c>
      <c r="D1039" s="41" t="s">
        <v>196</v>
      </c>
      <c r="E1039" s="216">
        <v>31764</v>
      </c>
      <c r="F1039" s="216" t="s">
        <v>172</v>
      </c>
      <c r="G1039" s="224">
        <v>37681</v>
      </c>
      <c r="H1039" s="41"/>
      <c r="I1039" s="212">
        <v>44987</v>
      </c>
      <c r="J1039" s="41"/>
      <c r="K1039" s="120">
        <v>7</v>
      </c>
      <c r="L1039" s="120">
        <v>19230</v>
      </c>
    </row>
    <row r="1040" spans="2:12" outlineLevel="2">
      <c r="B1040" s="35">
        <f t="shared" si="32"/>
        <v>576</v>
      </c>
      <c r="C1040" s="41" t="s">
        <v>175</v>
      </c>
      <c r="D1040" s="41" t="s">
        <v>196</v>
      </c>
      <c r="E1040" s="216">
        <v>6687</v>
      </c>
      <c r="F1040" s="216" t="s">
        <v>172</v>
      </c>
      <c r="G1040" s="224">
        <v>37865</v>
      </c>
      <c r="H1040" s="41"/>
      <c r="I1040" s="212">
        <v>44987</v>
      </c>
      <c r="J1040" s="41"/>
      <c r="K1040" s="120">
        <v>42</v>
      </c>
      <c r="L1040" s="120">
        <v>19235</v>
      </c>
    </row>
    <row r="1041" spans="2:12" outlineLevel="2">
      <c r="B1041" s="35">
        <f t="shared" si="32"/>
        <v>577</v>
      </c>
      <c r="C1041" s="41" t="s">
        <v>175</v>
      </c>
      <c r="D1041" s="41" t="s">
        <v>196</v>
      </c>
      <c r="E1041" s="216">
        <v>171526</v>
      </c>
      <c r="F1041" s="216" t="s">
        <v>172</v>
      </c>
      <c r="G1041" s="224">
        <v>40148</v>
      </c>
      <c r="H1041" s="41"/>
      <c r="I1041" s="212">
        <v>44978</v>
      </c>
      <c r="J1041" s="41"/>
      <c r="K1041" s="120">
        <v>4</v>
      </c>
      <c r="L1041" s="120">
        <v>19242</v>
      </c>
    </row>
    <row r="1042" spans="2:12" outlineLevel="2">
      <c r="B1042" s="35">
        <f t="shared" si="32"/>
        <v>578</v>
      </c>
      <c r="C1042" s="41" t="s">
        <v>175</v>
      </c>
      <c r="D1042" s="41" t="s">
        <v>196</v>
      </c>
      <c r="E1042" s="216">
        <v>184756</v>
      </c>
      <c r="F1042" s="216" t="s">
        <v>172</v>
      </c>
      <c r="G1042" s="224">
        <v>40269</v>
      </c>
      <c r="H1042" s="41"/>
      <c r="I1042" s="212">
        <v>45007</v>
      </c>
      <c r="J1042" s="41"/>
      <c r="K1042" s="120">
        <v>9</v>
      </c>
      <c r="L1042" s="120">
        <v>19246</v>
      </c>
    </row>
    <row r="1043" spans="2:12" outlineLevel="2">
      <c r="B1043" s="35">
        <f t="shared" si="32"/>
        <v>579</v>
      </c>
      <c r="C1043" s="41" t="s">
        <v>175</v>
      </c>
      <c r="D1043" s="41" t="s">
        <v>196</v>
      </c>
      <c r="E1043" s="216">
        <v>597638</v>
      </c>
      <c r="F1043" s="216" t="s">
        <v>172</v>
      </c>
      <c r="G1043" s="224">
        <v>39965</v>
      </c>
      <c r="H1043" s="41"/>
      <c r="I1043" s="212">
        <v>44980</v>
      </c>
      <c r="J1043" s="41"/>
      <c r="K1043" s="120">
        <v>7</v>
      </c>
      <c r="L1043" s="120">
        <v>19247</v>
      </c>
    </row>
    <row r="1044" spans="2:12" outlineLevel="2">
      <c r="B1044" s="35">
        <f t="shared" si="32"/>
        <v>580</v>
      </c>
      <c r="C1044" s="41" t="s">
        <v>175</v>
      </c>
      <c r="D1044" s="41" t="s">
        <v>196</v>
      </c>
      <c r="E1044" s="216" t="s">
        <v>459</v>
      </c>
      <c r="F1044" s="216" t="s">
        <v>172</v>
      </c>
      <c r="G1044" s="224">
        <v>39600</v>
      </c>
      <c r="H1044" s="41"/>
      <c r="I1044" s="212">
        <v>45007</v>
      </c>
      <c r="J1044" s="41"/>
      <c r="K1044" s="120">
        <v>38</v>
      </c>
      <c r="L1044" s="120">
        <v>19248</v>
      </c>
    </row>
    <row r="1045" spans="2:12" outlineLevel="2">
      <c r="B1045" s="35">
        <f t="shared" si="32"/>
        <v>581</v>
      </c>
      <c r="C1045" s="41" t="s">
        <v>175</v>
      </c>
      <c r="D1045" s="41" t="s">
        <v>196</v>
      </c>
      <c r="E1045" s="216">
        <v>1203614</v>
      </c>
      <c r="F1045" s="228" t="s">
        <v>172</v>
      </c>
      <c r="G1045" s="223">
        <v>43525</v>
      </c>
      <c r="H1045" s="41"/>
      <c r="I1045" s="211">
        <v>45044</v>
      </c>
      <c r="J1045" s="41"/>
      <c r="K1045" s="241">
        <v>45</v>
      </c>
      <c r="L1045" s="120">
        <v>20724</v>
      </c>
    </row>
    <row r="1046" spans="2:12" outlineLevel="2">
      <c r="B1046" s="35">
        <f t="shared" si="32"/>
        <v>582</v>
      </c>
      <c r="C1046" s="41" t="s">
        <v>175</v>
      </c>
      <c r="D1046" s="41" t="s">
        <v>196</v>
      </c>
      <c r="E1046" s="217">
        <v>53901</v>
      </c>
      <c r="F1046" s="215" t="s">
        <v>172</v>
      </c>
      <c r="G1046" s="222">
        <v>34700</v>
      </c>
      <c r="H1046" s="41"/>
      <c r="I1046" s="211">
        <v>45048</v>
      </c>
      <c r="J1046" s="41"/>
      <c r="K1046" s="241">
        <v>21</v>
      </c>
      <c r="L1046" s="241">
        <v>20728</v>
      </c>
    </row>
    <row r="1047" spans="2:12" outlineLevel="2">
      <c r="B1047" s="35">
        <f t="shared" si="32"/>
        <v>583</v>
      </c>
      <c r="C1047" s="41" t="s">
        <v>175</v>
      </c>
      <c r="D1047" s="41" t="s">
        <v>196</v>
      </c>
      <c r="E1047" s="217">
        <v>68017</v>
      </c>
      <c r="F1047" s="215" t="s">
        <v>172</v>
      </c>
      <c r="G1047" s="222">
        <v>35217</v>
      </c>
      <c r="H1047" s="41"/>
      <c r="I1047" s="211">
        <v>45048</v>
      </c>
      <c r="J1047" s="41"/>
      <c r="K1047" s="241">
        <v>8</v>
      </c>
      <c r="L1047" s="241">
        <v>20734</v>
      </c>
    </row>
    <row r="1048" spans="2:12" outlineLevel="2">
      <c r="B1048" s="35">
        <f t="shared" si="32"/>
        <v>584</v>
      </c>
      <c r="C1048" s="41" t="s">
        <v>175</v>
      </c>
      <c r="D1048" s="41" t="s">
        <v>196</v>
      </c>
      <c r="E1048" s="217">
        <v>97042097</v>
      </c>
      <c r="F1048" s="215" t="s">
        <v>172</v>
      </c>
      <c r="G1048" s="222">
        <v>35551</v>
      </c>
      <c r="H1048" s="41"/>
      <c r="I1048" s="211">
        <v>45048</v>
      </c>
      <c r="J1048" s="41"/>
      <c r="K1048" s="241">
        <v>29</v>
      </c>
      <c r="L1048" s="241">
        <v>20751</v>
      </c>
    </row>
    <row r="1049" spans="2:12" outlineLevel="2">
      <c r="B1049" s="35">
        <f t="shared" si="32"/>
        <v>585</v>
      </c>
      <c r="C1049" s="41" t="s">
        <v>175</v>
      </c>
      <c r="D1049" s="41" t="s">
        <v>196</v>
      </c>
      <c r="E1049" s="217">
        <v>63086</v>
      </c>
      <c r="F1049" s="215" t="s">
        <v>172</v>
      </c>
      <c r="G1049" s="222">
        <v>35125</v>
      </c>
      <c r="H1049" s="41"/>
      <c r="I1049" s="211">
        <v>45048</v>
      </c>
      <c r="J1049" s="41"/>
      <c r="K1049" s="241">
        <v>8</v>
      </c>
      <c r="L1049" s="241">
        <v>20762</v>
      </c>
    </row>
    <row r="1050" spans="2:12" outlineLevel="2">
      <c r="B1050" s="35">
        <f t="shared" ref="B1050:B1081" si="33">(B1049+1)</f>
        <v>586</v>
      </c>
      <c r="C1050" s="41" t="s">
        <v>175</v>
      </c>
      <c r="D1050" s="41" t="s">
        <v>196</v>
      </c>
      <c r="E1050" s="216">
        <v>403467</v>
      </c>
      <c r="F1050" s="216">
        <v>214101</v>
      </c>
      <c r="G1050" s="224">
        <v>42614</v>
      </c>
      <c r="H1050" s="41"/>
      <c r="I1050" s="212">
        <v>45026</v>
      </c>
      <c r="J1050" s="41"/>
      <c r="K1050" s="248" t="s">
        <v>197</v>
      </c>
      <c r="L1050" s="120">
        <v>21126</v>
      </c>
    </row>
    <row r="1051" spans="2:12" outlineLevel="2">
      <c r="B1051" s="35">
        <f t="shared" si="33"/>
        <v>587</v>
      </c>
      <c r="C1051" s="41" t="s">
        <v>175</v>
      </c>
      <c r="D1051" s="41" t="s">
        <v>196</v>
      </c>
      <c r="E1051" s="216">
        <v>393159</v>
      </c>
      <c r="F1051" s="228">
        <v>214342</v>
      </c>
      <c r="G1051" s="223">
        <v>37803</v>
      </c>
      <c r="H1051" s="41"/>
      <c r="I1051" s="211">
        <v>45034</v>
      </c>
      <c r="J1051" s="41"/>
      <c r="K1051" s="248" t="s">
        <v>197</v>
      </c>
      <c r="L1051" s="120">
        <v>21331</v>
      </c>
    </row>
    <row r="1052" spans="2:12" outlineLevel="2">
      <c r="B1052" s="35">
        <f t="shared" si="33"/>
        <v>588</v>
      </c>
      <c r="C1052" s="41" t="s">
        <v>175</v>
      </c>
      <c r="D1052" s="41" t="s">
        <v>196</v>
      </c>
      <c r="E1052" s="216">
        <v>1229340</v>
      </c>
      <c r="F1052" s="228">
        <v>1229340</v>
      </c>
      <c r="G1052" s="223">
        <v>43922</v>
      </c>
      <c r="H1052" s="41"/>
      <c r="I1052" s="211">
        <v>45029</v>
      </c>
      <c r="J1052" s="41"/>
      <c r="K1052" s="248" t="s">
        <v>197</v>
      </c>
      <c r="L1052" s="120">
        <v>21333</v>
      </c>
    </row>
    <row r="1053" spans="2:12" outlineLevel="2">
      <c r="B1053" s="35">
        <f t="shared" si="33"/>
        <v>589</v>
      </c>
      <c r="C1053" s="41" t="s">
        <v>175</v>
      </c>
      <c r="D1053" s="41" t="s">
        <v>196</v>
      </c>
      <c r="E1053" s="216">
        <v>246349</v>
      </c>
      <c r="F1053" s="216" t="s">
        <v>172</v>
      </c>
      <c r="G1053" s="223">
        <v>37681</v>
      </c>
      <c r="H1053" s="41"/>
      <c r="I1053" s="212">
        <v>45042</v>
      </c>
      <c r="J1053" s="41"/>
      <c r="K1053" s="120">
        <v>12</v>
      </c>
      <c r="L1053" s="120">
        <v>21464</v>
      </c>
    </row>
    <row r="1054" spans="2:12" outlineLevel="2">
      <c r="B1054" s="35">
        <f t="shared" si="33"/>
        <v>590</v>
      </c>
      <c r="C1054" s="41" t="s">
        <v>175</v>
      </c>
      <c r="D1054" s="41" t="s">
        <v>196</v>
      </c>
      <c r="E1054" s="216">
        <v>35474</v>
      </c>
      <c r="F1054" s="216" t="s">
        <v>172</v>
      </c>
      <c r="G1054" s="224">
        <v>33025</v>
      </c>
      <c r="H1054" s="41"/>
      <c r="I1054" s="212">
        <v>45049</v>
      </c>
      <c r="J1054" s="41"/>
      <c r="K1054" s="120">
        <v>12</v>
      </c>
      <c r="L1054" s="120">
        <v>21530</v>
      </c>
    </row>
    <row r="1055" spans="2:12" outlineLevel="2">
      <c r="B1055" s="35">
        <f t="shared" si="33"/>
        <v>591</v>
      </c>
      <c r="C1055" s="41" t="s">
        <v>175</v>
      </c>
      <c r="D1055" s="41" t="s">
        <v>196</v>
      </c>
      <c r="E1055" s="216">
        <v>6666</v>
      </c>
      <c r="F1055" s="216" t="s">
        <v>172</v>
      </c>
      <c r="G1055" s="224">
        <v>36708</v>
      </c>
      <c r="H1055" s="41"/>
      <c r="I1055" s="212">
        <v>45049</v>
      </c>
      <c r="J1055" s="41"/>
      <c r="K1055" s="120">
        <v>29</v>
      </c>
      <c r="L1055" s="120">
        <v>21552</v>
      </c>
    </row>
    <row r="1056" spans="2:12" outlineLevel="2">
      <c r="B1056" s="35">
        <f t="shared" si="33"/>
        <v>592</v>
      </c>
      <c r="C1056" s="41" t="s">
        <v>175</v>
      </c>
      <c r="D1056" s="41" t="s">
        <v>196</v>
      </c>
      <c r="E1056" s="216">
        <v>217171</v>
      </c>
      <c r="F1056" s="216" t="s">
        <v>172</v>
      </c>
      <c r="G1056" s="224">
        <v>1998</v>
      </c>
      <c r="H1056" s="41"/>
      <c r="I1056" s="212">
        <v>45049</v>
      </c>
      <c r="J1056" s="41"/>
      <c r="K1056" s="120">
        <v>31</v>
      </c>
      <c r="L1056" s="120">
        <v>21563</v>
      </c>
    </row>
    <row r="1057" spans="2:12" outlineLevel="2">
      <c r="B1057" s="35">
        <f t="shared" si="33"/>
        <v>593</v>
      </c>
      <c r="C1057" s="41" t="s">
        <v>175</v>
      </c>
      <c r="D1057" s="41" t="s">
        <v>196</v>
      </c>
      <c r="E1057" s="216">
        <v>78178</v>
      </c>
      <c r="F1057" s="216" t="s">
        <v>172</v>
      </c>
      <c r="G1057" s="224">
        <v>35490</v>
      </c>
      <c r="H1057" s="41"/>
      <c r="I1057" s="212">
        <v>45049</v>
      </c>
      <c r="J1057" s="41"/>
      <c r="K1057" s="120">
        <v>12</v>
      </c>
      <c r="L1057" s="120">
        <v>21578</v>
      </c>
    </row>
    <row r="1058" spans="2:12" outlineLevel="2">
      <c r="B1058" s="35">
        <f t="shared" si="33"/>
        <v>594</v>
      </c>
      <c r="C1058" s="41" t="s">
        <v>175</v>
      </c>
      <c r="D1058" s="41" t="s">
        <v>196</v>
      </c>
      <c r="E1058" s="216">
        <v>120049</v>
      </c>
      <c r="F1058" s="216" t="s">
        <v>172</v>
      </c>
      <c r="G1058" s="224">
        <v>36069</v>
      </c>
      <c r="H1058" s="41"/>
      <c r="I1058" s="212">
        <v>45048</v>
      </c>
      <c r="J1058" s="41"/>
      <c r="K1058" s="120">
        <v>15</v>
      </c>
      <c r="L1058" s="120">
        <v>21582</v>
      </c>
    </row>
    <row r="1059" spans="2:12" outlineLevel="2">
      <c r="B1059" s="35">
        <f t="shared" si="33"/>
        <v>595</v>
      </c>
      <c r="C1059" s="41" t="s">
        <v>175</v>
      </c>
      <c r="D1059" s="41" t="s">
        <v>196</v>
      </c>
      <c r="E1059" s="216">
        <v>54696</v>
      </c>
      <c r="F1059" s="228" t="s">
        <v>172</v>
      </c>
      <c r="G1059" s="223">
        <v>31107</v>
      </c>
      <c r="H1059" s="41"/>
      <c r="I1059" s="211">
        <v>45050</v>
      </c>
      <c r="J1059" s="41"/>
      <c r="K1059" s="241">
        <v>21</v>
      </c>
      <c r="L1059" s="120">
        <v>21587</v>
      </c>
    </row>
    <row r="1060" spans="2:12" outlineLevel="2">
      <c r="B1060" s="35">
        <f t="shared" si="33"/>
        <v>596</v>
      </c>
      <c r="C1060" s="41" t="s">
        <v>175</v>
      </c>
      <c r="D1060" s="41" t="s">
        <v>196</v>
      </c>
      <c r="E1060" s="216">
        <v>56278</v>
      </c>
      <c r="F1060" s="228" t="s">
        <v>172</v>
      </c>
      <c r="G1060" s="223">
        <v>34851</v>
      </c>
      <c r="H1060" s="41"/>
      <c r="I1060" s="211">
        <v>45050</v>
      </c>
      <c r="J1060" s="41"/>
      <c r="K1060" s="241">
        <v>12</v>
      </c>
      <c r="L1060" s="120">
        <v>21594</v>
      </c>
    </row>
    <row r="1061" spans="2:12" outlineLevel="2">
      <c r="B1061" s="35">
        <f t="shared" si="33"/>
        <v>597</v>
      </c>
      <c r="C1061" s="41" t="s">
        <v>175</v>
      </c>
      <c r="D1061" s="41" t="s">
        <v>196</v>
      </c>
      <c r="E1061" s="216">
        <v>128260</v>
      </c>
      <c r="F1061" s="228" t="s">
        <v>172</v>
      </c>
      <c r="G1061" s="223">
        <v>36192</v>
      </c>
      <c r="H1061" s="41"/>
      <c r="I1061" s="211">
        <v>45034</v>
      </c>
      <c r="J1061" s="41"/>
      <c r="K1061" s="241">
        <v>10</v>
      </c>
      <c r="L1061" s="120">
        <v>21595</v>
      </c>
    </row>
    <row r="1062" spans="2:12" outlineLevel="2">
      <c r="B1062" s="35">
        <f t="shared" si="33"/>
        <v>598</v>
      </c>
      <c r="C1062" s="41" t="s">
        <v>175</v>
      </c>
      <c r="D1062" s="41" t="s">
        <v>196</v>
      </c>
      <c r="E1062" s="216">
        <v>393160</v>
      </c>
      <c r="F1062" s="228" t="s">
        <v>172</v>
      </c>
      <c r="G1062" s="223">
        <v>38838</v>
      </c>
      <c r="H1062" s="41"/>
      <c r="I1062" s="211">
        <v>45044</v>
      </c>
      <c r="J1062" s="41"/>
      <c r="K1062" s="248" t="s">
        <v>197</v>
      </c>
      <c r="L1062" s="120">
        <v>21602</v>
      </c>
    </row>
    <row r="1063" spans="2:12" outlineLevel="2">
      <c r="B1063" s="35">
        <f t="shared" si="33"/>
        <v>599</v>
      </c>
      <c r="C1063" s="41" t="s">
        <v>175</v>
      </c>
      <c r="D1063" s="41" t="s">
        <v>196</v>
      </c>
      <c r="E1063" s="216">
        <v>143018</v>
      </c>
      <c r="F1063" s="228" t="s">
        <v>172</v>
      </c>
      <c r="G1063" s="223">
        <v>36373</v>
      </c>
      <c r="H1063" s="41"/>
      <c r="I1063" s="211">
        <v>45092</v>
      </c>
      <c r="J1063" s="41"/>
      <c r="K1063" s="241">
        <v>6</v>
      </c>
      <c r="L1063" s="120">
        <v>21604</v>
      </c>
    </row>
    <row r="1064" spans="2:12" outlineLevel="2">
      <c r="B1064" s="35">
        <f t="shared" si="33"/>
        <v>600</v>
      </c>
      <c r="C1064" s="41" t="s">
        <v>175</v>
      </c>
      <c r="D1064" s="41" t="s">
        <v>196</v>
      </c>
      <c r="E1064" s="216" t="s">
        <v>460</v>
      </c>
      <c r="F1064" s="228" t="s">
        <v>172</v>
      </c>
      <c r="G1064" s="223">
        <v>41760</v>
      </c>
      <c r="H1064" s="41"/>
      <c r="I1064" s="211">
        <v>45048</v>
      </c>
      <c r="J1064" s="41"/>
      <c r="K1064" s="241">
        <v>18</v>
      </c>
      <c r="L1064" s="120">
        <v>21611</v>
      </c>
    </row>
    <row r="1065" spans="2:12" outlineLevel="2">
      <c r="B1065" s="35">
        <f t="shared" si="33"/>
        <v>601</v>
      </c>
      <c r="C1065" s="41" t="s">
        <v>175</v>
      </c>
      <c r="D1065" s="41" t="s">
        <v>196</v>
      </c>
      <c r="E1065" s="216">
        <v>7025</v>
      </c>
      <c r="F1065" s="228" t="s">
        <v>172</v>
      </c>
      <c r="G1065" s="223">
        <v>40422</v>
      </c>
      <c r="H1065" s="41"/>
      <c r="I1065" s="211">
        <v>45048</v>
      </c>
      <c r="J1065" s="41"/>
      <c r="K1065" s="241">
        <v>15</v>
      </c>
      <c r="L1065" s="120">
        <v>21612</v>
      </c>
    </row>
    <row r="1066" spans="2:12" outlineLevel="2">
      <c r="B1066" s="35">
        <f t="shared" si="33"/>
        <v>602</v>
      </c>
      <c r="C1066" s="41" t="s">
        <v>175</v>
      </c>
      <c r="D1066" s="41" t="s">
        <v>196</v>
      </c>
      <c r="E1066" s="216">
        <v>73880</v>
      </c>
      <c r="F1066" s="228" t="s">
        <v>172</v>
      </c>
      <c r="G1066" s="223">
        <v>35339</v>
      </c>
      <c r="H1066" s="41"/>
      <c r="I1066" s="211">
        <v>45048</v>
      </c>
      <c r="J1066" s="41"/>
      <c r="K1066" s="241">
        <v>18</v>
      </c>
      <c r="L1066" s="120">
        <v>21614</v>
      </c>
    </row>
    <row r="1067" spans="2:12" outlineLevel="2">
      <c r="B1067" s="35">
        <f t="shared" si="33"/>
        <v>603</v>
      </c>
      <c r="C1067" s="41" t="s">
        <v>175</v>
      </c>
      <c r="D1067" s="41" t="s">
        <v>196</v>
      </c>
      <c r="E1067" s="216">
        <v>102177</v>
      </c>
      <c r="F1067" s="228" t="s">
        <v>172</v>
      </c>
      <c r="G1067" s="223">
        <v>35886</v>
      </c>
      <c r="H1067" s="41"/>
      <c r="I1067" s="211">
        <v>45048</v>
      </c>
      <c r="J1067" s="41"/>
      <c r="K1067" s="241">
        <v>21</v>
      </c>
      <c r="L1067" s="120">
        <v>21620</v>
      </c>
    </row>
    <row r="1068" spans="2:12" outlineLevel="2">
      <c r="B1068" s="35">
        <f t="shared" si="33"/>
        <v>604</v>
      </c>
      <c r="C1068" s="41" t="s">
        <v>175</v>
      </c>
      <c r="D1068" s="41" t="s">
        <v>196</v>
      </c>
      <c r="E1068" s="216">
        <v>434217</v>
      </c>
      <c r="F1068" s="216" t="s">
        <v>172</v>
      </c>
      <c r="G1068" s="224">
        <v>38808</v>
      </c>
      <c r="H1068" s="41"/>
      <c r="I1068" s="212">
        <v>45044</v>
      </c>
      <c r="J1068" s="41"/>
      <c r="K1068" s="120">
        <v>25</v>
      </c>
      <c r="L1068" s="120">
        <v>21635</v>
      </c>
    </row>
    <row r="1069" spans="2:12" outlineLevel="2">
      <c r="B1069" s="35">
        <f t="shared" si="33"/>
        <v>605</v>
      </c>
      <c r="C1069" s="41" t="s">
        <v>175</v>
      </c>
      <c r="D1069" s="41" t="s">
        <v>196</v>
      </c>
      <c r="E1069" s="216">
        <v>151742</v>
      </c>
      <c r="F1069" s="216" t="s">
        <v>172</v>
      </c>
      <c r="G1069" s="224">
        <v>36495</v>
      </c>
      <c r="H1069" s="41"/>
      <c r="I1069" s="212">
        <v>45064</v>
      </c>
      <c r="J1069" s="41"/>
      <c r="K1069" s="120">
        <v>193</v>
      </c>
      <c r="L1069" s="120">
        <v>21638</v>
      </c>
    </row>
    <row r="1070" spans="2:12" outlineLevel="2">
      <c r="B1070" s="35">
        <f t="shared" si="33"/>
        <v>606</v>
      </c>
      <c r="C1070" s="41" t="s">
        <v>175</v>
      </c>
      <c r="D1070" s="41" t="s">
        <v>196</v>
      </c>
      <c r="E1070" s="216">
        <v>8520417</v>
      </c>
      <c r="F1070" s="216" t="s">
        <v>172</v>
      </c>
      <c r="G1070" s="224">
        <v>1985</v>
      </c>
      <c r="H1070" s="41"/>
      <c r="I1070" s="212">
        <v>45048</v>
      </c>
      <c r="J1070" s="41"/>
      <c r="K1070" s="120">
        <v>34</v>
      </c>
      <c r="L1070" s="120">
        <v>21639</v>
      </c>
    </row>
    <row r="1071" spans="2:12" outlineLevel="2">
      <c r="B1071" s="35">
        <f t="shared" si="33"/>
        <v>607</v>
      </c>
      <c r="C1071" s="41" t="s">
        <v>175</v>
      </c>
      <c r="D1071" s="41" t="s">
        <v>196</v>
      </c>
      <c r="E1071" s="216">
        <v>29826</v>
      </c>
      <c r="F1071" s="216" t="s">
        <v>172</v>
      </c>
      <c r="G1071" s="224">
        <v>44166</v>
      </c>
      <c r="H1071" s="41"/>
      <c r="I1071" s="212">
        <v>45044</v>
      </c>
      <c r="J1071" s="41"/>
      <c r="K1071" s="120">
        <v>22</v>
      </c>
      <c r="L1071" s="120">
        <v>21640</v>
      </c>
    </row>
    <row r="1072" spans="2:12" outlineLevel="2">
      <c r="B1072" s="35">
        <f t="shared" si="33"/>
        <v>608</v>
      </c>
      <c r="C1072" s="41" t="s">
        <v>175</v>
      </c>
      <c r="D1072" s="41" t="s">
        <v>196</v>
      </c>
      <c r="E1072" s="216">
        <v>96081674</v>
      </c>
      <c r="F1072" s="216" t="s">
        <v>172</v>
      </c>
      <c r="G1072" s="224">
        <v>35309</v>
      </c>
      <c r="H1072" s="41"/>
      <c r="I1072" s="212">
        <v>45044</v>
      </c>
      <c r="J1072" s="41"/>
      <c r="K1072" s="120">
        <v>48</v>
      </c>
      <c r="L1072" s="120">
        <v>21642</v>
      </c>
    </row>
    <row r="1073" spans="2:12" outlineLevel="2">
      <c r="B1073" s="35">
        <f t="shared" si="33"/>
        <v>609</v>
      </c>
      <c r="C1073" s="41" t="s">
        <v>175</v>
      </c>
      <c r="D1073" s="41" t="s">
        <v>196</v>
      </c>
      <c r="E1073" s="216">
        <v>51663</v>
      </c>
      <c r="F1073" s="216" t="s">
        <v>172</v>
      </c>
      <c r="G1073" s="224">
        <v>34578</v>
      </c>
      <c r="H1073" s="41"/>
      <c r="I1073" s="212">
        <v>45048</v>
      </c>
      <c r="J1073" s="41"/>
      <c r="K1073" s="120">
        <v>12</v>
      </c>
      <c r="L1073" s="120">
        <v>21651</v>
      </c>
    </row>
    <row r="1074" spans="2:12" outlineLevel="2">
      <c r="B1074" s="35">
        <f t="shared" si="33"/>
        <v>610</v>
      </c>
      <c r="C1074" s="41" t="s">
        <v>175</v>
      </c>
      <c r="D1074" s="41" t="s">
        <v>196</v>
      </c>
      <c r="E1074" s="216">
        <v>994628</v>
      </c>
      <c r="F1074" s="216" t="s">
        <v>172</v>
      </c>
      <c r="G1074" s="224">
        <v>36373</v>
      </c>
      <c r="H1074" s="41"/>
      <c r="I1074" s="212">
        <v>45050</v>
      </c>
      <c r="J1074" s="41"/>
      <c r="K1074" s="120">
        <v>38</v>
      </c>
      <c r="L1074" s="120">
        <v>21657</v>
      </c>
    </row>
    <row r="1075" spans="2:12" outlineLevel="2">
      <c r="B1075" s="35">
        <f t="shared" si="33"/>
        <v>611</v>
      </c>
      <c r="C1075" s="41" t="s">
        <v>175</v>
      </c>
      <c r="D1075" s="41" t="s">
        <v>196</v>
      </c>
      <c r="E1075" s="216">
        <v>129595</v>
      </c>
      <c r="F1075" s="216" t="s">
        <v>172</v>
      </c>
      <c r="G1075" s="224">
        <v>36192</v>
      </c>
      <c r="H1075" s="41"/>
      <c r="I1075" s="212">
        <v>45050</v>
      </c>
      <c r="J1075" s="41"/>
      <c r="K1075" s="248" t="s">
        <v>197</v>
      </c>
      <c r="L1075" s="120">
        <v>21665</v>
      </c>
    </row>
    <row r="1076" spans="2:12" outlineLevel="2">
      <c r="B1076" s="35">
        <f t="shared" si="33"/>
        <v>612</v>
      </c>
      <c r="C1076" s="41" t="s">
        <v>175</v>
      </c>
      <c r="D1076" s="41" t="s">
        <v>196</v>
      </c>
      <c r="E1076" s="216">
        <v>341841</v>
      </c>
      <c r="F1076" s="216" t="s">
        <v>172</v>
      </c>
      <c r="G1076" s="224">
        <v>38534</v>
      </c>
      <c r="H1076" s="41"/>
      <c r="I1076" s="212">
        <v>45050</v>
      </c>
      <c r="J1076" s="41"/>
      <c r="K1076" s="120">
        <v>21</v>
      </c>
      <c r="L1076" s="120">
        <v>21683</v>
      </c>
    </row>
    <row r="1077" spans="2:12" outlineLevel="2">
      <c r="B1077" s="35">
        <f t="shared" si="33"/>
        <v>613</v>
      </c>
      <c r="C1077" s="41" t="s">
        <v>175</v>
      </c>
      <c r="D1077" s="41" t="s">
        <v>196</v>
      </c>
      <c r="E1077" s="216">
        <v>994251</v>
      </c>
      <c r="F1077" s="228" t="s">
        <v>172</v>
      </c>
      <c r="G1077" s="223">
        <v>36312</v>
      </c>
      <c r="H1077" s="41"/>
      <c r="I1077" s="211">
        <v>45050</v>
      </c>
      <c r="J1077" s="41"/>
      <c r="K1077" s="241">
        <v>28</v>
      </c>
      <c r="L1077" s="120">
        <v>21784</v>
      </c>
    </row>
    <row r="1078" spans="2:12" outlineLevel="2">
      <c r="B1078" s="35">
        <f t="shared" si="33"/>
        <v>614</v>
      </c>
      <c r="C1078" s="41" t="s">
        <v>175</v>
      </c>
      <c r="D1078" s="41" t="s">
        <v>196</v>
      </c>
      <c r="E1078" s="216">
        <v>123771</v>
      </c>
      <c r="F1078" s="228" t="s">
        <v>172</v>
      </c>
      <c r="G1078" s="223">
        <v>39448</v>
      </c>
      <c r="H1078" s="41"/>
      <c r="I1078" s="211">
        <v>45050</v>
      </c>
      <c r="J1078" s="41"/>
      <c r="K1078" s="241">
        <v>21</v>
      </c>
      <c r="L1078" s="120">
        <v>21792</v>
      </c>
    </row>
    <row r="1079" spans="2:12" outlineLevel="2">
      <c r="B1079" s="35">
        <f t="shared" si="33"/>
        <v>615</v>
      </c>
      <c r="C1079" s="41" t="s">
        <v>175</v>
      </c>
      <c r="D1079" s="41" t="s">
        <v>196</v>
      </c>
      <c r="E1079" s="221">
        <v>158840</v>
      </c>
      <c r="F1079" s="228" t="s">
        <v>172</v>
      </c>
      <c r="G1079" s="233">
        <v>1987</v>
      </c>
      <c r="H1079" s="41"/>
      <c r="I1079" s="211">
        <v>45175</v>
      </c>
      <c r="J1079" s="41"/>
      <c r="K1079" s="241">
        <v>29</v>
      </c>
      <c r="L1079" s="244">
        <v>26940</v>
      </c>
    </row>
    <row r="1080" spans="2:12" outlineLevel="2">
      <c r="B1080" s="35">
        <f t="shared" si="33"/>
        <v>616</v>
      </c>
      <c r="C1080" s="41" t="s">
        <v>175</v>
      </c>
      <c r="D1080" s="41" t="s">
        <v>196</v>
      </c>
      <c r="E1080" s="209">
        <v>1112952</v>
      </c>
      <c r="F1080" s="228" t="s">
        <v>172</v>
      </c>
      <c r="G1080" s="226">
        <v>34669</v>
      </c>
      <c r="H1080" s="41"/>
      <c r="I1080" s="212">
        <v>45175</v>
      </c>
      <c r="J1080" s="41"/>
      <c r="K1080" s="120">
        <v>21</v>
      </c>
      <c r="L1080" s="242">
        <v>26895</v>
      </c>
    </row>
    <row r="1081" spans="2:12" outlineLevel="2">
      <c r="B1081" s="35">
        <f t="shared" si="33"/>
        <v>617</v>
      </c>
      <c r="C1081" s="41" t="s">
        <v>175</v>
      </c>
      <c r="D1081" s="41" t="s">
        <v>196</v>
      </c>
      <c r="E1081" s="216">
        <v>73886</v>
      </c>
      <c r="F1081" s="228" t="s">
        <v>172</v>
      </c>
      <c r="G1081" s="223">
        <v>35339</v>
      </c>
      <c r="H1081" s="41"/>
      <c r="I1081" s="211">
        <v>45051</v>
      </c>
      <c r="J1081" s="41"/>
      <c r="K1081" s="241">
        <v>19</v>
      </c>
      <c r="L1081" s="120">
        <v>21801</v>
      </c>
    </row>
    <row r="1082" spans="2:12" outlineLevel="2">
      <c r="B1082" s="35">
        <f t="shared" ref="B1082:B1113" si="34">(B1081+1)</f>
        <v>618</v>
      </c>
      <c r="C1082" s="41" t="s">
        <v>175</v>
      </c>
      <c r="D1082" s="41" t="s">
        <v>196</v>
      </c>
      <c r="E1082" s="216">
        <v>160666</v>
      </c>
      <c r="F1082" s="228" t="s">
        <v>172</v>
      </c>
      <c r="G1082" s="223">
        <v>39995</v>
      </c>
      <c r="H1082" s="41"/>
      <c r="I1082" s="211">
        <v>45050</v>
      </c>
      <c r="J1082" s="41"/>
      <c r="K1082" s="241">
        <v>12</v>
      </c>
      <c r="L1082" s="120">
        <v>21810</v>
      </c>
    </row>
    <row r="1083" spans="2:12" outlineLevel="2">
      <c r="B1083" s="35">
        <f t="shared" si="34"/>
        <v>619</v>
      </c>
      <c r="C1083" s="41" t="s">
        <v>175</v>
      </c>
      <c r="D1083" s="41" t="s">
        <v>196</v>
      </c>
      <c r="E1083" s="216">
        <v>462763</v>
      </c>
      <c r="F1083" s="228" t="s">
        <v>172</v>
      </c>
      <c r="G1083" s="223">
        <v>39234</v>
      </c>
      <c r="H1083" s="41"/>
      <c r="I1083" s="211">
        <v>45050</v>
      </c>
      <c r="J1083" s="41"/>
      <c r="K1083" s="241">
        <v>19</v>
      </c>
      <c r="L1083" s="120">
        <v>21811</v>
      </c>
    </row>
    <row r="1084" spans="2:12" outlineLevel="2">
      <c r="B1084" s="35">
        <f t="shared" si="34"/>
        <v>620</v>
      </c>
      <c r="C1084" s="41" t="s">
        <v>175</v>
      </c>
      <c r="D1084" s="41" t="s">
        <v>196</v>
      </c>
      <c r="E1084" s="216">
        <v>100537</v>
      </c>
      <c r="F1084" s="228" t="s">
        <v>172</v>
      </c>
      <c r="G1084" s="223">
        <v>38139</v>
      </c>
      <c r="H1084" s="41"/>
      <c r="I1084" s="211">
        <v>45050</v>
      </c>
      <c r="J1084" s="41"/>
      <c r="K1084" s="241">
        <v>21</v>
      </c>
      <c r="L1084" s="120">
        <v>21812</v>
      </c>
    </row>
    <row r="1085" spans="2:12" outlineLevel="2">
      <c r="B1085" s="35">
        <f t="shared" si="34"/>
        <v>621</v>
      </c>
      <c r="C1085" s="41" t="s">
        <v>175</v>
      </c>
      <c r="D1085" s="41" t="s">
        <v>196</v>
      </c>
      <c r="E1085" s="216">
        <v>97062319</v>
      </c>
      <c r="F1085" s="228" t="s">
        <v>172</v>
      </c>
      <c r="G1085" s="223">
        <v>35612</v>
      </c>
      <c r="H1085" s="41"/>
      <c r="I1085" s="211">
        <v>45050</v>
      </c>
      <c r="J1085" s="41"/>
      <c r="K1085" s="241">
        <v>28</v>
      </c>
      <c r="L1085" s="120">
        <v>21820</v>
      </c>
    </row>
    <row r="1086" spans="2:12" outlineLevel="2">
      <c r="B1086" s="35">
        <f t="shared" si="34"/>
        <v>622</v>
      </c>
      <c r="C1086" s="41" t="s">
        <v>175</v>
      </c>
      <c r="D1086" s="41" t="s">
        <v>196</v>
      </c>
      <c r="E1086" s="216">
        <v>56747</v>
      </c>
      <c r="F1086" s="228" t="s">
        <v>172</v>
      </c>
      <c r="G1086" s="223">
        <v>34851</v>
      </c>
      <c r="H1086" s="41"/>
      <c r="I1086" s="211">
        <v>45051</v>
      </c>
      <c r="J1086" s="41"/>
      <c r="K1086" s="241">
        <v>12</v>
      </c>
      <c r="L1086" s="120">
        <v>21821</v>
      </c>
    </row>
    <row r="1087" spans="2:12" outlineLevel="2">
      <c r="B1087" s="35">
        <f t="shared" si="34"/>
        <v>623</v>
      </c>
      <c r="C1087" s="41" t="s">
        <v>175</v>
      </c>
      <c r="D1087" s="41" t="s">
        <v>196</v>
      </c>
      <c r="E1087" s="216">
        <v>171121</v>
      </c>
      <c r="F1087" s="228" t="s">
        <v>172</v>
      </c>
      <c r="G1087" s="223">
        <v>40148</v>
      </c>
      <c r="H1087" s="41"/>
      <c r="I1087" s="211">
        <v>45044</v>
      </c>
      <c r="J1087" s="41"/>
      <c r="K1087" s="241">
        <v>47</v>
      </c>
      <c r="L1087" s="120">
        <v>21824</v>
      </c>
    </row>
    <row r="1088" spans="2:12" outlineLevel="2">
      <c r="B1088" s="35">
        <f t="shared" si="34"/>
        <v>624</v>
      </c>
      <c r="C1088" s="41" t="s">
        <v>175</v>
      </c>
      <c r="D1088" s="41" t="s">
        <v>196</v>
      </c>
      <c r="E1088" s="216">
        <v>73695</v>
      </c>
      <c r="F1088" s="216">
        <v>215268</v>
      </c>
      <c r="G1088" s="230">
        <v>40664</v>
      </c>
      <c r="H1088" s="41"/>
      <c r="I1088" s="212">
        <v>45097</v>
      </c>
      <c r="J1088" s="41"/>
      <c r="K1088" s="248" t="s">
        <v>197</v>
      </c>
      <c r="L1088" s="242">
        <v>24680</v>
      </c>
    </row>
    <row r="1089" spans="2:12" outlineLevel="2">
      <c r="B1089" s="35">
        <f t="shared" si="34"/>
        <v>625</v>
      </c>
      <c r="C1089" s="41" t="s">
        <v>175</v>
      </c>
      <c r="D1089" s="41" t="s">
        <v>196</v>
      </c>
      <c r="E1089" s="216">
        <v>107421</v>
      </c>
      <c r="F1089" s="216">
        <v>215277</v>
      </c>
      <c r="G1089" s="230">
        <v>44317</v>
      </c>
      <c r="H1089" s="41"/>
      <c r="I1089" s="212">
        <v>45097</v>
      </c>
      <c r="J1089" s="41"/>
      <c r="K1089" s="248" t="s">
        <v>197</v>
      </c>
      <c r="L1089" s="242">
        <v>24683</v>
      </c>
    </row>
    <row r="1090" spans="2:12" outlineLevel="2">
      <c r="B1090" s="35">
        <f t="shared" si="34"/>
        <v>626</v>
      </c>
      <c r="C1090" s="41" t="s">
        <v>175</v>
      </c>
      <c r="D1090" s="41" t="s">
        <v>196</v>
      </c>
      <c r="E1090" s="216">
        <v>217666</v>
      </c>
      <c r="F1090" s="216">
        <v>215276</v>
      </c>
      <c r="G1090" s="230">
        <v>42370</v>
      </c>
      <c r="H1090" s="41"/>
      <c r="I1090" s="212">
        <v>45097</v>
      </c>
      <c r="J1090" s="41"/>
      <c r="K1090" s="120">
        <v>5</v>
      </c>
      <c r="L1090" s="242">
        <v>24684</v>
      </c>
    </row>
    <row r="1091" spans="2:12" outlineLevel="2">
      <c r="B1091" s="35">
        <f t="shared" si="34"/>
        <v>627</v>
      </c>
      <c r="C1091" s="41" t="s">
        <v>175</v>
      </c>
      <c r="D1091" s="41" t="s">
        <v>196</v>
      </c>
      <c r="E1091" s="216">
        <v>463392</v>
      </c>
      <c r="F1091" s="216">
        <v>215270</v>
      </c>
      <c r="G1091" s="230">
        <v>38565</v>
      </c>
      <c r="H1091" s="41"/>
      <c r="I1091" s="212">
        <v>45097</v>
      </c>
      <c r="J1091" s="41"/>
      <c r="K1091" s="248" t="s">
        <v>197</v>
      </c>
      <c r="L1091" s="242">
        <v>24689</v>
      </c>
    </row>
    <row r="1092" spans="2:12" outlineLevel="2">
      <c r="B1092" s="35">
        <f t="shared" si="34"/>
        <v>628</v>
      </c>
      <c r="C1092" s="41" t="s">
        <v>175</v>
      </c>
      <c r="D1092" s="41" t="s">
        <v>196</v>
      </c>
      <c r="E1092" s="216">
        <v>1478330</v>
      </c>
      <c r="F1092" s="216">
        <v>210571</v>
      </c>
      <c r="G1092" s="230">
        <v>44835</v>
      </c>
      <c r="H1092" s="41"/>
      <c r="I1092" s="212">
        <v>45097</v>
      </c>
      <c r="J1092" s="41"/>
      <c r="K1092" s="248" t="s">
        <v>197</v>
      </c>
      <c r="L1092" s="242">
        <v>24692</v>
      </c>
    </row>
    <row r="1093" spans="2:12" outlineLevel="2">
      <c r="B1093" s="35">
        <f t="shared" si="34"/>
        <v>629</v>
      </c>
      <c r="C1093" s="41" t="s">
        <v>175</v>
      </c>
      <c r="D1093" s="41" t="s">
        <v>196</v>
      </c>
      <c r="E1093" s="216">
        <v>52631</v>
      </c>
      <c r="F1093" s="216">
        <v>215287</v>
      </c>
      <c r="G1093" s="230">
        <v>40210</v>
      </c>
      <c r="H1093" s="41"/>
      <c r="I1093" s="212">
        <v>45097</v>
      </c>
      <c r="J1093" s="41"/>
      <c r="K1093" s="248" t="s">
        <v>197</v>
      </c>
      <c r="L1093" s="242">
        <v>24695</v>
      </c>
    </row>
    <row r="1094" spans="2:12" outlineLevel="2">
      <c r="B1094" s="35">
        <f t="shared" si="34"/>
        <v>630</v>
      </c>
      <c r="C1094" s="41" t="s">
        <v>175</v>
      </c>
      <c r="D1094" s="41" t="s">
        <v>196</v>
      </c>
      <c r="E1094" s="216">
        <v>123465</v>
      </c>
      <c r="F1094" s="216">
        <v>215284</v>
      </c>
      <c r="G1094" s="230">
        <v>42064</v>
      </c>
      <c r="H1094" s="41"/>
      <c r="I1094" s="212">
        <v>45097</v>
      </c>
      <c r="J1094" s="41"/>
      <c r="K1094" s="248" t="s">
        <v>197</v>
      </c>
      <c r="L1094" s="242">
        <v>24700</v>
      </c>
    </row>
    <row r="1095" spans="2:12" outlineLevel="2">
      <c r="B1095" s="35">
        <f t="shared" si="34"/>
        <v>631</v>
      </c>
      <c r="C1095" s="41" t="s">
        <v>175</v>
      </c>
      <c r="D1095" s="41" t="s">
        <v>196</v>
      </c>
      <c r="E1095" s="216">
        <v>126106</v>
      </c>
      <c r="F1095" s="216">
        <v>215089</v>
      </c>
      <c r="G1095" s="230">
        <v>41518</v>
      </c>
      <c r="H1095" s="41"/>
      <c r="I1095" s="212">
        <v>45100</v>
      </c>
      <c r="J1095" s="41"/>
      <c r="K1095" s="120">
        <v>5</v>
      </c>
      <c r="L1095" s="242">
        <v>24862</v>
      </c>
    </row>
    <row r="1096" spans="2:12" outlineLevel="2">
      <c r="B1096" s="35">
        <f t="shared" si="34"/>
        <v>632</v>
      </c>
      <c r="C1096" s="41" t="s">
        <v>175</v>
      </c>
      <c r="D1096" s="41" t="s">
        <v>196</v>
      </c>
      <c r="E1096" s="216">
        <v>9502856</v>
      </c>
      <c r="F1096" s="216">
        <v>215093</v>
      </c>
      <c r="G1096" s="223">
        <v>34731</v>
      </c>
      <c r="H1096" s="41"/>
      <c r="I1096" s="239">
        <v>45100</v>
      </c>
      <c r="J1096" s="41"/>
      <c r="K1096" s="248" t="s">
        <v>197</v>
      </c>
      <c r="L1096" s="242">
        <v>24882</v>
      </c>
    </row>
    <row r="1097" spans="2:12" outlineLevel="2">
      <c r="B1097" s="35">
        <f t="shared" si="34"/>
        <v>633</v>
      </c>
      <c r="C1097" s="41" t="s">
        <v>175</v>
      </c>
      <c r="D1097" s="41" t="s">
        <v>196</v>
      </c>
      <c r="E1097" s="216">
        <v>1369758</v>
      </c>
      <c r="F1097" s="216">
        <v>207965</v>
      </c>
      <c r="G1097" s="223">
        <v>44713</v>
      </c>
      <c r="H1097" s="41"/>
      <c r="I1097" s="239">
        <v>45100</v>
      </c>
      <c r="J1097" s="41"/>
      <c r="K1097" s="248" t="s">
        <v>197</v>
      </c>
      <c r="L1097" s="242">
        <v>24898</v>
      </c>
    </row>
    <row r="1098" spans="2:12" outlineLevel="2">
      <c r="B1098" s="35">
        <f t="shared" si="34"/>
        <v>634</v>
      </c>
      <c r="C1098" s="41" t="s">
        <v>175</v>
      </c>
      <c r="D1098" s="41" t="s">
        <v>196</v>
      </c>
      <c r="E1098" s="216">
        <v>660878</v>
      </c>
      <c r="F1098" s="216">
        <v>215295</v>
      </c>
      <c r="G1098" s="223">
        <v>44866</v>
      </c>
      <c r="H1098" s="41"/>
      <c r="I1098" s="239">
        <v>45121</v>
      </c>
      <c r="J1098" s="41"/>
      <c r="K1098" s="248" t="s">
        <v>197</v>
      </c>
      <c r="L1098" s="242">
        <v>24960</v>
      </c>
    </row>
    <row r="1099" spans="2:12" outlineLevel="2">
      <c r="B1099" s="35">
        <f t="shared" si="34"/>
        <v>635</v>
      </c>
      <c r="C1099" s="41" t="s">
        <v>175</v>
      </c>
      <c r="D1099" s="41" t="s">
        <v>196</v>
      </c>
      <c r="E1099" s="216">
        <v>26972</v>
      </c>
      <c r="F1099" s="216">
        <v>215307</v>
      </c>
      <c r="G1099" s="223">
        <v>39356</v>
      </c>
      <c r="H1099" s="41"/>
      <c r="I1099" s="239">
        <v>45121</v>
      </c>
      <c r="J1099" s="41"/>
      <c r="K1099" s="120">
        <v>35</v>
      </c>
      <c r="L1099" s="242">
        <v>24971</v>
      </c>
    </row>
    <row r="1100" spans="2:12" outlineLevel="2">
      <c r="B1100" s="35">
        <f t="shared" si="34"/>
        <v>636</v>
      </c>
      <c r="C1100" s="41" t="s">
        <v>175</v>
      </c>
      <c r="D1100" s="41" t="s">
        <v>196</v>
      </c>
      <c r="E1100" s="216">
        <v>298064</v>
      </c>
      <c r="F1100" s="216">
        <v>215305</v>
      </c>
      <c r="G1100" s="223">
        <v>41579</v>
      </c>
      <c r="H1100" s="41"/>
      <c r="I1100" s="239">
        <v>45121</v>
      </c>
      <c r="J1100" s="41"/>
      <c r="K1100" s="248" t="s">
        <v>197</v>
      </c>
      <c r="L1100" s="242">
        <v>24972</v>
      </c>
    </row>
    <row r="1101" spans="2:12" outlineLevel="2">
      <c r="B1101" s="35">
        <f t="shared" si="34"/>
        <v>637</v>
      </c>
      <c r="C1101" s="41" t="s">
        <v>175</v>
      </c>
      <c r="D1101" s="41" t="s">
        <v>196</v>
      </c>
      <c r="E1101" s="216">
        <v>301684</v>
      </c>
      <c r="F1101" s="216">
        <v>13523</v>
      </c>
      <c r="G1101" s="223">
        <v>41640</v>
      </c>
      <c r="H1101" s="41"/>
      <c r="I1101" s="239">
        <v>45121</v>
      </c>
      <c r="J1101" s="41"/>
      <c r="K1101" s="248" t="s">
        <v>461</v>
      </c>
      <c r="L1101" s="242">
        <v>24973</v>
      </c>
    </row>
    <row r="1102" spans="2:12" outlineLevel="2">
      <c r="B1102" s="35">
        <f t="shared" si="34"/>
        <v>638</v>
      </c>
      <c r="C1102" s="41" t="s">
        <v>175</v>
      </c>
      <c r="D1102" s="41" t="s">
        <v>196</v>
      </c>
      <c r="E1102" s="216">
        <v>1268463</v>
      </c>
      <c r="F1102" s="216">
        <v>104576</v>
      </c>
      <c r="G1102" s="223">
        <v>43831</v>
      </c>
      <c r="H1102" s="41"/>
      <c r="I1102" s="239">
        <v>45121</v>
      </c>
      <c r="J1102" s="41"/>
      <c r="K1102" s="248" t="s">
        <v>462</v>
      </c>
      <c r="L1102" s="242">
        <v>24974</v>
      </c>
    </row>
    <row r="1103" spans="2:12" outlineLevel="2">
      <c r="B1103" s="35">
        <f t="shared" si="34"/>
        <v>639</v>
      </c>
      <c r="C1103" s="41" t="s">
        <v>175</v>
      </c>
      <c r="D1103" s="41" t="s">
        <v>196</v>
      </c>
      <c r="E1103" s="216" t="s">
        <v>463</v>
      </c>
      <c r="F1103" s="216">
        <v>215302</v>
      </c>
      <c r="G1103" s="223">
        <v>42370</v>
      </c>
      <c r="H1103" s="41"/>
      <c r="I1103" s="239">
        <v>45121</v>
      </c>
      <c r="J1103" s="41"/>
      <c r="K1103" s="248" t="s">
        <v>464</v>
      </c>
      <c r="L1103" s="242">
        <v>24976</v>
      </c>
    </row>
    <row r="1104" spans="2:12" outlineLevel="2">
      <c r="B1104" s="35">
        <f t="shared" si="34"/>
        <v>640</v>
      </c>
      <c r="C1104" s="41" t="s">
        <v>175</v>
      </c>
      <c r="D1104" s="41" t="s">
        <v>196</v>
      </c>
      <c r="E1104" s="216">
        <v>336839</v>
      </c>
      <c r="F1104" s="216">
        <v>1</v>
      </c>
      <c r="G1104" s="223">
        <v>42005</v>
      </c>
      <c r="H1104" s="41"/>
      <c r="I1104" s="239">
        <v>45121</v>
      </c>
      <c r="J1104" s="41"/>
      <c r="K1104" s="248" t="s">
        <v>465</v>
      </c>
      <c r="L1104" s="242">
        <v>24978</v>
      </c>
    </row>
    <row r="1105" spans="2:12" outlineLevel="2">
      <c r="B1105" s="35">
        <f t="shared" si="34"/>
        <v>641</v>
      </c>
      <c r="C1105" s="41" t="s">
        <v>175</v>
      </c>
      <c r="D1105" s="41" t="s">
        <v>196</v>
      </c>
      <c r="E1105" s="216">
        <v>1268455</v>
      </c>
      <c r="F1105" s="216">
        <v>215303</v>
      </c>
      <c r="G1105" s="223">
        <v>43831</v>
      </c>
      <c r="H1105" s="41"/>
      <c r="I1105" s="239">
        <v>45121</v>
      </c>
      <c r="J1105" s="41"/>
      <c r="K1105" s="248" t="s">
        <v>466</v>
      </c>
      <c r="L1105" s="242">
        <v>24980</v>
      </c>
    </row>
    <row r="1106" spans="2:12" outlineLevel="2">
      <c r="B1106" s="35">
        <f t="shared" si="34"/>
        <v>642</v>
      </c>
      <c r="C1106" s="41" t="s">
        <v>175</v>
      </c>
      <c r="D1106" s="41" t="s">
        <v>196</v>
      </c>
      <c r="E1106" s="216">
        <v>1291735</v>
      </c>
      <c r="F1106" s="216">
        <v>215304</v>
      </c>
      <c r="G1106" s="223">
        <v>44287</v>
      </c>
      <c r="H1106" s="41"/>
      <c r="I1106" s="239">
        <v>45121</v>
      </c>
      <c r="J1106" s="41"/>
      <c r="K1106" s="248" t="s">
        <v>467</v>
      </c>
      <c r="L1106" s="242">
        <v>24981</v>
      </c>
    </row>
    <row r="1107" spans="2:12" outlineLevel="2">
      <c r="B1107" s="35">
        <f t="shared" si="34"/>
        <v>643</v>
      </c>
      <c r="C1107" s="41" t="s">
        <v>175</v>
      </c>
      <c r="D1107" s="41" t="s">
        <v>196</v>
      </c>
      <c r="E1107" s="216">
        <v>1333717</v>
      </c>
      <c r="F1107" s="216">
        <v>109700</v>
      </c>
      <c r="G1107" s="223">
        <v>44166</v>
      </c>
      <c r="H1107" s="41"/>
      <c r="I1107" s="239">
        <v>45121</v>
      </c>
      <c r="J1107" s="41"/>
      <c r="K1107" s="248" t="s">
        <v>468</v>
      </c>
      <c r="L1107" s="242">
        <v>24982</v>
      </c>
    </row>
    <row r="1108" spans="2:12" outlineLevel="2">
      <c r="B1108" s="35">
        <f t="shared" si="34"/>
        <v>644</v>
      </c>
      <c r="C1108" s="41" t="s">
        <v>175</v>
      </c>
      <c r="D1108" s="41" t="s">
        <v>196</v>
      </c>
      <c r="E1108" s="219">
        <v>1266898</v>
      </c>
      <c r="F1108" s="215">
        <v>103934</v>
      </c>
      <c r="G1108" s="222">
        <v>43831</v>
      </c>
      <c r="H1108" s="41"/>
      <c r="I1108" s="238">
        <v>45104</v>
      </c>
      <c r="J1108" s="41"/>
      <c r="K1108" s="248" t="s">
        <v>469</v>
      </c>
      <c r="L1108" s="244">
        <v>25103</v>
      </c>
    </row>
    <row r="1109" spans="2:12" outlineLevel="2">
      <c r="B1109" s="35">
        <f t="shared" si="34"/>
        <v>645</v>
      </c>
      <c r="C1109" s="41" t="s">
        <v>175</v>
      </c>
      <c r="D1109" s="41" t="s">
        <v>196</v>
      </c>
      <c r="E1109" s="219">
        <v>30068</v>
      </c>
      <c r="F1109" s="215">
        <v>215264</v>
      </c>
      <c r="G1109" s="222">
        <v>41548</v>
      </c>
      <c r="H1109" s="41"/>
      <c r="I1109" s="238">
        <v>45104</v>
      </c>
      <c r="J1109" s="41"/>
      <c r="K1109" s="241">
        <v>39</v>
      </c>
      <c r="L1109" s="244">
        <v>25106</v>
      </c>
    </row>
    <row r="1110" spans="2:12" outlineLevel="2">
      <c r="B1110" s="35">
        <f t="shared" si="34"/>
        <v>646</v>
      </c>
      <c r="C1110" s="41" t="s">
        <v>175</v>
      </c>
      <c r="D1110" s="41" t="s">
        <v>196</v>
      </c>
      <c r="E1110" s="219">
        <v>1285220</v>
      </c>
      <c r="F1110" s="215">
        <v>215263</v>
      </c>
      <c r="G1110" s="222">
        <v>44256</v>
      </c>
      <c r="H1110" s="41"/>
      <c r="I1110" s="238">
        <v>45104</v>
      </c>
      <c r="J1110" s="41"/>
      <c r="K1110" s="248" t="s">
        <v>197</v>
      </c>
      <c r="L1110" s="244">
        <v>25110</v>
      </c>
    </row>
    <row r="1111" spans="2:12" outlineLevel="2">
      <c r="B1111" s="35">
        <f t="shared" si="34"/>
        <v>647</v>
      </c>
      <c r="C1111" s="41" t="s">
        <v>175</v>
      </c>
      <c r="D1111" s="41" t="s">
        <v>196</v>
      </c>
      <c r="E1111" s="216">
        <v>103006</v>
      </c>
      <c r="F1111" s="216" t="s">
        <v>172</v>
      </c>
      <c r="G1111" s="224">
        <v>39203</v>
      </c>
      <c r="H1111" s="41"/>
      <c r="I1111" s="239">
        <v>45106</v>
      </c>
      <c r="J1111" s="41"/>
      <c r="K1111" s="248" t="s">
        <v>197</v>
      </c>
      <c r="L1111" s="242">
        <v>23868</v>
      </c>
    </row>
    <row r="1112" spans="2:12" outlineLevel="2">
      <c r="B1112" s="35">
        <f t="shared" si="34"/>
        <v>648</v>
      </c>
      <c r="C1112" s="41" t="s">
        <v>175</v>
      </c>
      <c r="D1112" s="41" t="s">
        <v>196</v>
      </c>
      <c r="E1112" s="216">
        <v>236138</v>
      </c>
      <c r="F1112" s="216" t="s">
        <v>172</v>
      </c>
      <c r="G1112" s="224">
        <v>41091</v>
      </c>
      <c r="H1112" s="41"/>
      <c r="I1112" s="239">
        <v>45106</v>
      </c>
      <c r="J1112" s="41"/>
      <c r="K1112" s="120">
        <v>12</v>
      </c>
      <c r="L1112" s="242">
        <v>23871</v>
      </c>
    </row>
    <row r="1113" spans="2:12" outlineLevel="2">
      <c r="B1113" s="35">
        <f t="shared" si="34"/>
        <v>649</v>
      </c>
      <c r="C1113" s="41" t="s">
        <v>175</v>
      </c>
      <c r="D1113" s="41" t="s">
        <v>196</v>
      </c>
      <c r="E1113" s="216">
        <v>297765</v>
      </c>
      <c r="F1113" s="216" t="s">
        <v>172</v>
      </c>
      <c r="G1113" s="224">
        <v>38292</v>
      </c>
      <c r="H1113" s="41"/>
      <c r="I1113" s="239">
        <v>45106</v>
      </c>
      <c r="J1113" s="41"/>
      <c r="K1113" s="248" t="s">
        <v>197</v>
      </c>
      <c r="L1113" s="242">
        <v>23878</v>
      </c>
    </row>
    <row r="1114" spans="2:12" outlineLevel="2">
      <c r="B1114" s="35">
        <f t="shared" ref="B1114:B1148" si="35">(B1113+1)</f>
        <v>650</v>
      </c>
      <c r="C1114" s="41" t="s">
        <v>175</v>
      </c>
      <c r="D1114" s="41" t="s">
        <v>196</v>
      </c>
      <c r="E1114" s="216">
        <v>367565</v>
      </c>
      <c r="F1114" s="216" t="s">
        <v>172</v>
      </c>
      <c r="G1114" s="224">
        <v>40787</v>
      </c>
      <c r="H1114" s="41"/>
      <c r="I1114" s="239">
        <v>45106</v>
      </c>
      <c r="J1114" s="41"/>
      <c r="K1114" s="120">
        <v>21</v>
      </c>
      <c r="L1114" s="242">
        <v>23885</v>
      </c>
    </row>
    <row r="1115" spans="2:12" outlineLevel="2">
      <c r="B1115" s="35">
        <f t="shared" si="35"/>
        <v>651</v>
      </c>
      <c r="C1115" s="41" t="s">
        <v>175</v>
      </c>
      <c r="D1115" s="41" t="s">
        <v>196</v>
      </c>
      <c r="E1115" s="216">
        <v>199338</v>
      </c>
      <c r="F1115" s="216" t="s">
        <v>172</v>
      </c>
      <c r="G1115" s="224">
        <v>40330</v>
      </c>
      <c r="H1115" s="41"/>
      <c r="I1115" s="239">
        <v>45106</v>
      </c>
      <c r="J1115" s="41"/>
      <c r="K1115" s="248" t="s">
        <v>197</v>
      </c>
      <c r="L1115" s="242">
        <v>23899</v>
      </c>
    </row>
    <row r="1116" spans="2:12" outlineLevel="2">
      <c r="B1116" s="35">
        <f t="shared" si="35"/>
        <v>652</v>
      </c>
      <c r="C1116" s="41" t="s">
        <v>175</v>
      </c>
      <c r="D1116" s="41" t="s">
        <v>196</v>
      </c>
      <c r="E1116" s="216">
        <v>160682</v>
      </c>
      <c r="F1116" s="216" t="s">
        <v>172</v>
      </c>
      <c r="G1116" s="224">
        <v>39965</v>
      </c>
      <c r="H1116" s="41"/>
      <c r="I1116" s="239">
        <v>45106</v>
      </c>
      <c r="J1116" s="41"/>
      <c r="K1116" s="120">
        <v>15</v>
      </c>
      <c r="L1116" s="242">
        <v>23904</v>
      </c>
    </row>
    <row r="1117" spans="2:12" outlineLevel="2">
      <c r="B1117" s="35">
        <f t="shared" si="35"/>
        <v>653</v>
      </c>
      <c r="C1117" s="41" t="s">
        <v>175</v>
      </c>
      <c r="D1117" s="41" t="s">
        <v>196</v>
      </c>
      <c r="E1117" s="216">
        <v>108482</v>
      </c>
      <c r="F1117" s="216" t="s">
        <v>172</v>
      </c>
      <c r="G1117" s="224">
        <v>37469</v>
      </c>
      <c r="H1117" s="41"/>
      <c r="I1117" s="239">
        <v>45106</v>
      </c>
      <c r="J1117" s="41"/>
      <c r="K1117" s="248" t="s">
        <v>197</v>
      </c>
      <c r="L1117" s="242">
        <v>23907</v>
      </c>
    </row>
    <row r="1118" spans="2:12" outlineLevel="2">
      <c r="B1118" s="35">
        <f t="shared" si="35"/>
        <v>654</v>
      </c>
      <c r="C1118" s="41" t="s">
        <v>175</v>
      </c>
      <c r="D1118" s="41" t="s">
        <v>196</v>
      </c>
      <c r="E1118" s="216">
        <v>171399</v>
      </c>
      <c r="F1118" s="216" t="s">
        <v>172</v>
      </c>
      <c r="G1118" s="224">
        <v>40148</v>
      </c>
      <c r="H1118" s="41"/>
      <c r="I1118" s="239">
        <v>45106</v>
      </c>
      <c r="J1118" s="41"/>
      <c r="K1118" s="248" t="s">
        <v>197</v>
      </c>
      <c r="L1118" s="242">
        <v>23910</v>
      </c>
    </row>
    <row r="1119" spans="2:12" outlineLevel="2">
      <c r="B1119" s="35">
        <f t="shared" si="35"/>
        <v>655</v>
      </c>
      <c r="C1119" s="41" t="s">
        <v>175</v>
      </c>
      <c r="D1119" s="41" t="s">
        <v>196</v>
      </c>
      <c r="E1119" s="216">
        <v>497704</v>
      </c>
      <c r="F1119" s="216" t="s">
        <v>172</v>
      </c>
      <c r="G1119" s="223">
        <v>43221</v>
      </c>
      <c r="H1119" s="41"/>
      <c r="I1119" s="212">
        <v>45106</v>
      </c>
      <c r="J1119" s="41"/>
      <c r="K1119" s="120">
        <v>10</v>
      </c>
      <c r="L1119" s="242">
        <v>23916</v>
      </c>
    </row>
    <row r="1120" spans="2:12" outlineLevel="2">
      <c r="B1120" s="35">
        <f t="shared" si="35"/>
        <v>656</v>
      </c>
      <c r="C1120" s="41" t="s">
        <v>175</v>
      </c>
      <c r="D1120" s="41" t="s">
        <v>196</v>
      </c>
      <c r="E1120" s="216">
        <v>249099</v>
      </c>
      <c r="F1120" s="216" t="s">
        <v>172</v>
      </c>
      <c r="G1120" s="223">
        <v>40969</v>
      </c>
      <c r="H1120" s="41"/>
      <c r="I1120" s="212">
        <v>45106</v>
      </c>
      <c r="J1120" s="41"/>
      <c r="K1120" s="248" t="s">
        <v>197</v>
      </c>
      <c r="L1120" s="242">
        <v>23917</v>
      </c>
    </row>
    <row r="1121" spans="2:12" outlineLevel="2">
      <c r="B1121" s="35">
        <f t="shared" si="35"/>
        <v>657</v>
      </c>
      <c r="C1121" s="41" t="s">
        <v>175</v>
      </c>
      <c r="D1121" s="41" t="s">
        <v>196</v>
      </c>
      <c r="E1121" s="216">
        <v>84322</v>
      </c>
      <c r="F1121" s="216" t="s">
        <v>172</v>
      </c>
      <c r="G1121" s="223">
        <v>1997</v>
      </c>
      <c r="H1121" s="41"/>
      <c r="I1121" s="212">
        <v>45106</v>
      </c>
      <c r="J1121" s="41"/>
      <c r="K1121" s="120">
        <v>21</v>
      </c>
      <c r="L1121" s="242">
        <v>23925</v>
      </c>
    </row>
    <row r="1122" spans="2:12" outlineLevel="2">
      <c r="B1122" s="35">
        <f t="shared" si="35"/>
        <v>658</v>
      </c>
      <c r="C1122" s="41" t="s">
        <v>175</v>
      </c>
      <c r="D1122" s="41" t="s">
        <v>196</v>
      </c>
      <c r="E1122" s="216">
        <v>65350</v>
      </c>
      <c r="F1122" s="216" t="s">
        <v>172</v>
      </c>
      <c r="G1122" s="223">
        <v>36586</v>
      </c>
      <c r="H1122" s="41"/>
      <c r="I1122" s="212">
        <v>45106</v>
      </c>
      <c r="J1122" s="41"/>
      <c r="K1122" s="120">
        <v>24</v>
      </c>
      <c r="L1122" s="242">
        <v>23926</v>
      </c>
    </row>
    <row r="1123" spans="2:12" outlineLevel="2">
      <c r="B1123" s="35">
        <f t="shared" si="35"/>
        <v>659</v>
      </c>
      <c r="C1123" s="41" t="s">
        <v>175</v>
      </c>
      <c r="D1123" s="41" t="s">
        <v>196</v>
      </c>
      <c r="E1123" s="216">
        <v>366386</v>
      </c>
      <c r="F1123" s="216" t="s">
        <v>172</v>
      </c>
      <c r="G1123" s="223">
        <v>38657</v>
      </c>
      <c r="H1123" s="41"/>
      <c r="I1123" s="212">
        <v>45106</v>
      </c>
      <c r="J1123" s="41"/>
      <c r="K1123" s="248" t="s">
        <v>197</v>
      </c>
      <c r="L1123" s="242">
        <v>23939</v>
      </c>
    </row>
    <row r="1124" spans="2:12" outlineLevel="2">
      <c r="B1124" s="35">
        <f t="shared" si="35"/>
        <v>660</v>
      </c>
      <c r="C1124" s="41" t="s">
        <v>175</v>
      </c>
      <c r="D1124" s="41" t="s">
        <v>196</v>
      </c>
      <c r="E1124" s="209">
        <v>159289</v>
      </c>
      <c r="F1124" s="209" t="s">
        <v>172</v>
      </c>
      <c r="G1124" s="226">
        <v>1987</v>
      </c>
      <c r="H1124" s="41"/>
      <c r="I1124" s="212">
        <v>45161</v>
      </c>
      <c r="J1124" s="41"/>
      <c r="K1124" s="120">
        <v>27</v>
      </c>
      <c r="L1124" s="242">
        <v>26703</v>
      </c>
    </row>
    <row r="1125" spans="2:12" outlineLevel="2">
      <c r="B1125" s="35">
        <f t="shared" si="35"/>
        <v>661</v>
      </c>
      <c r="C1125" s="41" t="s">
        <v>175</v>
      </c>
      <c r="D1125" s="41" t="s">
        <v>196</v>
      </c>
      <c r="E1125" s="209">
        <v>130413</v>
      </c>
      <c r="F1125" s="209">
        <v>216088</v>
      </c>
      <c r="G1125" s="226">
        <v>40118</v>
      </c>
      <c r="H1125" s="41"/>
      <c r="I1125" s="212">
        <v>45155</v>
      </c>
      <c r="J1125" s="41"/>
      <c r="K1125" s="120">
        <v>6</v>
      </c>
      <c r="L1125" s="242">
        <v>26726</v>
      </c>
    </row>
    <row r="1126" spans="2:12" outlineLevel="2">
      <c r="B1126" s="35">
        <f t="shared" si="35"/>
        <v>662</v>
      </c>
      <c r="C1126" s="41" t="s">
        <v>175</v>
      </c>
      <c r="D1126" s="41" t="s">
        <v>196</v>
      </c>
      <c r="E1126" s="209">
        <v>181054</v>
      </c>
      <c r="F1126" s="209" t="s">
        <v>172</v>
      </c>
      <c r="G1126" s="226">
        <v>36861</v>
      </c>
      <c r="H1126" s="41"/>
      <c r="I1126" s="240">
        <v>45205</v>
      </c>
      <c r="J1126" s="41"/>
      <c r="K1126" s="248">
        <v>17</v>
      </c>
      <c r="L1126" s="242">
        <v>27825</v>
      </c>
    </row>
    <row r="1127" spans="2:12" outlineLevel="2">
      <c r="B1127" s="35">
        <f t="shared" si="35"/>
        <v>663</v>
      </c>
      <c r="C1127" s="41" t="s">
        <v>175</v>
      </c>
      <c r="D1127" s="41" t="s">
        <v>196</v>
      </c>
      <c r="E1127" s="209">
        <v>3805</v>
      </c>
      <c r="F1127" s="209" t="s">
        <v>172</v>
      </c>
      <c r="G1127" s="226">
        <v>35947</v>
      </c>
      <c r="H1127" s="41"/>
      <c r="I1127" s="240">
        <v>45205</v>
      </c>
      <c r="J1127" s="41"/>
      <c r="K1127" s="248">
        <v>27</v>
      </c>
      <c r="L1127" s="242">
        <v>27827</v>
      </c>
    </row>
    <row r="1128" spans="2:12" outlineLevel="2">
      <c r="B1128" s="35">
        <f t="shared" si="35"/>
        <v>664</v>
      </c>
      <c r="C1128" s="41" t="s">
        <v>175</v>
      </c>
      <c r="D1128" s="41" t="s">
        <v>196</v>
      </c>
      <c r="E1128" s="209">
        <v>82459</v>
      </c>
      <c r="F1128" s="209" t="s">
        <v>172</v>
      </c>
      <c r="G1128" s="226">
        <v>35551</v>
      </c>
      <c r="H1128" s="41"/>
      <c r="I1128" s="240">
        <v>45205</v>
      </c>
      <c r="J1128" s="41"/>
      <c r="K1128" s="248">
        <v>19</v>
      </c>
      <c r="L1128" s="242">
        <v>27828</v>
      </c>
    </row>
    <row r="1129" spans="2:12" outlineLevel="2">
      <c r="B1129" s="35">
        <f t="shared" si="35"/>
        <v>665</v>
      </c>
      <c r="C1129" s="41" t="s">
        <v>175</v>
      </c>
      <c r="D1129" s="41" t="s">
        <v>196</v>
      </c>
      <c r="E1129" s="216">
        <v>1450</v>
      </c>
      <c r="F1129" s="209" t="s">
        <v>172</v>
      </c>
      <c r="G1129" s="216">
        <v>40452</v>
      </c>
      <c r="H1129" s="41"/>
      <c r="I1129" s="212">
        <v>44875</v>
      </c>
      <c r="J1129" s="41"/>
      <c r="K1129" s="120">
        <v>28</v>
      </c>
      <c r="L1129" s="120">
        <v>10598</v>
      </c>
    </row>
    <row r="1130" spans="2:12" outlineLevel="2">
      <c r="B1130" s="35">
        <f t="shared" si="35"/>
        <v>666</v>
      </c>
      <c r="C1130" s="41" t="s">
        <v>175</v>
      </c>
      <c r="D1130" s="41" t="s">
        <v>196</v>
      </c>
      <c r="E1130" s="221">
        <v>9604396</v>
      </c>
      <c r="F1130" s="231" t="s">
        <v>172</v>
      </c>
      <c r="G1130" s="232">
        <v>35186</v>
      </c>
      <c r="H1130" s="41"/>
      <c r="I1130" s="240">
        <v>45205</v>
      </c>
      <c r="J1130" s="41"/>
      <c r="K1130" s="248">
        <v>27</v>
      </c>
      <c r="L1130" s="244">
        <v>27851</v>
      </c>
    </row>
    <row r="1131" spans="2:12" outlineLevel="2">
      <c r="B1131" s="35">
        <f t="shared" si="35"/>
        <v>667</v>
      </c>
      <c r="C1131" s="41" t="s">
        <v>175</v>
      </c>
      <c r="D1131" s="41" t="s">
        <v>196</v>
      </c>
      <c r="E1131" s="220">
        <v>123582</v>
      </c>
      <c r="F1131" s="231">
        <v>216537</v>
      </c>
      <c r="G1131" s="232">
        <v>41000</v>
      </c>
      <c r="H1131" s="41"/>
      <c r="I1131" s="240">
        <v>45215</v>
      </c>
      <c r="J1131" s="41"/>
      <c r="K1131" s="248">
        <v>21</v>
      </c>
      <c r="L1131" s="244">
        <v>27879</v>
      </c>
    </row>
    <row r="1132" spans="2:12" outlineLevel="2">
      <c r="B1132" s="35">
        <f t="shared" si="35"/>
        <v>668</v>
      </c>
      <c r="C1132" s="41" t="s">
        <v>175</v>
      </c>
      <c r="D1132" s="41" t="s">
        <v>196</v>
      </c>
      <c r="E1132" s="220">
        <v>252417</v>
      </c>
      <c r="F1132" s="231">
        <v>216532</v>
      </c>
      <c r="G1132" s="232">
        <v>40725</v>
      </c>
      <c r="H1132" s="41"/>
      <c r="I1132" s="240">
        <v>45215</v>
      </c>
      <c r="J1132" s="41"/>
      <c r="K1132" s="248">
        <v>39</v>
      </c>
      <c r="L1132" s="244">
        <v>27893</v>
      </c>
    </row>
    <row r="1133" spans="2:12" outlineLevel="2">
      <c r="B1133" s="35">
        <f t="shared" si="35"/>
        <v>669</v>
      </c>
      <c r="C1133" s="41" t="s">
        <v>175</v>
      </c>
      <c r="D1133" s="41" t="s">
        <v>196</v>
      </c>
      <c r="E1133" s="221">
        <v>33393</v>
      </c>
      <c r="F1133" s="231" t="s">
        <v>172</v>
      </c>
      <c r="G1133" s="232">
        <v>27181</v>
      </c>
      <c r="H1133" s="41"/>
      <c r="I1133" s="240">
        <v>45216</v>
      </c>
      <c r="J1133" s="41"/>
      <c r="K1133" s="248">
        <v>22</v>
      </c>
      <c r="L1133" s="244">
        <v>27938</v>
      </c>
    </row>
    <row r="1134" spans="2:12" outlineLevel="2">
      <c r="B1134" s="35">
        <f t="shared" si="35"/>
        <v>670</v>
      </c>
      <c r="C1134" s="41" t="s">
        <v>175</v>
      </c>
      <c r="D1134" s="41" t="s">
        <v>196</v>
      </c>
      <c r="E1134" s="221">
        <v>24341</v>
      </c>
      <c r="F1134" s="231" t="s">
        <v>172</v>
      </c>
      <c r="G1134" s="232">
        <v>40148</v>
      </c>
      <c r="H1134" s="41"/>
      <c r="I1134" s="240">
        <v>45216</v>
      </c>
      <c r="J1134" s="41"/>
      <c r="K1134" s="248">
        <v>44</v>
      </c>
      <c r="L1134" s="244">
        <v>27944</v>
      </c>
    </row>
    <row r="1135" spans="2:12" outlineLevel="2">
      <c r="B1135" s="35">
        <f t="shared" si="35"/>
        <v>671</v>
      </c>
      <c r="C1135" s="41" t="s">
        <v>175</v>
      </c>
      <c r="D1135" s="41" t="s">
        <v>196</v>
      </c>
      <c r="E1135" s="221">
        <v>581804</v>
      </c>
      <c r="F1135" s="231" t="s">
        <v>172</v>
      </c>
      <c r="G1135" s="232">
        <v>1982</v>
      </c>
      <c r="H1135" s="41"/>
      <c r="I1135" s="240">
        <v>45216</v>
      </c>
      <c r="J1135" s="41"/>
      <c r="K1135" s="248">
        <v>38</v>
      </c>
      <c r="L1135" s="244">
        <v>27946</v>
      </c>
    </row>
    <row r="1136" spans="2:12" outlineLevel="2">
      <c r="B1136" s="35">
        <f t="shared" si="35"/>
        <v>672</v>
      </c>
      <c r="C1136" s="41" t="s">
        <v>175</v>
      </c>
      <c r="D1136" s="41" t="s">
        <v>196</v>
      </c>
      <c r="E1136" s="221">
        <v>1529</v>
      </c>
      <c r="F1136" s="231" t="s">
        <v>172</v>
      </c>
      <c r="G1136" s="232">
        <v>31413</v>
      </c>
      <c r="H1136" s="41"/>
      <c r="I1136" s="240">
        <v>45215</v>
      </c>
      <c r="J1136" s="41"/>
      <c r="K1136" s="248">
        <v>18</v>
      </c>
      <c r="L1136" s="244">
        <v>27949</v>
      </c>
    </row>
    <row r="1137" spans="2:12" outlineLevel="2">
      <c r="B1137" s="35">
        <f t="shared" si="35"/>
        <v>673</v>
      </c>
      <c r="C1137" s="41" t="s">
        <v>175</v>
      </c>
      <c r="D1137" s="41" t="s">
        <v>196</v>
      </c>
      <c r="E1137" s="209">
        <v>1430727</v>
      </c>
      <c r="F1137" s="209">
        <v>210919</v>
      </c>
      <c r="G1137" s="226">
        <v>44896</v>
      </c>
      <c r="H1137" s="41"/>
      <c r="I1137" s="240">
        <v>45168</v>
      </c>
      <c r="J1137" s="41"/>
      <c r="K1137" s="248" t="s">
        <v>199</v>
      </c>
      <c r="L1137" s="242">
        <v>28119</v>
      </c>
    </row>
    <row r="1138" spans="2:12" outlineLevel="2">
      <c r="B1138" s="35">
        <f t="shared" si="35"/>
        <v>674</v>
      </c>
      <c r="C1138" s="41" t="s">
        <v>175</v>
      </c>
      <c r="D1138" s="41" t="s">
        <v>196</v>
      </c>
      <c r="E1138" s="209">
        <v>1219999</v>
      </c>
      <c r="F1138" s="209" t="s">
        <v>172</v>
      </c>
      <c r="G1138" s="226">
        <v>43586</v>
      </c>
      <c r="H1138" s="41"/>
      <c r="I1138" s="240">
        <v>45218</v>
      </c>
      <c r="J1138" s="41"/>
      <c r="K1138" s="248">
        <v>19</v>
      </c>
      <c r="L1138" s="242">
        <v>28154</v>
      </c>
    </row>
    <row r="1139" spans="2:12" outlineLevel="2">
      <c r="B1139" s="35">
        <f t="shared" si="35"/>
        <v>675</v>
      </c>
      <c r="C1139" s="41" t="s">
        <v>175</v>
      </c>
      <c r="D1139" s="41" t="s">
        <v>196</v>
      </c>
      <c r="E1139" s="221">
        <v>12811</v>
      </c>
      <c r="F1139" s="221" t="s">
        <v>172</v>
      </c>
      <c r="G1139" s="232">
        <v>38443</v>
      </c>
      <c r="H1139" s="41"/>
      <c r="I1139" s="240">
        <v>45218</v>
      </c>
      <c r="J1139" s="41"/>
      <c r="K1139" s="248">
        <v>33</v>
      </c>
      <c r="L1139" s="242">
        <v>28159</v>
      </c>
    </row>
    <row r="1140" spans="2:12" outlineLevel="2">
      <c r="B1140" s="35">
        <f t="shared" si="35"/>
        <v>676</v>
      </c>
      <c r="C1140" s="41" t="s">
        <v>175</v>
      </c>
      <c r="D1140" s="41" t="s">
        <v>196</v>
      </c>
      <c r="E1140" s="221">
        <v>9604401</v>
      </c>
      <c r="F1140" s="221" t="s">
        <v>172</v>
      </c>
      <c r="G1140" s="221">
        <v>35156</v>
      </c>
      <c r="H1140" s="41"/>
      <c r="I1140" s="240">
        <v>45218</v>
      </c>
      <c r="J1140" s="41"/>
      <c r="K1140" s="248">
        <v>32</v>
      </c>
      <c r="L1140" s="242">
        <v>28163</v>
      </c>
    </row>
    <row r="1141" spans="2:12" outlineLevel="2">
      <c r="B1141" s="35">
        <f t="shared" si="35"/>
        <v>677</v>
      </c>
      <c r="C1141" s="41" t="s">
        <v>175</v>
      </c>
      <c r="D1141" s="41" t="s">
        <v>196</v>
      </c>
      <c r="E1141" s="221">
        <v>9529000</v>
      </c>
      <c r="F1141" s="221" t="s">
        <v>172</v>
      </c>
      <c r="G1141" s="232">
        <v>1995</v>
      </c>
      <c r="H1141" s="41"/>
      <c r="I1141" s="240">
        <v>45218</v>
      </c>
      <c r="J1141" s="41"/>
      <c r="K1141" s="248">
        <v>29</v>
      </c>
      <c r="L1141" s="242">
        <v>28165</v>
      </c>
    </row>
    <row r="1142" spans="2:12" outlineLevel="2">
      <c r="B1142" s="35">
        <f t="shared" si="35"/>
        <v>678</v>
      </c>
      <c r="C1142" s="41" t="s">
        <v>175</v>
      </c>
      <c r="D1142" s="41" t="s">
        <v>196</v>
      </c>
      <c r="E1142" s="221">
        <v>8430602</v>
      </c>
      <c r="F1142" s="221" t="s">
        <v>172</v>
      </c>
      <c r="G1142" s="232">
        <v>42795</v>
      </c>
      <c r="H1142" s="41"/>
      <c r="I1142" s="240">
        <v>45218</v>
      </c>
      <c r="J1142" s="41"/>
      <c r="K1142" s="248">
        <v>33</v>
      </c>
      <c r="L1142" s="242">
        <v>28181</v>
      </c>
    </row>
    <row r="1143" spans="2:12" outlineLevel="2">
      <c r="B1143" s="35">
        <f t="shared" si="35"/>
        <v>679</v>
      </c>
      <c r="C1143" s="41" t="s">
        <v>175</v>
      </c>
      <c r="D1143" s="41" t="s">
        <v>196</v>
      </c>
      <c r="E1143" s="221">
        <v>790743628</v>
      </c>
      <c r="F1143" s="221" t="s">
        <v>172</v>
      </c>
      <c r="G1143" s="221">
        <v>35916</v>
      </c>
      <c r="H1143" s="41"/>
      <c r="I1143" s="240">
        <v>45218</v>
      </c>
      <c r="J1143" s="41"/>
      <c r="K1143" s="248">
        <v>39</v>
      </c>
      <c r="L1143" s="242">
        <v>28184</v>
      </c>
    </row>
    <row r="1144" spans="2:12" outlineLevel="2">
      <c r="B1144" s="35">
        <f t="shared" si="35"/>
        <v>680</v>
      </c>
      <c r="C1144" s="41" t="s">
        <v>175</v>
      </c>
      <c r="D1144" s="41" t="s">
        <v>196</v>
      </c>
      <c r="E1144" s="221">
        <v>159322</v>
      </c>
      <c r="F1144" s="221" t="s">
        <v>172</v>
      </c>
      <c r="G1144" s="232">
        <v>1981</v>
      </c>
      <c r="H1144" s="41"/>
      <c r="I1144" s="240">
        <v>45271</v>
      </c>
      <c r="J1144" s="41"/>
      <c r="K1144" s="248">
        <v>38</v>
      </c>
      <c r="L1144" s="241">
        <v>28815</v>
      </c>
    </row>
    <row r="1145" spans="2:12" outlineLevel="2">
      <c r="B1145" s="35">
        <f t="shared" si="35"/>
        <v>681</v>
      </c>
      <c r="C1145" s="41" t="s">
        <v>175</v>
      </c>
      <c r="D1145" s="41" t="s">
        <v>196</v>
      </c>
      <c r="E1145" s="221">
        <v>584484</v>
      </c>
      <c r="F1145" s="221" t="s">
        <v>172</v>
      </c>
      <c r="G1145" s="221">
        <v>1982</v>
      </c>
      <c r="H1145" s="41"/>
      <c r="I1145" s="240">
        <v>45271</v>
      </c>
      <c r="J1145" s="41"/>
      <c r="K1145" s="248">
        <v>32</v>
      </c>
      <c r="L1145" s="241">
        <v>28821</v>
      </c>
    </row>
    <row r="1146" spans="2:12" outlineLevel="2">
      <c r="B1146" s="35">
        <f t="shared" si="35"/>
        <v>682</v>
      </c>
      <c r="C1146" s="41" t="s">
        <v>175</v>
      </c>
      <c r="D1146" s="41" t="s">
        <v>196</v>
      </c>
      <c r="E1146" s="221">
        <v>379143</v>
      </c>
      <c r="F1146" s="221" t="s">
        <v>172</v>
      </c>
      <c r="G1146" s="232">
        <v>38899</v>
      </c>
      <c r="H1146" s="41"/>
      <c r="I1146" s="240">
        <v>45271</v>
      </c>
      <c r="J1146" s="41"/>
      <c r="K1146" s="248">
        <v>29</v>
      </c>
      <c r="L1146" s="241">
        <v>28827</v>
      </c>
    </row>
    <row r="1147" spans="2:12" outlineLevel="2">
      <c r="B1147" s="35">
        <f t="shared" si="35"/>
        <v>683</v>
      </c>
      <c r="C1147" s="41" t="s">
        <v>175</v>
      </c>
      <c r="D1147" s="41" t="s">
        <v>196</v>
      </c>
      <c r="E1147" s="220">
        <v>159202</v>
      </c>
      <c r="F1147" s="231" t="s">
        <v>172</v>
      </c>
      <c r="G1147" s="232">
        <v>1987</v>
      </c>
      <c r="H1147" s="41"/>
      <c r="I1147" s="240">
        <v>45271</v>
      </c>
      <c r="J1147" s="41"/>
      <c r="K1147" s="248">
        <v>29</v>
      </c>
      <c r="L1147" s="244">
        <v>28833</v>
      </c>
    </row>
    <row r="1148" spans="2:12" outlineLevel="2">
      <c r="B1148" s="35">
        <f t="shared" si="35"/>
        <v>684</v>
      </c>
      <c r="C1148" s="41" t="s">
        <v>175</v>
      </c>
      <c r="D1148" s="41" t="s">
        <v>196</v>
      </c>
      <c r="E1148" s="220">
        <v>108883</v>
      </c>
      <c r="F1148" s="231" t="s">
        <v>172</v>
      </c>
      <c r="G1148" s="232">
        <v>1999</v>
      </c>
      <c r="H1148" s="41"/>
      <c r="I1148" s="240">
        <v>45271</v>
      </c>
      <c r="J1148" s="41"/>
      <c r="K1148" s="248">
        <v>39</v>
      </c>
      <c r="L1148" s="244">
        <v>28841</v>
      </c>
    </row>
    <row r="1149" spans="2:12" outlineLevel="1">
      <c r="B1149" s="60" t="s">
        <v>296</v>
      </c>
      <c r="C1149" s="41">
        <f>SUBTOTAL(3,C921:C1148)</f>
        <v>228</v>
      </c>
      <c r="D1149" s="41"/>
      <c r="E1149" s="41"/>
      <c r="F1149" s="41"/>
      <c r="G1149" s="41"/>
      <c r="H1149" s="41"/>
      <c r="I1149" s="42"/>
      <c r="J1149" s="41"/>
      <c r="K1149" s="41"/>
      <c r="L1149" s="43"/>
    </row>
    <row r="1150" spans="2:12" outlineLevel="2">
      <c r="B1150" s="35">
        <f>(B1148+1)</f>
        <v>685</v>
      </c>
      <c r="C1150" s="41" t="s">
        <v>69</v>
      </c>
      <c r="D1150" s="41" t="s">
        <v>196</v>
      </c>
      <c r="E1150" s="118">
        <v>7026</v>
      </c>
      <c r="F1150" s="250"/>
      <c r="G1150" s="41"/>
      <c r="H1150" s="41"/>
      <c r="I1150" s="211">
        <v>44558</v>
      </c>
      <c r="J1150" s="41"/>
      <c r="K1150" s="248" t="s">
        <v>199</v>
      </c>
      <c r="L1150" s="213">
        <v>1728</v>
      </c>
    </row>
    <row r="1151" spans="2:12" outlineLevel="2">
      <c r="B1151" s="35">
        <f t="shared" ref="B1151:B1214" si="36">(B1150+1)</f>
        <v>686</v>
      </c>
      <c r="C1151" s="41" t="s">
        <v>69</v>
      </c>
      <c r="D1151" s="41" t="s">
        <v>196</v>
      </c>
      <c r="E1151" s="118">
        <v>30861</v>
      </c>
      <c r="F1151" s="250"/>
      <c r="G1151" s="41"/>
      <c r="H1151" s="41"/>
      <c r="I1151" s="211">
        <v>44558</v>
      </c>
      <c r="J1151" s="41"/>
      <c r="K1151" s="248" t="s">
        <v>199</v>
      </c>
      <c r="L1151" s="213">
        <v>1729</v>
      </c>
    </row>
    <row r="1152" spans="2:12" outlineLevel="2">
      <c r="B1152" s="35">
        <f t="shared" si="36"/>
        <v>687</v>
      </c>
      <c r="C1152" s="41" t="s">
        <v>69</v>
      </c>
      <c r="D1152" s="41" t="s">
        <v>196</v>
      </c>
      <c r="E1152" s="118">
        <v>526413</v>
      </c>
      <c r="F1152" s="250"/>
      <c r="G1152" s="41"/>
      <c r="H1152" s="41"/>
      <c r="I1152" s="211">
        <v>44560</v>
      </c>
      <c r="J1152" s="41"/>
      <c r="K1152" s="241">
        <v>10</v>
      </c>
      <c r="L1152" s="213">
        <v>1772</v>
      </c>
    </row>
    <row r="1153" spans="2:12" outlineLevel="2">
      <c r="B1153" s="35">
        <f t="shared" si="36"/>
        <v>688</v>
      </c>
      <c r="C1153" s="41" t="s">
        <v>69</v>
      </c>
      <c r="D1153" s="41" t="s">
        <v>196</v>
      </c>
      <c r="E1153" s="118">
        <v>1223012</v>
      </c>
      <c r="F1153" s="118"/>
      <c r="G1153" s="41"/>
      <c r="H1153" s="41"/>
      <c r="I1153" s="212">
        <v>44790</v>
      </c>
      <c r="J1153" s="41"/>
      <c r="K1153" s="120">
        <v>4</v>
      </c>
      <c r="L1153" s="213">
        <v>2914</v>
      </c>
    </row>
    <row r="1154" spans="2:12" outlineLevel="2">
      <c r="B1154" s="35">
        <f t="shared" si="36"/>
        <v>689</v>
      </c>
      <c r="C1154" s="41" t="s">
        <v>69</v>
      </c>
      <c r="D1154" s="41" t="s">
        <v>196</v>
      </c>
      <c r="E1154" s="118">
        <v>151230</v>
      </c>
      <c r="F1154" s="118"/>
      <c r="G1154" s="41"/>
      <c r="H1154" s="41"/>
      <c r="I1154" s="212">
        <v>44855</v>
      </c>
      <c r="J1154" s="41"/>
      <c r="K1154" s="120">
        <v>20</v>
      </c>
      <c r="L1154" s="213">
        <v>2917</v>
      </c>
    </row>
    <row r="1155" spans="2:12" outlineLevel="2">
      <c r="B1155" s="35">
        <f t="shared" si="36"/>
        <v>690</v>
      </c>
      <c r="C1155" s="41" t="s">
        <v>69</v>
      </c>
      <c r="D1155" s="41" t="s">
        <v>196</v>
      </c>
      <c r="E1155" s="118">
        <v>151115</v>
      </c>
      <c r="F1155" s="118"/>
      <c r="G1155" s="41"/>
      <c r="H1155" s="41"/>
      <c r="I1155" s="212">
        <v>44855</v>
      </c>
      <c r="J1155" s="41"/>
      <c r="K1155" s="120">
        <v>40</v>
      </c>
      <c r="L1155" s="213">
        <v>2918</v>
      </c>
    </row>
    <row r="1156" spans="2:12" outlineLevel="2">
      <c r="B1156" s="35">
        <f t="shared" si="36"/>
        <v>691</v>
      </c>
      <c r="C1156" s="41" t="s">
        <v>69</v>
      </c>
      <c r="D1156" s="41" t="s">
        <v>196</v>
      </c>
      <c r="E1156" s="118" t="s">
        <v>470</v>
      </c>
      <c r="F1156" s="118"/>
      <c r="G1156" s="41"/>
      <c r="H1156" s="41"/>
      <c r="I1156" s="212">
        <v>44790</v>
      </c>
      <c r="J1156" s="41"/>
      <c r="K1156" s="120">
        <v>28</v>
      </c>
      <c r="L1156" s="213">
        <v>2992</v>
      </c>
    </row>
    <row r="1157" spans="2:12" outlineLevel="2">
      <c r="B1157" s="35">
        <f t="shared" si="36"/>
        <v>692</v>
      </c>
      <c r="C1157" s="41" t="s">
        <v>69</v>
      </c>
      <c r="D1157" s="41" t="s">
        <v>196</v>
      </c>
      <c r="E1157" s="118">
        <v>191970</v>
      </c>
      <c r="F1157" s="118"/>
      <c r="G1157" s="41"/>
      <c r="H1157" s="41"/>
      <c r="I1157" s="212">
        <v>44858</v>
      </c>
      <c r="J1157" s="41"/>
      <c r="K1157" s="120">
        <v>16</v>
      </c>
      <c r="L1157" s="213">
        <v>3006</v>
      </c>
    </row>
    <row r="1158" spans="2:12" outlineLevel="2">
      <c r="B1158" s="35">
        <f t="shared" si="36"/>
        <v>693</v>
      </c>
      <c r="C1158" s="41" t="s">
        <v>69</v>
      </c>
      <c r="D1158" s="41" t="s">
        <v>196</v>
      </c>
      <c r="E1158" s="118" t="s">
        <v>471</v>
      </c>
      <c r="F1158" s="250"/>
      <c r="G1158" s="41"/>
      <c r="H1158" s="41"/>
      <c r="I1158" s="211">
        <v>44858</v>
      </c>
      <c r="J1158" s="41"/>
      <c r="K1158" s="214">
        <v>15</v>
      </c>
      <c r="L1158" s="213">
        <v>3040</v>
      </c>
    </row>
    <row r="1159" spans="2:12" outlineLevel="2">
      <c r="B1159" s="35">
        <f t="shared" si="36"/>
        <v>694</v>
      </c>
      <c r="C1159" s="41" t="s">
        <v>69</v>
      </c>
      <c r="D1159" s="41" t="s">
        <v>196</v>
      </c>
      <c r="E1159" s="118">
        <v>27631</v>
      </c>
      <c r="F1159" s="250"/>
      <c r="G1159" s="41"/>
      <c r="H1159" s="41"/>
      <c r="I1159" s="211">
        <v>44858</v>
      </c>
      <c r="J1159" s="41"/>
      <c r="K1159" s="214">
        <v>17</v>
      </c>
      <c r="L1159" s="213">
        <v>3064</v>
      </c>
    </row>
    <row r="1160" spans="2:12" outlineLevel="2">
      <c r="B1160" s="35">
        <f t="shared" si="36"/>
        <v>695</v>
      </c>
      <c r="C1160" s="41" t="s">
        <v>69</v>
      </c>
      <c r="D1160" s="41" t="s">
        <v>196</v>
      </c>
      <c r="E1160" s="118">
        <v>113506</v>
      </c>
      <c r="F1160" s="250"/>
      <c r="G1160" s="41"/>
      <c r="H1160" s="41"/>
      <c r="I1160" s="211">
        <v>44858</v>
      </c>
      <c r="J1160" s="41"/>
      <c r="K1160" s="241">
        <v>38</v>
      </c>
      <c r="L1160" s="213">
        <v>3068</v>
      </c>
    </row>
    <row r="1161" spans="2:12" outlineLevel="2">
      <c r="B1161" s="35">
        <f t="shared" si="36"/>
        <v>696</v>
      </c>
      <c r="C1161" s="41" t="s">
        <v>69</v>
      </c>
      <c r="D1161" s="41" t="s">
        <v>196</v>
      </c>
      <c r="E1161" s="118">
        <v>9634602</v>
      </c>
      <c r="F1161" s="250"/>
      <c r="G1161" s="41"/>
      <c r="H1161" s="41"/>
      <c r="I1161" s="211">
        <v>44858</v>
      </c>
      <c r="J1161" s="41"/>
      <c r="K1161" s="214">
        <v>26</v>
      </c>
      <c r="L1161" s="213">
        <v>3071</v>
      </c>
    </row>
    <row r="1162" spans="2:12" outlineLevel="2">
      <c r="B1162" s="35">
        <f t="shared" si="36"/>
        <v>697</v>
      </c>
      <c r="C1162" s="41" t="s">
        <v>69</v>
      </c>
      <c r="D1162" s="41" t="s">
        <v>196</v>
      </c>
      <c r="E1162" s="118">
        <v>5824</v>
      </c>
      <c r="F1162" s="250"/>
      <c r="G1162" s="41"/>
      <c r="H1162" s="41"/>
      <c r="I1162" s="211">
        <v>44747</v>
      </c>
      <c r="J1162" s="41"/>
      <c r="K1162" s="248" t="s">
        <v>199</v>
      </c>
      <c r="L1162" s="213">
        <v>3080</v>
      </c>
    </row>
    <row r="1163" spans="2:12" outlineLevel="2">
      <c r="B1163" s="35">
        <f t="shared" si="36"/>
        <v>698</v>
      </c>
      <c r="C1163" s="41" t="s">
        <v>69</v>
      </c>
      <c r="D1163" s="41" t="s">
        <v>196</v>
      </c>
      <c r="E1163" s="118">
        <v>63674</v>
      </c>
      <c r="F1163" s="250"/>
      <c r="G1163" s="41"/>
      <c r="H1163" s="41"/>
      <c r="I1163" s="211">
        <v>44859</v>
      </c>
      <c r="J1163" s="41"/>
      <c r="K1163" s="214">
        <v>22</v>
      </c>
      <c r="L1163" s="213">
        <v>3086</v>
      </c>
    </row>
    <row r="1164" spans="2:12" outlineLevel="2">
      <c r="B1164" s="35">
        <f t="shared" si="36"/>
        <v>699</v>
      </c>
      <c r="C1164" s="41" t="s">
        <v>69</v>
      </c>
      <c r="D1164" s="41" t="s">
        <v>196</v>
      </c>
      <c r="E1164" s="118">
        <v>161642</v>
      </c>
      <c r="F1164" s="118"/>
      <c r="G1164" s="41"/>
      <c r="H1164" s="41"/>
      <c r="I1164" s="211">
        <v>44859</v>
      </c>
      <c r="J1164" s="41"/>
      <c r="K1164" s="214">
        <v>42</v>
      </c>
      <c r="L1164" s="213">
        <v>3132</v>
      </c>
    </row>
    <row r="1165" spans="2:12" outlineLevel="2">
      <c r="B1165" s="35">
        <f t="shared" si="36"/>
        <v>700</v>
      </c>
      <c r="C1165" s="41" t="s">
        <v>69</v>
      </c>
      <c r="D1165" s="41" t="s">
        <v>196</v>
      </c>
      <c r="E1165" s="118">
        <v>7948</v>
      </c>
      <c r="F1165" s="250"/>
      <c r="G1165" s="41"/>
      <c r="H1165" s="41"/>
      <c r="I1165" s="211">
        <v>44859</v>
      </c>
      <c r="J1165" s="41"/>
      <c r="K1165" s="214">
        <v>22</v>
      </c>
      <c r="L1165" s="213">
        <v>3139</v>
      </c>
    </row>
    <row r="1166" spans="2:12" outlineLevel="2">
      <c r="B1166" s="35">
        <f t="shared" si="36"/>
        <v>701</v>
      </c>
      <c r="C1166" s="41" t="s">
        <v>69</v>
      </c>
      <c r="D1166" s="41" t="s">
        <v>196</v>
      </c>
      <c r="E1166" s="118">
        <v>7949</v>
      </c>
      <c r="F1166" s="250"/>
      <c r="G1166" s="41"/>
      <c r="H1166" s="41"/>
      <c r="I1166" s="211">
        <v>44859</v>
      </c>
      <c r="J1166" s="41"/>
      <c r="K1166" s="214">
        <v>25</v>
      </c>
      <c r="L1166" s="213">
        <v>3140</v>
      </c>
    </row>
    <row r="1167" spans="2:12" outlineLevel="2">
      <c r="B1167" s="35">
        <f t="shared" si="36"/>
        <v>702</v>
      </c>
      <c r="C1167" s="41" t="s">
        <v>69</v>
      </c>
      <c r="D1167" s="41" t="s">
        <v>196</v>
      </c>
      <c r="E1167" s="118">
        <v>7950</v>
      </c>
      <c r="F1167" s="250"/>
      <c r="G1167" s="41"/>
      <c r="H1167" s="41"/>
      <c r="I1167" s="211">
        <v>44859</v>
      </c>
      <c r="J1167" s="41"/>
      <c r="K1167" s="214">
        <v>25</v>
      </c>
      <c r="L1167" s="213">
        <v>3141</v>
      </c>
    </row>
    <row r="1168" spans="2:12" outlineLevel="2">
      <c r="B1168" s="35">
        <f t="shared" si="36"/>
        <v>703</v>
      </c>
      <c r="C1168" s="41" t="s">
        <v>69</v>
      </c>
      <c r="D1168" s="41" t="s">
        <v>196</v>
      </c>
      <c r="E1168" s="118">
        <v>7954</v>
      </c>
      <c r="F1168" s="118"/>
      <c r="G1168" s="41"/>
      <c r="H1168" s="41"/>
      <c r="I1168" s="211">
        <v>44826</v>
      </c>
      <c r="J1168" s="41"/>
      <c r="K1168" s="214">
        <v>9</v>
      </c>
      <c r="L1168" s="213">
        <v>3157</v>
      </c>
    </row>
    <row r="1169" spans="2:12" outlineLevel="2">
      <c r="B1169" s="35">
        <f t="shared" si="36"/>
        <v>704</v>
      </c>
      <c r="C1169" s="41" t="s">
        <v>69</v>
      </c>
      <c r="D1169" s="41" t="s">
        <v>196</v>
      </c>
      <c r="E1169" s="118">
        <v>756947</v>
      </c>
      <c r="F1169" s="118"/>
      <c r="G1169" s="41"/>
      <c r="H1169" s="41"/>
      <c r="I1169" s="211">
        <v>44704</v>
      </c>
      <c r="J1169" s="41"/>
      <c r="K1169" s="241">
        <v>15</v>
      </c>
      <c r="L1169" s="213">
        <v>3172</v>
      </c>
    </row>
    <row r="1170" spans="2:12" outlineLevel="2">
      <c r="B1170" s="35">
        <f t="shared" si="36"/>
        <v>705</v>
      </c>
      <c r="C1170" s="41" t="s">
        <v>69</v>
      </c>
      <c r="D1170" s="41" t="s">
        <v>196</v>
      </c>
      <c r="E1170" s="118" t="s">
        <v>472</v>
      </c>
      <c r="F1170" s="118"/>
      <c r="G1170" s="41"/>
      <c r="H1170" s="41"/>
      <c r="I1170" s="212">
        <v>44868</v>
      </c>
      <c r="J1170" s="41"/>
      <c r="K1170" s="248" t="s">
        <v>199</v>
      </c>
      <c r="L1170" s="213">
        <v>5312</v>
      </c>
    </row>
    <row r="1171" spans="2:12" outlineLevel="2">
      <c r="B1171" s="35">
        <f t="shared" si="36"/>
        <v>706</v>
      </c>
      <c r="C1171" s="41" t="s">
        <v>69</v>
      </c>
      <c r="D1171" s="41" t="s">
        <v>196</v>
      </c>
      <c r="E1171" s="118">
        <v>130284</v>
      </c>
      <c r="F1171" s="118"/>
      <c r="G1171" s="41"/>
      <c r="H1171" s="41"/>
      <c r="I1171" s="212">
        <v>44868</v>
      </c>
      <c r="J1171" s="41"/>
      <c r="K1171" s="120">
        <v>25</v>
      </c>
      <c r="L1171" s="213">
        <v>5341</v>
      </c>
    </row>
    <row r="1172" spans="2:12" outlineLevel="2">
      <c r="B1172" s="35">
        <f t="shared" si="36"/>
        <v>707</v>
      </c>
      <c r="C1172" s="41" t="s">
        <v>69</v>
      </c>
      <c r="D1172" s="41" t="s">
        <v>196</v>
      </c>
      <c r="E1172" s="118">
        <v>187025</v>
      </c>
      <c r="F1172" s="118"/>
      <c r="G1172" s="41"/>
      <c r="H1172" s="41"/>
      <c r="I1172" s="212">
        <v>44868</v>
      </c>
      <c r="J1172" s="41"/>
      <c r="K1172" s="248" t="s">
        <v>199</v>
      </c>
      <c r="L1172" s="213">
        <v>5357</v>
      </c>
    </row>
    <row r="1173" spans="2:12" outlineLevel="2">
      <c r="B1173" s="35">
        <f t="shared" si="36"/>
        <v>708</v>
      </c>
      <c r="C1173" s="41" t="s">
        <v>69</v>
      </c>
      <c r="D1173" s="41" t="s">
        <v>196</v>
      </c>
      <c r="E1173" s="118">
        <v>2630855</v>
      </c>
      <c r="F1173" s="118"/>
      <c r="G1173" s="41"/>
      <c r="H1173" s="41"/>
      <c r="I1173" s="212">
        <v>44799</v>
      </c>
      <c r="J1173" s="41"/>
      <c r="K1173" s="248" t="s">
        <v>199</v>
      </c>
      <c r="L1173" s="213">
        <v>5374</v>
      </c>
    </row>
    <row r="1174" spans="2:12" outlineLevel="2">
      <c r="B1174" s="35">
        <f t="shared" si="36"/>
        <v>709</v>
      </c>
      <c r="C1174" s="41" t="s">
        <v>69</v>
      </c>
      <c r="D1174" s="41" t="s">
        <v>196</v>
      </c>
      <c r="E1174" s="118">
        <v>756474</v>
      </c>
      <c r="F1174" s="118"/>
      <c r="G1174" s="41"/>
      <c r="H1174" s="41"/>
      <c r="I1174" s="212">
        <v>44866</v>
      </c>
      <c r="J1174" s="41"/>
      <c r="K1174" s="120">
        <v>31</v>
      </c>
      <c r="L1174" s="213">
        <v>6290</v>
      </c>
    </row>
    <row r="1175" spans="2:12" outlineLevel="2">
      <c r="B1175" s="35">
        <f t="shared" si="36"/>
        <v>710</v>
      </c>
      <c r="C1175" s="41" t="s">
        <v>69</v>
      </c>
      <c r="D1175" s="41" t="s">
        <v>196</v>
      </c>
      <c r="E1175" s="118">
        <v>265914</v>
      </c>
      <c r="F1175" s="118"/>
      <c r="G1175" s="41"/>
      <c r="H1175" s="41"/>
      <c r="I1175" s="212">
        <v>44866</v>
      </c>
      <c r="J1175" s="41"/>
      <c r="K1175" s="120">
        <v>12</v>
      </c>
      <c r="L1175" s="213">
        <v>6302</v>
      </c>
    </row>
    <row r="1176" spans="2:12" outlineLevel="2">
      <c r="B1176" s="35">
        <f t="shared" si="36"/>
        <v>711</v>
      </c>
      <c r="C1176" s="41" t="s">
        <v>69</v>
      </c>
      <c r="D1176" s="41" t="s">
        <v>196</v>
      </c>
      <c r="E1176" s="118">
        <v>369702</v>
      </c>
      <c r="F1176" s="118"/>
      <c r="G1176" s="41"/>
      <c r="H1176" s="41"/>
      <c r="I1176" s="212">
        <v>44791</v>
      </c>
      <c r="J1176" s="41"/>
      <c r="K1176" s="248" t="s">
        <v>199</v>
      </c>
      <c r="L1176" s="213">
        <v>6331</v>
      </c>
    </row>
    <row r="1177" spans="2:12" outlineLevel="2">
      <c r="B1177" s="35">
        <f t="shared" si="36"/>
        <v>712</v>
      </c>
      <c r="C1177" s="41" t="s">
        <v>69</v>
      </c>
      <c r="D1177" s="41" t="s">
        <v>196</v>
      </c>
      <c r="E1177" s="118">
        <v>529156</v>
      </c>
      <c r="F1177" s="118"/>
      <c r="G1177" s="41"/>
      <c r="H1177" s="41"/>
      <c r="I1177" s="212">
        <v>44791</v>
      </c>
      <c r="J1177" s="41"/>
      <c r="K1177" s="248" t="s">
        <v>199</v>
      </c>
      <c r="L1177" s="213">
        <v>6353</v>
      </c>
    </row>
    <row r="1178" spans="2:12" outlineLevel="2">
      <c r="B1178" s="35">
        <f t="shared" si="36"/>
        <v>713</v>
      </c>
      <c r="C1178" s="41" t="s">
        <v>69</v>
      </c>
      <c r="D1178" s="41" t="s">
        <v>196</v>
      </c>
      <c r="E1178" s="118">
        <v>1201932</v>
      </c>
      <c r="F1178" s="118"/>
      <c r="G1178" s="41"/>
      <c r="H1178" s="41"/>
      <c r="I1178" s="212">
        <v>44865</v>
      </c>
      <c r="J1178" s="41"/>
      <c r="K1178" s="120">
        <v>18</v>
      </c>
      <c r="L1178" s="213">
        <v>6373</v>
      </c>
    </row>
    <row r="1179" spans="2:12" outlineLevel="2">
      <c r="B1179" s="35">
        <f t="shared" si="36"/>
        <v>714</v>
      </c>
      <c r="C1179" s="41" t="s">
        <v>69</v>
      </c>
      <c r="D1179" s="41" t="s">
        <v>196</v>
      </c>
      <c r="E1179" s="118">
        <v>4164784</v>
      </c>
      <c r="F1179" s="118"/>
      <c r="G1179" s="41"/>
      <c r="H1179" s="41"/>
      <c r="I1179" s="212">
        <v>44862</v>
      </c>
      <c r="J1179" s="41"/>
      <c r="K1179" s="120">
        <v>10</v>
      </c>
      <c r="L1179" s="213">
        <v>6683</v>
      </c>
    </row>
    <row r="1180" spans="2:12" outlineLevel="2">
      <c r="B1180" s="35">
        <f t="shared" si="36"/>
        <v>715</v>
      </c>
      <c r="C1180" s="41" t="s">
        <v>69</v>
      </c>
      <c r="D1180" s="41" t="s">
        <v>196</v>
      </c>
      <c r="E1180" s="118">
        <v>745152</v>
      </c>
      <c r="F1180" s="250"/>
      <c r="G1180" s="41"/>
      <c r="H1180" s="41"/>
      <c r="I1180" s="211">
        <v>44862</v>
      </c>
      <c r="J1180" s="41"/>
      <c r="K1180" s="214">
        <v>21</v>
      </c>
      <c r="L1180" s="213">
        <v>6707</v>
      </c>
    </row>
    <row r="1181" spans="2:12" outlineLevel="2">
      <c r="B1181" s="35">
        <f t="shared" si="36"/>
        <v>716</v>
      </c>
      <c r="C1181" s="41" t="s">
        <v>69</v>
      </c>
      <c r="D1181" s="41" t="s">
        <v>196</v>
      </c>
      <c r="E1181" s="118">
        <v>4998</v>
      </c>
      <c r="F1181" s="250"/>
      <c r="G1181" s="41"/>
      <c r="H1181" s="41"/>
      <c r="I1181" s="211">
        <v>44862</v>
      </c>
      <c r="J1181" s="41"/>
      <c r="K1181" s="214">
        <v>31</v>
      </c>
      <c r="L1181" s="213">
        <v>6728</v>
      </c>
    </row>
    <row r="1182" spans="2:12" outlineLevel="2">
      <c r="B1182" s="35">
        <f t="shared" si="36"/>
        <v>717</v>
      </c>
      <c r="C1182" s="41" t="s">
        <v>69</v>
      </c>
      <c r="D1182" s="41" t="s">
        <v>196</v>
      </c>
      <c r="E1182" s="118">
        <v>36987</v>
      </c>
      <c r="F1182" s="118"/>
      <c r="G1182" s="41"/>
      <c r="H1182" s="41"/>
      <c r="I1182" s="212">
        <v>44862</v>
      </c>
      <c r="J1182" s="41"/>
      <c r="K1182" s="120">
        <v>25</v>
      </c>
      <c r="L1182" s="213">
        <v>6798</v>
      </c>
    </row>
    <row r="1183" spans="2:12" outlineLevel="2">
      <c r="B1183" s="35">
        <f t="shared" si="36"/>
        <v>718</v>
      </c>
      <c r="C1183" s="41" t="s">
        <v>69</v>
      </c>
      <c r="D1183" s="41" t="s">
        <v>196</v>
      </c>
      <c r="E1183" s="118">
        <v>234</v>
      </c>
      <c r="F1183" s="118"/>
      <c r="G1183" s="41"/>
      <c r="H1183" s="41"/>
      <c r="I1183" s="212">
        <v>44862</v>
      </c>
      <c r="J1183" s="41"/>
      <c r="K1183" s="120">
        <v>33</v>
      </c>
      <c r="L1183" s="213">
        <v>6806</v>
      </c>
    </row>
    <row r="1184" spans="2:12" outlineLevel="2">
      <c r="B1184" s="35">
        <f t="shared" si="36"/>
        <v>719</v>
      </c>
      <c r="C1184" s="41" t="s">
        <v>69</v>
      </c>
      <c r="D1184" s="41" t="s">
        <v>196</v>
      </c>
      <c r="E1184" s="118">
        <v>252834</v>
      </c>
      <c r="F1184" s="118"/>
      <c r="G1184" s="41"/>
      <c r="H1184" s="41"/>
      <c r="I1184" s="212">
        <v>44802</v>
      </c>
      <c r="J1184" s="41"/>
      <c r="K1184" s="248" t="s">
        <v>199</v>
      </c>
      <c r="L1184" s="213">
        <v>6835</v>
      </c>
    </row>
    <row r="1185" spans="2:12" outlineLevel="2">
      <c r="B1185" s="35">
        <f t="shared" si="36"/>
        <v>720</v>
      </c>
      <c r="C1185" s="41" t="s">
        <v>69</v>
      </c>
      <c r="D1185" s="41" t="s">
        <v>196</v>
      </c>
      <c r="E1185" s="118" t="s">
        <v>473</v>
      </c>
      <c r="F1185" s="118"/>
      <c r="G1185" s="41"/>
      <c r="H1185" s="41"/>
      <c r="I1185" s="212">
        <v>44862</v>
      </c>
      <c r="J1185" s="41"/>
      <c r="K1185" s="120">
        <v>22</v>
      </c>
      <c r="L1185" s="213">
        <v>6883</v>
      </c>
    </row>
    <row r="1186" spans="2:12" outlineLevel="2">
      <c r="B1186" s="35">
        <f t="shared" si="36"/>
        <v>721</v>
      </c>
      <c r="C1186" s="41" t="s">
        <v>69</v>
      </c>
      <c r="D1186" s="41" t="s">
        <v>196</v>
      </c>
      <c r="E1186" s="118">
        <v>504112</v>
      </c>
      <c r="F1186" s="250"/>
      <c r="G1186" s="41"/>
      <c r="H1186" s="41"/>
      <c r="I1186" s="211">
        <v>44785</v>
      </c>
      <c r="J1186" s="41"/>
      <c r="K1186" s="214">
        <v>12</v>
      </c>
      <c r="L1186" s="213">
        <v>6890</v>
      </c>
    </row>
    <row r="1187" spans="2:12" outlineLevel="2">
      <c r="B1187" s="35">
        <f t="shared" si="36"/>
        <v>722</v>
      </c>
      <c r="C1187" s="41" t="s">
        <v>69</v>
      </c>
      <c r="D1187" s="41" t="s">
        <v>196</v>
      </c>
      <c r="E1187" s="118">
        <v>27832</v>
      </c>
      <c r="F1187" s="250"/>
      <c r="G1187" s="41"/>
      <c r="H1187" s="41"/>
      <c r="I1187" s="211">
        <v>44785</v>
      </c>
      <c r="J1187" s="41"/>
      <c r="K1187" s="214">
        <v>31</v>
      </c>
      <c r="L1187" s="213">
        <v>6892</v>
      </c>
    </row>
    <row r="1188" spans="2:12" outlineLevel="2">
      <c r="B1188" s="35">
        <f t="shared" si="36"/>
        <v>723</v>
      </c>
      <c r="C1188" s="41" t="s">
        <v>69</v>
      </c>
      <c r="D1188" s="41" t="s">
        <v>196</v>
      </c>
      <c r="E1188" s="118">
        <v>30280</v>
      </c>
      <c r="F1188" s="250"/>
      <c r="G1188" s="41"/>
      <c r="H1188" s="41"/>
      <c r="I1188" s="211">
        <v>44862</v>
      </c>
      <c r="J1188" s="41"/>
      <c r="K1188" s="214">
        <v>6</v>
      </c>
      <c r="L1188" s="213">
        <v>6900</v>
      </c>
    </row>
    <row r="1189" spans="2:12" outlineLevel="2">
      <c r="B1189" s="35">
        <f t="shared" si="36"/>
        <v>724</v>
      </c>
      <c r="C1189" s="41" t="s">
        <v>69</v>
      </c>
      <c r="D1189" s="41" t="s">
        <v>196</v>
      </c>
      <c r="E1189" s="118">
        <v>17127</v>
      </c>
      <c r="F1189" s="118"/>
      <c r="G1189" s="41"/>
      <c r="H1189" s="41"/>
      <c r="I1189" s="212">
        <v>44861</v>
      </c>
      <c r="J1189" s="41"/>
      <c r="K1189" s="120">
        <v>12</v>
      </c>
      <c r="L1189" s="213">
        <v>6913</v>
      </c>
    </row>
    <row r="1190" spans="2:12" outlineLevel="2">
      <c r="B1190" s="35">
        <f t="shared" si="36"/>
        <v>725</v>
      </c>
      <c r="C1190" s="41" t="s">
        <v>69</v>
      </c>
      <c r="D1190" s="41" t="s">
        <v>196</v>
      </c>
      <c r="E1190" s="118">
        <v>6889</v>
      </c>
      <c r="F1190" s="118"/>
      <c r="G1190" s="41"/>
      <c r="H1190" s="41"/>
      <c r="I1190" s="212">
        <v>44861</v>
      </c>
      <c r="J1190" s="41"/>
      <c r="K1190" s="120">
        <v>29</v>
      </c>
      <c r="L1190" s="213">
        <v>6916</v>
      </c>
    </row>
    <row r="1191" spans="2:12" outlineLevel="2">
      <c r="B1191" s="35">
        <f t="shared" si="36"/>
        <v>726</v>
      </c>
      <c r="C1191" s="41" t="s">
        <v>69</v>
      </c>
      <c r="D1191" s="41" t="s">
        <v>196</v>
      </c>
      <c r="E1191" s="118">
        <v>23176</v>
      </c>
      <c r="F1191" s="118"/>
      <c r="G1191" s="41"/>
      <c r="H1191" s="41"/>
      <c r="I1191" s="212">
        <v>44802</v>
      </c>
      <c r="J1191" s="41"/>
      <c r="K1191" s="248" t="s">
        <v>199</v>
      </c>
      <c r="L1191" s="213">
        <v>6929</v>
      </c>
    </row>
    <row r="1192" spans="2:12" outlineLevel="2">
      <c r="B1192" s="35">
        <f t="shared" si="36"/>
        <v>727</v>
      </c>
      <c r="C1192" s="41" t="s">
        <v>69</v>
      </c>
      <c r="D1192" s="41" t="s">
        <v>196</v>
      </c>
      <c r="E1192" s="118">
        <v>2387</v>
      </c>
      <c r="F1192" s="118"/>
      <c r="G1192" s="41"/>
      <c r="H1192" s="41"/>
      <c r="I1192" s="212">
        <v>44771</v>
      </c>
      <c r="J1192" s="41"/>
      <c r="K1192" s="120">
        <v>9</v>
      </c>
      <c r="L1192" s="213">
        <v>6942</v>
      </c>
    </row>
    <row r="1193" spans="2:12" outlineLevel="2">
      <c r="B1193" s="35">
        <f t="shared" si="36"/>
        <v>728</v>
      </c>
      <c r="C1193" s="41" t="s">
        <v>69</v>
      </c>
      <c r="D1193" s="41" t="s">
        <v>196</v>
      </c>
      <c r="E1193" s="118">
        <v>8049</v>
      </c>
      <c r="F1193" s="118"/>
      <c r="G1193" s="41"/>
      <c r="H1193" s="41"/>
      <c r="I1193" s="212">
        <v>44861</v>
      </c>
      <c r="J1193" s="41"/>
      <c r="K1193" s="120">
        <v>37</v>
      </c>
      <c r="L1193" s="213">
        <v>6950</v>
      </c>
    </row>
    <row r="1194" spans="2:12" outlineLevel="2">
      <c r="B1194" s="35">
        <f t="shared" si="36"/>
        <v>729</v>
      </c>
      <c r="C1194" s="41" t="s">
        <v>69</v>
      </c>
      <c r="D1194" s="41" t="s">
        <v>196</v>
      </c>
      <c r="E1194" s="118">
        <v>0</v>
      </c>
      <c r="F1194" s="118"/>
      <c r="G1194" s="41"/>
      <c r="H1194" s="41"/>
      <c r="I1194" s="212">
        <v>44860</v>
      </c>
      <c r="J1194" s="41"/>
      <c r="K1194" s="120">
        <v>31</v>
      </c>
      <c r="L1194" s="213">
        <v>7123</v>
      </c>
    </row>
    <row r="1195" spans="2:12" outlineLevel="2">
      <c r="B1195" s="35">
        <f t="shared" si="36"/>
        <v>730</v>
      </c>
      <c r="C1195" s="41" t="s">
        <v>69</v>
      </c>
      <c r="D1195" s="41" t="s">
        <v>196</v>
      </c>
      <c r="E1195" s="118">
        <v>34801</v>
      </c>
      <c r="F1195" s="118"/>
      <c r="G1195" s="41"/>
      <c r="H1195" s="41"/>
      <c r="I1195" s="212">
        <v>44859</v>
      </c>
      <c r="J1195" s="41"/>
      <c r="K1195" s="120">
        <v>46</v>
      </c>
      <c r="L1195" s="213">
        <v>7416</v>
      </c>
    </row>
    <row r="1196" spans="2:12" outlineLevel="2">
      <c r="B1196" s="35">
        <f t="shared" si="36"/>
        <v>731</v>
      </c>
      <c r="C1196" s="41" t="s">
        <v>69</v>
      </c>
      <c r="D1196" s="41" t="s">
        <v>196</v>
      </c>
      <c r="E1196" s="118">
        <v>9224676</v>
      </c>
      <c r="F1196" s="118"/>
      <c r="G1196" s="41"/>
      <c r="H1196" s="41"/>
      <c r="I1196" s="212">
        <v>44859</v>
      </c>
      <c r="J1196" s="41"/>
      <c r="K1196" s="120">
        <v>28</v>
      </c>
      <c r="L1196" s="213">
        <v>7432</v>
      </c>
    </row>
    <row r="1197" spans="2:12" outlineLevel="2">
      <c r="B1197" s="35">
        <f t="shared" si="36"/>
        <v>732</v>
      </c>
      <c r="C1197" s="41" t="s">
        <v>69</v>
      </c>
      <c r="D1197" s="41" t="s">
        <v>196</v>
      </c>
      <c r="E1197" s="118">
        <v>33101</v>
      </c>
      <c r="F1197" s="118"/>
      <c r="G1197" s="41"/>
      <c r="H1197" s="41"/>
      <c r="I1197" s="212">
        <v>44859</v>
      </c>
      <c r="J1197" s="41"/>
      <c r="K1197" s="120">
        <v>19</v>
      </c>
      <c r="L1197" s="213">
        <v>7433</v>
      </c>
    </row>
    <row r="1198" spans="2:12" outlineLevel="2">
      <c r="B1198" s="35">
        <f t="shared" si="36"/>
        <v>733</v>
      </c>
      <c r="C1198" s="41" t="s">
        <v>69</v>
      </c>
      <c r="D1198" s="41" t="s">
        <v>196</v>
      </c>
      <c r="E1198" s="118">
        <v>73852</v>
      </c>
      <c r="F1198" s="118"/>
      <c r="G1198" s="41"/>
      <c r="H1198" s="41"/>
      <c r="I1198" s="212">
        <v>44858</v>
      </c>
      <c r="J1198" s="41"/>
      <c r="K1198" s="120">
        <v>4</v>
      </c>
      <c r="L1198" s="213">
        <v>7476</v>
      </c>
    </row>
    <row r="1199" spans="2:12" outlineLevel="2">
      <c r="B1199" s="35">
        <f t="shared" si="36"/>
        <v>734</v>
      </c>
      <c r="C1199" s="41" t="s">
        <v>69</v>
      </c>
      <c r="D1199" s="41" t="s">
        <v>196</v>
      </c>
      <c r="E1199" s="118">
        <v>279606</v>
      </c>
      <c r="F1199" s="118"/>
      <c r="G1199" s="41"/>
      <c r="H1199" s="41"/>
      <c r="I1199" s="212">
        <v>44830</v>
      </c>
      <c r="J1199" s="41"/>
      <c r="K1199" s="213">
        <v>18</v>
      </c>
      <c r="L1199" s="213">
        <v>7947</v>
      </c>
    </row>
    <row r="1200" spans="2:12" outlineLevel="2">
      <c r="B1200" s="35">
        <f t="shared" si="36"/>
        <v>735</v>
      </c>
      <c r="C1200" s="41" t="s">
        <v>69</v>
      </c>
      <c r="D1200" s="41" t="s">
        <v>196</v>
      </c>
      <c r="E1200" s="118">
        <v>33137</v>
      </c>
      <c r="F1200" s="118"/>
      <c r="G1200" s="41"/>
      <c r="H1200" s="41"/>
      <c r="I1200" s="212">
        <v>44830</v>
      </c>
      <c r="J1200" s="41"/>
      <c r="K1200" s="120">
        <v>33</v>
      </c>
      <c r="L1200" s="213">
        <v>7948</v>
      </c>
    </row>
    <row r="1201" spans="2:12" outlineLevel="2">
      <c r="B1201" s="35">
        <f t="shared" si="36"/>
        <v>736</v>
      </c>
      <c r="C1201" s="41" t="s">
        <v>69</v>
      </c>
      <c r="D1201" s="41" t="s">
        <v>196</v>
      </c>
      <c r="E1201" s="118">
        <v>8023</v>
      </c>
      <c r="F1201" s="118"/>
      <c r="G1201" s="41"/>
      <c r="H1201" s="41"/>
      <c r="I1201" s="212">
        <v>44830</v>
      </c>
      <c r="J1201" s="41"/>
      <c r="K1201" s="213">
        <v>29</v>
      </c>
      <c r="L1201" s="213">
        <v>7986</v>
      </c>
    </row>
    <row r="1202" spans="2:12" outlineLevel="2">
      <c r="B1202" s="35">
        <f t="shared" si="36"/>
        <v>737</v>
      </c>
      <c r="C1202" s="41" t="s">
        <v>69</v>
      </c>
      <c r="D1202" s="41" t="s">
        <v>196</v>
      </c>
      <c r="E1202" s="118">
        <v>102207</v>
      </c>
      <c r="F1202" s="118"/>
      <c r="G1202" s="41"/>
      <c r="H1202" s="41"/>
      <c r="I1202" s="212">
        <v>44830</v>
      </c>
      <c r="J1202" s="41"/>
      <c r="K1202" s="213">
        <v>44</v>
      </c>
      <c r="L1202" s="213">
        <v>7999</v>
      </c>
    </row>
    <row r="1203" spans="2:12" outlineLevel="2">
      <c r="B1203" s="35">
        <f t="shared" si="36"/>
        <v>738</v>
      </c>
      <c r="C1203" s="41" t="s">
        <v>69</v>
      </c>
      <c r="D1203" s="41" t="s">
        <v>196</v>
      </c>
      <c r="E1203" s="118">
        <v>159093</v>
      </c>
      <c r="F1203" s="118"/>
      <c r="G1203" s="41"/>
      <c r="H1203" s="41"/>
      <c r="I1203" s="212">
        <v>44806</v>
      </c>
      <c r="J1203" s="41"/>
      <c r="K1203" s="213">
        <v>40</v>
      </c>
      <c r="L1203" s="213">
        <v>8014</v>
      </c>
    </row>
    <row r="1204" spans="2:12" outlineLevel="2">
      <c r="B1204" s="35">
        <f t="shared" si="36"/>
        <v>739</v>
      </c>
      <c r="C1204" s="41" t="s">
        <v>69</v>
      </c>
      <c r="D1204" s="41" t="s">
        <v>196</v>
      </c>
      <c r="E1204" s="118">
        <v>8016</v>
      </c>
      <c r="F1204" s="118"/>
      <c r="G1204" s="41"/>
      <c r="H1204" s="41"/>
      <c r="I1204" s="212">
        <v>44833</v>
      </c>
      <c r="J1204" s="41"/>
      <c r="K1204" s="213">
        <v>28</v>
      </c>
      <c r="L1204" s="213">
        <v>8019</v>
      </c>
    </row>
    <row r="1205" spans="2:12" outlineLevel="2">
      <c r="B1205" s="35">
        <f t="shared" si="36"/>
        <v>740</v>
      </c>
      <c r="C1205" s="41" t="s">
        <v>69</v>
      </c>
      <c r="D1205" s="41" t="s">
        <v>196</v>
      </c>
      <c r="E1205" s="118">
        <v>9605531</v>
      </c>
      <c r="F1205" s="118"/>
      <c r="G1205" s="41"/>
      <c r="H1205" s="41"/>
      <c r="I1205" s="212">
        <v>44833</v>
      </c>
      <c r="J1205" s="41"/>
      <c r="K1205" s="213">
        <v>35</v>
      </c>
      <c r="L1205" s="213">
        <v>8031</v>
      </c>
    </row>
    <row r="1206" spans="2:12" outlineLevel="2">
      <c r="B1206" s="35">
        <f t="shared" si="36"/>
        <v>741</v>
      </c>
      <c r="C1206" s="41" t="s">
        <v>69</v>
      </c>
      <c r="D1206" s="41" t="s">
        <v>196</v>
      </c>
      <c r="E1206" s="118" t="s">
        <v>474</v>
      </c>
      <c r="F1206" s="118"/>
      <c r="G1206" s="41"/>
      <c r="H1206" s="41"/>
      <c r="I1206" s="212">
        <v>44833</v>
      </c>
      <c r="J1206" s="41"/>
      <c r="K1206" s="120">
        <v>29</v>
      </c>
      <c r="L1206" s="213">
        <v>8033</v>
      </c>
    </row>
    <row r="1207" spans="2:12" outlineLevel="2">
      <c r="B1207" s="35">
        <f t="shared" si="36"/>
        <v>742</v>
      </c>
      <c r="C1207" s="41" t="s">
        <v>69</v>
      </c>
      <c r="D1207" s="41" t="s">
        <v>196</v>
      </c>
      <c r="E1207" s="118">
        <v>357672</v>
      </c>
      <c r="F1207" s="118"/>
      <c r="G1207" s="41"/>
      <c r="H1207" s="41"/>
      <c r="I1207" s="212">
        <v>44833</v>
      </c>
      <c r="J1207" s="41"/>
      <c r="K1207" s="213">
        <v>30</v>
      </c>
      <c r="L1207" s="213">
        <v>8051</v>
      </c>
    </row>
    <row r="1208" spans="2:12" outlineLevel="2">
      <c r="B1208" s="35">
        <f t="shared" si="36"/>
        <v>743</v>
      </c>
      <c r="C1208" s="41" t="s">
        <v>69</v>
      </c>
      <c r="D1208" s="41" t="s">
        <v>196</v>
      </c>
      <c r="E1208" s="118" t="s">
        <v>475</v>
      </c>
      <c r="F1208" s="118"/>
      <c r="G1208" s="41"/>
      <c r="H1208" s="41"/>
      <c r="I1208" s="212">
        <v>44833</v>
      </c>
      <c r="J1208" s="41"/>
      <c r="K1208" s="213">
        <v>40</v>
      </c>
      <c r="L1208" s="213">
        <v>8059</v>
      </c>
    </row>
    <row r="1209" spans="2:12" outlineLevel="2">
      <c r="B1209" s="35">
        <f t="shared" si="36"/>
        <v>744</v>
      </c>
      <c r="C1209" s="41" t="s">
        <v>69</v>
      </c>
      <c r="D1209" s="41" t="s">
        <v>196</v>
      </c>
      <c r="E1209" s="118">
        <v>66583</v>
      </c>
      <c r="F1209" s="118"/>
      <c r="G1209" s="41"/>
      <c r="H1209" s="41"/>
      <c r="I1209" s="212">
        <v>44834</v>
      </c>
      <c r="J1209" s="41"/>
      <c r="K1209" s="120">
        <v>40</v>
      </c>
      <c r="L1209" s="213">
        <v>8330</v>
      </c>
    </row>
    <row r="1210" spans="2:12" outlineLevel="2">
      <c r="B1210" s="35">
        <f t="shared" si="36"/>
        <v>745</v>
      </c>
      <c r="C1210" s="41" t="s">
        <v>69</v>
      </c>
      <c r="D1210" s="41" t="s">
        <v>196</v>
      </c>
      <c r="E1210" s="118">
        <v>464623</v>
      </c>
      <c r="F1210" s="118"/>
      <c r="G1210" s="41"/>
      <c r="H1210" s="41"/>
      <c r="I1210" s="212">
        <v>44837</v>
      </c>
      <c r="J1210" s="41"/>
      <c r="K1210" s="213">
        <v>19</v>
      </c>
      <c r="L1210" s="213">
        <v>8578</v>
      </c>
    </row>
    <row r="1211" spans="2:12" outlineLevel="2">
      <c r="B1211" s="35">
        <f t="shared" si="36"/>
        <v>746</v>
      </c>
      <c r="C1211" s="41" t="s">
        <v>69</v>
      </c>
      <c r="D1211" s="41" t="s">
        <v>196</v>
      </c>
      <c r="E1211" s="118">
        <v>431269</v>
      </c>
      <c r="F1211" s="118"/>
      <c r="G1211" s="41"/>
      <c r="H1211" s="41"/>
      <c r="I1211" s="212">
        <v>44817</v>
      </c>
      <c r="J1211" s="41"/>
      <c r="K1211" s="120">
        <v>17</v>
      </c>
      <c r="L1211" s="213">
        <v>8590</v>
      </c>
    </row>
    <row r="1212" spans="2:12" outlineLevel="2">
      <c r="B1212" s="35">
        <f t="shared" si="36"/>
        <v>747</v>
      </c>
      <c r="C1212" s="41" t="s">
        <v>69</v>
      </c>
      <c r="D1212" s="41" t="s">
        <v>196</v>
      </c>
      <c r="E1212" s="118">
        <v>455423</v>
      </c>
      <c r="F1212" s="118"/>
      <c r="G1212" s="41"/>
      <c r="H1212" s="41"/>
      <c r="I1212" s="212">
        <v>44817</v>
      </c>
      <c r="J1212" s="41"/>
      <c r="K1212" s="248" t="s">
        <v>199</v>
      </c>
      <c r="L1212" s="213">
        <v>8616</v>
      </c>
    </row>
    <row r="1213" spans="2:12" outlineLevel="2">
      <c r="B1213" s="35">
        <f t="shared" si="36"/>
        <v>748</v>
      </c>
      <c r="C1213" s="41" t="s">
        <v>69</v>
      </c>
      <c r="D1213" s="41" t="s">
        <v>196</v>
      </c>
      <c r="E1213" s="118">
        <v>346306</v>
      </c>
      <c r="F1213" s="118"/>
      <c r="G1213" s="41"/>
      <c r="H1213" s="41"/>
      <c r="I1213" s="212">
        <v>44818</v>
      </c>
      <c r="J1213" s="41"/>
      <c r="K1213" s="248" t="s">
        <v>199</v>
      </c>
      <c r="L1213" s="213">
        <v>8638</v>
      </c>
    </row>
    <row r="1214" spans="2:12" outlineLevel="2">
      <c r="B1214" s="35">
        <f t="shared" si="36"/>
        <v>749</v>
      </c>
      <c r="C1214" s="41" t="s">
        <v>69</v>
      </c>
      <c r="D1214" s="41" t="s">
        <v>196</v>
      </c>
      <c r="E1214" s="118">
        <v>179496</v>
      </c>
      <c r="F1214" s="118"/>
      <c r="G1214" s="41"/>
      <c r="H1214" s="41"/>
      <c r="I1214" s="212">
        <v>44818</v>
      </c>
      <c r="J1214" s="41"/>
      <c r="K1214" s="213">
        <v>5</v>
      </c>
      <c r="L1214" s="213">
        <v>8639</v>
      </c>
    </row>
    <row r="1215" spans="2:12" outlineLevel="2">
      <c r="B1215" s="35">
        <f t="shared" ref="B1215:B1278" si="37">(B1214+1)</f>
        <v>750</v>
      </c>
      <c r="C1215" s="41" t="s">
        <v>69</v>
      </c>
      <c r="D1215" s="41" t="s">
        <v>196</v>
      </c>
      <c r="E1215" s="118">
        <v>822543</v>
      </c>
      <c r="F1215" s="118"/>
      <c r="G1215" s="41"/>
      <c r="H1215" s="41"/>
      <c r="I1215" s="212">
        <v>44837</v>
      </c>
      <c r="J1215" s="41"/>
      <c r="K1215" s="120">
        <v>22</v>
      </c>
      <c r="L1215" s="213">
        <v>8651</v>
      </c>
    </row>
    <row r="1216" spans="2:12" outlineLevel="2">
      <c r="B1216" s="35">
        <f t="shared" si="37"/>
        <v>751</v>
      </c>
      <c r="C1216" s="41" t="s">
        <v>69</v>
      </c>
      <c r="D1216" s="41" t="s">
        <v>196</v>
      </c>
      <c r="E1216" s="118">
        <v>13104848</v>
      </c>
      <c r="F1216" s="118"/>
      <c r="G1216" s="41"/>
      <c r="H1216" s="41"/>
      <c r="I1216" s="212">
        <v>44837</v>
      </c>
      <c r="J1216" s="41"/>
      <c r="K1216" s="120">
        <v>31</v>
      </c>
      <c r="L1216" s="213">
        <v>8652</v>
      </c>
    </row>
    <row r="1217" spans="2:12" outlineLevel="2">
      <c r="B1217" s="35">
        <f t="shared" si="37"/>
        <v>752</v>
      </c>
      <c r="C1217" s="41" t="s">
        <v>69</v>
      </c>
      <c r="D1217" s="41" t="s">
        <v>196</v>
      </c>
      <c r="E1217" s="118">
        <v>22653</v>
      </c>
      <c r="F1217" s="118"/>
      <c r="G1217" s="41"/>
      <c r="H1217" s="41"/>
      <c r="I1217" s="212">
        <v>44839</v>
      </c>
      <c r="J1217" s="41"/>
      <c r="K1217" s="213">
        <v>22</v>
      </c>
      <c r="L1217" s="213">
        <v>8709</v>
      </c>
    </row>
    <row r="1218" spans="2:12" outlineLevel="2">
      <c r="B1218" s="35">
        <f t="shared" si="37"/>
        <v>753</v>
      </c>
      <c r="C1218" s="41" t="s">
        <v>69</v>
      </c>
      <c r="D1218" s="41" t="s">
        <v>196</v>
      </c>
      <c r="E1218" s="118">
        <v>228073</v>
      </c>
      <c r="F1218" s="118"/>
      <c r="G1218" s="41"/>
      <c r="H1218" s="41"/>
      <c r="I1218" s="212">
        <v>44839</v>
      </c>
      <c r="J1218" s="41"/>
      <c r="K1218" s="213">
        <v>35</v>
      </c>
      <c r="L1218" s="213">
        <v>8744</v>
      </c>
    </row>
    <row r="1219" spans="2:12" outlineLevel="2">
      <c r="B1219" s="35">
        <f t="shared" si="37"/>
        <v>754</v>
      </c>
      <c r="C1219" s="41" t="s">
        <v>69</v>
      </c>
      <c r="D1219" s="41" t="s">
        <v>196</v>
      </c>
      <c r="E1219" s="118">
        <v>0</v>
      </c>
      <c r="F1219" s="118"/>
      <c r="G1219" s="41"/>
      <c r="H1219" s="41"/>
      <c r="I1219" s="212">
        <v>44839</v>
      </c>
      <c r="J1219" s="41"/>
      <c r="K1219" s="120">
        <v>12</v>
      </c>
      <c r="L1219" s="213">
        <v>8818</v>
      </c>
    </row>
    <row r="1220" spans="2:12" outlineLevel="2">
      <c r="B1220" s="35">
        <f t="shared" si="37"/>
        <v>755</v>
      </c>
      <c r="C1220" s="41" t="s">
        <v>69</v>
      </c>
      <c r="D1220" s="41" t="s">
        <v>196</v>
      </c>
      <c r="E1220" s="118">
        <v>0</v>
      </c>
      <c r="F1220" s="118"/>
      <c r="G1220" s="41"/>
      <c r="H1220" s="41"/>
      <c r="I1220" s="212">
        <v>44839</v>
      </c>
      <c r="J1220" s="41"/>
      <c r="K1220" s="213">
        <v>25</v>
      </c>
      <c r="L1220" s="213">
        <v>8869</v>
      </c>
    </row>
    <row r="1221" spans="2:12" outlineLevel="2">
      <c r="B1221" s="35">
        <f t="shared" si="37"/>
        <v>756</v>
      </c>
      <c r="C1221" s="41" t="s">
        <v>69</v>
      </c>
      <c r="D1221" s="41" t="s">
        <v>196</v>
      </c>
      <c r="E1221" s="118">
        <v>103603</v>
      </c>
      <c r="F1221" s="118"/>
      <c r="G1221" s="41"/>
      <c r="H1221" s="41"/>
      <c r="I1221" s="212">
        <v>44838</v>
      </c>
      <c r="J1221" s="41"/>
      <c r="K1221" s="248" t="s">
        <v>199</v>
      </c>
      <c r="L1221" s="213">
        <v>8909</v>
      </c>
    </row>
    <row r="1222" spans="2:12" outlineLevel="2">
      <c r="B1222" s="35">
        <f t="shared" si="37"/>
        <v>757</v>
      </c>
      <c r="C1222" s="41" t="s">
        <v>69</v>
      </c>
      <c r="D1222" s="41" t="s">
        <v>196</v>
      </c>
      <c r="E1222" s="118">
        <v>27188</v>
      </c>
      <c r="F1222" s="118"/>
      <c r="G1222" s="41"/>
      <c r="H1222" s="41"/>
      <c r="I1222" s="212">
        <v>44840</v>
      </c>
      <c r="J1222" s="41"/>
      <c r="K1222" s="120">
        <v>29</v>
      </c>
      <c r="L1222" s="213">
        <v>8911</v>
      </c>
    </row>
    <row r="1223" spans="2:12" outlineLevel="2">
      <c r="B1223" s="35">
        <f t="shared" si="37"/>
        <v>758</v>
      </c>
      <c r="C1223" s="41" t="s">
        <v>69</v>
      </c>
      <c r="D1223" s="41" t="s">
        <v>196</v>
      </c>
      <c r="E1223" s="118">
        <v>412504</v>
      </c>
      <c r="F1223" s="118"/>
      <c r="G1223" s="41"/>
      <c r="H1223" s="41"/>
      <c r="I1223" s="212">
        <v>44820</v>
      </c>
      <c r="J1223" s="41"/>
      <c r="K1223" s="248" t="s">
        <v>199</v>
      </c>
      <c r="L1223" s="213">
        <v>8969</v>
      </c>
    </row>
    <row r="1224" spans="2:12" outlineLevel="2">
      <c r="B1224" s="35">
        <f t="shared" si="37"/>
        <v>759</v>
      </c>
      <c r="C1224" s="41" t="s">
        <v>69</v>
      </c>
      <c r="D1224" s="41" t="s">
        <v>196</v>
      </c>
      <c r="E1224" s="118">
        <v>47926</v>
      </c>
      <c r="F1224" s="118"/>
      <c r="G1224" s="41"/>
      <c r="H1224" s="41"/>
      <c r="I1224" s="212">
        <v>44840</v>
      </c>
      <c r="J1224" s="41"/>
      <c r="K1224" s="120">
        <v>25</v>
      </c>
      <c r="L1224" s="213">
        <v>8984</v>
      </c>
    </row>
    <row r="1225" spans="2:12" outlineLevel="2">
      <c r="B1225" s="35">
        <f t="shared" si="37"/>
        <v>760</v>
      </c>
      <c r="C1225" s="41" t="s">
        <v>69</v>
      </c>
      <c r="D1225" s="41" t="s">
        <v>196</v>
      </c>
      <c r="E1225" s="118">
        <v>0</v>
      </c>
      <c r="F1225" s="118"/>
      <c r="G1225" s="41"/>
      <c r="H1225" s="41"/>
      <c r="I1225" s="212">
        <v>44840</v>
      </c>
      <c r="J1225" s="41"/>
      <c r="K1225" s="213">
        <v>18</v>
      </c>
      <c r="L1225" s="213">
        <v>8999</v>
      </c>
    </row>
    <row r="1226" spans="2:12" outlineLevel="2">
      <c r="B1226" s="35">
        <f t="shared" si="37"/>
        <v>761</v>
      </c>
      <c r="C1226" s="41" t="s">
        <v>69</v>
      </c>
      <c r="D1226" s="41" t="s">
        <v>196</v>
      </c>
      <c r="E1226" s="118">
        <v>586823</v>
      </c>
      <c r="F1226" s="118"/>
      <c r="G1226" s="41"/>
      <c r="H1226" s="41"/>
      <c r="I1226" s="212">
        <v>44840</v>
      </c>
      <c r="J1226" s="41"/>
      <c r="K1226" s="213" t="s">
        <v>199</v>
      </c>
      <c r="L1226" s="213">
        <v>9011</v>
      </c>
    </row>
    <row r="1227" spans="2:12" outlineLevel="2">
      <c r="B1227" s="35">
        <f t="shared" si="37"/>
        <v>762</v>
      </c>
      <c r="C1227" s="41" t="s">
        <v>69</v>
      </c>
      <c r="D1227" s="41" t="s">
        <v>196</v>
      </c>
      <c r="E1227" s="118">
        <v>0</v>
      </c>
      <c r="F1227" s="118"/>
      <c r="G1227" s="41"/>
      <c r="H1227" s="41"/>
      <c r="I1227" s="212">
        <v>44840</v>
      </c>
      <c r="J1227" s="41"/>
      <c r="K1227" s="213">
        <v>24</v>
      </c>
      <c r="L1227" s="213">
        <v>9055</v>
      </c>
    </row>
    <row r="1228" spans="2:12" outlineLevel="2">
      <c r="B1228" s="35">
        <f t="shared" si="37"/>
        <v>763</v>
      </c>
      <c r="C1228" s="41" t="s">
        <v>69</v>
      </c>
      <c r="D1228" s="41" t="s">
        <v>196</v>
      </c>
      <c r="E1228" s="118">
        <v>790314701</v>
      </c>
      <c r="F1228" s="118"/>
      <c r="G1228" s="41"/>
      <c r="H1228" s="41"/>
      <c r="I1228" s="212">
        <v>44844</v>
      </c>
      <c r="J1228" s="41"/>
      <c r="K1228" s="213">
        <v>31</v>
      </c>
      <c r="L1228" s="213">
        <v>9447</v>
      </c>
    </row>
    <row r="1229" spans="2:12" outlineLevel="2">
      <c r="B1229" s="35">
        <f t="shared" si="37"/>
        <v>764</v>
      </c>
      <c r="C1229" s="41" t="s">
        <v>69</v>
      </c>
      <c r="D1229" s="41" t="s">
        <v>196</v>
      </c>
      <c r="E1229" s="118">
        <v>396902</v>
      </c>
      <c r="F1229" s="118"/>
      <c r="G1229" s="41"/>
      <c r="H1229" s="41"/>
      <c r="I1229" s="212">
        <v>44844</v>
      </c>
      <c r="J1229" s="41"/>
      <c r="K1229" s="248" t="s">
        <v>199</v>
      </c>
      <c r="L1229" s="213">
        <v>9454</v>
      </c>
    </row>
    <row r="1230" spans="2:12" outlineLevel="2">
      <c r="B1230" s="35">
        <f t="shared" si="37"/>
        <v>765</v>
      </c>
      <c r="C1230" s="41" t="s">
        <v>69</v>
      </c>
      <c r="D1230" s="41" t="s">
        <v>196</v>
      </c>
      <c r="E1230" s="118">
        <v>436113</v>
      </c>
      <c r="F1230" s="118"/>
      <c r="G1230" s="41"/>
      <c r="H1230" s="41"/>
      <c r="I1230" s="212">
        <v>44845</v>
      </c>
      <c r="J1230" s="41"/>
      <c r="K1230" s="248" t="s">
        <v>199</v>
      </c>
      <c r="L1230" s="213">
        <v>9494</v>
      </c>
    </row>
    <row r="1231" spans="2:12" outlineLevel="2">
      <c r="B1231" s="35">
        <f t="shared" si="37"/>
        <v>766</v>
      </c>
      <c r="C1231" s="41" t="s">
        <v>69</v>
      </c>
      <c r="D1231" s="41" t="s">
        <v>196</v>
      </c>
      <c r="E1231" s="118">
        <v>141057</v>
      </c>
      <c r="F1231" s="118"/>
      <c r="G1231" s="41"/>
      <c r="H1231" s="41"/>
      <c r="I1231" s="212">
        <v>44838</v>
      </c>
      <c r="J1231" s="41"/>
      <c r="K1231" s="248" t="s">
        <v>199</v>
      </c>
      <c r="L1231" s="213">
        <v>9510</v>
      </c>
    </row>
    <row r="1232" spans="2:12" outlineLevel="2">
      <c r="B1232" s="35">
        <f t="shared" si="37"/>
        <v>767</v>
      </c>
      <c r="C1232" s="41" t="s">
        <v>69</v>
      </c>
      <c r="D1232" s="41" t="s">
        <v>196</v>
      </c>
      <c r="E1232" s="217">
        <v>484181</v>
      </c>
      <c r="F1232" s="215"/>
      <c r="G1232" s="41"/>
      <c r="H1232" s="41"/>
      <c r="I1232" s="211">
        <v>44844</v>
      </c>
      <c r="J1232" s="41"/>
      <c r="K1232" s="214">
        <v>8</v>
      </c>
      <c r="L1232" s="241">
        <v>9808</v>
      </c>
    </row>
    <row r="1233" spans="2:12" outlineLevel="2">
      <c r="B1233" s="35">
        <f t="shared" si="37"/>
        <v>768</v>
      </c>
      <c r="C1233" s="41" t="s">
        <v>69</v>
      </c>
      <c r="D1233" s="41" t="s">
        <v>196</v>
      </c>
      <c r="E1233" s="217">
        <v>0</v>
      </c>
      <c r="F1233" s="215"/>
      <c r="G1233" s="41"/>
      <c r="H1233" s="41"/>
      <c r="I1233" s="211">
        <v>44839</v>
      </c>
      <c r="J1233" s="41"/>
      <c r="K1233" s="214">
        <v>29</v>
      </c>
      <c r="L1233" s="241">
        <v>9816</v>
      </c>
    </row>
    <row r="1234" spans="2:12" outlineLevel="2">
      <c r="B1234" s="35">
        <f t="shared" si="37"/>
        <v>769</v>
      </c>
      <c r="C1234" s="41" t="s">
        <v>69</v>
      </c>
      <c r="D1234" s="41" t="s">
        <v>196</v>
      </c>
      <c r="E1234" s="216">
        <v>74262</v>
      </c>
      <c r="F1234" s="216"/>
      <c r="G1234" s="41"/>
      <c r="H1234" s="41"/>
      <c r="I1234" s="212">
        <v>44733</v>
      </c>
      <c r="J1234" s="41"/>
      <c r="K1234" s="213">
        <v>5</v>
      </c>
      <c r="L1234" s="120">
        <v>10228</v>
      </c>
    </row>
    <row r="1235" spans="2:12" outlineLevel="2">
      <c r="B1235" s="35">
        <f t="shared" si="37"/>
        <v>770</v>
      </c>
      <c r="C1235" s="41" t="s">
        <v>69</v>
      </c>
      <c r="D1235" s="41" t="s">
        <v>196</v>
      </c>
      <c r="E1235" s="216" t="s">
        <v>476</v>
      </c>
      <c r="F1235" s="216"/>
      <c r="G1235" s="41"/>
      <c r="H1235" s="41"/>
      <c r="I1235" s="212">
        <v>44916</v>
      </c>
      <c r="J1235" s="41"/>
      <c r="K1235" s="120">
        <v>26</v>
      </c>
      <c r="L1235" s="120">
        <v>10229</v>
      </c>
    </row>
    <row r="1236" spans="2:12" outlineLevel="2">
      <c r="B1236" s="35">
        <f t="shared" si="37"/>
        <v>771</v>
      </c>
      <c r="C1236" s="41" t="s">
        <v>69</v>
      </c>
      <c r="D1236" s="41" t="s">
        <v>196</v>
      </c>
      <c r="E1236" s="216">
        <v>442045</v>
      </c>
      <c r="F1236" s="216"/>
      <c r="G1236" s="41"/>
      <c r="H1236" s="41"/>
      <c r="I1236" s="212">
        <v>44733</v>
      </c>
      <c r="J1236" s="41"/>
      <c r="K1236" s="120">
        <v>7</v>
      </c>
      <c r="L1236" s="120">
        <v>10248</v>
      </c>
    </row>
    <row r="1237" spans="2:12" outlineLevel="2">
      <c r="B1237" s="35">
        <f t="shared" si="37"/>
        <v>772</v>
      </c>
      <c r="C1237" s="41" t="s">
        <v>69</v>
      </c>
      <c r="D1237" s="41" t="s">
        <v>196</v>
      </c>
      <c r="E1237" s="216" t="s">
        <v>476</v>
      </c>
      <c r="F1237" s="216"/>
      <c r="G1237" s="41"/>
      <c r="H1237" s="41"/>
      <c r="I1237" s="212">
        <v>44916</v>
      </c>
      <c r="J1237" s="41"/>
      <c r="K1237" s="120">
        <v>12</v>
      </c>
      <c r="L1237" s="120">
        <v>10265</v>
      </c>
    </row>
    <row r="1238" spans="2:12" outlineLevel="2">
      <c r="B1238" s="35">
        <f t="shared" si="37"/>
        <v>773</v>
      </c>
      <c r="C1238" s="41" t="s">
        <v>69</v>
      </c>
      <c r="D1238" s="41" t="s">
        <v>196</v>
      </c>
      <c r="E1238" s="216" t="s">
        <v>476</v>
      </c>
      <c r="F1238" s="216"/>
      <c r="G1238" s="41"/>
      <c r="H1238" s="41"/>
      <c r="I1238" s="212">
        <v>44916</v>
      </c>
      <c r="J1238" s="41"/>
      <c r="K1238" s="248" t="s">
        <v>199</v>
      </c>
      <c r="L1238" s="120">
        <v>10271</v>
      </c>
    </row>
    <row r="1239" spans="2:12" outlineLevel="2">
      <c r="B1239" s="35">
        <f t="shared" si="37"/>
        <v>774</v>
      </c>
      <c r="C1239" s="41" t="s">
        <v>69</v>
      </c>
      <c r="D1239" s="41" t="s">
        <v>196</v>
      </c>
      <c r="E1239" s="216" t="s">
        <v>476</v>
      </c>
      <c r="F1239" s="216"/>
      <c r="G1239" s="41"/>
      <c r="H1239" s="41"/>
      <c r="I1239" s="212">
        <v>44916</v>
      </c>
      <c r="J1239" s="41"/>
      <c r="K1239" s="213">
        <v>25</v>
      </c>
      <c r="L1239" s="120">
        <v>10279</v>
      </c>
    </row>
    <row r="1240" spans="2:12" outlineLevel="2">
      <c r="B1240" s="35">
        <f t="shared" si="37"/>
        <v>775</v>
      </c>
      <c r="C1240" s="41" t="s">
        <v>69</v>
      </c>
      <c r="D1240" s="41" t="s">
        <v>196</v>
      </c>
      <c r="E1240" s="216">
        <v>108277</v>
      </c>
      <c r="F1240" s="216"/>
      <c r="G1240" s="41"/>
      <c r="H1240" s="41"/>
      <c r="I1240" s="212">
        <v>44734</v>
      </c>
      <c r="J1240" s="41"/>
      <c r="K1240" s="120">
        <v>10</v>
      </c>
      <c r="L1240" s="120">
        <v>10282</v>
      </c>
    </row>
    <row r="1241" spans="2:12" outlineLevel="2">
      <c r="B1241" s="35">
        <f t="shared" si="37"/>
        <v>776</v>
      </c>
      <c r="C1241" s="41" t="s">
        <v>69</v>
      </c>
      <c r="D1241" s="41" t="s">
        <v>196</v>
      </c>
      <c r="E1241" s="216" t="s">
        <v>476</v>
      </c>
      <c r="F1241" s="216"/>
      <c r="G1241" s="41"/>
      <c r="H1241" s="41"/>
      <c r="I1241" s="212">
        <v>44916</v>
      </c>
      <c r="J1241" s="41"/>
      <c r="K1241" s="213">
        <v>12</v>
      </c>
      <c r="L1241" s="120">
        <v>10283</v>
      </c>
    </row>
    <row r="1242" spans="2:12" outlineLevel="2">
      <c r="B1242" s="35">
        <f t="shared" si="37"/>
        <v>777</v>
      </c>
      <c r="C1242" s="41" t="s">
        <v>69</v>
      </c>
      <c r="D1242" s="41" t="s">
        <v>196</v>
      </c>
      <c r="E1242" s="216">
        <v>258313</v>
      </c>
      <c r="F1242" s="216"/>
      <c r="G1242" s="41"/>
      <c r="H1242" s="41"/>
      <c r="I1242" s="212">
        <v>44735</v>
      </c>
      <c r="J1242" s="41"/>
      <c r="K1242" s="120">
        <v>2.2999999999999998</v>
      </c>
      <c r="L1242" s="120">
        <v>10321</v>
      </c>
    </row>
    <row r="1243" spans="2:12" outlineLevel="2">
      <c r="B1243" s="35">
        <f t="shared" si="37"/>
        <v>778</v>
      </c>
      <c r="C1243" s="41" t="s">
        <v>69</v>
      </c>
      <c r="D1243" s="41" t="s">
        <v>196</v>
      </c>
      <c r="E1243" s="216" t="s">
        <v>476</v>
      </c>
      <c r="F1243" s="216"/>
      <c r="G1243" s="41"/>
      <c r="H1243" s="41"/>
      <c r="I1243" s="212">
        <v>44916</v>
      </c>
      <c r="J1243" s="41"/>
      <c r="K1243" s="248" t="s">
        <v>199</v>
      </c>
      <c r="L1243" s="120">
        <v>10332</v>
      </c>
    </row>
    <row r="1244" spans="2:12" outlineLevel="2">
      <c r="B1244" s="35">
        <f t="shared" si="37"/>
        <v>779</v>
      </c>
      <c r="C1244" s="41" t="s">
        <v>69</v>
      </c>
      <c r="D1244" s="41" t="s">
        <v>196</v>
      </c>
      <c r="E1244" s="216" t="s">
        <v>476</v>
      </c>
      <c r="F1244" s="216"/>
      <c r="G1244" s="41"/>
      <c r="H1244" s="41"/>
      <c r="I1244" s="212">
        <v>44916</v>
      </c>
      <c r="J1244" s="41"/>
      <c r="K1244" s="120">
        <v>24</v>
      </c>
      <c r="L1244" s="120">
        <v>10342</v>
      </c>
    </row>
    <row r="1245" spans="2:12" outlineLevel="2">
      <c r="B1245" s="35">
        <f t="shared" si="37"/>
        <v>780</v>
      </c>
      <c r="C1245" s="41" t="s">
        <v>69</v>
      </c>
      <c r="D1245" s="41" t="s">
        <v>196</v>
      </c>
      <c r="E1245" s="216" t="s">
        <v>477</v>
      </c>
      <c r="F1245" s="216"/>
      <c r="G1245" s="41"/>
      <c r="H1245" s="41"/>
      <c r="I1245" s="212">
        <v>44736</v>
      </c>
      <c r="J1245" s="41"/>
      <c r="K1245" s="248" t="s">
        <v>199</v>
      </c>
      <c r="L1245" s="120">
        <v>10378</v>
      </c>
    </row>
    <row r="1246" spans="2:12" outlineLevel="2">
      <c r="B1246" s="35">
        <f t="shared" si="37"/>
        <v>781</v>
      </c>
      <c r="C1246" s="41" t="s">
        <v>69</v>
      </c>
      <c r="D1246" s="41" t="s">
        <v>196</v>
      </c>
      <c r="E1246" s="216">
        <v>8435617</v>
      </c>
      <c r="F1246" s="216"/>
      <c r="G1246" s="41"/>
      <c r="H1246" s="41"/>
      <c r="I1246" s="212">
        <v>44739</v>
      </c>
      <c r="J1246" s="41"/>
      <c r="K1246" s="248" t="s">
        <v>199</v>
      </c>
      <c r="L1246" s="120">
        <v>10408</v>
      </c>
    </row>
    <row r="1247" spans="2:12" outlineLevel="2">
      <c r="B1247" s="35">
        <f t="shared" si="37"/>
        <v>782</v>
      </c>
      <c r="C1247" s="41" t="s">
        <v>69</v>
      </c>
      <c r="D1247" s="41" t="s">
        <v>196</v>
      </c>
      <c r="E1247" s="216">
        <v>55054</v>
      </c>
      <c r="F1247" s="216"/>
      <c r="G1247" s="41"/>
      <c r="H1247" s="41"/>
      <c r="I1247" s="212">
        <v>44740</v>
      </c>
      <c r="J1247" s="41"/>
      <c r="K1247" s="248" t="s">
        <v>199</v>
      </c>
      <c r="L1247" s="120">
        <v>10440</v>
      </c>
    </row>
    <row r="1248" spans="2:12" outlineLevel="2">
      <c r="B1248" s="35">
        <f t="shared" si="37"/>
        <v>783</v>
      </c>
      <c r="C1248" s="41" t="s">
        <v>69</v>
      </c>
      <c r="D1248" s="41" t="s">
        <v>196</v>
      </c>
      <c r="E1248" s="216">
        <v>315</v>
      </c>
      <c r="F1248" s="216"/>
      <c r="G1248" s="41"/>
      <c r="H1248" s="41"/>
      <c r="I1248" s="212">
        <v>44740</v>
      </c>
      <c r="J1248" s="41"/>
      <c r="K1248" s="248" t="s">
        <v>199</v>
      </c>
      <c r="L1248" s="120">
        <v>10447</v>
      </c>
    </row>
    <row r="1249" spans="2:12" outlineLevel="2">
      <c r="B1249" s="35">
        <f t="shared" si="37"/>
        <v>784</v>
      </c>
      <c r="C1249" s="41" t="s">
        <v>69</v>
      </c>
      <c r="D1249" s="41" t="s">
        <v>196</v>
      </c>
      <c r="E1249" s="215">
        <v>913687</v>
      </c>
      <c r="F1249" s="217"/>
      <c r="G1249" s="41"/>
      <c r="H1249" s="41"/>
      <c r="I1249" s="211">
        <v>44742</v>
      </c>
      <c r="J1249" s="41"/>
      <c r="K1249" s="248" t="s">
        <v>199</v>
      </c>
      <c r="L1249" s="241">
        <v>10578</v>
      </c>
    </row>
    <row r="1250" spans="2:12" outlineLevel="2">
      <c r="B1250" s="35">
        <f t="shared" si="37"/>
        <v>785</v>
      </c>
      <c r="C1250" s="41" t="s">
        <v>69</v>
      </c>
      <c r="D1250" s="41" t="s">
        <v>196</v>
      </c>
      <c r="E1250" s="215">
        <v>184316</v>
      </c>
      <c r="F1250" s="217"/>
      <c r="G1250" s="41"/>
      <c r="H1250" s="41"/>
      <c r="I1250" s="211">
        <v>44742</v>
      </c>
      <c r="J1250" s="41"/>
      <c r="K1250" s="248" t="s">
        <v>199</v>
      </c>
      <c r="L1250" s="241">
        <v>10585</v>
      </c>
    </row>
    <row r="1251" spans="2:12" outlineLevel="2">
      <c r="B1251" s="35">
        <f t="shared" si="37"/>
        <v>786</v>
      </c>
      <c r="C1251" s="41" t="s">
        <v>69</v>
      </c>
      <c r="D1251" s="41" t="s">
        <v>196</v>
      </c>
      <c r="E1251" s="216">
        <v>138551</v>
      </c>
      <c r="F1251" s="216"/>
      <c r="G1251" s="41"/>
      <c r="H1251" s="41"/>
      <c r="I1251" s="212">
        <v>44876</v>
      </c>
      <c r="J1251" s="41"/>
      <c r="K1251" s="248" t="s">
        <v>199</v>
      </c>
      <c r="L1251" s="120">
        <v>10646</v>
      </c>
    </row>
    <row r="1252" spans="2:12" outlineLevel="2">
      <c r="B1252" s="35">
        <f t="shared" si="37"/>
        <v>787</v>
      </c>
      <c r="C1252" s="41" t="s">
        <v>69</v>
      </c>
      <c r="D1252" s="41" t="s">
        <v>196</v>
      </c>
      <c r="E1252" s="216">
        <v>28938</v>
      </c>
      <c r="F1252" s="216"/>
      <c r="G1252" s="41"/>
      <c r="H1252" s="41"/>
      <c r="I1252" s="212">
        <v>44879</v>
      </c>
      <c r="J1252" s="41"/>
      <c r="K1252" s="248" t="s">
        <v>199</v>
      </c>
      <c r="L1252" s="120">
        <v>10725</v>
      </c>
    </row>
    <row r="1253" spans="2:12" outlineLevel="2">
      <c r="B1253" s="35">
        <f t="shared" si="37"/>
        <v>788</v>
      </c>
      <c r="C1253" s="41" t="s">
        <v>69</v>
      </c>
      <c r="D1253" s="41" t="s">
        <v>196</v>
      </c>
      <c r="E1253" s="216">
        <v>1223</v>
      </c>
      <c r="F1253" s="216"/>
      <c r="G1253" s="41"/>
      <c r="H1253" s="41"/>
      <c r="I1253" s="212">
        <v>44844</v>
      </c>
      <c r="J1253" s="41"/>
      <c r="K1253" s="213">
        <v>28</v>
      </c>
      <c r="L1253" s="120">
        <v>10935</v>
      </c>
    </row>
    <row r="1254" spans="2:12" outlineLevel="2">
      <c r="B1254" s="35">
        <f t="shared" si="37"/>
        <v>789</v>
      </c>
      <c r="C1254" s="41" t="s">
        <v>69</v>
      </c>
      <c r="D1254" s="41" t="s">
        <v>196</v>
      </c>
      <c r="E1254" s="216">
        <v>0</v>
      </c>
      <c r="F1254" s="216"/>
      <c r="G1254" s="41"/>
      <c r="H1254" s="41"/>
      <c r="I1254" s="212">
        <v>44844</v>
      </c>
      <c r="J1254" s="41"/>
      <c r="K1254" s="120">
        <v>22</v>
      </c>
      <c r="L1254" s="120">
        <v>10936</v>
      </c>
    </row>
    <row r="1255" spans="2:12" outlineLevel="2">
      <c r="B1255" s="35">
        <f t="shared" si="37"/>
        <v>790</v>
      </c>
      <c r="C1255" s="41" t="s">
        <v>69</v>
      </c>
      <c r="D1255" s="41" t="s">
        <v>196</v>
      </c>
      <c r="E1255" s="216">
        <v>28355</v>
      </c>
      <c r="F1255" s="216"/>
      <c r="G1255" s="41"/>
      <c r="H1255" s="41"/>
      <c r="I1255" s="212">
        <v>44854</v>
      </c>
      <c r="J1255" s="41"/>
      <c r="K1255" s="120">
        <v>29</v>
      </c>
      <c r="L1255" s="120">
        <v>10962</v>
      </c>
    </row>
    <row r="1256" spans="2:12" outlineLevel="2">
      <c r="B1256" s="35">
        <f t="shared" si="37"/>
        <v>791</v>
      </c>
      <c r="C1256" s="41" t="s">
        <v>69</v>
      </c>
      <c r="D1256" s="41" t="s">
        <v>196</v>
      </c>
      <c r="E1256" s="216">
        <v>87739</v>
      </c>
      <c r="F1256" s="216"/>
      <c r="G1256" s="41"/>
      <c r="H1256" s="41"/>
      <c r="I1256" s="212">
        <v>44854</v>
      </c>
      <c r="J1256" s="41"/>
      <c r="K1256" s="120">
        <v>35</v>
      </c>
      <c r="L1256" s="120">
        <v>10963</v>
      </c>
    </row>
    <row r="1257" spans="2:12" outlineLevel="2">
      <c r="B1257" s="35">
        <f t="shared" si="37"/>
        <v>792</v>
      </c>
      <c r="C1257" s="41" t="s">
        <v>69</v>
      </c>
      <c r="D1257" s="41" t="s">
        <v>196</v>
      </c>
      <c r="E1257" s="216">
        <v>287352</v>
      </c>
      <c r="F1257" s="216"/>
      <c r="G1257" s="41"/>
      <c r="H1257" s="41"/>
      <c r="I1257" s="212">
        <v>44854</v>
      </c>
      <c r="J1257" s="41"/>
      <c r="K1257" s="248" t="s">
        <v>199</v>
      </c>
      <c r="L1257" s="120">
        <v>10971</v>
      </c>
    </row>
    <row r="1258" spans="2:12" outlineLevel="2">
      <c r="B1258" s="35">
        <f t="shared" si="37"/>
        <v>793</v>
      </c>
      <c r="C1258" s="41" t="s">
        <v>69</v>
      </c>
      <c r="D1258" s="41" t="s">
        <v>196</v>
      </c>
      <c r="E1258" s="216">
        <v>200624</v>
      </c>
      <c r="F1258" s="216"/>
      <c r="G1258" s="41"/>
      <c r="H1258" s="41"/>
      <c r="I1258" s="212">
        <v>44854</v>
      </c>
      <c r="J1258" s="41"/>
      <c r="K1258" s="213">
        <v>29</v>
      </c>
      <c r="L1258" s="120">
        <v>11019</v>
      </c>
    </row>
    <row r="1259" spans="2:12" outlineLevel="2">
      <c r="B1259" s="35">
        <f t="shared" si="37"/>
        <v>794</v>
      </c>
      <c r="C1259" s="41" t="s">
        <v>69</v>
      </c>
      <c r="D1259" s="41" t="s">
        <v>196</v>
      </c>
      <c r="E1259" s="216">
        <v>0</v>
      </c>
      <c r="F1259" s="216"/>
      <c r="G1259" s="41"/>
      <c r="H1259" s="41"/>
      <c r="I1259" s="212">
        <v>44887</v>
      </c>
      <c r="J1259" s="41"/>
      <c r="K1259" s="120">
        <v>17</v>
      </c>
      <c r="L1259" s="120">
        <v>11146</v>
      </c>
    </row>
    <row r="1260" spans="2:12" outlineLevel="2">
      <c r="B1260" s="35">
        <f t="shared" si="37"/>
        <v>795</v>
      </c>
      <c r="C1260" s="41" t="s">
        <v>69</v>
      </c>
      <c r="D1260" s="41" t="s">
        <v>196</v>
      </c>
      <c r="E1260" s="216">
        <v>0</v>
      </c>
      <c r="F1260" s="216"/>
      <c r="G1260" s="41"/>
      <c r="H1260" s="41"/>
      <c r="I1260" s="212">
        <v>44887</v>
      </c>
      <c r="J1260" s="41"/>
      <c r="K1260" s="213">
        <v>19</v>
      </c>
      <c r="L1260" s="120">
        <v>11171</v>
      </c>
    </row>
    <row r="1261" spans="2:12" outlineLevel="2">
      <c r="B1261" s="35">
        <f t="shared" si="37"/>
        <v>796</v>
      </c>
      <c r="C1261" s="41" t="s">
        <v>69</v>
      </c>
      <c r="D1261" s="41" t="s">
        <v>196</v>
      </c>
      <c r="E1261" s="216">
        <v>82377</v>
      </c>
      <c r="F1261" s="216"/>
      <c r="G1261" s="41"/>
      <c r="H1261" s="41"/>
      <c r="I1261" s="212">
        <v>44887</v>
      </c>
      <c r="J1261" s="41"/>
      <c r="K1261" s="120">
        <v>21</v>
      </c>
      <c r="L1261" s="120">
        <v>11173</v>
      </c>
    </row>
    <row r="1262" spans="2:12" outlineLevel="2">
      <c r="B1262" s="35">
        <f t="shared" si="37"/>
        <v>797</v>
      </c>
      <c r="C1262" s="41" t="s">
        <v>69</v>
      </c>
      <c r="D1262" s="41" t="s">
        <v>196</v>
      </c>
      <c r="E1262" s="216">
        <v>275348</v>
      </c>
      <c r="F1262" s="216"/>
      <c r="G1262" s="41"/>
      <c r="H1262" s="41"/>
      <c r="I1262" s="212">
        <v>44888</v>
      </c>
      <c r="J1262" s="41"/>
      <c r="K1262" s="120">
        <v>31</v>
      </c>
      <c r="L1262" s="120">
        <v>11180</v>
      </c>
    </row>
    <row r="1263" spans="2:12" outlineLevel="2">
      <c r="B1263" s="35">
        <f t="shared" si="37"/>
        <v>798</v>
      </c>
      <c r="C1263" s="41" t="s">
        <v>69</v>
      </c>
      <c r="D1263" s="41" t="s">
        <v>196</v>
      </c>
      <c r="E1263" s="216" t="s">
        <v>476</v>
      </c>
      <c r="F1263" s="216"/>
      <c r="G1263" s="41"/>
      <c r="H1263" s="41"/>
      <c r="I1263" s="212">
        <v>44889</v>
      </c>
      <c r="J1263" s="41"/>
      <c r="K1263" s="213">
        <v>29</v>
      </c>
      <c r="L1263" s="120">
        <v>11295</v>
      </c>
    </row>
    <row r="1264" spans="2:12" outlineLevel="2">
      <c r="B1264" s="35">
        <f t="shared" si="37"/>
        <v>799</v>
      </c>
      <c r="C1264" s="41" t="s">
        <v>69</v>
      </c>
      <c r="D1264" s="41" t="s">
        <v>196</v>
      </c>
      <c r="E1264" s="216">
        <v>526327100</v>
      </c>
      <c r="F1264" s="216"/>
      <c r="G1264" s="41"/>
      <c r="H1264" s="41"/>
      <c r="I1264" s="212">
        <v>44889</v>
      </c>
      <c r="J1264" s="41"/>
      <c r="K1264" s="120">
        <v>10</v>
      </c>
      <c r="L1264" s="120">
        <v>11316</v>
      </c>
    </row>
    <row r="1265" spans="2:12" outlineLevel="2">
      <c r="B1265" s="35">
        <f t="shared" si="37"/>
        <v>800</v>
      </c>
      <c r="C1265" s="41" t="s">
        <v>69</v>
      </c>
      <c r="D1265" s="41" t="s">
        <v>196</v>
      </c>
      <c r="E1265" s="216">
        <v>0</v>
      </c>
      <c r="F1265" s="216"/>
      <c r="G1265" s="41"/>
      <c r="H1265" s="41"/>
      <c r="I1265" s="212">
        <v>44889</v>
      </c>
      <c r="J1265" s="41"/>
      <c r="K1265" s="120">
        <v>17</v>
      </c>
      <c r="L1265" s="120">
        <v>11327</v>
      </c>
    </row>
    <row r="1266" spans="2:12" outlineLevel="2">
      <c r="B1266" s="35">
        <f t="shared" si="37"/>
        <v>801</v>
      </c>
      <c r="C1266" s="41" t="s">
        <v>69</v>
      </c>
      <c r="D1266" s="41" t="s">
        <v>196</v>
      </c>
      <c r="E1266" s="216">
        <v>6816</v>
      </c>
      <c r="F1266" s="216"/>
      <c r="G1266" s="41"/>
      <c r="H1266" s="41"/>
      <c r="I1266" s="212">
        <v>44889</v>
      </c>
      <c r="J1266" s="41"/>
      <c r="K1266" s="213">
        <v>31</v>
      </c>
      <c r="L1266" s="120">
        <v>11381</v>
      </c>
    </row>
    <row r="1267" spans="2:12" outlineLevel="2">
      <c r="B1267" s="35">
        <f t="shared" si="37"/>
        <v>802</v>
      </c>
      <c r="C1267" s="41" t="s">
        <v>69</v>
      </c>
      <c r="D1267" s="41" t="s">
        <v>196</v>
      </c>
      <c r="E1267" s="217">
        <v>175700</v>
      </c>
      <c r="F1267" s="215"/>
      <c r="G1267" s="41"/>
      <c r="H1267" s="41"/>
      <c r="I1267" s="211">
        <v>44854</v>
      </c>
      <c r="J1267" s="41"/>
      <c r="K1267" s="248" t="s">
        <v>199</v>
      </c>
      <c r="L1267" s="241">
        <v>11391</v>
      </c>
    </row>
    <row r="1268" spans="2:12" outlineLevel="2">
      <c r="B1268" s="35">
        <f t="shared" si="37"/>
        <v>803</v>
      </c>
      <c r="C1268" s="41" t="s">
        <v>69</v>
      </c>
      <c r="D1268" s="41" t="s">
        <v>196</v>
      </c>
      <c r="E1268" s="217" t="s">
        <v>478</v>
      </c>
      <c r="F1268" s="215"/>
      <c r="G1268" s="41"/>
      <c r="H1268" s="41"/>
      <c r="I1268" s="211">
        <v>44858</v>
      </c>
      <c r="J1268" s="41"/>
      <c r="K1268" s="214">
        <v>30</v>
      </c>
      <c r="L1268" s="241">
        <v>11413</v>
      </c>
    </row>
    <row r="1269" spans="2:12" outlineLevel="2">
      <c r="B1269" s="35">
        <f t="shared" si="37"/>
        <v>804</v>
      </c>
      <c r="C1269" s="41" t="s">
        <v>69</v>
      </c>
      <c r="D1269" s="41" t="s">
        <v>196</v>
      </c>
      <c r="E1269" s="217" t="s">
        <v>476</v>
      </c>
      <c r="F1269" s="215"/>
      <c r="G1269" s="41"/>
      <c r="H1269" s="41"/>
      <c r="I1269" s="211">
        <v>44889</v>
      </c>
      <c r="J1269" s="41"/>
      <c r="K1269" s="241">
        <v>19</v>
      </c>
      <c r="L1269" s="241">
        <v>11415</v>
      </c>
    </row>
    <row r="1270" spans="2:12" outlineLevel="2">
      <c r="B1270" s="35">
        <f t="shared" si="37"/>
        <v>805</v>
      </c>
      <c r="C1270" s="41" t="s">
        <v>69</v>
      </c>
      <c r="D1270" s="41" t="s">
        <v>196</v>
      </c>
      <c r="E1270" s="216">
        <v>71349</v>
      </c>
      <c r="F1270" s="216"/>
      <c r="G1270" s="41"/>
      <c r="H1270" s="41"/>
      <c r="I1270" s="212">
        <v>44757</v>
      </c>
      <c r="J1270" s="41"/>
      <c r="K1270" s="248" t="s">
        <v>199</v>
      </c>
      <c r="L1270" s="120">
        <v>11473</v>
      </c>
    </row>
    <row r="1271" spans="2:12" outlineLevel="2">
      <c r="B1271" s="35">
        <f t="shared" si="37"/>
        <v>806</v>
      </c>
      <c r="C1271" s="41" t="s">
        <v>69</v>
      </c>
      <c r="D1271" s="41" t="s">
        <v>196</v>
      </c>
      <c r="E1271" s="216">
        <v>0</v>
      </c>
      <c r="F1271" s="216"/>
      <c r="G1271" s="41"/>
      <c r="H1271" s="41"/>
      <c r="I1271" s="212">
        <v>44890</v>
      </c>
      <c r="J1271" s="41"/>
      <c r="K1271" s="120">
        <v>28</v>
      </c>
      <c r="L1271" s="120">
        <v>11489</v>
      </c>
    </row>
    <row r="1272" spans="2:12" outlineLevel="2">
      <c r="B1272" s="35">
        <f t="shared" si="37"/>
        <v>807</v>
      </c>
      <c r="C1272" s="41" t="s">
        <v>69</v>
      </c>
      <c r="D1272" s="41" t="s">
        <v>196</v>
      </c>
      <c r="E1272" s="216">
        <v>230841</v>
      </c>
      <c r="F1272" s="216"/>
      <c r="G1272" s="41"/>
      <c r="H1272" s="41"/>
      <c r="I1272" s="212">
        <v>44890</v>
      </c>
      <c r="J1272" s="41"/>
      <c r="K1272" s="120">
        <v>18</v>
      </c>
      <c r="L1272" s="120">
        <v>11498</v>
      </c>
    </row>
    <row r="1273" spans="2:12" outlineLevel="2">
      <c r="B1273" s="35">
        <f t="shared" si="37"/>
        <v>808</v>
      </c>
      <c r="C1273" s="41" t="s">
        <v>69</v>
      </c>
      <c r="D1273" s="41" t="s">
        <v>196</v>
      </c>
      <c r="E1273" s="216">
        <v>97018</v>
      </c>
      <c r="F1273" s="216"/>
      <c r="G1273" s="41"/>
      <c r="H1273" s="41"/>
      <c r="I1273" s="212">
        <v>44890</v>
      </c>
      <c r="J1273" s="41"/>
      <c r="K1273" s="120">
        <v>21</v>
      </c>
      <c r="L1273" s="120">
        <v>11504</v>
      </c>
    </row>
    <row r="1274" spans="2:12" outlineLevel="2">
      <c r="B1274" s="35">
        <f t="shared" si="37"/>
        <v>809</v>
      </c>
      <c r="C1274" s="41" t="s">
        <v>69</v>
      </c>
      <c r="D1274" s="41" t="s">
        <v>196</v>
      </c>
      <c r="E1274" s="216">
        <v>0</v>
      </c>
      <c r="F1274" s="216"/>
      <c r="G1274" s="41"/>
      <c r="H1274" s="41"/>
      <c r="I1274" s="212">
        <v>44894</v>
      </c>
      <c r="J1274" s="41"/>
      <c r="K1274" s="120">
        <v>32</v>
      </c>
      <c r="L1274" s="120">
        <v>11513</v>
      </c>
    </row>
    <row r="1275" spans="2:12" outlineLevel="2">
      <c r="B1275" s="35">
        <f t="shared" si="37"/>
        <v>810</v>
      </c>
      <c r="C1275" s="41" t="s">
        <v>69</v>
      </c>
      <c r="D1275" s="41" t="s">
        <v>196</v>
      </c>
      <c r="E1275" s="216">
        <v>0</v>
      </c>
      <c r="F1275" s="216"/>
      <c r="G1275" s="41"/>
      <c r="H1275" s="41"/>
      <c r="I1275" s="212">
        <v>44894</v>
      </c>
      <c r="J1275" s="41"/>
      <c r="K1275" s="120">
        <v>28</v>
      </c>
      <c r="L1275" s="120">
        <v>11514</v>
      </c>
    </row>
    <row r="1276" spans="2:12" outlineLevel="2">
      <c r="B1276" s="35">
        <f t="shared" si="37"/>
        <v>811</v>
      </c>
      <c r="C1276" s="41" t="s">
        <v>69</v>
      </c>
      <c r="D1276" s="41" t="s">
        <v>196</v>
      </c>
      <c r="E1276" s="216">
        <v>42751</v>
      </c>
      <c r="F1276" s="216" t="s">
        <v>172</v>
      </c>
      <c r="G1276" s="41"/>
      <c r="H1276" s="41"/>
      <c r="I1276" s="212">
        <v>44896</v>
      </c>
      <c r="J1276" s="41"/>
      <c r="K1276" s="213">
        <v>29</v>
      </c>
      <c r="L1276" s="120">
        <v>12501</v>
      </c>
    </row>
    <row r="1277" spans="2:12" outlineLevel="2">
      <c r="B1277" s="35">
        <f t="shared" si="37"/>
        <v>812</v>
      </c>
      <c r="C1277" s="41" t="s">
        <v>69</v>
      </c>
      <c r="D1277" s="41" t="s">
        <v>196</v>
      </c>
      <c r="E1277" s="216">
        <v>9213801</v>
      </c>
      <c r="F1277" s="216" t="s">
        <v>172</v>
      </c>
      <c r="G1277" s="41"/>
      <c r="H1277" s="41"/>
      <c r="I1277" s="212">
        <v>44896</v>
      </c>
      <c r="J1277" s="41"/>
      <c r="K1277" s="120">
        <v>31</v>
      </c>
      <c r="L1277" s="120">
        <v>12505</v>
      </c>
    </row>
    <row r="1278" spans="2:12" outlineLevel="2">
      <c r="B1278" s="35">
        <f t="shared" si="37"/>
        <v>813</v>
      </c>
      <c r="C1278" s="41" t="s">
        <v>69</v>
      </c>
      <c r="D1278" s="41" t="s">
        <v>196</v>
      </c>
      <c r="E1278" s="216">
        <v>4577</v>
      </c>
      <c r="F1278" s="216" t="s">
        <v>172</v>
      </c>
      <c r="G1278" s="41"/>
      <c r="H1278" s="41"/>
      <c r="I1278" s="212">
        <v>44902</v>
      </c>
      <c r="J1278" s="41"/>
      <c r="K1278" s="213">
        <v>17</v>
      </c>
      <c r="L1278" s="120">
        <v>12545</v>
      </c>
    </row>
    <row r="1279" spans="2:12" outlineLevel="2">
      <c r="B1279" s="35">
        <f t="shared" ref="B1279:B1342" si="38">(B1278+1)</f>
        <v>814</v>
      </c>
      <c r="C1279" s="41" t="s">
        <v>69</v>
      </c>
      <c r="D1279" s="41" t="s">
        <v>196</v>
      </c>
      <c r="E1279" s="216">
        <v>256</v>
      </c>
      <c r="F1279" s="216" t="s">
        <v>172</v>
      </c>
      <c r="G1279" s="41"/>
      <c r="H1279" s="41"/>
      <c r="I1279" s="212">
        <v>44902</v>
      </c>
      <c r="J1279" s="41"/>
      <c r="K1279" s="120">
        <v>39</v>
      </c>
      <c r="L1279" s="120">
        <v>12547</v>
      </c>
    </row>
    <row r="1280" spans="2:12" outlineLevel="2">
      <c r="B1280" s="35">
        <f t="shared" si="38"/>
        <v>815</v>
      </c>
      <c r="C1280" s="41" t="s">
        <v>69</v>
      </c>
      <c r="D1280" s="41" t="s">
        <v>196</v>
      </c>
      <c r="E1280" s="216">
        <v>142</v>
      </c>
      <c r="F1280" s="216" t="s">
        <v>172</v>
      </c>
      <c r="G1280" s="41"/>
      <c r="H1280" s="41"/>
      <c r="I1280" s="246">
        <v>44903</v>
      </c>
      <c r="J1280" s="41"/>
      <c r="K1280" s="120">
        <v>19</v>
      </c>
      <c r="L1280" s="120">
        <v>12560</v>
      </c>
    </row>
    <row r="1281" spans="2:12" outlineLevel="2">
      <c r="B1281" s="35">
        <f t="shared" si="38"/>
        <v>816</v>
      </c>
      <c r="C1281" s="41" t="s">
        <v>69</v>
      </c>
      <c r="D1281" s="41" t="s">
        <v>196</v>
      </c>
      <c r="E1281" s="217">
        <v>395085</v>
      </c>
      <c r="F1281" s="215" t="s">
        <v>172</v>
      </c>
      <c r="G1281" s="41"/>
      <c r="H1281" s="41"/>
      <c r="I1281" s="211">
        <v>44904</v>
      </c>
      <c r="J1281" s="41"/>
      <c r="K1281" s="214">
        <v>4</v>
      </c>
      <c r="L1281" s="241">
        <v>12683</v>
      </c>
    </row>
    <row r="1282" spans="2:12" outlineLevel="2">
      <c r="B1282" s="35">
        <f t="shared" si="38"/>
        <v>817</v>
      </c>
      <c r="C1282" s="41" t="s">
        <v>69</v>
      </c>
      <c r="D1282" s="41" t="s">
        <v>196</v>
      </c>
      <c r="E1282" s="217">
        <v>27537</v>
      </c>
      <c r="F1282" s="215" t="s">
        <v>172</v>
      </c>
      <c r="G1282" s="41"/>
      <c r="H1282" s="41"/>
      <c r="I1282" s="211">
        <v>44904</v>
      </c>
      <c r="J1282" s="41"/>
      <c r="K1282" s="241">
        <v>28</v>
      </c>
      <c r="L1282" s="241">
        <v>12714</v>
      </c>
    </row>
    <row r="1283" spans="2:12" outlineLevel="2">
      <c r="B1283" s="35">
        <f t="shared" si="38"/>
        <v>818</v>
      </c>
      <c r="C1283" s="41" t="s">
        <v>69</v>
      </c>
      <c r="D1283" s="41" t="s">
        <v>196</v>
      </c>
      <c r="E1283" s="217">
        <v>510346</v>
      </c>
      <c r="F1283" s="215" t="s">
        <v>172</v>
      </c>
      <c r="G1283" s="41"/>
      <c r="H1283" s="41"/>
      <c r="I1283" s="211">
        <v>44908</v>
      </c>
      <c r="J1283" s="41"/>
      <c r="K1283" s="248" t="s">
        <v>199</v>
      </c>
      <c r="L1283" s="241">
        <v>13246</v>
      </c>
    </row>
    <row r="1284" spans="2:12" outlineLevel="2">
      <c r="B1284" s="35">
        <f t="shared" si="38"/>
        <v>819</v>
      </c>
      <c r="C1284" s="41" t="s">
        <v>69</v>
      </c>
      <c r="D1284" s="41" t="s">
        <v>196</v>
      </c>
      <c r="E1284" s="217" t="s">
        <v>172</v>
      </c>
      <c r="F1284" s="215" t="s">
        <v>172</v>
      </c>
      <c r="G1284" s="41"/>
      <c r="H1284" s="41"/>
      <c r="I1284" s="211">
        <v>44908</v>
      </c>
      <c r="J1284" s="41"/>
      <c r="K1284" s="214">
        <v>12</v>
      </c>
      <c r="L1284" s="241">
        <v>13254</v>
      </c>
    </row>
    <row r="1285" spans="2:12" outlineLevel="2">
      <c r="B1285" s="35">
        <f t="shared" si="38"/>
        <v>820</v>
      </c>
      <c r="C1285" s="41" t="s">
        <v>69</v>
      </c>
      <c r="D1285" s="41" t="s">
        <v>196</v>
      </c>
      <c r="E1285" s="216">
        <v>35663</v>
      </c>
      <c r="F1285" s="216" t="s">
        <v>172</v>
      </c>
      <c r="G1285" s="41"/>
      <c r="H1285" s="41"/>
      <c r="I1285" s="212">
        <v>44910</v>
      </c>
      <c r="J1285" s="41"/>
      <c r="K1285" s="248" t="s">
        <v>199</v>
      </c>
      <c r="L1285" s="120">
        <v>13291</v>
      </c>
    </row>
    <row r="1286" spans="2:12" outlineLevel="2">
      <c r="B1286" s="35">
        <f t="shared" si="38"/>
        <v>821</v>
      </c>
      <c r="C1286" s="41" t="s">
        <v>69</v>
      </c>
      <c r="D1286" s="41" t="s">
        <v>196</v>
      </c>
      <c r="E1286" s="216">
        <v>58647</v>
      </c>
      <c r="F1286" s="216" t="s">
        <v>172</v>
      </c>
      <c r="G1286" s="41"/>
      <c r="H1286" s="41"/>
      <c r="I1286" s="212">
        <v>44910</v>
      </c>
      <c r="J1286" s="41"/>
      <c r="K1286" s="248" t="s">
        <v>199</v>
      </c>
      <c r="L1286" s="120">
        <v>13302</v>
      </c>
    </row>
    <row r="1287" spans="2:12" outlineLevel="2">
      <c r="B1287" s="35">
        <f t="shared" si="38"/>
        <v>822</v>
      </c>
      <c r="C1287" s="41" t="s">
        <v>69</v>
      </c>
      <c r="D1287" s="41" t="s">
        <v>196</v>
      </c>
      <c r="E1287" s="216">
        <v>106222</v>
      </c>
      <c r="F1287" s="216" t="s">
        <v>172</v>
      </c>
      <c r="G1287" s="41"/>
      <c r="H1287" s="41"/>
      <c r="I1287" s="212">
        <v>44909</v>
      </c>
      <c r="J1287" s="41"/>
      <c r="K1287" s="248" t="s">
        <v>199</v>
      </c>
      <c r="L1287" s="120">
        <v>13303</v>
      </c>
    </row>
    <row r="1288" spans="2:12" outlineLevel="2">
      <c r="B1288" s="35">
        <f t="shared" si="38"/>
        <v>823</v>
      </c>
      <c r="C1288" s="41" t="s">
        <v>69</v>
      </c>
      <c r="D1288" s="41" t="s">
        <v>196</v>
      </c>
      <c r="E1288" s="217" t="s">
        <v>479</v>
      </c>
      <c r="F1288" s="215" t="s">
        <v>172</v>
      </c>
      <c r="G1288" s="41"/>
      <c r="H1288" s="41"/>
      <c r="I1288" s="211">
        <v>44910</v>
      </c>
      <c r="J1288" s="41"/>
      <c r="K1288" s="214">
        <v>35</v>
      </c>
      <c r="L1288" s="241">
        <v>13340</v>
      </c>
    </row>
    <row r="1289" spans="2:12" outlineLevel="2">
      <c r="B1289" s="35">
        <f t="shared" si="38"/>
        <v>824</v>
      </c>
      <c r="C1289" s="41" t="s">
        <v>69</v>
      </c>
      <c r="D1289" s="41" t="s">
        <v>196</v>
      </c>
      <c r="E1289" s="217">
        <v>97102948</v>
      </c>
      <c r="F1289" s="215" t="s">
        <v>172</v>
      </c>
      <c r="G1289" s="41"/>
      <c r="H1289" s="41"/>
      <c r="I1289" s="211">
        <v>44909</v>
      </c>
      <c r="J1289" s="41"/>
      <c r="K1289" s="241">
        <v>29</v>
      </c>
      <c r="L1289" s="241">
        <v>13345</v>
      </c>
    </row>
    <row r="1290" spans="2:12" outlineLevel="2">
      <c r="B1290" s="35">
        <f t="shared" si="38"/>
        <v>825</v>
      </c>
      <c r="C1290" s="41" t="s">
        <v>69</v>
      </c>
      <c r="D1290" s="41" t="s">
        <v>196</v>
      </c>
      <c r="E1290" s="217">
        <v>385987</v>
      </c>
      <c r="F1290" s="215" t="s">
        <v>172</v>
      </c>
      <c r="G1290" s="41"/>
      <c r="H1290" s="41"/>
      <c r="I1290" s="211">
        <v>44909</v>
      </c>
      <c r="J1290" s="41"/>
      <c r="K1290" s="248" t="s">
        <v>199</v>
      </c>
      <c r="L1290" s="241">
        <v>13387</v>
      </c>
    </row>
    <row r="1291" spans="2:12" outlineLevel="2">
      <c r="B1291" s="35">
        <f t="shared" si="38"/>
        <v>826</v>
      </c>
      <c r="C1291" s="41" t="s">
        <v>69</v>
      </c>
      <c r="D1291" s="41" t="s">
        <v>196</v>
      </c>
      <c r="E1291" s="216">
        <v>252144</v>
      </c>
      <c r="F1291" s="228" t="s">
        <v>172</v>
      </c>
      <c r="G1291" s="41"/>
      <c r="H1291" s="41"/>
      <c r="I1291" s="212">
        <v>44938</v>
      </c>
      <c r="J1291" s="41"/>
      <c r="K1291" s="248" t="s">
        <v>199</v>
      </c>
      <c r="L1291" s="120">
        <v>13438</v>
      </c>
    </row>
    <row r="1292" spans="2:12" outlineLevel="2">
      <c r="B1292" s="35">
        <f t="shared" si="38"/>
        <v>827</v>
      </c>
      <c r="C1292" s="41" t="s">
        <v>69</v>
      </c>
      <c r="D1292" s="41" t="s">
        <v>196</v>
      </c>
      <c r="E1292" s="215">
        <v>488</v>
      </c>
      <c r="F1292" s="215" t="s">
        <v>172</v>
      </c>
      <c r="G1292" s="41"/>
      <c r="H1292" s="41"/>
      <c r="I1292" s="211">
        <v>44938</v>
      </c>
      <c r="J1292" s="41"/>
      <c r="K1292" s="214">
        <v>37</v>
      </c>
      <c r="L1292" s="241">
        <v>13471</v>
      </c>
    </row>
    <row r="1293" spans="2:12" outlineLevel="2">
      <c r="B1293" s="35">
        <f t="shared" si="38"/>
        <v>828</v>
      </c>
      <c r="C1293" s="41" t="s">
        <v>69</v>
      </c>
      <c r="D1293" s="41" t="s">
        <v>196</v>
      </c>
      <c r="E1293" s="217">
        <v>179486</v>
      </c>
      <c r="F1293" s="237" t="s">
        <v>172</v>
      </c>
      <c r="G1293" s="41"/>
      <c r="H1293" s="41"/>
      <c r="I1293" s="211">
        <v>44938</v>
      </c>
      <c r="J1293" s="41"/>
      <c r="K1293" s="214">
        <v>18</v>
      </c>
      <c r="L1293" s="241">
        <v>13476</v>
      </c>
    </row>
    <row r="1294" spans="2:12" outlineLevel="2">
      <c r="B1294" s="35">
        <f t="shared" si="38"/>
        <v>829</v>
      </c>
      <c r="C1294" s="41" t="s">
        <v>69</v>
      </c>
      <c r="D1294" s="41" t="s">
        <v>196</v>
      </c>
      <c r="E1294" s="217">
        <v>887923</v>
      </c>
      <c r="F1294" s="237" t="s">
        <v>172</v>
      </c>
      <c r="G1294" s="41"/>
      <c r="H1294" s="41"/>
      <c r="I1294" s="211">
        <v>44938</v>
      </c>
      <c r="J1294" s="41"/>
      <c r="K1294" s="214">
        <v>32</v>
      </c>
      <c r="L1294" s="241">
        <v>13482</v>
      </c>
    </row>
    <row r="1295" spans="2:12" outlineLevel="2">
      <c r="B1295" s="35">
        <f t="shared" si="38"/>
        <v>830</v>
      </c>
      <c r="C1295" s="41" t="s">
        <v>69</v>
      </c>
      <c r="D1295" s="41" t="s">
        <v>196</v>
      </c>
      <c r="E1295" s="217">
        <v>8436761</v>
      </c>
      <c r="F1295" s="237" t="s">
        <v>172</v>
      </c>
      <c r="G1295" s="41"/>
      <c r="H1295" s="41"/>
      <c r="I1295" s="211">
        <v>44938</v>
      </c>
      <c r="J1295" s="41"/>
      <c r="K1295" s="214">
        <v>40</v>
      </c>
      <c r="L1295" s="241">
        <v>13494</v>
      </c>
    </row>
    <row r="1296" spans="2:12" outlineLevel="2">
      <c r="B1296" s="35">
        <f t="shared" si="38"/>
        <v>831</v>
      </c>
      <c r="C1296" s="41" t="s">
        <v>69</v>
      </c>
      <c r="D1296" s="41" t="s">
        <v>196</v>
      </c>
      <c r="E1296" s="217">
        <v>328</v>
      </c>
      <c r="F1296" s="215" t="s">
        <v>172</v>
      </c>
      <c r="G1296" s="41"/>
      <c r="H1296" s="41"/>
      <c r="I1296" s="211">
        <v>44939</v>
      </c>
      <c r="J1296" s="41"/>
      <c r="K1296" s="214">
        <v>31</v>
      </c>
      <c r="L1296" s="241">
        <v>13550</v>
      </c>
    </row>
    <row r="1297" spans="2:12" outlineLevel="2">
      <c r="B1297" s="35">
        <f t="shared" si="38"/>
        <v>832</v>
      </c>
      <c r="C1297" s="41" t="s">
        <v>69</v>
      </c>
      <c r="D1297" s="41" t="s">
        <v>196</v>
      </c>
      <c r="E1297" s="217">
        <v>72618</v>
      </c>
      <c r="F1297" s="215" t="s">
        <v>172</v>
      </c>
      <c r="G1297" s="41"/>
      <c r="H1297" s="41"/>
      <c r="I1297" s="211">
        <v>44939</v>
      </c>
      <c r="J1297" s="41"/>
      <c r="K1297" s="214">
        <v>18</v>
      </c>
      <c r="L1297" s="241">
        <v>13554</v>
      </c>
    </row>
    <row r="1298" spans="2:12" outlineLevel="2">
      <c r="B1298" s="35">
        <f t="shared" si="38"/>
        <v>833</v>
      </c>
      <c r="C1298" s="41" t="s">
        <v>69</v>
      </c>
      <c r="D1298" s="41" t="s">
        <v>196</v>
      </c>
      <c r="E1298" s="217">
        <v>35983</v>
      </c>
      <c r="F1298" s="215" t="s">
        <v>172</v>
      </c>
      <c r="G1298" s="41"/>
      <c r="H1298" s="41"/>
      <c r="I1298" s="211">
        <v>44939</v>
      </c>
      <c r="J1298" s="41"/>
      <c r="K1298" s="214">
        <v>8</v>
      </c>
      <c r="L1298" s="241">
        <v>13560</v>
      </c>
    </row>
    <row r="1299" spans="2:12" outlineLevel="2">
      <c r="B1299" s="35">
        <f t="shared" si="38"/>
        <v>834</v>
      </c>
      <c r="C1299" s="41" t="s">
        <v>69</v>
      </c>
      <c r="D1299" s="41" t="s">
        <v>196</v>
      </c>
      <c r="E1299" s="216">
        <v>395448</v>
      </c>
      <c r="F1299" s="118" t="s">
        <v>172</v>
      </c>
      <c r="G1299" s="41"/>
      <c r="H1299" s="41"/>
      <c r="I1299" s="212">
        <v>44939</v>
      </c>
      <c r="J1299" s="41"/>
      <c r="K1299" s="248" t="s">
        <v>199</v>
      </c>
      <c r="L1299" s="120">
        <v>13583</v>
      </c>
    </row>
    <row r="1300" spans="2:12" outlineLevel="2">
      <c r="B1300" s="35">
        <f t="shared" si="38"/>
        <v>835</v>
      </c>
      <c r="C1300" s="41" t="s">
        <v>69</v>
      </c>
      <c r="D1300" s="41" t="s">
        <v>196</v>
      </c>
      <c r="E1300" s="216">
        <v>85263</v>
      </c>
      <c r="F1300" s="118" t="s">
        <v>172</v>
      </c>
      <c r="G1300" s="41"/>
      <c r="H1300" s="41"/>
      <c r="I1300" s="212">
        <v>44939</v>
      </c>
      <c r="J1300" s="41"/>
      <c r="K1300" s="213">
        <v>13</v>
      </c>
      <c r="L1300" s="120">
        <v>13592</v>
      </c>
    </row>
    <row r="1301" spans="2:12" outlineLevel="2">
      <c r="B1301" s="35">
        <f t="shared" si="38"/>
        <v>836</v>
      </c>
      <c r="C1301" s="41" t="s">
        <v>69</v>
      </c>
      <c r="D1301" s="41" t="s">
        <v>196</v>
      </c>
      <c r="E1301" s="216">
        <v>8439466</v>
      </c>
      <c r="F1301" s="118" t="s">
        <v>172</v>
      </c>
      <c r="G1301" s="41"/>
      <c r="H1301" s="41"/>
      <c r="I1301" s="212">
        <v>44939</v>
      </c>
      <c r="J1301" s="41"/>
      <c r="K1301" s="213">
        <v>44</v>
      </c>
      <c r="L1301" s="120">
        <v>13603</v>
      </c>
    </row>
    <row r="1302" spans="2:12" outlineLevel="2">
      <c r="B1302" s="35">
        <f t="shared" si="38"/>
        <v>837</v>
      </c>
      <c r="C1302" s="41" t="s">
        <v>69</v>
      </c>
      <c r="D1302" s="41" t="s">
        <v>196</v>
      </c>
      <c r="E1302" s="216">
        <v>33082</v>
      </c>
      <c r="F1302" s="118" t="s">
        <v>172</v>
      </c>
      <c r="G1302" s="41"/>
      <c r="H1302" s="41"/>
      <c r="I1302" s="212">
        <v>44939</v>
      </c>
      <c r="J1302" s="41"/>
      <c r="K1302" s="120">
        <v>16</v>
      </c>
      <c r="L1302" s="120">
        <v>13607</v>
      </c>
    </row>
    <row r="1303" spans="2:12" outlineLevel="2">
      <c r="B1303" s="35">
        <f t="shared" si="38"/>
        <v>838</v>
      </c>
      <c r="C1303" s="41" t="s">
        <v>69</v>
      </c>
      <c r="D1303" s="41" t="s">
        <v>196</v>
      </c>
      <c r="E1303" s="216">
        <v>412180</v>
      </c>
      <c r="F1303" s="118" t="s">
        <v>172</v>
      </c>
      <c r="G1303" s="41"/>
      <c r="H1303" s="41"/>
      <c r="I1303" s="212">
        <v>44939</v>
      </c>
      <c r="J1303" s="41"/>
      <c r="K1303" s="248" t="s">
        <v>199</v>
      </c>
      <c r="L1303" s="120">
        <v>13608</v>
      </c>
    </row>
    <row r="1304" spans="2:12" outlineLevel="2">
      <c r="B1304" s="35">
        <f t="shared" si="38"/>
        <v>839</v>
      </c>
      <c r="C1304" s="41" t="s">
        <v>69</v>
      </c>
      <c r="D1304" s="41" t="s">
        <v>196</v>
      </c>
      <c r="E1304" s="216">
        <v>2239422</v>
      </c>
      <c r="F1304" s="118" t="s">
        <v>172</v>
      </c>
      <c r="G1304" s="41"/>
      <c r="H1304" s="41"/>
      <c r="I1304" s="212">
        <v>44939</v>
      </c>
      <c r="J1304" s="41"/>
      <c r="K1304" s="213">
        <v>21</v>
      </c>
      <c r="L1304" s="120">
        <v>13611</v>
      </c>
    </row>
    <row r="1305" spans="2:12" outlineLevel="2">
      <c r="B1305" s="35">
        <f t="shared" si="38"/>
        <v>840</v>
      </c>
      <c r="C1305" s="41" t="s">
        <v>69</v>
      </c>
      <c r="D1305" s="41" t="s">
        <v>196</v>
      </c>
      <c r="E1305" s="216">
        <v>73864</v>
      </c>
      <c r="F1305" s="118" t="s">
        <v>172</v>
      </c>
      <c r="G1305" s="41"/>
      <c r="H1305" s="41"/>
      <c r="I1305" s="212">
        <v>44869</v>
      </c>
      <c r="J1305" s="41"/>
      <c r="K1305" s="213">
        <v>21</v>
      </c>
      <c r="L1305" s="120">
        <v>13628</v>
      </c>
    </row>
    <row r="1306" spans="2:12" outlineLevel="2">
      <c r="B1306" s="35">
        <f t="shared" si="38"/>
        <v>841</v>
      </c>
      <c r="C1306" s="41" t="s">
        <v>69</v>
      </c>
      <c r="D1306" s="41" t="s">
        <v>196</v>
      </c>
      <c r="E1306" s="218">
        <v>8122</v>
      </c>
      <c r="F1306" s="209" t="s">
        <v>172</v>
      </c>
      <c r="G1306" s="41"/>
      <c r="H1306" s="41"/>
      <c r="I1306" s="212">
        <v>44956</v>
      </c>
      <c r="J1306" s="41"/>
      <c r="K1306" s="213">
        <v>28</v>
      </c>
      <c r="L1306" s="120">
        <v>14736</v>
      </c>
    </row>
    <row r="1307" spans="2:12" outlineLevel="2">
      <c r="B1307" s="35">
        <f t="shared" si="38"/>
        <v>842</v>
      </c>
      <c r="C1307" s="41" t="s">
        <v>69</v>
      </c>
      <c r="D1307" s="41" t="s">
        <v>196</v>
      </c>
      <c r="E1307" s="218">
        <v>77624</v>
      </c>
      <c r="F1307" s="209" t="s">
        <v>172</v>
      </c>
      <c r="G1307" s="41"/>
      <c r="H1307" s="41"/>
      <c r="I1307" s="212">
        <v>44956</v>
      </c>
      <c r="J1307" s="41"/>
      <c r="K1307" s="213">
        <v>27</v>
      </c>
      <c r="L1307" s="120">
        <v>14739</v>
      </c>
    </row>
    <row r="1308" spans="2:12" outlineLevel="2">
      <c r="B1308" s="35">
        <f t="shared" si="38"/>
        <v>843</v>
      </c>
      <c r="C1308" s="41" t="s">
        <v>69</v>
      </c>
      <c r="D1308" s="41" t="s">
        <v>196</v>
      </c>
      <c r="E1308" s="218">
        <v>12424</v>
      </c>
      <c r="F1308" s="209" t="s">
        <v>172</v>
      </c>
      <c r="G1308" s="41"/>
      <c r="H1308" s="41"/>
      <c r="I1308" s="212">
        <v>44956</v>
      </c>
      <c r="J1308" s="41"/>
      <c r="K1308" s="213">
        <v>32</v>
      </c>
      <c r="L1308" s="120">
        <v>14744</v>
      </c>
    </row>
    <row r="1309" spans="2:12" outlineLevel="2">
      <c r="B1309" s="35">
        <f t="shared" si="38"/>
        <v>844</v>
      </c>
      <c r="C1309" s="41" t="s">
        <v>69</v>
      </c>
      <c r="D1309" s="41" t="s">
        <v>196</v>
      </c>
      <c r="E1309" s="218">
        <v>185492</v>
      </c>
      <c r="F1309" s="209" t="s">
        <v>172</v>
      </c>
      <c r="G1309" s="41"/>
      <c r="H1309" s="41"/>
      <c r="I1309" s="212">
        <v>44956</v>
      </c>
      <c r="J1309" s="41"/>
      <c r="K1309" s="248" t="s">
        <v>199</v>
      </c>
      <c r="L1309" s="120">
        <v>14764</v>
      </c>
    </row>
    <row r="1310" spans="2:12" outlineLevel="2">
      <c r="B1310" s="35">
        <f t="shared" si="38"/>
        <v>845</v>
      </c>
      <c r="C1310" s="41" t="s">
        <v>69</v>
      </c>
      <c r="D1310" s="41" t="s">
        <v>196</v>
      </c>
      <c r="E1310" s="218">
        <v>157576</v>
      </c>
      <c r="F1310" s="209" t="s">
        <v>172</v>
      </c>
      <c r="G1310" s="41"/>
      <c r="H1310" s="41"/>
      <c r="I1310" s="212">
        <v>44956</v>
      </c>
      <c r="J1310" s="41"/>
      <c r="K1310" s="248" t="s">
        <v>199</v>
      </c>
      <c r="L1310" s="120">
        <v>14772</v>
      </c>
    </row>
    <row r="1311" spans="2:12" outlineLevel="2">
      <c r="B1311" s="35">
        <f t="shared" si="38"/>
        <v>846</v>
      </c>
      <c r="C1311" s="41" t="s">
        <v>69</v>
      </c>
      <c r="D1311" s="41" t="s">
        <v>196</v>
      </c>
      <c r="E1311" s="218">
        <v>207706</v>
      </c>
      <c r="F1311" s="227">
        <v>210518</v>
      </c>
      <c r="G1311" s="41"/>
      <c r="H1311" s="41"/>
      <c r="I1311" s="212">
        <v>44881</v>
      </c>
      <c r="J1311" s="41"/>
      <c r="K1311" s="257" t="s">
        <v>199</v>
      </c>
      <c r="L1311" s="120">
        <v>15329</v>
      </c>
    </row>
    <row r="1312" spans="2:12" outlineLevel="2">
      <c r="B1312" s="35">
        <f t="shared" si="38"/>
        <v>847</v>
      </c>
      <c r="C1312" s="41" t="s">
        <v>69</v>
      </c>
      <c r="D1312" s="41" t="s">
        <v>196</v>
      </c>
      <c r="E1312" s="218">
        <v>408972</v>
      </c>
      <c r="F1312" s="209" t="s">
        <v>172</v>
      </c>
      <c r="G1312" s="41"/>
      <c r="H1312" s="41"/>
      <c r="I1312" s="212">
        <v>44963</v>
      </c>
      <c r="J1312" s="41"/>
      <c r="K1312" s="213">
        <v>31</v>
      </c>
      <c r="L1312" s="248" t="s">
        <v>199</v>
      </c>
    </row>
    <row r="1313" spans="2:12" outlineLevel="2">
      <c r="B1313" s="35">
        <f t="shared" si="38"/>
        <v>848</v>
      </c>
      <c r="C1313" s="41" t="s">
        <v>69</v>
      </c>
      <c r="D1313" s="41" t="s">
        <v>196</v>
      </c>
      <c r="E1313" s="218">
        <v>1205405</v>
      </c>
      <c r="F1313" s="209" t="s">
        <v>172</v>
      </c>
      <c r="G1313" s="41"/>
      <c r="H1313" s="41"/>
      <c r="I1313" s="212">
        <v>44964</v>
      </c>
      <c r="J1313" s="41"/>
      <c r="K1313" s="120">
        <v>10</v>
      </c>
      <c r="L1313" s="120">
        <v>15481</v>
      </c>
    </row>
    <row r="1314" spans="2:12" outlineLevel="2">
      <c r="B1314" s="35">
        <f t="shared" si="38"/>
        <v>849</v>
      </c>
      <c r="C1314" s="41" t="s">
        <v>69</v>
      </c>
      <c r="D1314" s="41" t="s">
        <v>196</v>
      </c>
      <c r="E1314" s="218">
        <v>95613</v>
      </c>
      <c r="F1314" s="209" t="s">
        <v>172</v>
      </c>
      <c r="G1314" s="41"/>
      <c r="H1314" s="41"/>
      <c r="I1314" s="212">
        <v>44964</v>
      </c>
      <c r="J1314" s="41"/>
      <c r="K1314" s="120">
        <v>24</v>
      </c>
      <c r="L1314" s="120">
        <v>15500</v>
      </c>
    </row>
    <row r="1315" spans="2:12" outlineLevel="2">
      <c r="B1315" s="35">
        <f t="shared" si="38"/>
        <v>850</v>
      </c>
      <c r="C1315" s="41" t="s">
        <v>69</v>
      </c>
      <c r="D1315" s="41" t="s">
        <v>196</v>
      </c>
      <c r="E1315" s="218">
        <v>233205</v>
      </c>
      <c r="F1315" s="209" t="s">
        <v>172</v>
      </c>
      <c r="G1315" s="41"/>
      <c r="H1315" s="41"/>
      <c r="I1315" s="212">
        <v>44964</v>
      </c>
      <c r="J1315" s="41"/>
      <c r="K1315" s="248" t="s">
        <v>199</v>
      </c>
      <c r="L1315" s="120">
        <v>15527</v>
      </c>
    </row>
    <row r="1316" spans="2:12" outlineLevel="2">
      <c r="B1316" s="35">
        <f t="shared" si="38"/>
        <v>851</v>
      </c>
      <c r="C1316" s="41" t="s">
        <v>69</v>
      </c>
      <c r="D1316" s="41" t="s">
        <v>196</v>
      </c>
      <c r="E1316" s="218">
        <v>24700</v>
      </c>
      <c r="F1316" s="209" t="s">
        <v>172</v>
      </c>
      <c r="G1316" s="41"/>
      <c r="H1316" s="41"/>
      <c r="I1316" s="212">
        <v>44901</v>
      </c>
      <c r="J1316" s="41"/>
      <c r="K1316" s="213">
        <v>45</v>
      </c>
      <c r="L1316" s="120">
        <v>15563</v>
      </c>
    </row>
    <row r="1317" spans="2:12" outlineLevel="2">
      <c r="B1317" s="35">
        <f t="shared" si="38"/>
        <v>852</v>
      </c>
      <c r="C1317" s="41" t="s">
        <v>69</v>
      </c>
      <c r="D1317" s="41" t="s">
        <v>196</v>
      </c>
      <c r="E1317" s="218">
        <v>369237</v>
      </c>
      <c r="F1317" s="227">
        <v>97301</v>
      </c>
      <c r="G1317" s="41"/>
      <c r="H1317" s="41"/>
      <c r="I1317" s="212">
        <v>44883</v>
      </c>
      <c r="J1317" s="41"/>
      <c r="K1317" s="248" t="s">
        <v>199</v>
      </c>
      <c r="L1317" s="120">
        <v>15833</v>
      </c>
    </row>
    <row r="1318" spans="2:12" outlineLevel="2">
      <c r="B1318" s="35">
        <f t="shared" si="38"/>
        <v>853</v>
      </c>
      <c r="C1318" s="41" t="s">
        <v>69</v>
      </c>
      <c r="D1318" s="41" t="s">
        <v>196</v>
      </c>
      <c r="E1318" s="218" t="s">
        <v>480</v>
      </c>
      <c r="F1318" s="227" t="s">
        <v>172</v>
      </c>
      <c r="G1318" s="41"/>
      <c r="H1318" s="41"/>
      <c r="I1318" s="212">
        <v>44883</v>
      </c>
      <c r="J1318" s="41"/>
      <c r="K1318" s="213">
        <v>12</v>
      </c>
      <c r="L1318" s="120">
        <v>15852</v>
      </c>
    </row>
    <row r="1319" spans="2:12" outlineLevel="2">
      <c r="B1319" s="35">
        <f t="shared" si="38"/>
        <v>854</v>
      </c>
      <c r="C1319" s="41" t="s">
        <v>69</v>
      </c>
      <c r="D1319" s="41" t="s">
        <v>196</v>
      </c>
      <c r="E1319" s="218">
        <v>258791</v>
      </c>
      <c r="F1319" s="209"/>
      <c r="G1319" s="41"/>
      <c r="H1319" s="41"/>
      <c r="I1319" s="212">
        <v>44914</v>
      </c>
      <c r="J1319" s="41"/>
      <c r="K1319" s="213">
        <v>32</v>
      </c>
      <c r="L1319" s="120">
        <v>16196</v>
      </c>
    </row>
    <row r="1320" spans="2:12" outlineLevel="2">
      <c r="B1320" s="35">
        <f t="shared" si="38"/>
        <v>855</v>
      </c>
      <c r="C1320" s="41" t="s">
        <v>69</v>
      </c>
      <c r="D1320" s="41" t="s">
        <v>196</v>
      </c>
      <c r="E1320" s="218" t="s">
        <v>481</v>
      </c>
      <c r="F1320" s="209"/>
      <c r="G1320" s="41"/>
      <c r="H1320" s="41"/>
      <c r="I1320" s="212">
        <v>44914</v>
      </c>
      <c r="J1320" s="41"/>
      <c r="K1320" s="120">
        <v>40</v>
      </c>
      <c r="L1320" s="120">
        <v>16198</v>
      </c>
    </row>
    <row r="1321" spans="2:12" outlineLevel="2">
      <c r="B1321" s="35">
        <f t="shared" si="38"/>
        <v>856</v>
      </c>
      <c r="C1321" s="41" t="s">
        <v>69</v>
      </c>
      <c r="D1321" s="41" t="s">
        <v>196</v>
      </c>
      <c r="E1321" s="218">
        <v>222353</v>
      </c>
      <c r="F1321" s="209"/>
      <c r="G1321" s="41"/>
      <c r="H1321" s="41"/>
      <c r="I1321" s="212">
        <v>44914</v>
      </c>
      <c r="J1321" s="41"/>
      <c r="K1321" s="248" t="s">
        <v>199</v>
      </c>
      <c r="L1321" s="120">
        <v>16210</v>
      </c>
    </row>
    <row r="1322" spans="2:12" outlineLevel="2">
      <c r="B1322" s="35">
        <f t="shared" si="38"/>
        <v>857</v>
      </c>
      <c r="C1322" s="41" t="s">
        <v>69</v>
      </c>
      <c r="D1322" s="41" t="s">
        <v>196</v>
      </c>
      <c r="E1322" s="218" t="s">
        <v>482</v>
      </c>
      <c r="F1322" s="209"/>
      <c r="G1322" s="41"/>
      <c r="H1322" s="41"/>
      <c r="I1322" s="212">
        <v>44914</v>
      </c>
      <c r="J1322" s="41"/>
      <c r="K1322" s="248" t="s">
        <v>199</v>
      </c>
      <c r="L1322" s="120">
        <v>16212</v>
      </c>
    </row>
    <row r="1323" spans="2:12" outlineLevel="2">
      <c r="B1323" s="35">
        <f t="shared" si="38"/>
        <v>858</v>
      </c>
      <c r="C1323" s="41" t="s">
        <v>69</v>
      </c>
      <c r="D1323" s="41" t="s">
        <v>196</v>
      </c>
      <c r="E1323" s="218" t="s">
        <v>483</v>
      </c>
      <c r="F1323" s="209"/>
      <c r="G1323" s="41"/>
      <c r="H1323" s="41"/>
      <c r="I1323" s="212">
        <v>44914</v>
      </c>
      <c r="J1323" s="41"/>
      <c r="K1323" s="213">
        <v>14</v>
      </c>
      <c r="L1323" s="120">
        <v>16213</v>
      </c>
    </row>
    <row r="1324" spans="2:12" outlineLevel="2">
      <c r="B1324" s="35">
        <f t="shared" si="38"/>
        <v>859</v>
      </c>
      <c r="C1324" s="41" t="s">
        <v>69</v>
      </c>
      <c r="D1324" s="41" t="s">
        <v>196</v>
      </c>
      <c r="E1324" s="218">
        <v>70580</v>
      </c>
      <c r="F1324" s="209"/>
      <c r="G1324" s="41"/>
      <c r="H1324" s="41"/>
      <c r="I1324" s="212">
        <v>44914</v>
      </c>
      <c r="J1324" s="41"/>
      <c r="K1324" s="213">
        <v>21</v>
      </c>
      <c r="L1324" s="120">
        <v>16250</v>
      </c>
    </row>
    <row r="1325" spans="2:12" outlineLevel="2">
      <c r="B1325" s="35">
        <f t="shared" si="38"/>
        <v>860</v>
      </c>
      <c r="C1325" s="41" t="s">
        <v>69</v>
      </c>
      <c r="D1325" s="41" t="s">
        <v>196</v>
      </c>
      <c r="E1325" s="218">
        <v>47751</v>
      </c>
      <c r="F1325" s="209"/>
      <c r="G1325" s="41"/>
      <c r="H1325" s="41"/>
      <c r="I1325" s="212">
        <v>44914</v>
      </c>
      <c r="J1325" s="41"/>
      <c r="K1325" s="213">
        <v>23</v>
      </c>
      <c r="L1325" s="120">
        <v>16269</v>
      </c>
    </row>
    <row r="1326" spans="2:12" outlineLevel="2">
      <c r="B1326" s="35">
        <f t="shared" si="38"/>
        <v>861</v>
      </c>
      <c r="C1326" s="41" t="s">
        <v>69</v>
      </c>
      <c r="D1326" s="41" t="s">
        <v>196</v>
      </c>
      <c r="E1326" s="218" t="s">
        <v>484</v>
      </c>
      <c r="F1326" s="209"/>
      <c r="G1326" s="41"/>
      <c r="H1326" s="41"/>
      <c r="I1326" s="212">
        <v>44915</v>
      </c>
      <c r="J1326" s="41"/>
      <c r="K1326" s="120">
        <v>16</v>
      </c>
      <c r="L1326" s="120">
        <v>16281</v>
      </c>
    </row>
    <row r="1327" spans="2:12" outlineLevel="2">
      <c r="B1327" s="35">
        <f t="shared" si="38"/>
        <v>862</v>
      </c>
      <c r="C1327" s="41" t="s">
        <v>69</v>
      </c>
      <c r="D1327" s="41" t="s">
        <v>196</v>
      </c>
      <c r="E1327" s="218">
        <v>9113475</v>
      </c>
      <c r="F1327" s="209"/>
      <c r="G1327" s="41"/>
      <c r="H1327" s="41"/>
      <c r="I1327" s="212">
        <v>44887</v>
      </c>
      <c r="J1327" s="41"/>
      <c r="K1327" s="213">
        <v>39</v>
      </c>
      <c r="L1327" s="120">
        <v>16284</v>
      </c>
    </row>
    <row r="1328" spans="2:12" outlineLevel="2">
      <c r="B1328" s="35">
        <f t="shared" si="38"/>
        <v>863</v>
      </c>
      <c r="C1328" s="41" t="s">
        <v>69</v>
      </c>
      <c r="D1328" s="41" t="s">
        <v>196</v>
      </c>
      <c r="E1328" s="218">
        <v>101861</v>
      </c>
      <c r="F1328" s="227" t="s">
        <v>172</v>
      </c>
      <c r="G1328" s="41"/>
      <c r="H1328" s="41"/>
      <c r="I1328" s="212">
        <v>44915</v>
      </c>
      <c r="J1328" s="41"/>
      <c r="K1328" s="213">
        <v>19</v>
      </c>
      <c r="L1328" s="120">
        <v>16378</v>
      </c>
    </row>
    <row r="1329" spans="2:12" outlineLevel="2">
      <c r="B1329" s="35">
        <f t="shared" si="38"/>
        <v>864</v>
      </c>
      <c r="C1329" s="41" t="s">
        <v>69</v>
      </c>
      <c r="D1329" s="41" t="s">
        <v>196</v>
      </c>
      <c r="E1329" s="218">
        <v>177118</v>
      </c>
      <c r="F1329" s="227" t="s">
        <v>172</v>
      </c>
      <c r="G1329" s="41"/>
      <c r="H1329" s="41"/>
      <c r="I1329" s="212">
        <v>44915</v>
      </c>
      <c r="J1329" s="41"/>
      <c r="K1329" s="248" t="s">
        <v>199</v>
      </c>
      <c r="L1329" s="120">
        <v>16380</v>
      </c>
    </row>
    <row r="1330" spans="2:12" outlineLevel="2">
      <c r="B1330" s="35">
        <f t="shared" si="38"/>
        <v>865</v>
      </c>
      <c r="C1330" s="41" t="s">
        <v>69</v>
      </c>
      <c r="D1330" s="41" t="s">
        <v>196</v>
      </c>
      <c r="E1330" s="218">
        <v>9024574</v>
      </c>
      <c r="F1330" s="227" t="s">
        <v>172</v>
      </c>
      <c r="G1330" s="41"/>
      <c r="H1330" s="41"/>
      <c r="I1330" s="212">
        <v>44916</v>
      </c>
      <c r="J1330" s="41"/>
      <c r="K1330" s="213">
        <v>32</v>
      </c>
      <c r="L1330" s="120">
        <v>16391</v>
      </c>
    </row>
    <row r="1331" spans="2:12" outlineLevel="2">
      <c r="B1331" s="35">
        <f t="shared" si="38"/>
        <v>866</v>
      </c>
      <c r="C1331" s="41" t="s">
        <v>69</v>
      </c>
      <c r="D1331" s="41" t="s">
        <v>196</v>
      </c>
      <c r="E1331" s="218">
        <v>24389</v>
      </c>
      <c r="F1331" s="227" t="s">
        <v>172</v>
      </c>
      <c r="G1331" s="41"/>
      <c r="H1331" s="41"/>
      <c r="I1331" s="212">
        <v>44967</v>
      </c>
      <c r="J1331" s="41"/>
      <c r="K1331" s="213">
        <v>32</v>
      </c>
      <c r="L1331" s="120">
        <v>16438</v>
      </c>
    </row>
    <row r="1332" spans="2:12" outlineLevel="2">
      <c r="B1332" s="35">
        <f t="shared" si="38"/>
        <v>867</v>
      </c>
      <c r="C1332" s="41" t="s">
        <v>69</v>
      </c>
      <c r="D1332" s="41" t="s">
        <v>196</v>
      </c>
      <c r="E1332" s="218">
        <v>111627</v>
      </c>
      <c r="F1332" s="227" t="s">
        <v>172</v>
      </c>
      <c r="G1332" s="41"/>
      <c r="H1332" s="41"/>
      <c r="I1332" s="212">
        <v>44967</v>
      </c>
      <c r="J1332" s="41"/>
      <c r="K1332" s="248" t="s">
        <v>199</v>
      </c>
      <c r="L1332" s="120">
        <v>16472</v>
      </c>
    </row>
    <row r="1333" spans="2:12" outlineLevel="2">
      <c r="B1333" s="35">
        <f t="shared" si="38"/>
        <v>868</v>
      </c>
      <c r="C1333" s="41" t="s">
        <v>69</v>
      </c>
      <c r="D1333" s="41" t="s">
        <v>196</v>
      </c>
      <c r="E1333" s="218">
        <v>911069</v>
      </c>
      <c r="F1333" s="227" t="s">
        <v>172</v>
      </c>
      <c r="G1333" s="41"/>
      <c r="H1333" s="41"/>
      <c r="I1333" s="212">
        <v>44937</v>
      </c>
      <c r="J1333" s="41"/>
      <c r="K1333" s="213">
        <v>35</v>
      </c>
      <c r="L1333" s="120">
        <v>16489</v>
      </c>
    </row>
    <row r="1334" spans="2:12" outlineLevel="2">
      <c r="B1334" s="35">
        <f t="shared" si="38"/>
        <v>869</v>
      </c>
      <c r="C1334" s="41" t="s">
        <v>69</v>
      </c>
      <c r="D1334" s="41" t="s">
        <v>196</v>
      </c>
      <c r="E1334" s="218">
        <v>88233170</v>
      </c>
      <c r="F1334" s="227" t="s">
        <v>172</v>
      </c>
      <c r="G1334" s="41"/>
      <c r="H1334" s="41"/>
      <c r="I1334" s="212"/>
      <c r="J1334" s="41"/>
      <c r="K1334" s="213">
        <v>48</v>
      </c>
      <c r="L1334" s="120">
        <v>16491</v>
      </c>
    </row>
    <row r="1335" spans="2:12" outlineLevel="2">
      <c r="B1335" s="35">
        <f t="shared" si="38"/>
        <v>870</v>
      </c>
      <c r="C1335" s="41" t="s">
        <v>69</v>
      </c>
      <c r="D1335" s="41" t="s">
        <v>196</v>
      </c>
      <c r="E1335" s="218">
        <v>2608</v>
      </c>
      <c r="F1335" s="227" t="s">
        <v>172</v>
      </c>
      <c r="G1335" s="41"/>
      <c r="H1335" s="41"/>
      <c r="I1335" s="212">
        <v>44915</v>
      </c>
      <c r="J1335" s="41"/>
      <c r="K1335" s="213">
        <v>41</v>
      </c>
      <c r="L1335" s="120">
        <v>16493</v>
      </c>
    </row>
    <row r="1336" spans="2:12" outlineLevel="2">
      <c r="B1336" s="35">
        <f t="shared" si="38"/>
        <v>871</v>
      </c>
      <c r="C1336" s="41" t="s">
        <v>69</v>
      </c>
      <c r="D1336" s="41" t="s">
        <v>196</v>
      </c>
      <c r="E1336" s="218">
        <v>5069</v>
      </c>
      <c r="F1336" s="227" t="s">
        <v>172</v>
      </c>
      <c r="G1336" s="41"/>
      <c r="H1336" s="41"/>
      <c r="I1336" s="212">
        <v>44974</v>
      </c>
      <c r="J1336" s="41"/>
      <c r="K1336" s="213">
        <v>31</v>
      </c>
      <c r="L1336" s="120">
        <v>16515</v>
      </c>
    </row>
    <row r="1337" spans="2:12" outlineLevel="2">
      <c r="B1337" s="35">
        <f t="shared" si="38"/>
        <v>872</v>
      </c>
      <c r="C1337" s="41" t="s">
        <v>69</v>
      </c>
      <c r="D1337" s="41" t="s">
        <v>196</v>
      </c>
      <c r="E1337" s="218">
        <v>310098</v>
      </c>
      <c r="F1337" s="227" t="s">
        <v>172</v>
      </c>
      <c r="G1337" s="41"/>
      <c r="H1337" s="41"/>
      <c r="I1337" s="212">
        <v>44974</v>
      </c>
      <c r="J1337" s="41"/>
      <c r="K1337" s="213">
        <v>31</v>
      </c>
      <c r="L1337" s="120">
        <v>16521</v>
      </c>
    </row>
    <row r="1338" spans="2:12" outlineLevel="2">
      <c r="B1338" s="35">
        <f t="shared" si="38"/>
        <v>873</v>
      </c>
      <c r="C1338" s="41" t="s">
        <v>69</v>
      </c>
      <c r="D1338" s="41" t="s">
        <v>196</v>
      </c>
      <c r="E1338" s="218">
        <v>245149</v>
      </c>
      <c r="F1338" s="209" t="s">
        <v>172</v>
      </c>
      <c r="G1338" s="41"/>
      <c r="H1338" s="41"/>
      <c r="I1338" s="212">
        <v>44974</v>
      </c>
      <c r="J1338" s="41"/>
      <c r="K1338" s="248" t="s">
        <v>199</v>
      </c>
      <c r="L1338" s="120">
        <v>16539</v>
      </c>
    </row>
    <row r="1339" spans="2:12" outlineLevel="2">
      <c r="B1339" s="35">
        <f t="shared" si="38"/>
        <v>874</v>
      </c>
      <c r="C1339" s="41" t="s">
        <v>69</v>
      </c>
      <c r="D1339" s="41" t="s">
        <v>196</v>
      </c>
      <c r="E1339" s="218">
        <v>219792</v>
      </c>
      <c r="F1339" s="209" t="s">
        <v>172</v>
      </c>
      <c r="G1339" s="41"/>
      <c r="H1339" s="41"/>
      <c r="I1339" s="212">
        <v>44974</v>
      </c>
      <c r="J1339" s="41"/>
      <c r="K1339" s="248" t="s">
        <v>199</v>
      </c>
      <c r="L1339" s="120">
        <v>16547</v>
      </c>
    </row>
    <row r="1340" spans="2:12" outlineLevel="2">
      <c r="B1340" s="35">
        <f t="shared" si="38"/>
        <v>875</v>
      </c>
      <c r="C1340" s="41" t="s">
        <v>69</v>
      </c>
      <c r="D1340" s="41" t="s">
        <v>196</v>
      </c>
      <c r="E1340" s="218">
        <v>220468</v>
      </c>
      <c r="F1340" s="209" t="s">
        <v>172</v>
      </c>
      <c r="G1340" s="41"/>
      <c r="H1340" s="41"/>
      <c r="I1340" s="212">
        <v>44974</v>
      </c>
      <c r="J1340" s="41"/>
      <c r="K1340" s="248" t="s">
        <v>199</v>
      </c>
      <c r="L1340" s="120">
        <v>16553</v>
      </c>
    </row>
    <row r="1341" spans="2:12" outlineLevel="2">
      <c r="B1341" s="35">
        <f t="shared" si="38"/>
        <v>876</v>
      </c>
      <c r="C1341" s="41" t="s">
        <v>69</v>
      </c>
      <c r="D1341" s="41" t="s">
        <v>196</v>
      </c>
      <c r="E1341" s="218">
        <v>993008</v>
      </c>
      <c r="F1341" s="209" t="s">
        <v>172</v>
      </c>
      <c r="G1341" s="41"/>
      <c r="H1341" s="41"/>
      <c r="I1341" s="212">
        <v>44974</v>
      </c>
      <c r="J1341" s="41"/>
      <c r="K1341" s="213">
        <v>31</v>
      </c>
      <c r="L1341" s="120">
        <v>16557</v>
      </c>
    </row>
    <row r="1342" spans="2:12" outlineLevel="2">
      <c r="B1342" s="35">
        <f t="shared" si="38"/>
        <v>877</v>
      </c>
      <c r="C1342" s="41" t="s">
        <v>69</v>
      </c>
      <c r="D1342" s="41" t="s">
        <v>196</v>
      </c>
      <c r="E1342" s="218">
        <v>162732</v>
      </c>
      <c r="F1342" s="209" t="s">
        <v>172</v>
      </c>
      <c r="G1342" s="41"/>
      <c r="H1342" s="41"/>
      <c r="I1342" s="212">
        <v>44974</v>
      </c>
      <c r="J1342" s="41"/>
      <c r="K1342" s="213">
        <v>21</v>
      </c>
      <c r="L1342" s="120">
        <v>16561</v>
      </c>
    </row>
    <row r="1343" spans="2:12" outlineLevel="2">
      <c r="B1343" s="35">
        <f t="shared" ref="B1343:B1362" si="39">(B1342+1)</f>
        <v>878</v>
      </c>
      <c r="C1343" s="41" t="s">
        <v>69</v>
      </c>
      <c r="D1343" s="41" t="s">
        <v>196</v>
      </c>
      <c r="E1343" s="218">
        <v>255821</v>
      </c>
      <c r="F1343" s="209" t="s">
        <v>172</v>
      </c>
      <c r="G1343" s="41"/>
      <c r="H1343" s="41"/>
      <c r="I1343" s="212">
        <v>44978</v>
      </c>
      <c r="J1343" s="41"/>
      <c r="K1343" s="213">
        <v>12</v>
      </c>
      <c r="L1343" s="120">
        <v>16580</v>
      </c>
    </row>
    <row r="1344" spans="2:12" outlineLevel="2">
      <c r="B1344" s="35">
        <f t="shared" si="39"/>
        <v>879</v>
      </c>
      <c r="C1344" s="41" t="s">
        <v>69</v>
      </c>
      <c r="D1344" s="41" t="s">
        <v>196</v>
      </c>
      <c r="E1344" s="218">
        <v>597350</v>
      </c>
      <c r="F1344" s="227" t="s">
        <v>172</v>
      </c>
      <c r="G1344" s="41"/>
      <c r="H1344" s="41"/>
      <c r="I1344" s="212">
        <v>44979</v>
      </c>
      <c r="J1344" s="41"/>
      <c r="K1344" s="248" t="s">
        <v>199</v>
      </c>
      <c r="L1344" s="120">
        <v>16671</v>
      </c>
    </row>
    <row r="1345" spans="2:12" outlineLevel="2">
      <c r="B1345" s="35">
        <f t="shared" si="39"/>
        <v>880</v>
      </c>
      <c r="C1345" s="41" t="s">
        <v>69</v>
      </c>
      <c r="D1345" s="41" t="s">
        <v>196</v>
      </c>
      <c r="E1345" s="218">
        <v>7985</v>
      </c>
      <c r="F1345" s="209">
        <v>7985</v>
      </c>
      <c r="G1345" s="41"/>
      <c r="H1345" s="41"/>
      <c r="I1345" s="212">
        <v>44900</v>
      </c>
      <c r="J1345" s="41"/>
      <c r="K1345" s="213">
        <v>29</v>
      </c>
      <c r="L1345" s="120">
        <v>16857</v>
      </c>
    </row>
    <row r="1346" spans="2:12" outlineLevel="2">
      <c r="B1346" s="35">
        <f t="shared" si="39"/>
        <v>881</v>
      </c>
      <c r="C1346" s="41" t="s">
        <v>69</v>
      </c>
      <c r="D1346" s="41" t="s">
        <v>196</v>
      </c>
      <c r="E1346" s="218">
        <v>606459</v>
      </c>
      <c r="F1346" s="227">
        <v>212098</v>
      </c>
      <c r="G1346" s="41"/>
      <c r="H1346" s="41"/>
      <c r="I1346" s="212">
        <v>44901</v>
      </c>
      <c r="J1346" s="41"/>
      <c r="K1346" s="248" t="s">
        <v>199</v>
      </c>
      <c r="L1346" s="120">
        <v>16910</v>
      </c>
    </row>
    <row r="1347" spans="2:12" outlineLevel="2">
      <c r="B1347" s="35">
        <f t="shared" si="39"/>
        <v>882</v>
      </c>
      <c r="C1347" s="41" t="s">
        <v>69</v>
      </c>
      <c r="D1347" s="41" t="s">
        <v>196</v>
      </c>
      <c r="E1347" s="218">
        <v>91356</v>
      </c>
      <c r="F1347" s="227" t="s">
        <v>172</v>
      </c>
      <c r="G1347" s="41"/>
      <c r="H1347" s="41"/>
      <c r="I1347" s="212">
        <v>44945</v>
      </c>
      <c r="J1347" s="41"/>
      <c r="K1347" s="213">
        <v>48</v>
      </c>
      <c r="L1347" s="120">
        <v>17067</v>
      </c>
    </row>
    <row r="1348" spans="2:12" outlineLevel="2">
      <c r="B1348" s="35">
        <f t="shared" si="39"/>
        <v>883</v>
      </c>
      <c r="C1348" s="41" t="s">
        <v>69</v>
      </c>
      <c r="D1348" s="41" t="s">
        <v>196</v>
      </c>
      <c r="E1348" s="218">
        <v>24913</v>
      </c>
      <c r="F1348" s="227" t="s">
        <v>172</v>
      </c>
      <c r="G1348" s="41"/>
      <c r="H1348" s="41"/>
      <c r="I1348" s="212">
        <v>44945</v>
      </c>
      <c r="J1348" s="41"/>
      <c r="K1348" s="213">
        <v>39</v>
      </c>
      <c r="L1348" s="120">
        <v>17071</v>
      </c>
    </row>
    <row r="1349" spans="2:12" outlineLevel="2">
      <c r="B1349" s="35">
        <f t="shared" si="39"/>
        <v>884</v>
      </c>
      <c r="C1349" s="41" t="s">
        <v>69</v>
      </c>
      <c r="D1349" s="41" t="s">
        <v>196</v>
      </c>
      <c r="E1349" s="218">
        <v>97390</v>
      </c>
      <c r="F1349" s="227" t="s">
        <v>172</v>
      </c>
      <c r="G1349" s="41"/>
      <c r="H1349" s="41"/>
      <c r="I1349" s="212">
        <v>44977</v>
      </c>
      <c r="J1349" s="41"/>
      <c r="K1349" s="213">
        <v>29</v>
      </c>
      <c r="L1349" s="120">
        <v>17105</v>
      </c>
    </row>
    <row r="1350" spans="2:12" outlineLevel="2">
      <c r="B1350" s="35">
        <f t="shared" si="39"/>
        <v>885</v>
      </c>
      <c r="C1350" s="41" t="s">
        <v>69</v>
      </c>
      <c r="D1350" s="41" t="s">
        <v>196</v>
      </c>
      <c r="E1350" s="218" t="s">
        <v>485</v>
      </c>
      <c r="F1350" s="227" t="s">
        <v>172</v>
      </c>
      <c r="G1350" s="41"/>
      <c r="H1350" s="41"/>
      <c r="I1350" s="212">
        <v>44977</v>
      </c>
      <c r="J1350" s="41"/>
      <c r="K1350" s="213">
        <v>40</v>
      </c>
      <c r="L1350" s="120">
        <v>17124</v>
      </c>
    </row>
    <row r="1351" spans="2:12" outlineLevel="2">
      <c r="B1351" s="35">
        <f t="shared" si="39"/>
        <v>886</v>
      </c>
      <c r="C1351" s="41" t="s">
        <v>69</v>
      </c>
      <c r="D1351" s="41" t="s">
        <v>196</v>
      </c>
      <c r="E1351" s="218">
        <v>49463</v>
      </c>
      <c r="F1351" s="227" t="s">
        <v>172</v>
      </c>
      <c r="G1351" s="41"/>
      <c r="H1351" s="41"/>
      <c r="I1351" s="212">
        <v>44944</v>
      </c>
      <c r="J1351" s="41"/>
      <c r="K1351" s="248" t="s">
        <v>199</v>
      </c>
      <c r="L1351" s="120">
        <v>17139</v>
      </c>
    </row>
    <row r="1352" spans="2:12" outlineLevel="2">
      <c r="B1352" s="35">
        <f t="shared" si="39"/>
        <v>887</v>
      </c>
      <c r="C1352" s="41" t="s">
        <v>69</v>
      </c>
      <c r="D1352" s="41" t="s">
        <v>196</v>
      </c>
      <c r="E1352" s="218">
        <v>434320</v>
      </c>
      <c r="F1352" s="227" t="s">
        <v>172</v>
      </c>
      <c r="G1352" s="41"/>
      <c r="H1352" s="41"/>
      <c r="I1352" s="212">
        <v>44977</v>
      </c>
      <c r="J1352" s="41"/>
      <c r="K1352" s="248" t="s">
        <v>199</v>
      </c>
      <c r="L1352" s="120">
        <v>17141</v>
      </c>
    </row>
    <row r="1353" spans="2:12" outlineLevel="2">
      <c r="B1353" s="35">
        <f t="shared" si="39"/>
        <v>888</v>
      </c>
      <c r="C1353" s="41" t="s">
        <v>69</v>
      </c>
      <c r="D1353" s="41" t="s">
        <v>196</v>
      </c>
      <c r="E1353" s="218" t="s">
        <v>486</v>
      </c>
      <c r="F1353" s="227" t="s">
        <v>172</v>
      </c>
      <c r="G1353" s="41"/>
      <c r="H1353" s="41"/>
      <c r="I1353" s="212">
        <v>44979</v>
      </c>
      <c r="J1353" s="41"/>
      <c r="K1353" s="213">
        <v>40</v>
      </c>
      <c r="L1353" s="120">
        <v>17171</v>
      </c>
    </row>
    <row r="1354" spans="2:12" outlineLevel="2">
      <c r="B1354" s="35">
        <f t="shared" si="39"/>
        <v>889</v>
      </c>
      <c r="C1354" s="41" t="s">
        <v>69</v>
      </c>
      <c r="D1354" s="41" t="s">
        <v>196</v>
      </c>
      <c r="E1354" s="218">
        <v>9633648</v>
      </c>
      <c r="F1354" s="227" t="s">
        <v>172</v>
      </c>
      <c r="G1354" s="41"/>
      <c r="H1354" s="41"/>
      <c r="I1354" s="212">
        <v>44979</v>
      </c>
      <c r="J1354" s="41"/>
      <c r="K1354" s="213">
        <v>44</v>
      </c>
      <c r="L1354" s="120">
        <v>17172</v>
      </c>
    </row>
    <row r="1355" spans="2:12" outlineLevel="2">
      <c r="B1355" s="35">
        <f t="shared" si="39"/>
        <v>890</v>
      </c>
      <c r="C1355" s="41" t="s">
        <v>69</v>
      </c>
      <c r="D1355" s="41" t="s">
        <v>196</v>
      </c>
      <c r="E1355" s="216">
        <v>369324</v>
      </c>
      <c r="F1355" s="216">
        <v>97388</v>
      </c>
      <c r="G1355" s="41"/>
      <c r="H1355" s="41"/>
      <c r="I1355" s="212">
        <v>44971</v>
      </c>
      <c r="J1355" s="41"/>
      <c r="K1355" s="248" t="s">
        <v>199</v>
      </c>
      <c r="L1355" s="120">
        <v>17747</v>
      </c>
    </row>
    <row r="1356" spans="2:12" outlineLevel="2">
      <c r="B1356" s="35">
        <f t="shared" si="39"/>
        <v>891</v>
      </c>
      <c r="C1356" s="41" t="s">
        <v>69</v>
      </c>
      <c r="D1356" s="41" t="s">
        <v>196</v>
      </c>
      <c r="E1356" s="216">
        <v>481570</v>
      </c>
      <c r="F1356" s="216">
        <v>481570</v>
      </c>
      <c r="G1356" s="41"/>
      <c r="H1356" s="41"/>
      <c r="I1356" s="212">
        <v>44971</v>
      </c>
      <c r="J1356" s="41"/>
      <c r="K1356" s="248" t="s">
        <v>199</v>
      </c>
      <c r="L1356" s="120">
        <v>17748</v>
      </c>
    </row>
    <row r="1357" spans="2:12" outlineLevel="2">
      <c r="B1357" s="35">
        <f t="shared" si="39"/>
        <v>892</v>
      </c>
      <c r="C1357" s="41" t="s">
        <v>69</v>
      </c>
      <c r="D1357" s="41" t="s">
        <v>196</v>
      </c>
      <c r="E1357" s="216">
        <v>266078</v>
      </c>
      <c r="F1357" s="216">
        <v>64368</v>
      </c>
      <c r="G1357" s="41"/>
      <c r="H1357" s="41"/>
      <c r="I1357" s="212">
        <v>44971</v>
      </c>
      <c r="J1357" s="41"/>
      <c r="K1357" s="248" t="s">
        <v>199</v>
      </c>
      <c r="L1357" s="120">
        <v>17757</v>
      </c>
    </row>
    <row r="1358" spans="2:12" outlineLevel="2">
      <c r="B1358" s="35">
        <f t="shared" si="39"/>
        <v>893</v>
      </c>
      <c r="C1358" s="41" t="s">
        <v>69</v>
      </c>
      <c r="D1358" s="41" t="s">
        <v>196</v>
      </c>
      <c r="E1358" s="216">
        <v>2263</v>
      </c>
      <c r="F1358" s="216" t="s">
        <v>172</v>
      </c>
      <c r="G1358" s="41"/>
      <c r="H1358" s="41"/>
      <c r="I1358" s="212">
        <v>44972</v>
      </c>
      <c r="J1358" s="41"/>
      <c r="K1358" s="120">
        <v>28</v>
      </c>
      <c r="L1358" s="120">
        <v>17808</v>
      </c>
    </row>
    <row r="1359" spans="2:12" outlineLevel="2">
      <c r="B1359" s="35">
        <f t="shared" si="39"/>
        <v>894</v>
      </c>
      <c r="C1359" s="41" t="s">
        <v>69</v>
      </c>
      <c r="D1359" s="41" t="s">
        <v>196</v>
      </c>
      <c r="E1359" s="216">
        <v>1162</v>
      </c>
      <c r="F1359" s="216" t="s">
        <v>172</v>
      </c>
      <c r="G1359" s="41"/>
      <c r="H1359" s="41"/>
      <c r="I1359" s="212">
        <v>44972</v>
      </c>
      <c r="J1359" s="41"/>
      <c r="K1359" s="120">
        <v>24</v>
      </c>
      <c r="L1359" s="120">
        <v>17862</v>
      </c>
    </row>
    <row r="1360" spans="2:12" outlineLevel="2">
      <c r="B1360" s="35">
        <f t="shared" si="39"/>
        <v>895</v>
      </c>
      <c r="C1360" s="41" t="s">
        <v>69</v>
      </c>
      <c r="D1360" s="41" t="s">
        <v>196</v>
      </c>
      <c r="E1360" s="216">
        <v>153030</v>
      </c>
      <c r="F1360" s="216" t="s">
        <v>172</v>
      </c>
      <c r="G1360" s="41"/>
      <c r="H1360" s="41"/>
      <c r="I1360" s="212">
        <v>44957</v>
      </c>
      <c r="J1360" s="41"/>
      <c r="K1360" s="120">
        <v>8</v>
      </c>
      <c r="L1360" s="120">
        <v>17872</v>
      </c>
    </row>
    <row r="1361" spans="2:12" outlineLevel="2">
      <c r="B1361" s="35">
        <f t="shared" si="39"/>
        <v>896</v>
      </c>
      <c r="C1361" s="41" t="s">
        <v>69</v>
      </c>
      <c r="D1361" s="41" t="s">
        <v>196</v>
      </c>
      <c r="E1361" s="216">
        <v>198901</v>
      </c>
      <c r="F1361" s="216" t="s">
        <v>172</v>
      </c>
      <c r="G1361" s="41"/>
      <c r="H1361" s="41"/>
      <c r="I1361" s="212">
        <v>44972</v>
      </c>
      <c r="J1361" s="41"/>
      <c r="K1361" s="120">
        <v>23</v>
      </c>
      <c r="L1361" s="120">
        <v>17880</v>
      </c>
    </row>
    <row r="1362" spans="2:12" outlineLevel="2">
      <c r="B1362" s="35">
        <f t="shared" si="39"/>
        <v>897</v>
      </c>
      <c r="C1362" s="41" t="s">
        <v>69</v>
      </c>
      <c r="D1362" s="41" t="s">
        <v>196</v>
      </c>
      <c r="E1362" s="216">
        <v>38659</v>
      </c>
      <c r="F1362" s="216" t="s">
        <v>172</v>
      </c>
      <c r="G1362" s="41"/>
      <c r="H1362" s="41"/>
      <c r="I1362" s="212">
        <v>44986</v>
      </c>
      <c r="J1362" s="41"/>
      <c r="K1362" s="120">
        <v>17</v>
      </c>
      <c r="L1362" s="120">
        <v>18128</v>
      </c>
    </row>
    <row r="1363" spans="2:12" outlineLevel="2">
      <c r="B1363" s="35">
        <f t="shared" ref="B1363" si="40">(B1362+1)</f>
        <v>898</v>
      </c>
      <c r="C1363" s="41" t="s">
        <v>69</v>
      </c>
      <c r="D1363" s="41" t="s">
        <v>196</v>
      </c>
      <c r="E1363" s="216">
        <v>990813</v>
      </c>
      <c r="F1363" s="216" t="s">
        <v>172</v>
      </c>
      <c r="G1363" s="41"/>
      <c r="H1363" s="41"/>
      <c r="I1363" s="212">
        <v>44986</v>
      </c>
      <c r="J1363" s="41"/>
      <c r="K1363" s="248" t="s">
        <v>199</v>
      </c>
      <c r="L1363" s="120">
        <v>18146</v>
      </c>
    </row>
    <row r="1364" spans="2:12" outlineLevel="2">
      <c r="B1364" s="35">
        <f t="shared" ref="B1364:B1376" si="41">(B1363+1)</f>
        <v>899</v>
      </c>
      <c r="C1364" s="41" t="s">
        <v>69</v>
      </c>
      <c r="D1364" s="41" t="s">
        <v>196</v>
      </c>
      <c r="E1364" s="216">
        <v>220520</v>
      </c>
      <c r="F1364" s="216" t="s">
        <v>172</v>
      </c>
      <c r="G1364" s="41"/>
      <c r="H1364" s="41"/>
      <c r="I1364" s="212">
        <v>44986</v>
      </c>
      <c r="J1364" s="41"/>
      <c r="K1364" s="120">
        <v>33</v>
      </c>
      <c r="L1364" s="120">
        <v>18148</v>
      </c>
    </row>
    <row r="1365" spans="2:12" outlineLevel="2">
      <c r="B1365" s="35">
        <f t="shared" si="41"/>
        <v>900</v>
      </c>
      <c r="C1365" s="41" t="s">
        <v>69</v>
      </c>
      <c r="D1365" s="41" t="s">
        <v>196</v>
      </c>
      <c r="E1365" s="216">
        <v>481570</v>
      </c>
      <c r="F1365" s="216">
        <v>481570</v>
      </c>
      <c r="G1365" s="41"/>
      <c r="H1365" s="41"/>
      <c r="I1365" s="212">
        <v>44973</v>
      </c>
      <c r="J1365" s="41"/>
      <c r="K1365" s="248" t="s">
        <v>199</v>
      </c>
      <c r="L1365" s="120">
        <v>18348</v>
      </c>
    </row>
    <row r="1366" spans="2:12" outlineLevel="2">
      <c r="B1366" s="35">
        <f t="shared" si="41"/>
        <v>901</v>
      </c>
      <c r="C1366" s="41" t="s">
        <v>69</v>
      </c>
      <c r="D1366" s="41" t="s">
        <v>196</v>
      </c>
      <c r="E1366" s="216">
        <v>266078</v>
      </c>
      <c r="F1366" s="216">
        <v>64368</v>
      </c>
      <c r="G1366" s="41"/>
      <c r="H1366" s="41"/>
      <c r="I1366" s="212">
        <v>44973</v>
      </c>
      <c r="J1366" s="41"/>
      <c r="K1366" s="248" t="s">
        <v>199</v>
      </c>
      <c r="L1366" s="120">
        <v>18362</v>
      </c>
    </row>
    <row r="1367" spans="2:12" outlineLevel="2">
      <c r="B1367" s="35">
        <f t="shared" si="41"/>
        <v>902</v>
      </c>
      <c r="C1367" s="41" t="s">
        <v>69</v>
      </c>
      <c r="D1367" s="41" t="s">
        <v>196</v>
      </c>
      <c r="E1367" s="216">
        <v>614698</v>
      </c>
      <c r="F1367" s="216">
        <v>213734</v>
      </c>
      <c r="G1367" s="41"/>
      <c r="H1367" s="41"/>
      <c r="I1367" s="212">
        <v>44973</v>
      </c>
      <c r="J1367" s="41"/>
      <c r="K1367" s="120">
        <v>20</v>
      </c>
      <c r="L1367" s="120">
        <v>18383</v>
      </c>
    </row>
    <row r="1368" spans="2:12" outlineLevel="2">
      <c r="B1368" s="35">
        <f t="shared" si="41"/>
        <v>903</v>
      </c>
      <c r="C1368" s="41" t="s">
        <v>69</v>
      </c>
      <c r="D1368" s="41" t="s">
        <v>196</v>
      </c>
      <c r="E1368" s="216">
        <v>931016</v>
      </c>
      <c r="F1368" s="216">
        <v>213735</v>
      </c>
      <c r="G1368" s="41"/>
      <c r="H1368" s="41"/>
      <c r="I1368" s="212">
        <v>44973</v>
      </c>
      <c r="J1368" s="41"/>
      <c r="K1368" s="120">
        <v>27</v>
      </c>
      <c r="L1368" s="120">
        <v>18403</v>
      </c>
    </row>
    <row r="1369" spans="2:12" outlineLevel="2">
      <c r="B1369" s="35">
        <f t="shared" si="41"/>
        <v>904</v>
      </c>
      <c r="C1369" s="41" t="s">
        <v>69</v>
      </c>
      <c r="D1369" s="41" t="s">
        <v>196</v>
      </c>
      <c r="E1369" s="216">
        <v>368681</v>
      </c>
      <c r="F1369" s="216">
        <v>96745</v>
      </c>
      <c r="G1369" s="41"/>
      <c r="H1369" s="41"/>
      <c r="I1369" s="212">
        <v>44973</v>
      </c>
      <c r="J1369" s="41"/>
      <c r="K1369" s="120">
        <v>24</v>
      </c>
      <c r="L1369" s="120">
        <v>18415</v>
      </c>
    </row>
    <row r="1370" spans="2:12" outlineLevel="2">
      <c r="B1370" s="35">
        <f t="shared" si="41"/>
        <v>905</v>
      </c>
      <c r="C1370" s="41" t="s">
        <v>69</v>
      </c>
      <c r="D1370" s="41" t="s">
        <v>196</v>
      </c>
      <c r="E1370" s="216">
        <v>50271</v>
      </c>
      <c r="F1370" s="228" t="s">
        <v>172</v>
      </c>
      <c r="G1370" s="41"/>
      <c r="H1370" s="41"/>
      <c r="I1370" s="211">
        <v>44988</v>
      </c>
      <c r="J1370" s="41"/>
      <c r="K1370" s="241">
        <v>32</v>
      </c>
      <c r="L1370" s="120">
        <v>18513</v>
      </c>
    </row>
    <row r="1371" spans="2:12" outlineLevel="2">
      <c r="B1371" s="35">
        <f t="shared" si="41"/>
        <v>906</v>
      </c>
      <c r="C1371" s="41" t="s">
        <v>69</v>
      </c>
      <c r="D1371" s="41" t="s">
        <v>196</v>
      </c>
      <c r="E1371" s="216">
        <v>1393017</v>
      </c>
      <c r="F1371" s="228" t="s">
        <v>172</v>
      </c>
      <c r="G1371" s="41"/>
      <c r="H1371" s="41"/>
      <c r="I1371" s="211"/>
      <c r="J1371" s="41"/>
      <c r="K1371" s="241">
        <v>21</v>
      </c>
      <c r="L1371" s="120">
        <v>18526</v>
      </c>
    </row>
    <row r="1372" spans="2:12" outlineLevel="2">
      <c r="B1372" s="35">
        <f t="shared" si="41"/>
        <v>907</v>
      </c>
      <c r="C1372" s="41" t="s">
        <v>69</v>
      </c>
      <c r="D1372" s="41" t="s">
        <v>196</v>
      </c>
      <c r="E1372" s="216">
        <v>9474363</v>
      </c>
      <c r="F1372" s="228" t="s">
        <v>172</v>
      </c>
      <c r="G1372" s="41"/>
      <c r="H1372" s="41"/>
      <c r="I1372" s="211">
        <v>44981</v>
      </c>
      <c r="J1372" s="41"/>
      <c r="K1372" s="241">
        <v>46</v>
      </c>
      <c r="L1372" s="120">
        <v>18562</v>
      </c>
    </row>
    <row r="1373" spans="2:12" outlineLevel="2">
      <c r="B1373" s="35">
        <f t="shared" si="41"/>
        <v>908</v>
      </c>
      <c r="C1373" s="41" t="s">
        <v>69</v>
      </c>
      <c r="D1373" s="41" t="s">
        <v>196</v>
      </c>
      <c r="E1373" s="216">
        <v>1030</v>
      </c>
      <c r="F1373" s="228" t="s">
        <v>172</v>
      </c>
      <c r="G1373" s="41"/>
      <c r="H1373" s="41"/>
      <c r="I1373" s="211">
        <v>44980</v>
      </c>
      <c r="J1373" s="41"/>
      <c r="K1373" s="241">
        <v>49</v>
      </c>
      <c r="L1373" s="120">
        <v>18563</v>
      </c>
    </row>
    <row r="1374" spans="2:12" outlineLevel="2">
      <c r="B1374" s="35">
        <f t="shared" si="41"/>
        <v>909</v>
      </c>
      <c r="C1374" s="41" t="s">
        <v>69</v>
      </c>
      <c r="D1374" s="41" t="s">
        <v>196</v>
      </c>
      <c r="E1374" s="216">
        <v>106370</v>
      </c>
      <c r="F1374" s="228" t="s">
        <v>172</v>
      </c>
      <c r="G1374" s="41"/>
      <c r="H1374" s="41"/>
      <c r="I1374" s="211"/>
      <c r="J1374" s="41"/>
      <c r="K1374" s="41"/>
      <c r="L1374" s="120">
        <v>18565</v>
      </c>
    </row>
    <row r="1375" spans="2:12" outlineLevel="2">
      <c r="B1375" s="35">
        <f t="shared" si="41"/>
        <v>910</v>
      </c>
      <c r="C1375" s="41" t="s">
        <v>69</v>
      </c>
      <c r="D1375" s="41" t="s">
        <v>196</v>
      </c>
      <c r="E1375" s="216">
        <v>9957777</v>
      </c>
      <c r="F1375" s="228" t="s">
        <v>172</v>
      </c>
      <c r="G1375" s="41"/>
      <c r="H1375" s="41"/>
      <c r="I1375" s="211">
        <v>45006</v>
      </c>
      <c r="J1375" s="41"/>
      <c r="K1375" s="248" t="s">
        <v>199</v>
      </c>
      <c r="L1375" s="120">
        <v>18593</v>
      </c>
    </row>
    <row r="1376" spans="2:12" outlineLevel="2">
      <c r="B1376" s="35">
        <f t="shared" si="41"/>
        <v>911</v>
      </c>
      <c r="C1376" s="41" t="s">
        <v>69</v>
      </c>
      <c r="D1376" s="41" t="s">
        <v>196</v>
      </c>
      <c r="E1376" s="216">
        <v>352423</v>
      </c>
      <c r="F1376" s="228" t="s">
        <v>172</v>
      </c>
      <c r="G1376" s="41"/>
      <c r="H1376" s="41"/>
      <c r="I1376" s="211">
        <v>44988</v>
      </c>
      <c r="J1376" s="41"/>
      <c r="K1376" s="248" t="s">
        <v>199</v>
      </c>
      <c r="L1376" s="120">
        <v>18607</v>
      </c>
    </row>
    <row r="1377" spans="2:12" outlineLevel="2">
      <c r="B1377" s="35">
        <f t="shared" ref="B1377" si="42">(B1376+1)</f>
        <v>912</v>
      </c>
      <c r="C1377" s="41" t="s">
        <v>69</v>
      </c>
      <c r="D1377" s="41" t="s">
        <v>196</v>
      </c>
      <c r="E1377" s="216">
        <v>163584</v>
      </c>
      <c r="F1377" s="228" t="s">
        <v>172</v>
      </c>
      <c r="G1377" s="41"/>
      <c r="H1377" s="41"/>
      <c r="I1377" s="211">
        <v>45019</v>
      </c>
      <c r="J1377" s="41"/>
      <c r="K1377" s="241">
        <v>40</v>
      </c>
      <c r="L1377" s="120">
        <v>18610</v>
      </c>
    </row>
    <row r="1378" spans="2:12" outlineLevel="1">
      <c r="B1378" s="64" t="s">
        <v>314</v>
      </c>
      <c r="C1378" s="61">
        <f>SUBTOTAL(3,C1150:C1377)</f>
        <v>228</v>
      </c>
      <c r="D1378" s="61"/>
      <c r="E1378" s="61"/>
      <c r="F1378" s="61"/>
      <c r="G1378" s="61"/>
      <c r="H1378" s="61"/>
      <c r="I1378" s="62"/>
      <c r="J1378" s="61"/>
      <c r="K1378" s="61"/>
      <c r="L1378" s="63"/>
    </row>
    <row r="1379" spans="2:12" ht="15.75" thickBot="1">
      <c r="B1379" s="64" t="s">
        <v>315</v>
      </c>
      <c r="C1379" s="61">
        <f>SUBTOTAL(3,C463:C1377)</f>
        <v>912</v>
      </c>
      <c r="D1379" s="61"/>
      <c r="E1379" s="61"/>
      <c r="F1379" s="61"/>
      <c r="G1379" s="61"/>
      <c r="H1379" s="61"/>
      <c r="I1379" s="62"/>
      <c r="J1379" s="61"/>
      <c r="K1379" s="61"/>
      <c r="L1379" s="63"/>
    </row>
    <row r="1380" spans="2:12" ht="15.75" thickBot="1">
      <c r="B1380" s="320" t="s">
        <v>59</v>
      </c>
      <c r="C1380" s="321"/>
      <c r="D1380" s="321"/>
      <c r="E1380" s="321"/>
      <c r="F1380" s="321"/>
      <c r="G1380" s="321"/>
      <c r="H1380" s="321"/>
      <c r="I1380" s="321"/>
      <c r="J1380" s="321"/>
      <c r="K1380" s="321"/>
      <c r="L1380" s="322"/>
    </row>
    <row r="1381" spans="2:12" ht="15.75" thickBot="1">
      <c r="B1381" s="26" t="s">
        <v>49</v>
      </c>
      <c r="C1381" s="27" t="s">
        <v>60</v>
      </c>
      <c r="D1381" s="27" t="s">
        <v>62</v>
      </c>
      <c r="E1381" s="27" t="s">
        <v>63</v>
      </c>
      <c r="F1381" s="27" t="s">
        <v>64</v>
      </c>
      <c r="G1381" s="27" t="s">
        <v>65</v>
      </c>
      <c r="H1381" s="27" t="s">
        <v>66</v>
      </c>
      <c r="I1381" s="27" t="s">
        <v>67</v>
      </c>
      <c r="J1381" s="27" t="s">
        <v>6</v>
      </c>
      <c r="K1381" s="27" t="s">
        <v>7</v>
      </c>
      <c r="L1381" s="28" t="s">
        <v>68</v>
      </c>
    </row>
    <row r="1382" spans="2:12">
      <c r="B1382" s="46" t="s">
        <v>8</v>
      </c>
      <c r="C1382" s="41">
        <f>COUNTIFS(B463:B1377,"&gt;"&amp;0,C463:C1377,"="&amp;B1382)</f>
        <v>228</v>
      </c>
      <c r="D1382" s="41">
        <f>COUNTIFS(B463:B1377,"&gt;="&amp;1,C463:C1377,B1382,K463:K1377,"&gt;="&amp;0,K463:K1377,"&lt;"&amp;50)</f>
        <v>209</v>
      </c>
      <c r="E1382" s="41">
        <f>COUNTIFS(B463:B1377,"&gt;="&amp;1,C463:C1377,B1382,K463:K1377,"&gt;="&amp;50,K463:K1377,"&lt;"&amp;500)</f>
        <v>0</v>
      </c>
      <c r="F1382" s="41">
        <f>COUNTIFS(B463:B1377,"&gt;="&amp;1,C463:C1377,B1382,K463:K1377,"&gt;="&amp;500)</f>
        <v>0</v>
      </c>
      <c r="G1382" s="41">
        <f>COUNTIFS(B463:B1377,"&gt;="&amp;1,C463:C1377,B1382,K463:K1377,"&gt;="&amp;0,I463:I1377,"&gt;"&amp;DATE(2021,1,1))</f>
        <v>208</v>
      </c>
      <c r="H1382" s="47">
        <f>IF(G1382=0,"-",(SUM(E1382,F1382)/G1382))</f>
        <v>0</v>
      </c>
      <c r="I1382" s="41">
        <f>IF((COUNTIFS(B463:B1377,"&gt;="&amp;1,C463:C1377,"="&amp;B1382))&gt;228,228,(COUNTIFS(B463:B1377,"&gt;="&amp;1,C463:C1377,"="&amp;B1382)))</f>
        <v>228</v>
      </c>
      <c r="J1382" s="47">
        <f>IF(I1382=0,"-",(COUNTIFS(C463:C1377,"="&amp;B1382,I463:I1377,"&lt;="&amp;DATE(2024,12,31),K463:K1377,"&gt;="&amp;0)/I1382))</f>
        <v>0.91228070175438591</v>
      </c>
      <c r="K1382" s="47">
        <f>IF(I1382=0,"-",IF(J1382=1,"-",(COUNTIFS(B463:B1377,"&gt;"&amp;0,C463:C1377,"="&amp;B1382,I463:I1377,"&gt;"&amp;DATE(2024,12,31),K463:K1377,"&gt;="&amp;0)/(I1382-COUNTIFS(B463:B1377,"&gt;"&amp;0,C463:C1377,"="&amp;B1382,I463:I1377,"&lt;="&amp;DATE(2024,12,31),K463:K1377,"&gt;="&amp;0)))))</f>
        <v>0</v>
      </c>
      <c r="L1382" s="48">
        <f>IF(I1382=0,"-",G1382/I1382)</f>
        <v>0.91228070175438591</v>
      </c>
    </row>
    <row r="1383" spans="2:12">
      <c r="B1383" s="7" t="s">
        <v>9</v>
      </c>
      <c r="C1383" s="1">
        <f>COUNTIFS(B463:B1377,"&gt;"&amp;0,C463:C1377,"="&amp;B1383)</f>
        <v>228</v>
      </c>
      <c r="D1383" s="1">
        <f>COUNTIFS(B463:B1377,"&gt;="&amp;1,C463:C1377,B1383,K463:K1377,"&gt;="&amp;0,K463:K1377,"&lt;"&amp;50)</f>
        <v>36</v>
      </c>
      <c r="E1383" s="1">
        <f>COUNTIFS(B463:B1377,"&gt;="&amp;1,C463:C1377,B1383,K463:K1377,"&gt;="&amp;50,K463:K1377,"&lt;"&amp;500)</f>
        <v>0</v>
      </c>
      <c r="F1383" s="1">
        <f>COUNTIFS(B463:B1377,"&gt;="&amp;1,C463:C1377,B1383,K463:K1377,"&gt;="&amp;500)</f>
        <v>0</v>
      </c>
      <c r="G1383" s="1">
        <f>COUNTIFS(B463:B1377,"&gt;="&amp;1,C463:C1377,B1383,K463:K1377,"&gt;="&amp;0,I463:I1377,"&gt;"&amp;DATE(2021,1,1))</f>
        <v>36</v>
      </c>
      <c r="H1383" s="44">
        <f t="shared" ref="H1383:H1386" si="43">IF(G1383=0,"-",(SUM(E1383,F1383)/G1383))</f>
        <v>0</v>
      </c>
      <c r="I1383" s="1">
        <f>IF((COUNTIFS(B463:B1377,"&gt;="&amp;1,C463:C1377,"="&amp;B1383))&gt;228,228,(COUNTIFS(B463:B1377,"&gt;="&amp;1,C463:C1377,"="&amp;B1383)))</f>
        <v>228</v>
      </c>
      <c r="J1383" s="44">
        <f>IF(I1383=0,"-",(COUNTIFS(C463:C1377,"="&amp;B1383,I463:I1377,"&lt;="&amp;DATE(2024,12,31),K463:K1377,"&gt;="&amp;0)/I1383))</f>
        <v>0.15789473684210525</v>
      </c>
      <c r="K1383" s="47">
        <f>IF(I1383=0,"-",IF(J1383=1,"-",(COUNTIFS(B463:B1377,"&gt;"&amp;0,C463:C1377,"="&amp;B1383,I463:I1377,"&gt;"&amp;DATE(2024,12,31),K463:K1377,"&gt;="&amp;0)/(I1383-COUNTIFS(B463:B1377,"&gt;"&amp;0,C463:C1377,"="&amp;B1383,I463:I1377,"&lt;="&amp;DATE(2024,12,31),K463:K1377,"&gt;="&amp;0)))))</f>
        <v>0</v>
      </c>
      <c r="L1383" s="45">
        <f t="shared" ref="L1383:L1386" si="44">IF(I1383=0,"-",G1383/I1383)</f>
        <v>0.15789473684210525</v>
      </c>
    </row>
    <row r="1384" spans="2:12">
      <c r="B1384" s="7" t="s">
        <v>175</v>
      </c>
      <c r="C1384" s="1">
        <f>COUNTIFS(B463:B1377,"&gt;"&amp;0,C463:C1377,"="&amp;B1384)</f>
        <v>228</v>
      </c>
      <c r="D1384" s="1">
        <f>COUNTIFS(B463:B1377,"&gt;="&amp;1,C463:C1377,B1384,K463:K1377,"&gt;="&amp;0,K463:K1377,"&lt;"&amp;50)</f>
        <v>191</v>
      </c>
      <c r="E1384" s="1">
        <f>COUNTIFS(B463:B1377,"&gt;="&amp;1,C463:C1377,B1384,K463:K1377,"&gt;="&amp;50,K463:K1377,"&lt;"&amp;500)</f>
        <v>2</v>
      </c>
      <c r="F1384" s="1">
        <f>COUNTIFS(B463:B1377,"&gt;="&amp;1,C463:C1377,B1384,K463:K1377,"&gt;="&amp;500)</f>
        <v>0</v>
      </c>
      <c r="G1384" s="1">
        <f>COUNTIFS(B463:B1377,"&gt;="&amp;1,C463:C1377,B1384,K463:K1377,"&gt;="&amp;0,I463:I1377,"&gt;"&amp;DATE(2021,1,1))</f>
        <v>191</v>
      </c>
      <c r="H1384" s="44">
        <f t="shared" si="43"/>
        <v>1.0471204188481676E-2</v>
      </c>
      <c r="I1384" s="1">
        <f>IF((COUNTIFS(B463:B1377,"&gt;="&amp;1,C463:C1377,"="&amp;B1384))&gt;228,228,(COUNTIFS(B463:B1377,"&gt;="&amp;1,C463:C1377,"="&amp;B1384)))</f>
        <v>228</v>
      </c>
      <c r="J1384" s="44">
        <f>IF(I1384=0,"-",(COUNTIFS(C463:C1377,"="&amp;B1384,I463:I1377,"&lt;="&amp;DATE(2024,12,31),K463:K1377,"&gt;="&amp;0)/I1384))</f>
        <v>0.83771929824561409</v>
      </c>
      <c r="K1384" s="47">
        <f>IF(I1384=0,"-",IF(J1384=1,"-",(COUNTIFS(B463:B1377,"&gt;"&amp;0,C463:C1377,"="&amp;B1384,I463:I1377,"&gt;"&amp;DATE(2024,12,31),K463:K1377,"&gt;="&amp;0)/(I1384-COUNTIFS(B463:B1377,"&gt;"&amp;0,C463:C1377,"="&amp;B1384,I463:I1377,"&lt;="&amp;DATE(2024,12,31),K463:K1377,"&gt;="&amp;0)))))</f>
        <v>0</v>
      </c>
      <c r="L1384" s="45">
        <f t="shared" si="44"/>
        <v>0.83771929824561409</v>
      </c>
    </row>
    <row r="1385" spans="2:12">
      <c r="B1385" s="7" t="s">
        <v>69</v>
      </c>
      <c r="C1385" s="1">
        <f>COUNTIFS(B463:B1377,"&gt;"&amp;0,C463:C1377,"="&amp;B1385)</f>
        <v>228</v>
      </c>
      <c r="D1385" s="1">
        <f>COUNTIFS(B463:B1377,"&gt;="&amp;1,C463:C1377,B1385,K463:K1377,"&gt;="&amp;0,K463:K1377,"&lt;"&amp;50)</f>
        <v>164</v>
      </c>
      <c r="E1385" s="1">
        <f>COUNTIFS(B463:B1377,"&gt;="&amp;1,C463:C1377,B1385,K463:K1377,"&gt;="&amp;50,K463:K1377,"&lt;"&amp;500)</f>
        <v>0</v>
      </c>
      <c r="F1385" s="1">
        <f>COUNTIFS(B463:B1377,"&gt;="&amp;1,C463:C1377,B1385,K463:K1377,"&gt;="&amp;500)</f>
        <v>0</v>
      </c>
      <c r="G1385" s="1">
        <f>COUNTIFS(B463:B1377,"&gt;="&amp;1,C463:C1377,B1385,K463:K1377,"&gt;="&amp;0,I463:I1377,"&gt;"&amp;DATE(2021,1,1))</f>
        <v>162</v>
      </c>
      <c r="H1385" s="44">
        <f t="shared" si="43"/>
        <v>0</v>
      </c>
      <c r="I1385" s="1">
        <f>IF((COUNTIFS(B463:B1377,"&gt;="&amp;1,C463:C1377,"="&amp;B1385))&gt;228,228,(COUNTIFS(B463:B1377,"&gt;="&amp;1,C463:C1377,"="&amp;B1385)))</f>
        <v>228</v>
      </c>
      <c r="J1385" s="44">
        <f>IF(I1385=0,"-",(COUNTIFS(C463:C1377,"="&amp;B1385,I463:I1377,"&lt;="&amp;DATE(2024,12,31),K463:K1377,"&gt;="&amp;0)/I1385))</f>
        <v>0.71052631578947367</v>
      </c>
      <c r="K1385" s="47">
        <f>IF(I1385=0,"-",IF(J1385=1,"-",(COUNTIFS(B463:B1377,"&gt;"&amp;0,C463:C1377,"="&amp;B1385,I463:I1377,"&gt;"&amp;DATE(2024,12,31),K463:K1377,"&gt;="&amp;0)/(I1385-COUNTIFS(B463:B1377,"&gt;"&amp;0,C463:C1377,"="&amp;B1385,I463:I1377,"&lt;="&amp;DATE(2024,12,31),K463:K1377,"&gt;="&amp;0)))))</f>
        <v>0</v>
      </c>
      <c r="L1385" s="45">
        <f t="shared" si="44"/>
        <v>0.71052631578947367</v>
      </c>
    </row>
    <row r="1386" spans="2:12" ht="15.75" thickBot="1">
      <c r="B1386" s="49" t="s">
        <v>59</v>
      </c>
      <c r="C1386" s="50">
        <f>SUM(C1382:C1385)</f>
        <v>912</v>
      </c>
      <c r="D1386" s="50">
        <f>SUM(D1382:D1385)</f>
        <v>600</v>
      </c>
      <c r="E1386" s="50">
        <f>SUM(E1382:E1385)</f>
        <v>2</v>
      </c>
      <c r="F1386" s="50">
        <f>SUM(F1382:F1385)</f>
        <v>0</v>
      </c>
      <c r="G1386" s="50">
        <f>SUM(G1382:G1385)</f>
        <v>597</v>
      </c>
      <c r="H1386" s="51">
        <f t="shared" si="43"/>
        <v>3.3500837520938024E-3</v>
      </c>
      <c r="I1386" s="50">
        <f>SUM(I1382:I1385)</f>
        <v>912</v>
      </c>
      <c r="J1386" s="51">
        <f>IF(I1386=0,"-",(COUNTIFS(I463:I1377,"&lt;="&amp;DATE(2024,12,31),K463:K1377,"&gt;="&amp;0)/I1386))</f>
        <v>0.65460526315789469</v>
      </c>
      <c r="K1386" s="51">
        <f>IF(I1386=0,"-",IF(J1386=1,"-",(COUNTIFS(B463:B1377,"&gt;"&amp;0,I463:I1377,"&gt;"&amp;DATE(2024,12,31),K463:K1377,"&gt;="&amp;0)/(I1386-COUNTIFS(B463:B1377,"&gt;"&amp;0,I463:I1377,"&lt;="&amp;DATE(2024,12,31),K463:K1377,"&gt;="&amp;0)))))</f>
        <v>0</v>
      </c>
      <c r="L1386" s="52">
        <f t="shared" si="44"/>
        <v>0.65460526315789469</v>
      </c>
    </row>
  </sheetData>
  <mergeCells count="13">
    <mergeCell ref="B461:L461"/>
    <mergeCell ref="B1380:L1380"/>
    <mergeCell ref="B81:L81"/>
    <mergeCell ref="B89:L89"/>
    <mergeCell ref="B343:L343"/>
    <mergeCell ref="B351:L351"/>
    <mergeCell ref="B453:L453"/>
    <mergeCell ref="B57:L57"/>
    <mergeCell ref="B1:L2"/>
    <mergeCell ref="B4:L4"/>
    <mergeCell ref="B9:L9"/>
    <mergeCell ref="B17:L17"/>
    <mergeCell ref="B49:L49"/>
  </mergeCells>
  <dataValidations count="3">
    <dataValidation type="list" allowBlank="1" showInputMessage="1" showErrorMessage="1" promptTitle="Selecionar a Sub-Família" sqref="C8:D8 C452 C342 C80 C48" xr:uid="{8348DFF5-E432-406A-87BF-C5DADBE2C710}">
      <formula1>"Até 1988, Após 1988, Sem Info"</formula1>
    </dataValidation>
    <dataValidation type="list" allowBlank="1" showInputMessage="1" showErrorMessage="1" error="Dado Inserido errado" promptTitle="Selecionar a Sub-Família" sqref="C6:D7 C353:C451 C19:C47 C59:C79 C91:C341" xr:uid="{A9008D80-1962-4335-8D25-202F5788FFFE}">
      <formula1>$B$11:$B$13</formula1>
    </dataValidation>
    <dataValidation type="list" allowBlank="1" showInputMessage="1" showErrorMessage="1" sqref="C463:C690 C1150:C1377 C921:C1148 C692:C919" xr:uid="{CAC067D8-09A5-4DDE-BC7B-B5C1C09AB389}">
      <formula1>$B$1382:$B$1385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2BF3-3389-41F8-8028-321F2F0D1F3A}">
  <dimension ref="B1:L1616"/>
  <sheetViews>
    <sheetView showGridLines="0" topLeftCell="A691" zoomScaleNormal="100" workbookViewId="0">
      <pane ySplit="2" topLeftCell="A1556" activePane="bottomLeft" state="frozen"/>
      <selection pane="bottomLeft" activeCell="D828" sqref="D828"/>
    </sheetView>
  </sheetViews>
  <sheetFormatPr defaultRowHeight="15" outlineLevelRow="2"/>
  <cols>
    <col min="2" max="2" width="12.7109375" bestFit="1" customWidth="1"/>
    <col min="3" max="3" width="16.85546875" customWidth="1"/>
    <col min="4" max="4" width="54.140625" customWidth="1"/>
    <col min="5" max="5" width="23.5703125" customWidth="1"/>
    <col min="6" max="6" width="17.5703125" customWidth="1"/>
    <col min="7" max="8" width="17.7109375" bestFit="1" customWidth="1"/>
    <col min="9" max="9" width="17" bestFit="1" customWidth="1"/>
    <col min="10" max="10" width="14.7109375" bestFit="1" customWidth="1"/>
    <col min="11" max="11" width="11.85546875" bestFit="1" customWidth="1"/>
    <col min="12" max="12" width="19.5703125" bestFit="1" customWidth="1"/>
    <col min="13" max="13" width="17.28515625" bestFit="1" customWidth="1"/>
  </cols>
  <sheetData>
    <row r="1" spans="2:12">
      <c r="B1" s="310" t="s">
        <v>47</v>
      </c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2:12" ht="19.5" customHeight="1" thickBot="1">
      <c r="B2" s="347"/>
      <c r="C2" s="348"/>
      <c r="D2" s="348"/>
      <c r="E2" s="348"/>
      <c r="F2" s="348"/>
      <c r="G2" s="348"/>
      <c r="H2" s="348"/>
      <c r="I2" s="348"/>
      <c r="J2" s="348"/>
      <c r="K2" s="348"/>
      <c r="L2" s="349"/>
    </row>
    <row r="3" spans="2:12" ht="19.5" customHeight="1" thickBot="1"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ht="32.25" customHeight="1" thickBot="1">
      <c r="B4" s="320" t="str">
        <f>_xlfn.CONCAT("Transformadores de Rede Subterrânea",TEXT(IF(SUM(I11:I13)=0," ",(SUM(G11:G13)/SUM(I11:I13))), " 0,00%"))</f>
        <v xml:space="preserve">Transformadores de Rede Subterrânea </v>
      </c>
      <c r="C4" s="321"/>
      <c r="D4" s="321"/>
      <c r="E4" s="321"/>
      <c r="F4" s="321"/>
      <c r="G4" s="321"/>
      <c r="H4" s="321"/>
      <c r="I4" s="321"/>
      <c r="J4" s="321"/>
      <c r="K4" s="321"/>
      <c r="L4" s="322"/>
    </row>
    <row r="5" spans="2:12" ht="24" customHeight="1" outlineLevel="1" thickBot="1">
      <c r="B5" s="26" t="s">
        <v>48</v>
      </c>
      <c r="C5" s="27" t="s">
        <v>49</v>
      </c>
      <c r="D5" s="27" t="s">
        <v>50</v>
      </c>
      <c r="E5" s="27" t="s">
        <v>51</v>
      </c>
      <c r="F5" s="27" t="s">
        <v>52</v>
      </c>
      <c r="G5" s="27" t="s">
        <v>53</v>
      </c>
      <c r="H5" s="27" t="s">
        <v>54</v>
      </c>
      <c r="I5" s="27" t="s">
        <v>55</v>
      </c>
      <c r="J5" s="27" t="s">
        <v>56</v>
      </c>
      <c r="K5" s="27" t="s">
        <v>57</v>
      </c>
      <c r="L5" s="28" t="s">
        <v>58</v>
      </c>
    </row>
    <row r="6" spans="2:12" outlineLevel="1">
      <c r="B6" s="40" t="str">
        <f>IF(C6="","",ROW($A$1))</f>
        <v/>
      </c>
      <c r="C6" s="41"/>
      <c r="D6" s="41"/>
      <c r="E6" s="41"/>
      <c r="F6" s="41"/>
      <c r="G6" s="41"/>
      <c r="H6" s="41"/>
      <c r="I6" s="42"/>
      <c r="J6" s="41"/>
      <c r="K6" s="41"/>
      <c r="L6" s="43"/>
    </row>
    <row r="7" spans="2:12" outlineLevel="1">
      <c r="B7" s="35" t="str">
        <f>IF(B6="","",(B6+1))</f>
        <v/>
      </c>
      <c r="C7" s="1"/>
      <c r="D7" s="1"/>
      <c r="E7" s="1"/>
      <c r="F7" s="1"/>
      <c r="G7" s="1"/>
      <c r="H7" s="1"/>
      <c r="I7" s="36"/>
      <c r="J7" s="1"/>
      <c r="K7" s="1"/>
      <c r="L7" s="2"/>
    </row>
    <row r="8" spans="2:12" ht="15.75" outlineLevel="1" thickBot="1">
      <c r="B8" s="37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2:12" ht="26.25" customHeight="1" thickBot="1">
      <c r="B9" s="320" t="s">
        <v>59</v>
      </c>
      <c r="C9" s="321"/>
      <c r="D9" s="321"/>
      <c r="E9" s="321"/>
      <c r="F9" s="321"/>
      <c r="G9" s="321"/>
      <c r="H9" s="321"/>
      <c r="I9" s="321"/>
      <c r="J9" s="321"/>
      <c r="K9" s="321"/>
      <c r="L9" s="322"/>
    </row>
    <row r="10" spans="2:12" ht="24" customHeight="1" thickBot="1">
      <c r="B10" s="26" t="s">
        <v>49</v>
      </c>
      <c r="C10" s="27" t="s">
        <v>60</v>
      </c>
      <c r="D10" s="27" t="s">
        <v>62</v>
      </c>
      <c r="E10" s="27" t="s">
        <v>63</v>
      </c>
      <c r="F10" s="27" t="s">
        <v>64</v>
      </c>
      <c r="G10" s="27" t="s">
        <v>65</v>
      </c>
      <c r="H10" s="27" t="s">
        <v>66</v>
      </c>
      <c r="I10" s="27" t="s">
        <v>67</v>
      </c>
      <c r="J10" s="27" t="s">
        <v>6</v>
      </c>
      <c r="K10" s="27" t="s">
        <v>7</v>
      </c>
      <c r="L10" s="28" t="s">
        <v>68</v>
      </c>
    </row>
    <row r="11" spans="2:12">
      <c r="B11" s="46" t="s">
        <v>8</v>
      </c>
      <c r="C11" s="41">
        <f>COUNTIFS(B6:B8,"&gt;"&amp;0,C6:C8,"="&amp;B11)</f>
        <v>0</v>
      </c>
      <c r="D11" s="41">
        <f>COUNTIFS(B6:B8,"&gt;="&amp;1,C6:C8,B11,K6:K8,"&gt;="&amp;0,K6:K8,"&lt;"&amp;50)</f>
        <v>0</v>
      </c>
      <c r="E11" s="41">
        <f>COUNTIFS(B6:B8,"&gt;="&amp;1,C6:C8,B11,K6:K8,"&gt;="&amp;50,K6:K8,"&lt;"&amp;500)</f>
        <v>0</v>
      </c>
      <c r="F11" s="41">
        <f>COUNTIFS(B6:B8,"&gt;="&amp;1,C6:C8,B11,K6:K8,"&gt;="&amp;500)</f>
        <v>0</v>
      </c>
      <c r="G11" s="41">
        <f>COUNTIFS(B6:B8,"&gt;="&amp;1,C6:C8,B11,K6:K8,"&gt;="&amp;0,I6:I8,"&gt;"&amp;DATE(2021,1,1))</f>
        <v>0</v>
      </c>
      <c r="H11" s="47" t="str">
        <f>IF(G11=0,"-",(SUM(E11,F11)/G11))</f>
        <v>-</v>
      </c>
      <c r="I11" s="41">
        <f>IF((COUNTIFS(B6:B8,"&gt;="&amp;1,C6:C8,"="&amp;B11))&gt;228,228,(COUNTIFS(B6:B8,"&gt;="&amp;1,C6:C8,"="&amp;B11)))</f>
        <v>0</v>
      </c>
      <c r="J11" s="47" t="str">
        <f>IF(I11=0,"-",(COUNTIFS(C6:C8,"="&amp;B11,I6:I8,"&lt;="&amp;DATE(2024,12,31),K6:K8,"&gt;="&amp;0)/I11))</f>
        <v>-</v>
      </c>
      <c r="K11" s="47" t="str">
        <f>IF(I11=0,"-",IF(J11=1,"-",(COUNTIFS(B6:B8,"&gt;"&amp;0,C6:C8,"="&amp;B11,I6:I8,"&gt;"&amp;DATE(2024,12,31),K6:K8,"&gt;="&amp;0)/(I11-COUNTIFS(B6:B8,"&gt;"&amp;0,C6:C8,"="&amp;B11,I6:I8,"&lt;="&amp;DATE(2024,12,31),K6:K8,"&gt;="&amp;0)))))</f>
        <v>-</v>
      </c>
      <c r="L11" s="48" t="str">
        <f>IF(I11=0,"-",G11/I11)</f>
        <v>-</v>
      </c>
    </row>
    <row r="12" spans="2:12">
      <c r="B12" s="7" t="s">
        <v>9</v>
      </c>
      <c r="C12" s="1">
        <f>COUNTIFS(B6:B8,"&gt;"&amp;0,C6:C8,"="&amp;B12)</f>
        <v>0</v>
      </c>
      <c r="D12" s="1">
        <f>COUNTIFS(B6:B8,"&gt;="&amp;1,C6:C8,B12,K6:K8,"&gt;="&amp;0,K6:K8,"&lt;"&amp;50)</f>
        <v>0</v>
      </c>
      <c r="E12" s="1">
        <f>COUNTIFS(B6:B8,"&gt;="&amp;1,C6:C8,B12,K6:K8,"&gt;="&amp;50,K6:K8,"&lt;"&amp;500)</f>
        <v>0</v>
      </c>
      <c r="F12" s="1">
        <f>COUNTIFS(B6:B8,"&gt;="&amp;1,C6:C8,B12,K6:K8,"&gt;="&amp;500)</f>
        <v>0</v>
      </c>
      <c r="G12" s="1">
        <f>COUNTIFS(B6:B8,"&gt;="&amp;1,C6:C8,B12,K6:K8,"&gt;="&amp;0,I6:I8,"&gt;"&amp;DATE(2021,1,1))</f>
        <v>0</v>
      </c>
      <c r="H12" s="44" t="str">
        <f t="shared" ref="H12:H14" si="0">IF(G12=0,"-",(SUM(E12,F12)/G12))</f>
        <v>-</v>
      </c>
      <c r="I12" s="1">
        <f>IF((COUNTIFS(B6:B8,"&gt;="&amp;1,C6:C8,"="&amp;B12))&gt;228,228,(COUNTIFS(B6:B8,"&gt;="&amp;1,C6:C8,"="&amp;B12)))</f>
        <v>0</v>
      </c>
      <c r="J12" s="44" t="str">
        <f>IF(I12=0,"-",(COUNTIFS(C6:C8,"="&amp;B12,I6:I8,"&lt;="&amp;DATE(2024,12,31),K6:K8,"&gt;="&amp;0)/I12))</f>
        <v>-</v>
      </c>
      <c r="K12" s="47" t="str">
        <f>IF(I12=0,"-",IF(J12=1,"-",(COUNTIFS(B6:B8,"&gt;"&amp;0,C6:C8,"="&amp;B12,I6:I8,"&gt;"&amp;DATE(2024,12,31),K6:K8,"&gt;="&amp;0)/(I12-COUNTIFS(B6:B8,"&gt;"&amp;0,C6:C8,"="&amp;B12,I6:I8,"&lt;="&amp;DATE(2024,12,31),K6:K8,"&gt;="&amp;0)))))</f>
        <v>-</v>
      </c>
      <c r="L12" s="45" t="str">
        <f t="shared" ref="L12:L14" si="1">IF(I12=0,"-",G12/I12)</f>
        <v>-</v>
      </c>
    </row>
    <row r="13" spans="2:12">
      <c r="B13" s="7" t="s">
        <v>69</v>
      </c>
      <c r="C13" s="1">
        <f>COUNTIFS(B6:B8,"&gt;"&amp;0,C6:C8,"="&amp;B13)</f>
        <v>0</v>
      </c>
      <c r="D13" s="1">
        <f>COUNTIFS(B6:B8,"&gt;="&amp;1,C6:C8,B13,K6:K8,"&gt;="&amp;0,K6:K8,"&lt;"&amp;50)</f>
        <v>0</v>
      </c>
      <c r="E13" s="1">
        <f>COUNTIFS(B6:B8,"&gt;="&amp;1,C6:C8,B13,K6:K8,"&gt;="&amp;50,K6:K8,"&lt;"&amp;500)</f>
        <v>0</v>
      </c>
      <c r="F13" s="1">
        <f>COUNTIFS(B6:B7,"&gt;="&amp;1,C6:C7,B13,K6:K7,"&gt;="&amp;500)</f>
        <v>0</v>
      </c>
      <c r="G13" s="1">
        <f>COUNTIFS(B6:B8,"&gt;="&amp;1,C6:C8,B13,K6:K8,"&gt;="&amp;0,I6:I8,"&gt;"&amp;DATE(2021,1,1))</f>
        <v>0</v>
      </c>
      <c r="H13" s="44" t="str">
        <f t="shared" si="0"/>
        <v>-</v>
      </c>
      <c r="I13" s="1">
        <f>IF((COUNTIFS(B6:B7,"&gt;="&amp;1,C6:C7,"="&amp;B13))&gt;228,228,(COUNTIFS(B6:B7,"&gt;="&amp;1,C6:C7,"="&amp;B13)))</f>
        <v>0</v>
      </c>
      <c r="J13" s="44" t="str">
        <f>IF(I13=0,"-",(COUNTIFS(C6:C8,"="&amp;B13,I6:I8,"&lt;="&amp;DATE(2024,12,31),K6:K8,"&gt;="&amp;0)/I13))</f>
        <v>-</v>
      </c>
      <c r="K13" s="47" t="str">
        <f>IF(I13=0,"-",IF(J13=1,"-",(COUNTIFS(B6:B8,"&gt;"&amp;0,C6:C8,"="&amp;B13,I6:I8,"&gt;"&amp;DATE(2024,12,31),K6:K8,"&gt;="&amp;0)/(I13-COUNTIFS(B6:B8,"&gt;"&amp;0,C6:C8,"="&amp;B13,I6:I8,"&lt;="&amp;DATE(2024,12,31),K6:K8,"&gt;="&amp;0)))))</f>
        <v>-</v>
      </c>
      <c r="L13" s="45" t="str">
        <f t="shared" si="1"/>
        <v>-</v>
      </c>
    </row>
    <row r="14" spans="2:12" ht="23.25" customHeight="1" thickBot="1">
      <c r="B14" s="49" t="s">
        <v>59</v>
      </c>
      <c r="C14" s="50">
        <f>SUM(C11:C13)</f>
        <v>0</v>
      </c>
      <c r="D14" s="50">
        <f>SUM(D11:D13)</f>
        <v>0</v>
      </c>
      <c r="E14" s="50">
        <f>SUM(E11:E13)</f>
        <v>0</v>
      </c>
      <c r="F14" s="50">
        <f>SUM(F11:F13)</f>
        <v>0</v>
      </c>
      <c r="G14" s="50">
        <f>SUM(G11:G13)</f>
        <v>0</v>
      </c>
      <c r="H14" s="51" t="str">
        <f t="shared" si="0"/>
        <v>-</v>
      </c>
      <c r="I14" s="50">
        <f>SUM(I11:I13)</f>
        <v>0</v>
      </c>
      <c r="J14" s="51" t="str">
        <f>IF(I14=0,"-",(COUNTIFS(I6:I8,"&lt;="&amp;DATE(2024,12,31),K6:K8,"&gt;="&amp;0)/I14))</f>
        <v>-</v>
      </c>
      <c r="K14" s="51" t="str">
        <f>IF(I14=0,"-",IF(J14=1,"-",(COUNTIFS(B6:B8,"&gt;"&amp;0,I6:I8,"&gt;"&amp;DATE(2024,12,31),K6:K8,"&gt;="&amp;0)/(I14-COUNTIFS(B6:B8,"&gt;"&amp;0,I6:I8,"&lt;="&amp;DATE(2024,12,31),K6:K8,"&gt;="&amp;0)))))</f>
        <v>-</v>
      </c>
      <c r="L14" s="52" t="str">
        <f t="shared" si="1"/>
        <v>-</v>
      </c>
    </row>
    <row r="16" spans="2:12" ht="15.75" thickBot="1"/>
    <row r="17" spans="2:12" ht="32.25" customHeight="1" thickBot="1">
      <c r="B17" s="320" t="str">
        <f>_xlfn.CONCAT("Disjuntores com extinção de arco OMI (PVO e GVO)",TEXT(IF(SUM(I52:I54)=0," ",(SUM(G52:G54)/SUM(I52:I54))), " 0,00%"))</f>
        <v>Disjuntores com extinção de arco OMI (PVO e GVO) 96,77%</v>
      </c>
      <c r="C17" s="321"/>
      <c r="D17" s="321"/>
      <c r="E17" s="321"/>
      <c r="F17" s="321"/>
      <c r="G17" s="321"/>
      <c r="H17" s="321"/>
      <c r="I17" s="321"/>
      <c r="J17" s="321"/>
      <c r="K17" s="321"/>
      <c r="L17" s="322"/>
    </row>
    <row r="18" spans="2:12" ht="24" hidden="1" customHeight="1" outlineLevel="1" thickBot="1">
      <c r="B18" s="26" t="s">
        <v>48</v>
      </c>
      <c r="C18" s="27" t="s">
        <v>49</v>
      </c>
      <c r="D18" s="27" t="s">
        <v>50</v>
      </c>
      <c r="E18" s="27" t="s">
        <v>51</v>
      </c>
      <c r="F18" s="27" t="s">
        <v>52</v>
      </c>
      <c r="G18" s="27" t="s">
        <v>53</v>
      </c>
      <c r="H18" s="27" t="s">
        <v>54</v>
      </c>
      <c r="I18" s="27" t="s">
        <v>55</v>
      </c>
      <c r="J18" s="27" t="s">
        <v>56</v>
      </c>
      <c r="K18" s="27" t="s">
        <v>57</v>
      </c>
      <c r="L18" s="28" t="s">
        <v>58</v>
      </c>
    </row>
    <row r="19" spans="2:12" hidden="1" outlineLevel="1">
      <c r="B19" s="46">
        <f>IF(C19="","",ROW($A$1))</f>
        <v>1</v>
      </c>
      <c r="C19" s="41" t="str">
        <f>IF(G19="","",IF(G19="SEM DATA","Sem info",IF(G19&gt;DATE(1988,12,31),"Após 1988",IF(G19&lt;=DATE(1988,12,31),"Até 1988"))))</f>
        <v>Até 1988</v>
      </c>
      <c r="D19" s="41" t="s">
        <v>340</v>
      </c>
      <c r="E19" s="41">
        <v>230</v>
      </c>
      <c r="F19" s="41"/>
      <c r="G19" s="71">
        <v>25204</v>
      </c>
      <c r="H19" s="41"/>
      <c r="I19" s="42">
        <v>45506</v>
      </c>
      <c r="J19" s="41" t="s">
        <v>341</v>
      </c>
      <c r="K19" s="41">
        <v>0</v>
      </c>
      <c r="L19" s="65" t="s">
        <v>109</v>
      </c>
    </row>
    <row r="20" spans="2:12" hidden="1" outlineLevel="1">
      <c r="B20" s="46">
        <f>IF(C20="","",B19+1)</f>
        <v>2</v>
      </c>
      <c r="C20" s="41" t="str">
        <f t="shared" ref="C20:C49" si="2">IF(G20="","",IF(G20="SEM DATA","Sem info",IF(G20&gt;DATE(1988,12,31),"Após 1988",IF(G20&lt;=DATE(1988,12,31),"Até 1988"))))</f>
        <v>Após 1988</v>
      </c>
      <c r="D20" s="41" t="s">
        <v>342</v>
      </c>
      <c r="E20" s="41" t="s">
        <v>343</v>
      </c>
      <c r="F20" s="41"/>
      <c r="G20" s="71">
        <v>33970</v>
      </c>
      <c r="H20" s="41"/>
      <c r="I20" s="42">
        <v>45241</v>
      </c>
      <c r="J20" s="41" t="s">
        <v>344</v>
      </c>
      <c r="K20" s="41">
        <v>15.9</v>
      </c>
      <c r="L20" s="65" t="s">
        <v>487</v>
      </c>
    </row>
    <row r="21" spans="2:12" hidden="1" outlineLevel="1">
      <c r="B21" s="46">
        <f t="shared" ref="B21:B49" si="3">IF(C21="","",B20+1)</f>
        <v>3</v>
      </c>
      <c r="C21" s="41" t="str">
        <f t="shared" si="2"/>
        <v>Após 1988</v>
      </c>
      <c r="D21" s="41" t="s">
        <v>345</v>
      </c>
      <c r="E21" s="41" t="s">
        <v>346</v>
      </c>
      <c r="F21" s="41"/>
      <c r="G21" s="71">
        <v>33970</v>
      </c>
      <c r="H21" s="41"/>
      <c r="I21" s="42">
        <v>45241</v>
      </c>
      <c r="J21" s="41" t="s">
        <v>344</v>
      </c>
      <c r="K21" s="41">
        <v>35.6</v>
      </c>
      <c r="L21" s="65" t="s">
        <v>488</v>
      </c>
    </row>
    <row r="22" spans="2:12" hidden="1" outlineLevel="1">
      <c r="B22" s="46">
        <f t="shared" si="3"/>
        <v>4</v>
      </c>
      <c r="C22" s="41" t="str">
        <f t="shared" si="2"/>
        <v>Após 1988</v>
      </c>
      <c r="D22" s="41" t="s">
        <v>345</v>
      </c>
      <c r="E22" s="41" t="s">
        <v>347</v>
      </c>
      <c r="F22" s="41"/>
      <c r="G22" s="71">
        <v>32509</v>
      </c>
      <c r="H22" s="41"/>
      <c r="I22" s="42">
        <v>45241</v>
      </c>
      <c r="J22" s="41" t="s">
        <v>344</v>
      </c>
      <c r="K22" s="41">
        <v>33.5</v>
      </c>
      <c r="L22" s="65" t="s">
        <v>489</v>
      </c>
    </row>
    <row r="23" spans="2:12" hidden="1" outlineLevel="1">
      <c r="B23" s="46">
        <f t="shared" si="3"/>
        <v>5</v>
      </c>
      <c r="C23" s="41" t="str">
        <f t="shared" si="2"/>
        <v>Após 1988</v>
      </c>
      <c r="D23" s="41" t="s">
        <v>345</v>
      </c>
      <c r="E23" s="41" t="s">
        <v>348</v>
      </c>
      <c r="F23" s="41"/>
      <c r="G23" s="71">
        <v>35065</v>
      </c>
      <c r="H23" s="41"/>
      <c r="I23" s="42">
        <v>45241</v>
      </c>
      <c r="J23" s="41" t="s">
        <v>344</v>
      </c>
      <c r="K23" s="41">
        <v>22.8</v>
      </c>
      <c r="L23" s="65" t="s">
        <v>490</v>
      </c>
    </row>
    <row r="24" spans="2:12" hidden="1" outlineLevel="1">
      <c r="B24" s="46">
        <f t="shared" si="3"/>
        <v>6</v>
      </c>
      <c r="C24" s="41" t="str">
        <f t="shared" si="2"/>
        <v>Após 1988</v>
      </c>
      <c r="D24" s="41" t="s">
        <v>345</v>
      </c>
      <c r="E24" s="41" t="s">
        <v>349</v>
      </c>
      <c r="F24" s="41"/>
      <c r="G24" s="71">
        <v>32509</v>
      </c>
      <c r="H24" s="41"/>
      <c r="I24" s="42">
        <v>45280</v>
      </c>
      <c r="J24" s="41" t="s">
        <v>344</v>
      </c>
      <c r="K24" s="41">
        <v>22.6</v>
      </c>
      <c r="L24" s="65" t="s">
        <v>491</v>
      </c>
    </row>
    <row r="25" spans="2:12" hidden="1" outlineLevel="1">
      <c r="B25" s="46">
        <f t="shared" si="3"/>
        <v>7</v>
      </c>
      <c r="C25" s="41" t="str">
        <f t="shared" si="2"/>
        <v>Após 1988</v>
      </c>
      <c r="D25" s="41" t="s">
        <v>345</v>
      </c>
      <c r="E25" s="41" t="s">
        <v>350</v>
      </c>
      <c r="F25" s="41"/>
      <c r="G25" s="71">
        <v>32509</v>
      </c>
      <c r="H25" s="41"/>
      <c r="I25" s="42">
        <v>46011</v>
      </c>
      <c r="J25" s="41" t="s">
        <v>341</v>
      </c>
      <c r="K25" s="41">
        <v>0</v>
      </c>
      <c r="L25" s="65" t="s">
        <v>492</v>
      </c>
    </row>
    <row r="26" spans="2:12" hidden="1" outlineLevel="1">
      <c r="B26" s="46">
        <f t="shared" si="3"/>
        <v>8</v>
      </c>
      <c r="C26" s="41" t="str">
        <f t="shared" si="2"/>
        <v>Até 1988</v>
      </c>
      <c r="D26" s="41" t="s">
        <v>351</v>
      </c>
      <c r="E26" s="41">
        <v>1033</v>
      </c>
      <c r="F26" s="41"/>
      <c r="G26" s="71">
        <v>28856</v>
      </c>
      <c r="H26" s="41"/>
      <c r="I26" s="42">
        <v>45378</v>
      </c>
      <c r="J26" s="41" t="s">
        <v>344</v>
      </c>
      <c r="K26" s="41">
        <v>38.9</v>
      </c>
      <c r="L26" s="65" t="s">
        <v>493</v>
      </c>
    </row>
    <row r="27" spans="2:12" hidden="1" outlineLevel="1">
      <c r="B27" s="46">
        <f t="shared" si="3"/>
        <v>9</v>
      </c>
      <c r="C27" s="41" t="str">
        <f t="shared" si="2"/>
        <v>Até 1988</v>
      </c>
      <c r="D27" s="41" t="s">
        <v>340</v>
      </c>
      <c r="E27" s="41" t="s">
        <v>352</v>
      </c>
      <c r="F27" s="41"/>
      <c r="G27" s="71">
        <v>29221</v>
      </c>
      <c r="H27" s="41"/>
      <c r="I27" s="42">
        <v>45386</v>
      </c>
      <c r="J27" s="41" t="s">
        <v>344</v>
      </c>
      <c r="K27" s="41">
        <v>30.2</v>
      </c>
      <c r="L27" s="65" t="s">
        <v>494</v>
      </c>
    </row>
    <row r="28" spans="2:12" hidden="1" outlineLevel="1">
      <c r="B28" s="46">
        <f t="shared" si="3"/>
        <v>10</v>
      </c>
      <c r="C28" s="41" t="str">
        <f t="shared" si="2"/>
        <v>Até 1988</v>
      </c>
      <c r="D28" s="41" t="s">
        <v>340</v>
      </c>
      <c r="E28" s="41" t="s">
        <v>353</v>
      </c>
      <c r="F28" s="41"/>
      <c r="G28" s="71">
        <v>29221</v>
      </c>
      <c r="H28" s="41"/>
      <c r="I28" s="42">
        <v>45386</v>
      </c>
      <c r="J28" s="41" t="s">
        <v>344</v>
      </c>
      <c r="K28" s="41">
        <v>24.9</v>
      </c>
      <c r="L28" s="65" t="s">
        <v>495</v>
      </c>
    </row>
    <row r="29" spans="2:12" hidden="1" outlineLevel="1">
      <c r="B29" s="46">
        <f t="shared" si="3"/>
        <v>11</v>
      </c>
      <c r="C29" s="41" t="str">
        <f t="shared" si="2"/>
        <v>Até 1988</v>
      </c>
      <c r="D29" s="41" t="s">
        <v>340</v>
      </c>
      <c r="E29" s="41" t="s">
        <v>354</v>
      </c>
      <c r="F29" s="41"/>
      <c r="G29" s="71">
        <v>32143</v>
      </c>
      <c r="H29" s="41"/>
      <c r="I29" s="42">
        <v>45386</v>
      </c>
      <c r="J29" s="41" t="s">
        <v>344</v>
      </c>
      <c r="K29" s="41">
        <v>36.799999999999997</v>
      </c>
      <c r="L29" s="65" t="s">
        <v>496</v>
      </c>
    </row>
    <row r="30" spans="2:12" hidden="1" outlineLevel="1">
      <c r="B30" s="46">
        <f t="shared" si="3"/>
        <v>12</v>
      </c>
      <c r="C30" s="41" t="str">
        <f t="shared" si="2"/>
        <v>Até 1988</v>
      </c>
      <c r="D30" s="41" t="s">
        <v>340</v>
      </c>
      <c r="E30" s="41" t="s">
        <v>355</v>
      </c>
      <c r="F30" s="41"/>
      <c r="G30" s="71">
        <v>29587</v>
      </c>
      <c r="H30" s="41"/>
      <c r="I30" s="42">
        <v>45393</v>
      </c>
      <c r="J30" s="41" t="s">
        <v>344</v>
      </c>
      <c r="K30" s="41">
        <v>21.8</v>
      </c>
      <c r="L30" s="65" t="s">
        <v>497</v>
      </c>
    </row>
    <row r="31" spans="2:12" hidden="1" outlineLevel="1">
      <c r="B31" s="46">
        <f t="shared" si="3"/>
        <v>13</v>
      </c>
      <c r="C31" s="41" t="str">
        <f t="shared" si="2"/>
        <v>Até 1988</v>
      </c>
      <c r="D31" s="41" t="s">
        <v>340</v>
      </c>
      <c r="E31" s="41">
        <v>224722</v>
      </c>
      <c r="F31" s="41"/>
      <c r="G31" s="71">
        <v>28126</v>
      </c>
      <c r="H31" s="41"/>
      <c r="I31" s="42">
        <v>45734</v>
      </c>
      <c r="J31" s="41" t="s">
        <v>344</v>
      </c>
      <c r="K31" s="41">
        <v>23</v>
      </c>
      <c r="L31" s="65" t="s">
        <v>498</v>
      </c>
    </row>
    <row r="32" spans="2:12" hidden="1" outlineLevel="1">
      <c r="B32" s="46">
        <f t="shared" si="3"/>
        <v>14</v>
      </c>
      <c r="C32" s="41" t="str">
        <f t="shared" si="2"/>
        <v>Até 1988</v>
      </c>
      <c r="D32" s="41" t="s">
        <v>340</v>
      </c>
      <c r="E32" s="41">
        <v>227</v>
      </c>
      <c r="F32" s="41"/>
      <c r="G32" s="71">
        <v>25204</v>
      </c>
      <c r="H32" s="41"/>
      <c r="I32" s="42">
        <v>45464</v>
      </c>
      <c r="J32" s="41" t="s">
        <v>344</v>
      </c>
      <c r="K32" s="41">
        <v>19.2</v>
      </c>
      <c r="L32" s="65" t="s">
        <v>499</v>
      </c>
    </row>
    <row r="33" spans="2:12" hidden="1" outlineLevel="1">
      <c r="B33" s="46">
        <f t="shared" si="3"/>
        <v>15</v>
      </c>
      <c r="C33" s="41" t="str">
        <f t="shared" si="2"/>
        <v>Até 1988</v>
      </c>
      <c r="D33" s="41" t="s">
        <v>345</v>
      </c>
      <c r="E33" s="41">
        <v>3939</v>
      </c>
      <c r="F33" s="41"/>
      <c r="G33" s="71">
        <v>25569</v>
      </c>
      <c r="H33" s="41"/>
      <c r="I33" s="42">
        <v>45487</v>
      </c>
      <c r="J33" s="41" t="s">
        <v>344</v>
      </c>
      <c r="K33" s="41">
        <v>15.3</v>
      </c>
      <c r="L33" s="65" t="s">
        <v>500</v>
      </c>
    </row>
    <row r="34" spans="2:12" hidden="1" outlineLevel="1">
      <c r="B34" s="46">
        <f t="shared" si="3"/>
        <v>16</v>
      </c>
      <c r="C34" s="41" t="str">
        <f t="shared" si="2"/>
        <v>Até 1988</v>
      </c>
      <c r="D34" s="41" t="s">
        <v>340</v>
      </c>
      <c r="E34" s="41" t="s">
        <v>356</v>
      </c>
      <c r="F34" s="41"/>
      <c r="G34" s="71">
        <v>29221</v>
      </c>
      <c r="H34" s="41"/>
      <c r="I34" s="42">
        <v>45386</v>
      </c>
      <c r="J34" s="41" t="s">
        <v>344</v>
      </c>
      <c r="K34" s="41">
        <v>31.7</v>
      </c>
      <c r="L34" s="65" t="s">
        <v>501</v>
      </c>
    </row>
    <row r="35" spans="2:12" hidden="1" outlineLevel="1">
      <c r="B35" s="46">
        <f t="shared" si="3"/>
        <v>17</v>
      </c>
      <c r="C35" s="41" t="str">
        <f t="shared" si="2"/>
        <v>Até 1988</v>
      </c>
      <c r="D35" s="41" t="s">
        <v>340</v>
      </c>
      <c r="E35" s="41" t="s">
        <v>357</v>
      </c>
      <c r="F35" s="41"/>
      <c r="G35" s="71">
        <v>27395</v>
      </c>
      <c r="H35" s="41"/>
      <c r="I35" s="42">
        <v>45386</v>
      </c>
      <c r="J35" s="41" t="s">
        <v>344</v>
      </c>
      <c r="K35" s="41">
        <v>30.6</v>
      </c>
      <c r="L35" s="65" t="s">
        <v>502</v>
      </c>
    </row>
    <row r="36" spans="2:12" hidden="1" outlineLevel="1">
      <c r="B36" s="46">
        <f t="shared" si="3"/>
        <v>18</v>
      </c>
      <c r="C36" s="41" t="str">
        <f t="shared" si="2"/>
        <v>Até 1988</v>
      </c>
      <c r="D36" s="41" t="s">
        <v>340</v>
      </c>
      <c r="E36" s="41" t="s">
        <v>358</v>
      </c>
      <c r="F36" s="41"/>
      <c r="G36" s="71">
        <v>27395</v>
      </c>
      <c r="H36" s="41"/>
      <c r="I36" s="42">
        <v>45386</v>
      </c>
      <c r="J36" s="41" t="s">
        <v>344</v>
      </c>
      <c r="K36" s="41">
        <v>28.6</v>
      </c>
      <c r="L36" s="65" t="s">
        <v>503</v>
      </c>
    </row>
    <row r="37" spans="2:12" hidden="1" outlineLevel="1">
      <c r="B37" s="46">
        <f t="shared" si="3"/>
        <v>19</v>
      </c>
      <c r="C37" s="41" t="str">
        <f t="shared" si="2"/>
        <v>Até 1988</v>
      </c>
      <c r="D37" s="41" t="s">
        <v>340</v>
      </c>
      <c r="E37" s="41" t="s">
        <v>359</v>
      </c>
      <c r="F37" s="41"/>
      <c r="G37" s="71">
        <v>27395</v>
      </c>
      <c r="H37" s="41"/>
      <c r="I37" s="42">
        <v>45386</v>
      </c>
      <c r="J37" s="41" t="s">
        <v>344</v>
      </c>
      <c r="K37" s="41">
        <v>33.200000000000003</v>
      </c>
      <c r="L37" s="65" t="s">
        <v>504</v>
      </c>
    </row>
    <row r="38" spans="2:12" hidden="1" outlineLevel="1">
      <c r="B38" s="46">
        <f t="shared" si="3"/>
        <v>20</v>
      </c>
      <c r="C38" s="41" t="str">
        <f t="shared" si="2"/>
        <v>Após 1988</v>
      </c>
      <c r="D38" s="41" t="s">
        <v>340</v>
      </c>
      <c r="E38" s="41" t="s">
        <v>361</v>
      </c>
      <c r="F38" s="41"/>
      <c r="G38" s="71">
        <v>32509</v>
      </c>
      <c r="H38" s="41"/>
      <c r="I38" s="42">
        <v>45497</v>
      </c>
      <c r="J38" s="41" t="s">
        <v>344</v>
      </c>
      <c r="K38" s="41">
        <v>26</v>
      </c>
      <c r="L38" s="65" t="s">
        <v>505</v>
      </c>
    </row>
    <row r="39" spans="2:12" hidden="1" outlineLevel="1">
      <c r="B39" s="46">
        <f t="shared" si="3"/>
        <v>21</v>
      </c>
      <c r="C39" s="41" t="str">
        <f t="shared" si="2"/>
        <v>Após 1988</v>
      </c>
      <c r="D39" s="41" t="s">
        <v>345</v>
      </c>
      <c r="E39" s="41" t="s">
        <v>362</v>
      </c>
      <c r="F39" s="41"/>
      <c r="G39" s="71">
        <v>33970</v>
      </c>
      <c r="H39" s="41"/>
      <c r="I39" s="42">
        <v>45280</v>
      </c>
      <c r="J39" s="41" t="s">
        <v>344</v>
      </c>
      <c r="K39" s="41">
        <v>30.2</v>
      </c>
      <c r="L39" s="65" t="s">
        <v>506</v>
      </c>
    </row>
    <row r="40" spans="2:12" hidden="1" outlineLevel="1">
      <c r="B40" s="46">
        <f t="shared" si="3"/>
        <v>22</v>
      </c>
      <c r="C40" s="41" t="str">
        <f t="shared" si="2"/>
        <v>Após 1988</v>
      </c>
      <c r="D40" s="41" t="s">
        <v>345</v>
      </c>
      <c r="E40" s="41" t="s">
        <v>363</v>
      </c>
      <c r="F40" s="41"/>
      <c r="G40" s="71">
        <v>32509</v>
      </c>
      <c r="H40" s="41"/>
      <c r="I40" s="42">
        <v>45378</v>
      </c>
      <c r="J40" s="41" t="s">
        <v>344</v>
      </c>
      <c r="K40" s="41">
        <v>0</v>
      </c>
      <c r="L40" s="65" t="s">
        <v>507</v>
      </c>
    </row>
    <row r="41" spans="2:12" hidden="1" outlineLevel="1">
      <c r="B41" s="46">
        <f t="shared" si="3"/>
        <v>23</v>
      </c>
      <c r="C41" s="41" t="str">
        <f t="shared" si="2"/>
        <v>Após 1988</v>
      </c>
      <c r="D41" s="41" t="s">
        <v>345</v>
      </c>
      <c r="E41" s="41" t="s">
        <v>364</v>
      </c>
      <c r="F41" s="41"/>
      <c r="G41" s="71">
        <v>33970</v>
      </c>
      <c r="H41" s="41"/>
      <c r="I41" s="42">
        <v>45365</v>
      </c>
      <c r="J41" s="41" t="s">
        <v>344</v>
      </c>
      <c r="K41" s="41">
        <v>22</v>
      </c>
      <c r="L41" s="65" t="s">
        <v>508</v>
      </c>
    </row>
    <row r="42" spans="2:12" hidden="1" outlineLevel="1">
      <c r="B42" s="46">
        <f t="shared" si="3"/>
        <v>24</v>
      </c>
      <c r="C42" s="41" t="str">
        <f t="shared" si="2"/>
        <v>Após 1988</v>
      </c>
      <c r="D42" s="41" t="s">
        <v>342</v>
      </c>
      <c r="E42" s="41" t="s">
        <v>509</v>
      </c>
      <c r="F42" s="41"/>
      <c r="G42" s="71">
        <v>34700</v>
      </c>
      <c r="H42" s="41"/>
      <c r="I42" s="42">
        <v>45281</v>
      </c>
      <c r="J42" s="41" t="s">
        <v>344</v>
      </c>
      <c r="K42" s="41">
        <v>31.1</v>
      </c>
      <c r="L42" s="65" t="s">
        <v>510</v>
      </c>
    </row>
    <row r="43" spans="2:12" hidden="1" outlineLevel="1">
      <c r="B43" s="46">
        <f t="shared" si="3"/>
        <v>25</v>
      </c>
      <c r="C43" s="41" t="str">
        <f t="shared" si="2"/>
        <v>Até 1988</v>
      </c>
      <c r="D43" s="41" t="s">
        <v>345</v>
      </c>
      <c r="E43" s="41" t="s">
        <v>511</v>
      </c>
      <c r="F43" s="41"/>
      <c r="G43" s="71">
        <v>32143</v>
      </c>
      <c r="H43" s="41"/>
      <c r="I43" s="42">
        <v>45272</v>
      </c>
      <c r="J43" s="41" t="s">
        <v>344</v>
      </c>
      <c r="K43" s="41">
        <v>22.1</v>
      </c>
      <c r="L43" s="65" t="s">
        <v>512</v>
      </c>
    </row>
    <row r="44" spans="2:12" hidden="1" outlineLevel="1">
      <c r="B44" s="46">
        <f t="shared" si="3"/>
        <v>26</v>
      </c>
      <c r="C44" s="41" t="str">
        <f t="shared" si="2"/>
        <v>Após 1988</v>
      </c>
      <c r="D44" s="41" t="s">
        <v>513</v>
      </c>
      <c r="E44" s="41" t="s">
        <v>514</v>
      </c>
      <c r="F44" s="41"/>
      <c r="G44" s="71">
        <v>34700</v>
      </c>
      <c r="H44" s="41"/>
      <c r="I44" s="42">
        <v>45484</v>
      </c>
      <c r="J44" s="41" t="s">
        <v>344</v>
      </c>
      <c r="K44" s="41">
        <v>26.7</v>
      </c>
      <c r="L44" s="65" t="s">
        <v>515</v>
      </c>
    </row>
    <row r="45" spans="2:12" hidden="1" outlineLevel="1">
      <c r="B45" s="46">
        <f t="shared" si="3"/>
        <v>27</v>
      </c>
      <c r="C45" s="41" t="str">
        <f t="shared" si="2"/>
        <v>Após 1988</v>
      </c>
      <c r="D45" s="41" t="s">
        <v>516</v>
      </c>
      <c r="E45" s="41" t="s">
        <v>517</v>
      </c>
      <c r="F45" s="41"/>
      <c r="G45" s="71">
        <v>33970</v>
      </c>
      <c r="H45" s="41"/>
      <c r="I45" s="42">
        <v>45281</v>
      </c>
      <c r="J45" s="41" t="s">
        <v>344</v>
      </c>
      <c r="K45" s="41">
        <v>58.4</v>
      </c>
      <c r="L45" s="65" t="s">
        <v>518</v>
      </c>
    </row>
    <row r="46" spans="2:12" hidden="1" outlineLevel="1">
      <c r="B46" s="46">
        <f t="shared" si="3"/>
        <v>28</v>
      </c>
      <c r="C46" s="41" t="str">
        <f t="shared" si="2"/>
        <v>Após 1988</v>
      </c>
      <c r="D46" s="41" t="s">
        <v>342</v>
      </c>
      <c r="E46" s="41" t="s">
        <v>519</v>
      </c>
      <c r="F46" s="41"/>
      <c r="G46" s="71">
        <v>35065</v>
      </c>
      <c r="H46" s="41"/>
      <c r="I46" s="42">
        <v>45281</v>
      </c>
      <c r="J46" s="41" t="s">
        <v>344</v>
      </c>
      <c r="K46" s="41">
        <v>23.5</v>
      </c>
      <c r="L46" s="65" t="s">
        <v>520</v>
      </c>
    </row>
    <row r="47" spans="2:12" hidden="1" outlineLevel="1">
      <c r="B47" s="46">
        <f t="shared" si="3"/>
        <v>29</v>
      </c>
      <c r="C47" s="1" t="str">
        <f t="shared" si="2"/>
        <v>Até 1988</v>
      </c>
      <c r="D47" s="41" t="s">
        <v>516</v>
      </c>
      <c r="E47" s="1" t="s">
        <v>521</v>
      </c>
      <c r="F47" s="1"/>
      <c r="G47" s="76">
        <v>32143</v>
      </c>
      <c r="H47" s="1"/>
      <c r="I47" s="36">
        <v>45371</v>
      </c>
      <c r="J47" s="1" t="s">
        <v>344</v>
      </c>
      <c r="K47" s="1">
        <v>33.299999999999997</v>
      </c>
      <c r="L47" s="73" t="s">
        <v>522</v>
      </c>
    </row>
    <row r="48" spans="2:12" hidden="1" outlineLevel="1">
      <c r="B48" s="46">
        <f t="shared" si="3"/>
        <v>30</v>
      </c>
      <c r="C48" s="1" t="str">
        <f t="shared" si="2"/>
        <v>Até 1988</v>
      </c>
      <c r="D48" s="41" t="s">
        <v>523</v>
      </c>
      <c r="E48" s="53" t="s">
        <v>524</v>
      </c>
      <c r="F48" s="53"/>
      <c r="G48" s="79">
        <v>25204</v>
      </c>
      <c r="H48" s="53"/>
      <c r="I48" s="54"/>
      <c r="J48" s="53"/>
      <c r="K48" s="53"/>
      <c r="L48" s="80"/>
    </row>
    <row r="49" spans="2:12" ht="15.75" hidden="1" outlineLevel="1" thickBot="1">
      <c r="B49" s="46">
        <f t="shared" si="3"/>
        <v>31</v>
      </c>
      <c r="C49" s="1" t="str">
        <f t="shared" si="2"/>
        <v>Até 1988</v>
      </c>
      <c r="D49" s="41" t="s">
        <v>516</v>
      </c>
      <c r="E49" s="38" t="s">
        <v>525</v>
      </c>
      <c r="F49" s="38"/>
      <c r="G49" s="77">
        <v>32143</v>
      </c>
      <c r="H49" s="38"/>
      <c r="I49" s="57">
        <v>45371</v>
      </c>
      <c r="J49" s="38" t="s">
        <v>344</v>
      </c>
      <c r="K49" s="38">
        <v>31.3</v>
      </c>
      <c r="L49" s="78" t="s">
        <v>526</v>
      </c>
    </row>
    <row r="50" spans="2:12" ht="24" customHeight="1" collapsed="1" thickBot="1">
      <c r="B50" s="320" t="s">
        <v>59</v>
      </c>
      <c r="C50" s="321"/>
      <c r="D50" s="321"/>
      <c r="E50" s="321"/>
      <c r="F50" s="321"/>
      <c r="G50" s="321"/>
      <c r="H50" s="321"/>
      <c r="I50" s="321"/>
      <c r="J50" s="321"/>
      <c r="K50" s="321"/>
      <c r="L50" s="322"/>
    </row>
    <row r="51" spans="2:12" ht="24" customHeight="1" thickBot="1">
      <c r="B51" s="26" t="s">
        <v>49</v>
      </c>
      <c r="C51" s="27" t="s">
        <v>60</v>
      </c>
      <c r="D51" s="27" t="s">
        <v>62</v>
      </c>
      <c r="E51" s="27" t="s">
        <v>63</v>
      </c>
      <c r="F51" s="27" t="s">
        <v>64</v>
      </c>
      <c r="G51" s="27" t="s">
        <v>65</v>
      </c>
      <c r="H51" s="27" t="s">
        <v>66</v>
      </c>
      <c r="I51" s="27" t="s">
        <v>67</v>
      </c>
      <c r="J51" s="27" t="s">
        <v>6</v>
      </c>
      <c r="K51" s="27" t="s">
        <v>7</v>
      </c>
      <c r="L51" s="28" t="s">
        <v>68</v>
      </c>
    </row>
    <row r="52" spans="2:12">
      <c r="B52" s="46" t="s">
        <v>8</v>
      </c>
      <c r="C52" s="41">
        <f>COUNTIFS(B19:B49,"&gt;"&amp;0,C19:C49,"="&amp;B52)</f>
        <v>17</v>
      </c>
      <c r="D52" s="41">
        <f>COUNTIFS(B19:B49,"&gt;="&amp;1,C19:C49,B52,K19:K49,"&gt;="&amp;0,K19:K49,"&lt;"&amp;50)</f>
        <v>16</v>
      </c>
      <c r="E52" s="41">
        <f>COUNTIFS(B19:B49,"&gt;="&amp;1,C19:C49,B52,K19:K49,"&gt;="&amp;50,K19:K49,"&lt;"&amp;500)</f>
        <v>0</v>
      </c>
      <c r="F52" s="41">
        <f>COUNTIFS(B19:B49,"&gt;="&amp;1,C19:C49,B52,K19:K49,"&gt;="&amp;500)</f>
        <v>0</v>
      </c>
      <c r="G52" s="41">
        <f>COUNTIFS(B19:B49,"&gt;="&amp;1,C19:C49,B52,K19:K49,"&gt;="&amp;0,I19:I49,"&gt;"&amp;DATE(2021,1,1))</f>
        <v>16</v>
      </c>
      <c r="H52" s="47">
        <f>IF(G52=0,"-",(SUM(E52,F52)/G52))</f>
        <v>0</v>
      </c>
      <c r="I52" s="41">
        <f>IF((COUNTIFS(B19:B49,"&gt;="&amp;1,C19:C49,"="&amp;B52))&gt;228,228,(COUNTIFS(B19:B49,"&gt;="&amp;1,C19:C49,"="&amp;B52)))</f>
        <v>17</v>
      </c>
      <c r="J52" s="47">
        <f>IF(I52=0,"-",(COUNTIFS(C19:C49,"="&amp;B52,I19:I49,"&lt;="&amp;DATE(2024,12,31),K19:K49,"&gt;="&amp;0)/I52))</f>
        <v>0.88235294117647056</v>
      </c>
      <c r="K52" s="47">
        <f>IF(I52=0,"-",IF(J52=1,"-",(COUNTIFS(B19:B49,"&gt;"&amp;0,C19:C49,"="&amp;B52,I19:I49,"&gt;"&amp;DATE(2024,12,31),K19:K49,"&gt;="&amp;0)/(I52-COUNTIFS(B19:B49,"&gt;"&amp;0,C19:C49,"="&amp;B52,I19:I49,"&lt;="&amp;DATE(2024,12,31),K19:K49,"&gt;="&amp;0)))))</f>
        <v>0.5</v>
      </c>
      <c r="L52" s="48">
        <f>IF(I52=0,"-",G52/I52)</f>
        <v>0.94117647058823528</v>
      </c>
    </row>
    <row r="53" spans="2:12">
      <c r="B53" s="7" t="s">
        <v>9</v>
      </c>
      <c r="C53" s="1">
        <f>COUNTIFS(B19:B49,"&gt;"&amp;0,C19:C49,"="&amp;B53)</f>
        <v>14</v>
      </c>
      <c r="D53" s="1">
        <f>COUNTIFS(B19:B49,"&gt;="&amp;1,C19:C49,B53,K19:K49,"&gt;="&amp;0,K19:K49,"&lt;"&amp;50)</f>
        <v>13</v>
      </c>
      <c r="E53" s="1">
        <f>COUNTIFS(B19:B49,"&gt;="&amp;1,C19:C49,B53,K19:K49,"&gt;="&amp;50,K19:K49,"&lt;"&amp;500)</f>
        <v>1</v>
      </c>
      <c r="F53" s="1">
        <f>COUNTIFS(B19:B49,"&gt;="&amp;1,C19:C49,B53,K19:K49,"&gt;="&amp;500)</f>
        <v>0</v>
      </c>
      <c r="G53" s="1">
        <f>COUNTIFS(B19:B49,"&gt;="&amp;1,C19:C49,B53,K19:K49,"&gt;="&amp;0,I19:I49,"&gt;"&amp;DATE(2021,1,1))</f>
        <v>14</v>
      </c>
      <c r="H53" s="44">
        <f t="shared" ref="H53:H55" si="4">IF(G53=0,"-",(SUM(E53,F53)/G53))</f>
        <v>7.1428571428571425E-2</v>
      </c>
      <c r="I53" s="1">
        <f>IF((COUNTIFS(B19:B49,"&gt;="&amp;1,C19:C49,"="&amp;B53))&gt;228,228,(COUNTIFS(B19:B49,"&gt;="&amp;1,C19:C49,"="&amp;B53)))</f>
        <v>14</v>
      </c>
      <c r="J53" s="44">
        <f>IF(I53=0,"-",(COUNTIFS(C19:C49,"="&amp;B53,I19:I49,"&lt;="&amp;DATE(2024,12,31),K19:K49,"&gt;="&amp;0)/I53))</f>
        <v>0.9285714285714286</v>
      </c>
      <c r="K53" s="47">
        <f>IF(I53=0,"-",IF(J53=1,"-",(COUNTIFS(B19:B49,"&gt;"&amp;0,C19:C49,"="&amp;B53,I19:I49,"&gt;"&amp;DATE(2024,12,31),K19:K49,"&gt;="&amp;0)/(I53-COUNTIFS(B19:B49,"&gt;"&amp;0,C19:C49,"="&amp;B53,I19:I49,"&lt;="&amp;DATE(2024,12,31),K19:K49,"&gt;="&amp;0)))))</f>
        <v>1</v>
      </c>
      <c r="L53" s="45">
        <f t="shared" ref="L53:L55" si="5">IF(I53=0,"-",G53/I53)</f>
        <v>1</v>
      </c>
    </row>
    <row r="54" spans="2:12">
      <c r="B54" s="7" t="s">
        <v>69</v>
      </c>
      <c r="C54" s="1">
        <f>COUNTIFS(B19:B49,"&gt;"&amp;0,C19:C49,"="&amp;B54)</f>
        <v>0</v>
      </c>
      <c r="D54" s="1">
        <f>COUNTIFS(B19:B49,"&gt;="&amp;1,C19:C49,B54,K19:K49,"&gt;="&amp;0,K19:K49,"&lt;"&amp;50)</f>
        <v>0</v>
      </c>
      <c r="E54" s="1">
        <f>COUNTIFS(B19:B49,"&gt;="&amp;1,C19:C49,B54,K19:K49,"&gt;="&amp;50,K19:K49,"&lt;"&amp;500)</f>
        <v>0</v>
      </c>
      <c r="F54" s="1">
        <f>COUNTIFS(B19:B47,"&gt;="&amp;1,C19:C47,B54,K19:K47,"&gt;="&amp;500)</f>
        <v>0</v>
      </c>
      <c r="G54" s="1">
        <f>COUNTIFS(B19:B49,"&gt;="&amp;1,C19:C49,B54,K19:K49,"&gt;="&amp;0,I19:I49,"&gt;"&amp;DATE(2021,1,1))</f>
        <v>0</v>
      </c>
      <c r="H54" s="44" t="str">
        <f t="shared" si="4"/>
        <v>-</v>
      </c>
      <c r="I54" s="1">
        <f>IF((COUNTIFS(B19:B47,"&gt;="&amp;1,C19:C47,"="&amp;B54))&gt;228,228,(COUNTIFS(B19:B47,"&gt;="&amp;1,C19:C47,"="&amp;B54)))</f>
        <v>0</v>
      </c>
      <c r="J54" s="44" t="str">
        <f>IF(I54=0,"-",(COUNTIFS(C19:C49,"="&amp;B54,I19:I49,"&lt;="&amp;DATE(2024,12,31),K19:K49,"&gt;="&amp;0)/I54))</f>
        <v>-</v>
      </c>
      <c r="K54" s="47" t="str">
        <f>IF(I54=0,"-",IF(J54=1,"-",(COUNTIFS(B19:B49,"&gt;"&amp;0,C19:C49,"="&amp;B54,I19:I49,"&gt;"&amp;DATE(2024,12,31),K19:K49,"&gt;="&amp;0)/(I54-COUNTIFS(B19:B49,"&gt;"&amp;0,C19:C49,"="&amp;B54,I19:I49,"&lt;="&amp;DATE(2024,12,31),K19:K49,"&gt;="&amp;0)))))</f>
        <v>-</v>
      </c>
      <c r="L54" s="45" t="str">
        <f t="shared" si="5"/>
        <v>-</v>
      </c>
    </row>
    <row r="55" spans="2:12" ht="24" customHeight="1" thickBot="1">
      <c r="B55" s="49" t="s">
        <v>59</v>
      </c>
      <c r="C55" s="50">
        <f>SUM(C52:C54)</f>
        <v>31</v>
      </c>
      <c r="D55" s="50">
        <f>SUM(D52:D54)</f>
        <v>29</v>
      </c>
      <c r="E55" s="50">
        <f>SUM(E52:E54)</f>
        <v>1</v>
      </c>
      <c r="F55" s="50">
        <f>SUM(F52:F54)</f>
        <v>0</v>
      </c>
      <c r="G55" s="50">
        <f>SUM(G52:G54)</f>
        <v>30</v>
      </c>
      <c r="H55" s="51">
        <f t="shared" si="4"/>
        <v>3.3333333333333333E-2</v>
      </c>
      <c r="I55" s="50">
        <f>SUM(I52:I54)</f>
        <v>31</v>
      </c>
      <c r="J55" s="51">
        <f>IF(I55=0,"-",(COUNTIFS(I19:I49,"&lt;="&amp;DATE(2024,12,31),K19:K49,"&gt;="&amp;0)/I55))</f>
        <v>0.90322580645161288</v>
      </c>
      <c r="K55" s="51">
        <f>IF(I55=0,"-",IF(J55=1,"-",(COUNTIFS(B19:B49,"&gt;"&amp;0,I19:I49,"&gt;"&amp;DATE(2024,12,31),K19:K49,"&gt;="&amp;0)/(I55-COUNTIFS(B19:B49,"&gt;"&amp;0,I19:I49,"&lt;="&amp;DATE(2024,12,31),K19:K49,"&gt;="&amp;0)))))</f>
        <v>0.66666666666666663</v>
      </c>
      <c r="L55" s="52">
        <f t="shared" si="5"/>
        <v>0.967741935483871</v>
      </c>
    </row>
    <row r="57" spans="2:12" ht="15.75" thickBot="1"/>
    <row r="58" spans="2:12" ht="32.25" customHeight="1" thickBot="1">
      <c r="B58" s="320" t="str">
        <f>_xlfn.CONCAT("Religadores",TEXT(IF(SUM(I84:I86)=0," ",(SUM(G84:G86)/SUM(I84:I86))), " 0,00%"))</f>
        <v>Religadores 94,12%</v>
      </c>
      <c r="C58" s="321"/>
      <c r="D58" s="321"/>
      <c r="E58" s="321"/>
      <c r="F58" s="321"/>
      <c r="G58" s="321"/>
      <c r="H58" s="321"/>
      <c r="I58" s="321"/>
      <c r="J58" s="321"/>
      <c r="K58" s="321"/>
      <c r="L58" s="322"/>
    </row>
    <row r="59" spans="2:12" ht="24" customHeight="1" outlineLevel="1" thickBot="1">
      <c r="B59" s="26" t="s">
        <v>48</v>
      </c>
      <c r="C59" s="27" t="s">
        <v>49</v>
      </c>
      <c r="D59" s="27" t="s">
        <v>50</v>
      </c>
      <c r="E59" s="27" t="s">
        <v>51</v>
      </c>
      <c r="F59" s="27" t="s">
        <v>52</v>
      </c>
      <c r="G59" s="27" t="s">
        <v>53</v>
      </c>
      <c r="H59" s="27" t="s">
        <v>54</v>
      </c>
      <c r="I59" s="27" t="s">
        <v>55</v>
      </c>
      <c r="J59" s="27" t="s">
        <v>56</v>
      </c>
      <c r="K59" s="27" t="s">
        <v>57</v>
      </c>
      <c r="L59" s="28" t="s">
        <v>58</v>
      </c>
    </row>
    <row r="60" spans="2:12" outlineLevel="1">
      <c r="B60" s="46">
        <f>IF(C60="","",ROW($A$1))</f>
        <v>1</v>
      </c>
      <c r="C60" s="41" t="str">
        <f>IF(G60="","",IF(G60="SEM DATA",$B$86,IF(G60&gt;DATE(1988,12,31),$B$85,IF(G60&lt;=DATE(1988,12,31),$B$84,""))))</f>
        <v>Após 1988</v>
      </c>
      <c r="D60" s="41" t="s">
        <v>365</v>
      </c>
      <c r="E60" s="41" t="s">
        <v>527</v>
      </c>
      <c r="F60" s="41"/>
      <c r="G60" s="71">
        <v>33970</v>
      </c>
      <c r="H60" s="41"/>
      <c r="I60" s="42">
        <v>45484</v>
      </c>
      <c r="J60" s="41" t="s">
        <v>72</v>
      </c>
      <c r="K60" s="41">
        <v>24.4</v>
      </c>
      <c r="L60" s="65" t="s">
        <v>528</v>
      </c>
    </row>
    <row r="61" spans="2:12" outlineLevel="1">
      <c r="B61" s="7">
        <f>IF(C61="","",(B60+1))</f>
        <v>2</v>
      </c>
      <c r="C61" s="41" t="str">
        <f t="shared" ref="C61:C76" si="6">IF(G61="","",IF(G61="SEM DATA",$B$86,IF(G61&gt;DATE(1988,12,31),$B$85,IF(G61&lt;=DATE(1988,12,31),$B$84,""))))</f>
        <v>Após 1988</v>
      </c>
      <c r="D61" s="41" t="s">
        <v>365</v>
      </c>
      <c r="E61" s="1" t="s">
        <v>529</v>
      </c>
      <c r="F61" s="1"/>
      <c r="G61" s="76">
        <v>34700</v>
      </c>
      <c r="H61" s="1"/>
      <c r="I61" s="36">
        <v>45492</v>
      </c>
      <c r="J61" s="1" t="s">
        <v>72</v>
      </c>
      <c r="K61" s="1">
        <v>21.6</v>
      </c>
      <c r="L61" s="73" t="s">
        <v>530</v>
      </c>
    </row>
    <row r="62" spans="2:12" outlineLevel="1">
      <c r="B62" s="7">
        <f t="shared" ref="B62:B81" si="7">IF(C62="","",(B61+1))</f>
        <v>3</v>
      </c>
      <c r="C62" s="41" t="str">
        <f t="shared" si="6"/>
        <v>Após 1988</v>
      </c>
      <c r="D62" s="41" t="s">
        <v>365</v>
      </c>
      <c r="E62" s="53" t="s">
        <v>531</v>
      </c>
      <c r="F62" s="53"/>
      <c r="G62" s="79">
        <v>35065</v>
      </c>
      <c r="H62" s="53"/>
      <c r="I62" s="54">
        <v>45343</v>
      </c>
      <c r="J62" s="53" t="s">
        <v>72</v>
      </c>
      <c r="K62" s="53">
        <v>35.4</v>
      </c>
      <c r="L62" s="80" t="s">
        <v>532</v>
      </c>
    </row>
    <row r="63" spans="2:12" outlineLevel="1">
      <c r="B63" s="7">
        <f t="shared" si="7"/>
        <v>4</v>
      </c>
      <c r="C63" s="41" t="str">
        <f t="shared" si="6"/>
        <v>Após 1988</v>
      </c>
      <c r="D63" s="41" t="s">
        <v>365</v>
      </c>
      <c r="E63" s="53" t="s">
        <v>533</v>
      </c>
      <c r="F63" s="53"/>
      <c r="G63" s="79">
        <v>35796</v>
      </c>
      <c r="H63" s="53"/>
      <c r="I63" s="54">
        <v>45343</v>
      </c>
      <c r="J63" s="53" t="s">
        <v>72</v>
      </c>
      <c r="K63" s="53">
        <v>24.2</v>
      </c>
      <c r="L63" s="80" t="s">
        <v>534</v>
      </c>
    </row>
    <row r="64" spans="2:12" outlineLevel="1">
      <c r="B64" s="7">
        <f t="shared" si="7"/>
        <v>5</v>
      </c>
      <c r="C64" s="41" t="str">
        <f t="shared" si="6"/>
        <v>Após 1988</v>
      </c>
      <c r="D64" s="41" t="s">
        <v>365</v>
      </c>
      <c r="E64" s="53" t="s">
        <v>535</v>
      </c>
      <c r="F64" s="53"/>
      <c r="G64" s="79">
        <v>35065</v>
      </c>
      <c r="H64" s="53"/>
      <c r="I64" s="54">
        <v>45343</v>
      </c>
      <c r="J64" s="53" t="s">
        <v>72</v>
      </c>
      <c r="K64" s="53">
        <v>23.5</v>
      </c>
      <c r="L64" s="80" t="s">
        <v>536</v>
      </c>
    </row>
    <row r="65" spans="2:12" outlineLevel="1">
      <c r="B65" s="7">
        <f t="shared" si="7"/>
        <v>6</v>
      </c>
      <c r="C65" s="41" t="str">
        <f t="shared" si="6"/>
        <v>Após 1988</v>
      </c>
      <c r="D65" s="41" t="s">
        <v>365</v>
      </c>
      <c r="E65" s="53" t="s">
        <v>537</v>
      </c>
      <c r="F65" s="53"/>
      <c r="G65" s="79">
        <v>35065</v>
      </c>
      <c r="H65" s="53"/>
      <c r="I65" s="54">
        <v>45371</v>
      </c>
      <c r="J65" s="53" t="s">
        <v>72</v>
      </c>
      <c r="K65" s="53">
        <v>23.4</v>
      </c>
      <c r="L65" s="80" t="s">
        <v>538</v>
      </c>
    </row>
    <row r="66" spans="2:12" outlineLevel="1">
      <c r="B66" s="7">
        <f t="shared" si="7"/>
        <v>7</v>
      </c>
      <c r="C66" s="41" t="str">
        <f t="shared" si="6"/>
        <v>Após 1988</v>
      </c>
      <c r="D66" s="41" t="s">
        <v>365</v>
      </c>
      <c r="E66" s="53" t="s">
        <v>539</v>
      </c>
      <c r="F66" s="53"/>
      <c r="G66" s="79">
        <v>35065</v>
      </c>
      <c r="H66" s="53"/>
      <c r="I66" s="54">
        <v>45371</v>
      </c>
      <c r="J66" s="53" t="s">
        <v>72</v>
      </c>
      <c r="K66" s="53">
        <v>46.3</v>
      </c>
      <c r="L66" s="80" t="s">
        <v>540</v>
      </c>
    </row>
    <row r="67" spans="2:12" outlineLevel="1">
      <c r="B67" s="7">
        <f t="shared" si="7"/>
        <v>8</v>
      </c>
      <c r="C67" s="41" t="str">
        <f t="shared" si="6"/>
        <v>Após 1988</v>
      </c>
      <c r="D67" s="41" t="s">
        <v>365</v>
      </c>
      <c r="E67" s="53" t="s">
        <v>541</v>
      </c>
      <c r="F67" s="53"/>
      <c r="G67" s="79">
        <v>35065</v>
      </c>
      <c r="H67" s="53"/>
      <c r="I67" s="54">
        <v>45371</v>
      </c>
      <c r="J67" s="53" t="s">
        <v>72</v>
      </c>
      <c r="K67" s="53">
        <v>23.8</v>
      </c>
      <c r="L67" s="80" t="s">
        <v>542</v>
      </c>
    </row>
    <row r="68" spans="2:12" outlineLevel="1">
      <c r="B68" s="7">
        <f t="shared" si="7"/>
        <v>9</v>
      </c>
      <c r="C68" s="41" t="str">
        <f t="shared" si="6"/>
        <v>Após 1988</v>
      </c>
      <c r="D68" s="41" t="s">
        <v>365</v>
      </c>
      <c r="E68" s="53" t="s">
        <v>543</v>
      </c>
      <c r="F68" s="53"/>
      <c r="G68" s="79">
        <v>35065</v>
      </c>
      <c r="H68" s="53"/>
      <c r="I68" s="54">
        <v>45371</v>
      </c>
      <c r="J68" s="53" t="s">
        <v>72</v>
      </c>
      <c r="K68" s="53">
        <v>35.6</v>
      </c>
      <c r="L68" s="80" t="s">
        <v>544</v>
      </c>
    </row>
    <row r="69" spans="2:12" outlineLevel="1">
      <c r="B69" s="7">
        <f t="shared" si="7"/>
        <v>10</v>
      </c>
      <c r="C69" s="41" t="str">
        <f t="shared" si="6"/>
        <v>Após 1988</v>
      </c>
      <c r="D69" s="41" t="s">
        <v>365</v>
      </c>
      <c r="E69" s="53" t="s">
        <v>545</v>
      </c>
      <c r="F69" s="53"/>
      <c r="G69" s="79">
        <v>35065</v>
      </c>
      <c r="H69" s="53"/>
      <c r="I69" s="54">
        <v>45371</v>
      </c>
      <c r="J69" s="53" t="s">
        <v>72</v>
      </c>
      <c r="K69" s="53">
        <v>32.1</v>
      </c>
      <c r="L69" s="80" t="s">
        <v>546</v>
      </c>
    </row>
    <row r="70" spans="2:12" outlineLevel="1">
      <c r="B70" s="7">
        <f t="shared" si="7"/>
        <v>11</v>
      </c>
      <c r="C70" s="41" t="str">
        <f t="shared" si="6"/>
        <v>Após 1988</v>
      </c>
      <c r="D70" s="41" t="s">
        <v>365</v>
      </c>
      <c r="E70" s="53" t="s">
        <v>547</v>
      </c>
      <c r="F70" s="53"/>
      <c r="G70" s="79">
        <v>35065</v>
      </c>
      <c r="H70" s="53"/>
      <c r="I70" s="54">
        <v>45371</v>
      </c>
      <c r="J70" s="53" t="s">
        <v>72</v>
      </c>
      <c r="K70" s="53">
        <v>35.799999999999997</v>
      </c>
      <c r="L70" s="80" t="s">
        <v>548</v>
      </c>
    </row>
    <row r="71" spans="2:12" outlineLevel="1">
      <c r="B71" s="7">
        <f t="shared" si="7"/>
        <v>12</v>
      </c>
      <c r="C71" s="41" t="str">
        <f t="shared" si="6"/>
        <v>Após 1988</v>
      </c>
      <c r="D71" s="41" t="s">
        <v>365</v>
      </c>
      <c r="E71" s="53" t="s">
        <v>549</v>
      </c>
      <c r="F71" s="53"/>
      <c r="G71" s="79">
        <v>35065</v>
      </c>
      <c r="H71" s="53"/>
      <c r="I71" s="54">
        <v>45552</v>
      </c>
      <c r="J71" s="53" t="s">
        <v>550</v>
      </c>
      <c r="K71" s="53">
        <v>0</v>
      </c>
      <c r="L71" s="80" t="s">
        <v>551</v>
      </c>
    </row>
    <row r="72" spans="2:12" outlineLevel="1">
      <c r="B72" s="7">
        <f t="shared" si="7"/>
        <v>13</v>
      </c>
      <c r="C72" s="41" t="str">
        <f t="shared" si="6"/>
        <v>Após 1988</v>
      </c>
      <c r="D72" s="41" t="s">
        <v>365</v>
      </c>
      <c r="E72" s="53" t="s">
        <v>552</v>
      </c>
      <c r="F72" s="53"/>
      <c r="G72" s="79">
        <v>35065</v>
      </c>
      <c r="H72" s="53"/>
      <c r="I72" s="54">
        <v>45546</v>
      </c>
      <c r="J72" s="53" t="s">
        <v>72</v>
      </c>
      <c r="K72" s="53">
        <v>59.9</v>
      </c>
      <c r="L72" s="80" t="s">
        <v>553</v>
      </c>
    </row>
    <row r="73" spans="2:12" outlineLevel="1">
      <c r="B73" s="7">
        <f t="shared" si="7"/>
        <v>14</v>
      </c>
      <c r="C73" s="41" t="str">
        <f t="shared" si="6"/>
        <v>Após 1988</v>
      </c>
      <c r="D73" s="41" t="s">
        <v>365</v>
      </c>
      <c r="E73" s="53" t="s">
        <v>554</v>
      </c>
      <c r="F73" s="53"/>
      <c r="G73" s="79">
        <v>35065</v>
      </c>
      <c r="H73" s="53"/>
      <c r="I73" s="54">
        <v>45546</v>
      </c>
      <c r="J73" s="53" t="s">
        <v>72</v>
      </c>
      <c r="K73" s="53">
        <v>37</v>
      </c>
      <c r="L73" s="80" t="s">
        <v>555</v>
      </c>
    </row>
    <row r="74" spans="2:12" outlineLevel="1">
      <c r="B74" s="7">
        <f t="shared" si="7"/>
        <v>15</v>
      </c>
      <c r="C74" s="41" t="str">
        <f t="shared" si="6"/>
        <v>Após 1988</v>
      </c>
      <c r="D74" s="41" t="s">
        <v>365</v>
      </c>
      <c r="E74" s="53" t="s">
        <v>556</v>
      </c>
      <c r="F74" s="53"/>
      <c r="G74" s="79">
        <v>35065</v>
      </c>
      <c r="H74" s="53"/>
      <c r="I74" s="54">
        <v>45546</v>
      </c>
      <c r="J74" s="53" t="s">
        <v>72</v>
      </c>
      <c r="K74" s="53">
        <v>26.7</v>
      </c>
      <c r="L74" s="80" t="s">
        <v>557</v>
      </c>
    </row>
    <row r="75" spans="2:12" outlineLevel="1">
      <c r="B75" s="7">
        <f t="shared" si="7"/>
        <v>16</v>
      </c>
      <c r="C75" s="41" t="str">
        <f t="shared" si="6"/>
        <v>Após 1988</v>
      </c>
      <c r="D75" s="41" t="s">
        <v>365</v>
      </c>
      <c r="E75" s="53" t="s">
        <v>558</v>
      </c>
      <c r="F75" s="53"/>
      <c r="G75" s="79">
        <v>35065</v>
      </c>
      <c r="H75" s="53"/>
      <c r="I75" s="54">
        <v>45546</v>
      </c>
      <c r="J75" s="53" t="s">
        <v>72</v>
      </c>
      <c r="K75" s="53">
        <v>27.4</v>
      </c>
      <c r="L75" s="80" t="s">
        <v>559</v>
      </c>
    </row>
    <row r="76" spans="2:12" outlineLevel="1">
      <c r="B76" s="7">
        <f>IF(C76="","",(B75+1))</f>
        <v>17</v>
      </c>
      <c r="C76" s="41" t="str">
        <f t="shared" si="6"/>
        <v>Após 1988</v>
      </c>
      <c r="D76" s="41" t="s">
        <v>365</v>
      </c>
      <c r="E76" s="53" t="s">
        <v>560</v>
      </c>
      <c r="F76" s="53"/>
      <c r="G76" s="79">
        <v>32509</v>
      </c>
      <c r="H76" s="53"/>
      <c r="I76" s="54"/>
      <c r="J76" s="53" t="s">
        <v>561</v>
      </c>
      <c r="K76" s="53"/>
      <c r="L76" s="55" t="s">
        <v>562</v>
      </c>
    </row>
    <row r="77" spans="2:12" outlineLevel="1">
      <c r="B77" s="7" t="str">
        <f>IF(C77="","",(B76+1))</f>
        <v/>
      </c>
      <c r="C77" s="53"/>
      <c r="D77" s="41"/>
      <c r="E77" s="53"/>
      <c r="F77" s="53"/>
      <c r="G77" s="79"/>
      <c r="H77" s="53"/>
      <c r="I77" s="54"/>
      <c r="J77" s="53"/>
      <c r="K77" s="53"/>
      <c r="L77" s="55"/>
    </row>
    <row r="78" spans="2:12" outlineLevel="1">
      <c r="B78" s="7" t="str">
        <f t="shared" si="7"/>
        <v/>
      </c>
      <c r="C78" s="53"/>
      <c r="D78" s="53"/>
      <c r="E78" s="53"/>
      <c r="F78" s="53"/>
      <c r="G78" s="79"/>
      <c r="H78" s="53"/>
      <c r="I78" s="54"/>
      <c r="J78" s="53"/>
      <c r="K78" s="53"/>
      <c r="L78" s="55"/>
    </row>
    <row r="79" spans="2:12" outlineLevel="1">
      <c r="B79" s="7" t="str">
        <f t="shared" si="7"/>
        <v/>
      </c>
      <c r="C79" s="53"/>
      <c r="D79" s="53"/>
      <c r="E79" s="53"/>
      <c r="F79" s="53"/>
      <c r="G79" s="79"/>
      <c r="H79" s="53"/>
      <c r="I79" s="54"/>
      <c r="J79" s="53"/>
      <c r="K79" s="53"/>
      <c r="L79" s="55"/>
    </row>
    <row r="80" spans="2:12" outlineLevel="1">
      <c r="B80" s="7" t="str">
        <f t="shared" si="7"/>
        <v/>
      </c>
      <c r="C80" s="53"/>
      <c r="D80" s="53"/>
      <c r="E80" s="53"/>
      <c r="F80" s="53"/>
      <c r="G80" s="79"/>
      <c r="H80" s="53"/>
      <c r="I80" s="54"/>
      <c r="J80" s="53"/>
      <c r="K80" s="53"/>
      <c r="L80" s="55"/>
    </row>
    <row r="81" spans="2:12" ht="15.75" outlineLevel="1" thickBot="1">
      <c r="B81" s="56" t="str">
        <f t="shared" si="7"/>
        <v/>
      </c>
      <c r="C81" s="38"/>
      <c r="D81" s="38"/>
      <c r="E81" s="38"/>
      <c r="F81" s="38"/>
      <c r="G81" s="77"/>
      <c r="H81" s="38"/>
      <c r="I81" s="57"/>
      <c r="J81" s="38"/>
      <c r="K81" s="38"/>
      <c r="L81" s="39"/>
    </row>
    <row r="82" spans="2:12" ht="24" customHeight="1" thickBot="1">
      <c r="B82" s="320" t="s">
        <v>59</v>
      </c>
      <c r="C82" s="321"/>
      <c r="D82" s="321"/>
      <c r="E82" s="321"/>
      <c r="F82" s="321"/>
      <c r="G82" s="321"/>
      <c r="H82" s="321"/>
      <c r="I82" s="321"/>
      <c r="J82" s="321"/>
      <c r="K82" s="321"/>
      <c r="L82" s="322"/>
    </row>
    <row r="83" spans="2:12" ht="24" customHeight="1" thickBot="1">
      <c r="B83" s="26" t="s">
        <v>49</v>
      </c>
      <c r="C83" s="27" t="s">
        <v>60</v>
      </c>
      <c r="D83" s="27" t="s">
        <v>62</v>
      </c>
      <c r="E83" s="27" t="s">
        <v>63</v>
      </c>
      <c r="F83" s="27" t="s">
        <v>64</v>
      </c>
      <c r="G83" s="27" t="s">
        <v>65</v>
      </c>
      <c r="H83" s="27" t="s">
        <v>66</v>
      </c>
      <c r="I83" s="27" t="s">
        <v>67</v>
      </c>
      <c r="J83" s="27" t="s">
        <v>6</v>
      </c>
      <c r="K83" s="27" t="s">
        <v>7</v>
      </c>
      <c r="L83" s="28" t="s">
        <v>68</v>
      </c>
    </row>
    <row r="84" spans="2:12">
      <c r="B84" s="46" t="s">
        <v>8</v>
      </c>
      <c r="C84" s="41">
        <f>COUNTIFS(B60:B81,"&gt;"&amp;0,C60:C81,"="&amp;B84)</f>
        <v>0</v>
      </c>
      <c r="D84" s="41">
        <f>COUNTIFS(B60:B81,"&gt;="&amp;1,C60:C81,B84,K60:K81,"&gt;="&amp;0,K60:K81,"&lt;"&amp;50)</f>
        <v>0</v>
      </c>
      <c r="E84" s="41">
        <f>COUNTIFS(B60:B81,"&gt;="&amp;1,C60:C81,B84,K60:K81,"&gt;="&amp;50,K60:K81,"&lt;"&amp;500)</f>
        <v>0</v>
      </c>
      <c r="F84" s="41">
        <f>COUNTIFS(B60:B81,"&gt;="&amp;1,C60:C81,B84,K60:K81,"&gt;="&amp;500)</f>
        <v>0</v>
      </c>
      <c r="G84" s="41">
        <f>COUNTIFS(B60:B81,"&gt;="&amp;1,C60:C81,B84,K60:K81,"&gt;="&amp;0,I60:I81,"&gt;"&amp;DATE(2021,1,1))</f>
        <v>0</v>
      </c>
      <c r="H84" s="47" t="str">
        <f>IF(G84=0,"-",(SUM(E84,F84)/G84))</f>
        <v>-</v>
      </c>
      <c r="I84" s="41">
        <f>IF((COUNTIFS(B60:B81,"&gt;="&amp;1,C60:C81,"="&amp;B84))&gt;228,228,(COUNTIFS(B60:B81,"&gt;="&amp;1,C60:C81,"="&amp;B84)))</f>
        <v>0</v>
      </c>
      <c r="J84" s="47" t="str">
        <f>IF(I84=0,"-",(COUNTIFS(C60:C81,"="&amp;B84,I60:I81,"&lt;="&amp;DATE(2024,12,31),K60:K81,"&gt;="&amp;0)/I84))</f>
        <v>-</v>
      </c>
      <c r="K84" s="47" t="str">
        <f>IF(I84=0,"-",IF(J84=1,"-",(COUNTIFS(B60:B81,"&gt;"&amp;0,C60:C81,"="&amp;B84,I60:I81,"&gt;"&amp;DATE(2024,12,31),K60:K81,"&gt;="&amp;0)/(I84-COUNTIFS(B60:B81,"&gt;"&amp;0,C60:C81,"="&amp;B84,I60:I81,"&lt;="&amp;DATE(2024,12,31),K60:K81,"&gt;="&amp;0)))))</f>
        <v>-</v>
      </c>
      <c r="L84" s="48" t="str">
        <f>IF(I84=0,"-",G84/I84)</f>
        <v>-</v>
      </c>
    </row>
    <row r="85" spans="2:12">
      <c r="B85" s="7" t="s">
        <v>9</v>
      </c>
      <c r="C85" s="1">
        <f>COUNTIFS(B60:B81,"&gt;"&amp;0,C60:C81,"="&amp;B85)</f>
        <v>17</v>
      </c>
      <c r="D85" s="1">
        <f>COUNTIFS(B60:B81,"&gt;="&amp;1,C60:C81,B85,K60:K81,"&gt;="&amp;0,K60:K81,"&lt;"&amp;50)</f>
        <v>15</v>
      </c>
      <c r="E85" s="1">
        <f>COUNTIFS(B60:B81,"&gt;="&amp;1,C60:C81,B85,K60:K81,"&gt;="&amp;50,K60:K81,"&lt;"&amp;500)</f>
        <v>1</v>
      </c>
      <c r="F85" s="1">
        <f>COUNTIFS(B60:B81,"&gt;="&amp;1,C60:C81,B85,K60:K81,"&gt;="&amp;500)</f>
        <v>0</v>
      </c>
      <c r="G85" s="1">
        <f>COUNTIFS(B60:B81,"&gt;="&amp;1,C60:C81,B85,K60:K81,"&gt;="&amp;0,I60:I81,"&gt;"&amp;DATE(2021,1,1))</f>
        <v>16</v>
      </c>
      <c r="H85" s="44">
        <f t="shared" ref="H85:H87" si="8">IF(G85=0,"-",(SUM(E85,F85)/G85))</f>
        <v>6.25E-2</v>
      </c>
      <c r="I85" s="1">
        <f>IF((COUNTIFS(B60:B81,"&gt;="&amp;1,C60:C81,"="&amp;B85))&gt;228,228,(COUNTIFS(B60:B81,"&gt;="&amp;1,C60:C81,"="&amp;B85)))</f>
        <v>17</v>
      </c>
      <c r="J85" s="44">
        <f>IF(I85=0,"-",(COUNTIFS(C60:C81,"="&amp;B85,I60:I81,"&lt;="&amp;DATE(2024,12,31),K60:K81,"&gt;="&amp;0)/I85))</f>
        <v>0.94117647058823528</v>
      </c>
      <c r="K85" s="47">
        <f>IF(I85=0,"-",IF(J85=1,"-",(COUNTIFS(B60:B81,"&gt;"&amp;0,C60:C81,"="&amp;B85,I60:I81,"&gt;"&amp;DATE(2024,12,31),K60:K81,"&gt;="&amp;0)/(I85-COUNTIFS(B60:B81,"&gt;"&amp;0,C60:C81,"="&amp;B85,I60:I81,"&lt;="&amp;DATE(2024,12,31),K60:K81,"&gt;="&amp;0)))))</f>
        <v>0</v>
      </c>
      <c r="L85" s="45">
        <f t="shared" ref="L85:L87" si="9">IF(I85=0,"-",G85/I85)</f>
        <v>0.94117647058823528</v>
      </c>
    </row>
    <row r="86" spans="2:12">
      <c r="B86" s="7" t="s">
        <v>69</v>
      </c>
      <c r="C86" s="1">
        <f>COUNTIFS(B60:B81,"&gt;"&amp;0,C60:C81,"="&amp;B86)</f>
        <v>0</v>
      </c>
      <c r="D86" s="1">
        <f>COUNTIFS(B60:B81,"&gt;="&amp;1,C60:C81,B86,K60:K81,"&gt;="&amp;0,K60:K81,"&lt;"&amp;50)</f>
        <v>0</v>
      </c>
      <c r="E86" s="1">
        <f>COUNTIFS(B60:B81,"&gt;="&amp;1,C60:C81,B86,K60:K81,"&gt;="&amp;50,K60:K81,"&lt;"&amp;500)</f>
        <v>0</v>
      </c>
      <c r="F86" s="1">
        <f>COUNTIFS(B60:B61,"&gt;="&amp;1,C60:C61,B86,K60:K61,"&gt;="&amp;500)</f>
        <v>0</v>
      </c>
      <c r="G86" s="1">
        <f>COUNTIFS(B60:B81,"&gt;="&amp;1,C60:C81,B86,K60:K81,"&gt;="&amp;0,I60:I81,"&gt;"&amp;DATE(2021,1,1))</f>
        <v>0</v>
      </c>
      <c r="H86" s="44" t="str">
        <f t="shared" si="8"/>
        <v>-</v>
      </c>
      <c r="I86" s="1">
        <f>IF((COUNTIFS(B60:B61,"&gt;="&amp;1,C60:C61,"="&amp;B86))&gt;228,228,(COUNTIFS(B60:B61,"&gt;="&amp;1,C60:C61,"="&amp;B86)))</f>
        <v>0</v>
      </c>
      <c r="J86" s="44" t="str">
        <f>IF(I86=0,"-",(COUNTIFS(C60:C81,"="&amp;B86,I60:I81,"&lt;="&amp;DATE(2024,12,31),K60:K81,"&gt;="&amp;0)/I86))</f>
        <v>-</v>
      </c>
      <c r="K86" s="47" t="str">
        <f>IF(I86=0,"-",IF(J86=1,"-",(COUNTIFS(B60:B81,"&gt;"&amp;0,C60:C81,"="&amp;B86,I60:I81,"&gt;"&amp;DATE(2024,12,31),K60:K81,"&gt;="&amp;0)/(I86-COUNTIFS(B60:B81,"&gt;"&amp;0,C60:C81,"="&amp;B86,I60:I81,"&lt;="&amp;DATE(2024,12,31),K60:K81,"&gt;="&amp;0)))))</f>
        <v>-</v>
      </c>
      <c r="L86" s="45" t="str">
        <f t="shared" si="9"/>
        <v>-</v>
      </c>
    </row>
    <row r="87" spans="2:12" ht="24" customHeight="1" thickBot="1">
      <c r="B87" s="49" t="s">
        <v>59</v>
      </c>
      <c r="C87" s="50">
        <f>SUM(C84:C86)</f>
        <v>17</v>
      </c>
      <c r="D87" s="50">
        <f>SUM(D84:D86)</f>
        <v>15</v>
      </c>
      <c r="E87" s="50">
        <f>SUM(E84:E86)</f>
        <v>1</v>
      </c>
      <c r="F87" s="50">
        <f>SUM(F84:F86)</f>
        <v>0</v>
      </c>
      <c r="G87" s="50">
        <f>SUM(G84:G86)</f>
        <v>16</v>
      </c>
      <c r="H87" s="51">
        <f t="shared" si="8"/>
        <v>6.25E-2</v>
      </c>
      <c r="I87" s="50">
        <f>SUM(I84:I86)</f>
        <v>17</v>
      </c>
      <c r="J87" s="51">
        <f>IF(I87=0,"-",(COUNTIFS(I60:I81,"&lt;="&amp;DATE(2024,12,31),K60:K81,"&gt;="&amp;0)/I87))</f>
        <v>0.94117647058823528</v>
      </c>
      <c r="K87" s="51">
        <f>IF(I87=0,"-",IF(J87=1,"-",(COUNTIFS(B60:B81,"&gt;"&amp;0,I60:I81,"&gt;"&amp;DATE(2024,12,31),K60:K81,"&gt;="&amp;0)/(I87-COUNTIFS(B60:B81,"&gt;"&amp;0,I60:I81,"&lt;="&amp;DATE(2024,12,31),K60:K81,"&gt;="&amp;0)))))</f>
        <v>0</v>
      </c>
      <c r="L87" s="52">
        <f t="shared" si="9"/>
        <v>0.94117647058823528</v>
      </c>
    </row>
    <row r="89" spans="2:12" ht="15.75" thickBot="1"/>
    <row r="90" spans="2:12" ht="32.25" customHeight="1" thickBot="1">
      <c r="B90" s="320" t="str">
        <f>_xlfn.CONCAT("Reguladores de Tensão",TEXT(IF(SUM(I575:I577)=0," ",(SUM(G575:G577)/SUM(I575:I577))), " 0,00%"))</f>
        <v>Reguladores de Tensão 100,00%</v>
      </c>
      <c r="C90" s="321"/>
      <c r="D90" s="321"/>
      <c r="E90" s="321"/>
      <c r="F90" s="321"/>
      <c r="G90" s="321"/>
      <c r="H90" s="321"/>
      <c r="I90" s="321"/>
      <c r="J90" s="321"/>
      <c r="K90" s="321"/>
      <c r="L90" s="322"/>
    </row>
    <row r="91" spans="2:12" ht="24" hidden="1" customHeight="1" outlineLevel="1" thickBot="1">
      <c r="B91" s="26" t="s">
        <v>48</v>
      </c>
      <c r="C91" s="27" t="s">
        <v>49</v>
      </c>
      <c r="D91" s="27" t="s">
        <v>50</v>
      </c>
      <c r="E91" s="27" t="s">
        <v>51</v>
      </c>
      <c r="F91" s="27" t="s">
        <v>52</v>
      </c>
      <c r="G91" s="27" t="s">
        <v>53</v>
      </c>
      <c r="H91" s="27" t="s">
        <v>54</v>
      </c>
      <c r="I91" s="27" t="s">
        <v>55</v>
      </c>
      <c r="J91" s="27" t="s">
        <v>56</v>
      </c>
      <c r="K91" s="27" t="s">
        <v>57</v>
      </c>
      <c r="L91" s="28" t="s">
        <v>58</v>
      </c>
    </row>
    <row r="92" spans="2:12" hidden="1" outlineLevel="1">
      <c r="B92" s="46">
        <f>IF(C92="","",ROW($A$1))</f>
        <v>1</v>
      </c>
      <c r="C92" s="41" t="str">
        <f>IF(G92="","",IF(G92="SEM DATA",$B$86,IF(G92&gt;DATE(1988,12,31),$B$85,IF(G92&lt;=DATE(1988,12,31),$B$84,""))))</f>
        <v>Após 1988</v>
      </c>
      <c r="D92" s="41" t="s">
        <v>366</v>
      </c>
      <c r="E92" s="41">
        <v>1317</v>
      </c>
      <c r="F92" s="41"/>
      <c r="G92" s="71">
        <v>38353</v>
      </c>
      <c r="H92" s="41"/>
      <c r="I92" s="42">
        <v>45337</v>
      </c>
      <c r="J92" s="41" t="s">
        <v>176</v>
      </c>
      <c r="K92" s="41">
        <v>21.1</v>
      </c>
      <c r="L92" s="43" t="s">
        <v>563</v>
      </c>
    </row>
    <row r="93" spans="2:12" hidden="1" outlineLevel="1">
      <c r="B93" s="46">
        <f>IF(C93="","",B92+1)</f>
        <v>2</v>
      </c>
      <c r="C93" s="41" t="str">
        <f t="shared" ref="C93:C156" si="10">IF(G93="","",IF(G93="SEM DATA",$B$86,IF(G93&gt;DATE(1988,12,31),$B$85,IF(G93&lt;=DATE(1988,12,31),$B$84,""))))</f>
        <v>Após 1988</v>
      </c>
      <c r="D93" s="41" t="s">
        <v>366</v>
      </c>
      <c r="E93" s="41">
        <v>26020</v>
      </c>
      <c r="F93" s="41"/>
      <c r="G93" s="71">
        <v>44197</v>
      </c>
      <c r="H93" s="41"/>
      <c r="I93" s="42">
        <v>45337</v>
      </c>
      <c r="J93" s="41" t="s">
        <v>176</v>
      </c>
      <c r="K93" s="41">
        <v>0</v>
      </c>
      <c r="L93" s="43" t="s">
        <v>564</v>
      </c>
    </row>
    <row r="94" spans="2:12" hidden="1" outlineLevel="1">
      <c r="B94" s="46">
        <f t="shared" ref="B94:B157" si="11">IF(C94="","",B93+1)</f>
        <v>3</v>
      </c>
      <c r="C94" s="41" t="str">
        <f t="shared" si="10"/>
        <v>Após 1988</v>
      </c>
      <c r="D94" s="41" t="s">
        <v>366</v>
      </c>
      <c r="E94" s="41">
        <v>27858</v>
      </c>
      <c r="F94" s="41"/>
      <c r="G94" s="71">
        <v>44562</v>
      </c>
      <c r="H94" s="41"/>
      <c r="I94" s="42">
        <v>45337</v>
      </c>
      <c r="J94" s="41" t="s">
        <v>176</v>
      </c>
      <c r="K94" s="41">
        <v>0</v>
      </c>
      <c r="L94" s="43" t="s">
        <v>565</v>
      </c>
    </row>
    <row r="95" spans="2:12" hidden="1" outlineLevel="1">
      <c r="B95" s="46">
        <f t="shared" si="11"/>
        <v>4</v>
      </c>
      <c r="C95" s="41" t="str">
        <f t="shared" si="10"/>
        <v>Após 1988</v>
      </c>
      <c r="D95" s="41" t="s">
        <v>366</v>
      </c>
      <c r="E95" s="41">
        <v>27859</v>
      </c>
      <c r="F95" s="41"/>
      <c r="G95" s="71">
        <v>44562</v>
      </c>
      <c r="H95" s="41"/>
      <c r="I95" s="42">
        <v>45337</v>
      </c>
      <c r="J95" s="41" t="s">
        <v>176</v>
      </c>
      <c r="K95" s="41">
        <v>0</v>
      </c>
      <c r="L95" s="43" t="s">
        <v>566</v>
      </c>
    </row>
    <row r="96" spans="2:12" hidden="1" outlineLevel="1">
      <c r="B96" s="46">
        <f t="shared" si="11"/>
        <v>5</v>
      </c>
      <c r="C96" s="41" t="str">
        <f t="shared" si="10"/>
        <v>Após 1988</v>
      </c>
      <c r="D96" s="41" t="s">
        <v>366</v>
      </c>
      <c r="E96" s="41" t="s">
        <v>567</v>
      </c>
      <c r="F96" s="41"/>
      <c r="G96" s="71">
        <v>36892</v>
      </c>
      <c r="H96" s="41"/>
      <c r="I96" s="42">
        <v>45377</v>
      </c>
      <c r="J96" s="41" t="s">
        <v>176</v>
      </c>
      <c r="K96" s="41">
        <v>25.8</v>
      </c>
      <c r="L96" s="43" t="s">
        <v>568</v>
      </c>
    </row>
    <row r="97" spans="2:12" hidden="1" outlineLevel="1">
      <c r="B97" s="46">
        <f t="shared" si="11"/>
        <v>6</v>
      </c>
      <c r="C97" s="41" t="str">
        <f t="shared" si="10"/>
        <v>Após 1988</v>
      </c>
      <c r="D97" s="41" t="s">
        <v>366</v>
      </c>
      <c r="E97" s="41" t="s">
        <v>376</v>
      </c>
      <c r="F97" s="41"/>
      <c r="G97" s="71">
        <v>41640</v>
      </c>
      <c r="H97" s="41"/>
      <c r="I97" s="42">
        <v>45337</v>
      </c>
      <c r="J97" s="41" t="s">
        <v>176</v>
      </c>
      <c r="K97" s="41">
        <v>0</v>
      </c>
      <c r="L97" s="43" t="s">
        <v>569</v>
      </c>
    </row>
    <row r="98" spans="2:12" hidden="1" outlineLevel="1">
      <c r="B98" s="46">
        <f t="shared" si="11"/>
        <v>7</v>
      </c>
      <c r="C98" s="41" t="str">
        <f t="shared" si="10"/>
        <v>Após 1988</v>
      </c>
      <c r="D98" s="41" t="s">
        <v>366</v>
      </c>
      <c r="E98" s="41" t="s">
        <v>377</v>
      </c>
      <c r="F98" s="41"/>
      <c r="G98" s="71">
        <v>41640</v>
      </c>
      <c r="H98" s="41"/>
      <c r="I98" s="42">
        <v>45337</v>
      </c>
      <c r="J98" s="41" t="s">
        <v>176</v>
      </c>
      <c r="K98" s="41">
        <v>0</v>
      </c>
      <c r="L98" s="43" t="s">
        <v>570</v>
      </c>
    </row>
    <row r="99" spans="2:12" hidden="1" outlineLevel="1">
      <c r="B99" s="46">
        <f t="shared" si="11"/>
        <v>8</v>
      </c>
      <c r="C99" s="41" t="str">
        <f t="shared" si="10"/>
        <v>Após 1988</v>
      </c>
      <c r="D99" s="41" t="s">
        <v>366</v>
      </c>
      <c r="E99" s="41">
        <v>23739</v>
      </c>
      <c r="F99" s="41"/>
      <c r="G99" s="71">
        <v>44197</v>
      </c>
      <c r="H99" s="41"/>
      <c r="I99" s="42">
        <v>45338</v>
      </c>
      <c r="J99" s="41" t="s">
        <v>176</v>
      </c>
      <c r="K99" s="41">
        <v>0</v>
      </c>
      <c r="L99" s="65" t="s">
        <v>571</v>
      </c>
    </row>
    <row r="100" spans="2:12" hidden="1" outlineLevel="1">
      <c r="B100" s="46" t="str">
        <f t="shared" si="11"/>
        <v/>
      </c>
      <c r="C100" s="41" t="str">
        <f t="shared" si="10"/>
        <v/>
      </c>
      <c r="D100" s="41" t="s">
        <v>366</v>
      </c>
      <c r="E100" s="41">
        <v>23740</v>
      </c>
      <c r="F100" s="41"/>
      <c r="G100" s="71"/>
      <c r="H100" s="41"/>
      <c r="I100" s="42"/>
      <c r="J100" s="41"/>
      <c r="K100" s="41"/>
      <c r="L100" s="43"/>
    </row>
    <row r="101" spans="2:12" hidden="1" outlineLevel="1">
      <c r="B101" s="46" t="str">
        <f t="shared" si="11"/>
        <v/>
      </c>
      <c r="C101" s="41" t="str">
        <f t="shared" si="10"/>
        <v/>
      </c>
      <c r="D101" s="41" t="s">
        <v>366</v>
      </c>
      <c r="E101" s="41">
        <v>23741</v>
      </c>
      <c r="F101" s="41"/>
      <c r="G101" s="71"/>
      <c r="H101" s="41"/>
      <c r="I101" s="42"/>
      <c r="J101" s="41"/>
      <c r="K101" s="41"/>
      <c r="L101" s="43"/>
    </row>
    <row r="102" spans="2:12" hidden="1" outlineLevel="1">
      <c r="B102" s="46" t="str">
        <f t="shared" si="11"/>
        <v/>
      </c>
      <c r="C102" s="41" t="str">
        <f t="shared" si="10"/>
        <v/>
      </c>
      <c r="D102" s="41" t="s">
        <v>366</v>
      </c>
      <c r="E102" s="41">
        <v>21265</v>
      </c>
      <c r="F102" s="41"/>
      <c r="G102" s="71"/>
      <c r="H102" s="41"/>
      <c r="I102" s="42"/>
      <c r="J102" s="41"/>
      <c r="K102" s="41"/>
      <c r="L102" s="43"/>
    </row>
    <row r="103" spans="2:12" hidden="1" outlineLevel="1">
      <c r="B103" s="46" t="str">
        <f t="shared" si="11"/>
        <v/>
      </c>
      <c r="C103" s="41" t="str">
        <f t="shared" si="10"/>
        <v/>
      </c>
      <c r="D103" s="41" t="s">
        <v>366</v>
      </c>
      <c r="E103" s="41">
        <v>21266</v>
      </c>
      <c r="F103" s="41"/>
      <c r="G103" s="71"/>
      <c r="H103" s="41"/>
      <c r="I103" s="42"/>
      <c r="J103" s="41"/>
      <c r="K103" s="41"/>
      <c r="L103" s="43"/>
    </row>
    <row r="104" spans="2:12" hidden="1" outlineLevel="1">
      <c r="B104" s="46" t="str">
        <f t="shared" si="11"/>
        <v/>
      </c>
      <c r="C104" s="41" t="str">
        <f t="shared" si="10"/>
        <v/>
      </c>
      <c r="D104" s="41" t="s">
        <v>366</v>
      </c>
      <c r="E104" s="41">
        <v>21267</v>
      </c>
      <c r="F104" s="41"/>
      <c r="G104" s="71"/>
      <c r="H104" s="41"/>
      <c r="I104" s="42"/>
      <c r="J104" s="41"/>
      <c r="K104" s="41"/>
      <c r="L104" s="43"/>
    </row>
    <row r="105" spans="2:12" hidden="1" outlineLevel="1">
      <c r="B105" s="46" t="str">
        <f t="shared" si="11"/>
        <v/>
      </c>
      <c r="C105" s="41" t="str">
        <f t="shared" si="10"/>
        <v/>
      </c>
      <c r="D105" s="41" t="s">
        <v>366</v>
      </c>
      <c r="E105" s="58">
        <v>80000600000000</v>
      </c>
      <c r="F105" s="41"/>
      <c r="G105" s="71"/>
      <c r="H105" s="41"/>
      <c r="I105" s="42"/>
      <c r="J105" s="41"/>
      <c r="K105" s="41"/>
      <c r="L105" s="43"/>
    </row>
    <row r="106" spans="2:12" hidden="1" outlineLevel="1">
      <c r="B106" s="46" t="str">
        <f t="shared" si="11"/>
        <v/>
      </c>
      <c r="C106" s="41" t="str">
        <f t="shared" si="10"/>
        <v/>
      </c>
      <c r="D106" s="41" t="s">
        <v>366</v>
      </c>
      <c r="E106" s="58">
        <v>80000600000000</v>
      </c>
      <c r="F106" s="41"/>
      <c r="G106" s="71"/>
      <c r="H106" s="41"/>
      <c r="I106" s="42"/>
      <c r="J106" s="41"/>
      <c r="K106" s="41"/>
      <c r="L106" s="43"/>
    </row>
    <row r="107" spans="2:12" hidden="1" outlineLevel="1">
      <c r="B107" s="46" t="str">
        <f t="shared" si="11"/>
        <v/>
      </c>
      <c r="C107" s="41" t="str">
        <f t="shared" si="10"/>
        <v/>
      </c>
      <c r="D107" s="41" t="s">
        <v>366</v>
      </c>
      <c r="E107" s="58">
        <v>80000600000000</v>
      </c>
      <c r="F107" s="41"/>
      <c r="G107" s="71"/>
      <c r="H107" s="41"/>
      <c r="I107" s="42"/>
      <c r="J107" s="41"/>
      <c r="K107" s="41"/>
      <c r="L107" s="43"/>
    </row>
    <row r="108" spans="2:12" hidden="1" outlineLevel="1">
      <c r="B108" s="46" t="str">
        <f t="shared" si="11"/>
        <v/>
      </c>
      <c r="C108" s="41" t="str">
        <f t="shared" si="10"/>
        <v/>
      </c>
      <c r="D108" s="41" t="s">
        <v>366</v>
      </c>
      <c r="E108" s="41" t="s">
        <v>572</v>
      </c>
      <c r="F108" s="41"/>
      <c r="G108" s="71"/>
      <c r="H108" s="41"/>
      <c r="I108" s="42"/>
      <c r="J108" s="41"/>
      <c r="K108" s="41"/>
      <c r="L108" s="43"/>
    </row>
    <row r="109" spans="2:12" hidden="1" outlineLevel="1">
      <c r="B109" s="46" t="str">
        <f t="shared" si="11"/>
        <v/>
      </c>
      <c r="C109" s="41" t="str">
        <f t="shared" si="10"/>
        <v/>
      </c>
      <c r="D109" s="41" t="s">
        <v>366</v>
      </c>
      <c r="E109" s="41" t="s">
        <v>573</v>
      </c>
      <c r="F109" s="41"/>
      <c r="G109" s="71"/>
      <c r="H109" s="41"/>
      <c r="I109" s="42"/>
      <c r="J109" s="41"/>
      <c r="K109" s="41"/>
      <c r="L109" s="43"/>
    </row>
    <row r="110" spans="2:12" hidden="1" outlineLevel="1">
      <c r="B110" s="46" t="str">
        <f t="shared" si="11"/>
        <v/>
      </c>
      <c r="C110" s="41" t="str">
        <f t="shared" si="10"/>
        <v/>
      </c>
      <c r="D110" s="41" t="s">
        <v>366</v>
      </c>
      <c r="E110" s="41" t="s">
        <v>574</v>
      </c>
      <c r="F110" s="41"/>
      <c r="G110" s="71"/>
      <c r="H110" s="41"/>
      <c r="I110" s="42"/>
      <c r="J110" s="41"/>
      <c r="K110" s="41"/>
      <c r="L110" s="43"/>
    </row>
    <row r="111" spans="2:12" hidden="1" outlineLevel="1">
      <c r="B111" s="46" t="str">
        <f t="shared" si="11"/>
        <v/>
      </c>
      <c r="C111" s="41" t="str">
        <f t="shared" si="10"/>
        <v/>
      </c>
      <c r="D111" s="41" t="s">
        <v>366</v>
      </c>
      <c r="E111" s="41" t="s">
        <v>575</v>
      </c>
      <c r="F111" s="41"/>
      <c r="G111" s="71"/>
      <c r="H111" s="41"/>
      <c r="I111" s="42"/>
      <c r="J111" s="41"/>
      <c r="K111" s="41"/>
      <c r="L111" s="43"/>
    </row>
    <row r="112" spans="2:12" hidden="1" outlineLevel="1">
      <c r="B112" s="46" t="str">
        <f t="shared" si="11"/>
        <v/>
      </c>
      <c r="C112" s="41" t="str">
        <f t="shared" si="10"/>
        <v/>
      </c>
      <c r="D112" s="41" t="s">
        <v>366</v>
      </c>
      <c r="E112" s="41" t="s">
        <v>576</v>
      </c>
      <c r="F112" s="41"/>
      <c r="G112" s="71"/>
      <c r="H112" s="41"/>
      <c r="I112" s="42"/>
      <c r="J112" s="41"/>
      <c r="K112" s="41"/>
      <c r="L112" s="43"/>
    </row>
    <row r="113" spans="2:12" hidden="1" outlineLevel="1">
      <c r="B113" s="46" t="str">
        <f t="shared" si="11"/>
        <v/>
      </c>
      <c r="C113" s="41" t="str">
        <f t="shared" si="10"/>
        <v/>
      </c>
      <c r="D113" s="41" t="s">
        <v>366</v>
      </c>
      <c r="E113" s="41" t="s">
        <v>577</v>
      </c>
      <c r="F113" s="41"/>
      <c r="G113" s="71"/>
      <c r="H113" s="41"/>
      <c r="I113" s="42"/>
      <c r="J113" s="41"/>
      <c r="K113" s="41"/>
      <c r="L113" s="43"/>
    </row>
    <row r="114" spans="2:12" hidden="1" outlineLevel="1">
      <c r="B114" s="46" t="str">
        <f t="shared" si="11"/>
        <v/>
      </c>
      <c r="C114" s="41" t="str">
        <f t="shared" si="10"/>
        <v/>
      </c>
      <c r="D114" s="41" t="s">
        <v>366</v>
      </c>
      <c r="E114" s="41" t="s">
        <v>578</v>
      </c>
      <c r="F114" s="41"/>
      <c r="G114" s="71"/>
      <c r="H114" s="41"/>
      <c r="I114" s="42"/>
      <c r="J114" s="41"/>
      <c r="K114" s="41"/>
      <c r="L114" s="43"/>
    </row>
    <row r="115" spans="2:12" hidden="1" outlineLevel="1">
      <c r="B115" s="46" t="str">
        <f t="shared" si="11"/>
        <v/>
      </c>
      <c r="C115" s="41" t="str">
        <f t="shared" si="10"/>
        <v/>
      </c>
      <c r="D115" s="41" t="s">
        <v>366</v>
      </c>
      <c r="E115" s="41" t="s">
        <v>579</v>
      </c>
      <c r="F115" s="41"/>
      <c r="G115" s="71"/>
      <c r="H115" s="41"/>
      <c r="I115" s="42"/>
      <c r="J115" s="41"/>
      <c r="K115" s="41"/>
      <c r="L115" s="43"/>
    </row>
    <row r="116" spans="2:12" hidden="1" outlineLevel="1">
      <c r="B116" s="46" t="str">
        <f t="shared" si="11"/>
        <v/>
      </c>
      <c r="C116" s="41" t="str">
        <f t="shared" si="10"/>
        <v/>
      </c>
      <c r="D116" s="41" t="s">
        <v>366</v>
      </c>
      <c r="E116" s="41" t="s">
        <v>580</v>
      </c>
      <c r="F116" s="41"/>
      <c r="G116" s="71"/>
      <c r="H116" s="41"/>
      <c r="I116" s="42"/>
      <c r="J116" s="41"/>
      <c r="K116" s="41"/>
      <c r="L116" s="43"/>
    </row>
    <row r="117" spans="2:12" hidden="1" outlineLevel="1">
      <c r="B117" s="46" t="str">
        <f t="shared" si="11"/>
        <v/>
      </c>
      <c r="C117" s="41" t="str">
        <f t="shared" si="10"/>
        <v/>
      </c>
      <c r="D117" s="41" t="s">
        <v>366</v>
      </c>
      <c r="E117" s="41" t="s">
        <v>581</v>
      </c>
      <c r="F117" s="41"/>
      <c r="G117" s="71"/>
      <c r="H117" s="41"/>
      <c r="I117" s="42"/>
      <c r="J117" s="41"/>
      <c r="K117" s="41"/>
      <c r="L117" s="43"/>
    </row>
    <row r="118" spans="2:12" hidden="1" outlineLevel="1">
      <c r="B118" s="46" t="str">
        <f t="shared" si="11"/>
        <v/>
      </c>
      <c r="C118" s="41" t="str">
        <f t="shared" si="10"/>
        <v/>
      </c>
      <c r="D118" s="41" t="s">
        <v>366</v>
      </c>
      <c r="E118" s="41" t="s">
        <v>582</v>
      </c>
      <c r="F118" s="41"/>
      <c r="G118" s="71"/>
      <c r="H118" s="41"/>
      <c r="I118" s="42"/>
      <c r="J118" s="41"/>
      <c r="K118" s="41"/>
      <c r="L118" s="43"/>
    </row>
    <row r="119" spans="2:12" hidden="1" outlineLevel="1">
      <c r="B119" s="46" t="str">
        <f t="shared" si="11"/>
        <v/>
      </c>
      <c r="C119" s="41" t="str">
        <f t="shared" si="10"/>
        <v/>
      </c>
      <c r="D119" s="41" t="s">
        <v>366</v>
      </c>
      <c r="E119" s="41" t="s">
        <v>583</v>
      </c>
      <c r="F119" s="41"/>
      <c r="G119" s="71"/>
      <c r="H119" s="41"/>
      <c r="I119" s="42"/>
      <c r="J119" s="41"/>
      <c r="K119" s="41"/>
      <c r="L119" s="43"/>
    </row>
    <row r="120" spans="2:12" hidden="1" outlineLevel="1">
      <c r="B120" s="46" t="str">
        <f t="shared" si="11"/>
        <v/>
      </c>
      <c r="C120" s="41" t="str">
        <f t="shared" si="10"/>
        <v/>
      </c>
      <c r="D120" s="41" t="s">
        <v>366</v>
      </c>
      <c r="E120" s="41" t="s">
        <v>584</v>
      </c>
      <c r="F120" s="41"/>
      <c r="G120" s="71"/>
      <c r="H120" s="41"/>
      <c r="I120" s="42"/>
      <c r="J120" s="41"/>
      <c r="K120" s="41"/>
      <c r="L120" s="43"/>
    </row>
    <row r="121" spans="2:12" hidden="1" outlineLevel="1">
      <c r="B121" s="46" t="str">
        <f t="shared" si="11"/>
        <v/>
      </c>
      <c r="C121" s="41" t="str">
        <f t="shared" si="10"/>
        <v/>
      </c>
      <c r="D121" s="41" t="s">
        <v>366</v>
      </c>
      <c r="E121" s="41" t="s">
        <v>585</v>
      </c>
      <c r="F121" s="41"/>
      <c r="G121" s="71"/>
      <c r="H121" s="41"/>
      <c r="I121" s="42"/>
      <c r="J121" s="41"/>
      <c r="K121" s="41"/>
      <c r="L121" s="43"/>
    </row>
    <row r="122" spans="2:12" hidden="1" outlineLevel="1">
      <c r="B122" s="46" t="str">
        <f t="shared" si="11"/>
        <v/>
      </c>
      <c r="C122" s="41" t="str">
        <f t="shared" si="10"/>
        <v/>
      </c>
      <c r="D122" s="41" t="s">
        <v>366</v>
      </c>
      <c r="E122" s="41" t="s">
        <v>586</v>
      </c>
      <c r="F122" s="41"/>
      <c r="G122" s="71"/>
      <c r="H122" s="41"/>
      <c r="I122" s="42"/>
      <c r="J122" s="41"/>
      <c r="K122" s="41"/>
      <c r="L122" s="43"/>
    </row>
    <row r="123" spans="2:12" hidden="1" outlineLevel="1">
      <c r="B123" s="46" t="str">
        <f>IF(C123="","",B122+1)</f>
        <v/>
      </c>
      <c r="C123" s="41" t="str">
        <f t="shared" si="10"/>
        <v/>
      </c>
      <c r="D123" s="41" t="s">
        <v>366</v>
      </c>
      <c r="E123" s="41" t="s">
        <v>587</v>
      </c>
      <c r="F123" s="41"/>
      <c r="G123" s="71"/>
      <c r="H123" s="41"/>
      <c r="I123" s="42"/>
      <c r="J123" s="41"/>
      <c r="K123" s="41"/>
      <c r="L123" s="43"/>
    </row>
    <row r="124" spans="2:12" hidden="1" outlineLevel="1">
      <c r="B124" s="46" t="str">
        <f t="shared" si="11"/>
        <v/>
      </c>
      <c r="C124" s="41" t="str">
        <f t="shared" si="10"/>
        <v/>
      </c>
      <c r="D124" s="41" t="s">
        <v>366</v>
      </c>
      <c r="E124" s="41" t="s">
        <v>588</v>
      </c>
      <c r="F124" s="41"/>
      <c r="G124" s="71"/>
      <c r="H124" s="41"/>
      <c r="I124" s="42"/>
      <c r="J124" s="41"/>
      <c r="K124" s="41"/>
      <c r="L124" s="43"/>
    </row>
    <row r="125" spans="2:12" hidden="1" outlineLevel="1">
      <c r="B125" s="46" t="str">
        <f t="shared" si="11"/>
        <v/>
      </c>
      <c r="C125" s="41" t="str">
        <f t="shared" si="10"/>
        <v/>
      </c>
      <c r="D125" s="41" t="s">
        <v>366</v>
      </c>
      <c r="E125" s="41" t="s">
        <v>589</v>
      </c>
      <c r="F125" s="41"/>
      <c r="G125" s="71"/>
      <c r="H125" s="41"/>
      <c r="I125" s="42"/>
      <c r="J125" s="41"/>
      <c r="K125" s="41"/>
      <c r="L125" s="43"/>
    </row>
    <row r="126" spans="2:12" hidden="1" outlineLevel="1">
      <c r="B126" s="46" t="str">
        <f t="shared" si="11"/>
        <v/>
      </c>
      <c r="C126" s="41" t="str">
        <f t="shared" si="10"/>
        <v/>
      </c>
      <c r="D126" s="41" t="s">
        <v>366</v>
      </c>
      <c r="E126" s="41" t="s">
        <v>590</v>
      </c>
      <c r="F126" s="41"/>
      <c r="G126" s="71"/>
      <c r="H126" s="41"/>
      <c r="I126" s="42"/>
      <c r="J126" s="41"/>
      <c r="K126" s="41"/>
      <c r="L126" s="43"/>
    </row>
    <row r="127" spans="2:12" hidden="1" outlineLevel="1">
      <c r="B127" s="46" t="str">
        <f t="shared" si="11"/>
        <v/>
      </c>
      <c r="C127" s="41" t="str">
        <f t="shared" si="10"/>
        <v/>
      </c>
      <c r="D127" s="41" t="s">
        <v>366</v>
      </c>
      <c r="E127" s="41" t="s">
        <v>591</v>
      </c>
      <c r="F127" s="41"/>
      <c r="G127" s="71"/>
      <c r="H127" s="41"/>
      <c r="I127" s="42"/>
      <c r="J127" s="41"/>
      <c r="K127" s="41"/>
      <c r="L127" s="43"/>
    </row>
    <row r="128" spans="2:12" hidden="1" outlineLevel="1">
      <c r="B128" s="46" t="str">
        <f t="shared" si="11"/>
        <v/>
      </c>
      <c r="C128" s="41" t="str">
        <f t="shared" si="10"/>
        <v/>
      </c>
      <c r="D128" s="41" t="s">
        <v>366</v>
      </c>
      <c r="E128" s="41" t="s">
        <v>592</v>
      </c>
      <c r="F128" s="41"/>
      <c r="G128" s="71"/>
      <c r="H128" s="41"/>
      <c r="I128" s="42"/>
      <c r="J128" s="41"/>
      <c r="K128" s="41"/>
      <c r="L128" s="43"/>
    </row>
    <row r="129" spans="2:12" hidden="1" outlineLevel="1">
      <c r="B129" s="46" t="str">
        <f t="shared" si="11"/>
        <v/>
      </c>
      <c r="C129" s="41" t="str">
        <f t="shared" si="10"/>
        <v/>
      </c>
      <c r="D129" s="41" t="s">
        <v>366</v>
      </c>
      <c r="E129" s="41" t="s">
        <v>593</v>
      </c>
      <c r="F129" s="41"/>
      <c r="G129" s="71"/>
      <c r="H129" s="41"/>
      <c r="I129" s="42"/>
      <c r="J129" s="41"/>
      <c r="K129" s="41"/>
      <c r="L129" s="43"/>
    </row>
    <row r="130" spans="2:12" hidden="1" outlineLevel="1">
      <c r="B130" s="46" t="str">
        <f t="shared" si="11"/>
        <v/>
      </c>
      <c r="C130" s="41" t="str">
        <f t="shared" si="10"/>
        <v/>
      </c>
      <c r="D130" s="41" t="s">
        <v>366</v>
      </c>
      <c r="E130" s="41">
        <v>14579</v>
      </c>
      <c r="F130" s="41"/>
      <c r="G130" s="71"/>
      <c r="H130" s="41"/>
      <c r="I130" s="42"/>
      <c r="J130" s="41"/>
      <c r="K130" s="41"/>
      <c r="L130" s="43"/>
    </row>
    <row r="131" spans="2:12" hidden="1" outlineLevel="1">
      <c r="B131" s="46" t="str">
        <f t="shared" si="11"/>
        <v/>
      </c>
      <c r="C131" s="41" t="str">
        <f t="shared" si="10"/>
        <v/>
      </c>
      <c r="D131" s="41" t="s">
        <v>366</v>
      </c>
      <c r="E131" s="41" t="s">
        <v>594</v>
      </c>
      <c r="F131" s="41"/>
      <c r="G131" s="71"/>
      <c r="H131" s="41"/>
      <c r="I131" s="42"/>
      <c r="J131" s="41"/>
      <c r="K131" s="41"/>
      <c r="L131" s="43"/>
    </row>
    <row r="132" spans="2:12" hidden="1" outlineLevel="1">
      <c r="B132" s="46" t="str">
        <f t="shared" si="11"/>
        <v/>
      </c>
      <c r="C132" s="41" t="str">
        <f t="shared" si="10"/>
        <v/>
      </c>
      <c r="D132" s="41" t="s">
        <v>366</v>
      </c>
      <c r="E132" s="41" t="s">
        <v>595</v>
      </c>
      <c r="F132" s="41"/>
      <c r="G132" s="71"/>
      <c r="H132" s="41"/>
      <c r="I132" s="42"/>
      <c r="J132" s="41"/>
      <c r="K132" s="41"/>
      <c r="L132" s="43"/>
    </row>
    <row r="133" spans="2:12" hidden="1" outlineLevel="1">
      <c r="B133" s="46" t="str">
        <f t="shared" si="11"/>
        <v/>
      </c>
      <c r="C133" s="41" t="str">
        <f t="shared" si="10"/>
        <v/>
      </c>
      <c r="D133" s="41" t="s">
        <v>366</v>
      </c>
      <c r="E133" s="41" t="s">
        <v>596</v>
      </c>
      <c r="F133" s="41"/>
      <c r="G133" s="71"/>
      <c r="H133" s="41"/>
      <c r="I133" s="42"/>
      <c r="J133" s="41"/>
      <c r="K133" s="41"/>
      <c r="L133" s="43"/>
    </row>
    <row r="134" spans="2:12" hidden="1" outlineLevel="1">
      <c r="B134" s="46" t="str">
        <f t="shared" si="11"/>
        <v/>
      </c>
      <c r="C134" s="41" t="str">
        <f t="shared" si="10"/>
        <v/>
      </c>
      <c r="D134" s="41" t="s">
        <v>366</v>
      </c>
      <c r="E134" s="41" t="s">
        <v>597</v>
      </c>
      <c r="F134" s="41"/>
      <c r="G134" s="71"/>
      <c r="H134" s="41"/>
      <c r="I134" s="42"/>
      <c r="J134" s="41"/>
      <c r="K134" s="41"/>
      <c r="L134" s="43"/>
    </row>
    <row r="135" spans="2:12" hidden="1" outlineLevel="1">
      <c r="B135" s="46" t="str">
        <f t="shared" si="11"/>
        <v/>
      </c>
      <c r="C135" s="41" t="str">
        <f t="shared" si="10"/>
        <v/>
      </c>
      <c r="D135" s="41" t="s">
        <v>366</v>
      </c>
      <c r="E135" s="41" t="s">
        <v>598</v>
      </c>
      <c r="F135" s="41"/>
      <c r="G135" s="71"/>
      <c r="H135" s="41"/>
      <c r="I135" s="42"/>
      <c r="J135" s="41"/>
      <c r="K135" s="41"/>
      <c r="L135" s="43"/>
    </row>
    <row r="136" spans="2:12" hidden="1" outlineLevel="1">
      <c r="B136" s="46" t="str">
        <f t="shared" si="11"/>
        <v/>
      </c>
      <c r="C136" s="41" t="str">
        <f t="shared" si="10"/>
        <v/>
      </c>
      <c r="D136" s="41" t="s">
        <v>366</v>
      </c>
      <c r="E136" s="41" t="s">
        <v>599</v>
      </c>
      <c r="F136" s="41"/>
      <c r="G136" s="71"/>
      <c r="H136" s="41"/>
      <c r="I136" s="42"/>
      <c r="J136" s="41"/>
      <c r="K136" s="41"/>
      <c r="L136" s="43"/>
    </row>
    <row r="137" spans="2:12" hidden="1" outlineLevel="1">
      <c r="B137" s="46" t="str">
        <f t="shared" si="11"/>
        <v/>
      </c>
      <c r="C137" s="41" t="str">
        <f t="shared" si="10"/>
        <v/>
      </c>
      <c r="D137" s="41" t="s">
        <v>366</v>
      </c>
      <c r="E137" s="41" t="s">
        <v>600</v>
      </c>
      <c r="F137" s="41"/>
      <c r="G137" s="71"/>
      <c r="H137" s="41"/>
      <c r="I137" s="42"/>
      <c r="J137" s="41"/>
      <c r="K137" s="41"/>
      <c r="L137" s="43"/>
    </row>
    <row r="138" spans="2:12" hidden="1" outlineLevel="1">
      <c r="B138" s="46" t="str">
        <f t="shared" si="11"/>
        <v/>
      </c>
      <c r="C138" s="41" t="str">
        <f t="shared" si="10"/>
        <v/>
      </c>
      <c r="D138" s="41" t="s">
        <v>366</v>
      </c>
      <c r="E138" s="41" t="s">
        <v>601</v>
      </c>
      <c r="F138" s="41"/>
      <c r="G138" s="71"/>
      <c r="H138" s="41"/>
      <c r="I138" s="42"/>
      <c r="J138" s="41"/>
      <c r="K138" s="41"/>
      <c r="L138" s="43"/>
    </row>
    <row r="139" spans="2:12" hidden="1" outlineLevel="1">
      <c r="B139" s="46" t="str">
        <f>IF(C139="","",B138+1)</f>
        <v/>
      </c>
      <c r="C139" s="41" t="str">
        <f t="shared" si="10"/>
        <v/>
      </c>
      <c r="D139" s="41" t="s">
        <v>366</v>
      </c>
      <c r="E139" s="41" t="s">
        <v>602</v>
      </c>
      <c r="F139" s="41"/>
      <c r="G139" s="71"/>
      <c r="H139" s="41"/>
      <c r="I139" s="42"/>
      <c r="J139" s="41"/>
      <c r="K139" s="41"/>
      <c r="L139" s="43"/>
    </row>
    <row r="140" spans="2:12" hidden="1" outlineLevel="1">
      <c r="B140" s="46" t="str">
        <f t="shared" si="11"/>
        <v/>
      </c>
      <c r="C140" s="41" t="str">
        <f t="shared" si="10"/>
        <v/>
      </c>
      <c r="D140" s="41" t="s">
        <v>366</v>
      </c>
      <c r="E140" s="41" t="s">
        <v>603</v>
      </c>
      <c r="F140" s="41"/>
      <c r="G140" s="71"/>
      <c r="H140" s="41"/>
      <c r="I140" s="42"/>
      <c r="J140" s="41"/>
      <c r="K140" s="41"/>
      <c r="L140" s="43"/>
    </row>
    <row r="141" spans="2:12" hidden="1" outlineLevel="1">
      <c r="B141" s="46" t="str">
        <f t="shared" si="11"/>
        <v/>
      </c>
      <c r="C141" s="41" t="str">
        <f t="shared" si="10"/>
        <v/>
      </c>
      <c r="D141" s="41" t="s">
        <v>366</v>
      </c>
      <c r="E141" s="41" t="s">
        <v>604</v>
      </c>
      <c r="F141" s="41"/>
      <c r="G141" s="71"/>
      <c r="H141" s="41"/>
      <c r="I141" s="42"/>
      <c r="J141" s="41"/>
      <c r="K141" s="41"/>
      <c r="L141" s="43"/>
    </row>
    <row r="142" spans="2:12" hidden="1" outlineLevel="1">
      <c r="B142" s="46" t="str">
        <f t="shared" si="11"/>
        <v/>
      </c>
      <c r="C142" s="41" t="str">
        <f t="shared" si="10"/>
        <v/>
      </c>
      <c r="D142" s="41" t="s">
        <v>366</v>
      </c>
      <c r="E142" s="41" t="s">
        <v>605</v>
      </c>
      <c r="F142" s="41"/>
      <c r="G142" s="71"/>
      <c r="H142" s="41"/>
      <c r="I142" s="42"/>
      <c r="J142" s="41"/>
      <c r="K142" s="41"/>
      <c r="L142" s="43"/>
    </row>
    <row r="143" spans="2:12" hidden="1" outlineLevel="1">
      <c r="B143" s="46" t="str">
        <f t="shared" si="11"/>
        <v/>
      </c>
      <c r="C143" s="41" t="str">
        <f t="shared" si="10"/>
        <v/>
      </c>
      <c r="D143" s="41" t="s">
        <v>366</v>
      </c>
      <c r="E143" s="41" t="s">
        <v>606</v>
      </c>
      <c r="F143" s="41"/>
      <c r="G143" s="71"/>
      <c r="H143" s="41"/>
      <c r="I143" s="42"/>
      <c r="J143" s="41"/>
      <c r="K143" s="41"/>
      <c r="L143" s="43"/>
    </row>
    <row r="144" spans="2:12" hidden="1" outlineLevel="1">
      <c r="B144" s="46" t="str">
        <f t="shared" si="11"/>
        <v/>
      </c>
      <c r="C144" s="41" t="str">
        <f t="shared" si="10"/>
        <v/>
      </c>
      <c r="D144" s="41" t="s">
        <v>366</v>
      </c>
      <c r="E144" s="41" t="s">
        <v>607</v>
      </c>
      <c r="F144" s="41"/>
      <c r="G144" s="71"/>
      <c r="H144" s="41"/>
      <c r="I144" s="42"/>
      <c r="J144" s="41"/>
      <c r="K144" s="41"/>
      <c r="L144" s="43"/>
    </row>
    <row r="145" spans="2:12" hidden="1" outlineLevel="1">
      <c r="B145" s="46" t="str">
        <f t="shared" si="11"/>
        <v/>
      </c>
      <c r="C145" s="41" t="str">
        <f t="shared" si="10"/>
        <v/>
      </c>
      <c r="D145" s="41" t="s">
        <v>366</v>
      </c>
      <c r="E145" s="41" t="s">
        <v>608</v>
      </c>
      <c r="F145" s="41"/>
      <c r="G145" s="71"/>
      <c r="H145" s="41"/>
      <c r="I145" s="42"/>
      <c r="J145" s="41"/>
      <c r="K145" s="41"/>
      <c r="L145" s="43"/>
    </row>
    <row r="146" spans="2:12" hidden="1" outlineLevel="1">
      <c r="B146" s="46" t="str">
        <f t="shared" si="11"/>
        <v/>
      </c>
      <c r="C146" s="41" t="str">
        <f t="shared" si="10"/>
        <v/>
      </c>
      <c r="D146" s="41" t="s">
        <v>366</v>
      </c>
      <c r="E146" s="41" t="s">
        <v>609</v>
      </c>
      <c r="F146" s="41"/>
      <c r="G146" s="71"/>
      <c r="H146" s="41"/>
      <c r="I146" s="42"/>
      <c r="J146" s="41"/>
      <c r="K146" s="41"/>
      <c r="L146" s="43"/>
    </row>
    <row r="147" spans="2:12" hidden="1" outlineLevel="1">
      <c r="B147" s="46" t="str">
        <f t="shared" si="11"/>
        <v/>
      </c>
      <c r="C147" s="41" t="str">
        <f t="shared" si="10"/>
        <v/>
      </c>
      <c r="D147" s="41" t="s">
        <v>366</v>
      </c>
      <c r="E147" s="41" t="s">
        <v>610</v>
      </c>
      <c r="F147" s="41"/>
      <c r="G147" s="71"/>
      <c r="H147" s="41"/>
      <c r="I147" s="42"/>
      <c r="J147" s="41"/>
      <c r="K147" s="41"/>
      <c r="L147" s="43"/>
    </row>
    <row r="148" spans="2:12" hidden="1" outlineLevel="1">
      <c r="B148" s="46" t="str">
        <f t="shared" si="11"/>
        <v/>
      </c>
      <c r="C148" s="41" t="str">
        <f t="shared" si="10"/>
        <v/>
      </c>
      <c r="D148" s="41" t="s">
        <v>366</v>
      </c>
      <c r="E148" s="41" t="s">
        <v>611</v>
      </c>
      <c r="F148" s="41"/>
      <c r="G148" s="71"/>
      <c r="H148" s="41"/>
      <c r="I148" s="42"/>
      <c r="J148" s="41"/>
      <c r="K148" s="41"/>
      <c r="L148" s="43"/>
    </row>
    <row r="149" spans="2:12" hidden="1" outlineLevel="1">
      <c r="B149" s="46" t="str">
        <f t="shared" si="11"/>
        <v/>
      </c>
      <c r="C149" s="41" t="str">
        <f t="shared" si="10"/>
        <v/>
      </c>
      <c r="D149" s="41" t="s">
        <v>366</v>
      </c>
      <c r="E149" s="41" t="s">
        <v>612</v>
      </c>
      <c r="F149" s="41"/>
      <c r="G149" s="71"/>
      <c r="H149" s="41"/>
      <c r="I149" s="42"/>
      <c r="J149" s="41"/>
      <c r="K149" s="41"/>
      <c r="L149" s="43"/>
    </row>
    <row r="150" spans="2:12" hidden="1" outlineLevel="1">
      <c r="B150" s="46" t="str">
        <f t="shared" si="11"/>
        <v/>
      </c>
      <c r="C150" s="41" t="str">
        <f t="shared" si="10"/>
        <v/>
      </c>
      <c r="D150" s="41" t="s">
        <v>366</v>
      </c>
      <c r="E150" s="41" t="s">
        <v>613</v>
      </c>
      <c r="F150" s="41"/>
      <c r="G150" s="71"/>
      <c r="H150" s="41"/>
      <c r="I150" s="42"/>
      <c r="J150" s="41"/>
      <c r="K150" s="41"/>
      <c r="L150" s="43"/>
    </row>
    <row r="151" spans="2:12" hidden="1" outlineLevel="1">
      <c r="B151" s="46" t="str">
        <f t="shared" si="11"/>
        <v/>
      </c>
      <c r="C151" s="41" t="str">
        <f t="shared" si="10"/>
        <v/>
      </c>
      <c r="D151" s="41" t="s">
        <v>366</v>
      </c>
      <c r="E151" s="41" t="s">
        <v>614</v>
      </c>
      <c r="F151" s="41"/>
      <c r="G151" s="71"/>
      <c r="H151" s="41"/>
      <c r="I151" s="42"/>
      <c r="J151" s="41"/>
      <c r="K151" s="41"/>
      <c r="L151" s="43"/>
    </row>
    <row r="152" spans="2:12" hidden="1" outlineLevel="1">
      <c r="B152" s="46" t="str">
        <f t="shared" si="11"/>
        <v/>
      </c>
      <c r="C152" s="41" t="str">
        <f t="shared" si="10"/>
        <v/>
      </c>
      <c r="D152" s="41" t="s">
        <v>366</v>
      </c>
      <c r="E152" s="41" t="s">
        <v>615</v>
      </c>
      <c r="F152" s="41"/>
      <c r="G152" s="71"/>
      <c r="H152" s="41"/>
      <c r="I152" s="42"/>
      <c r="J152" s="41"/>
      <c r="K152" s="41"/>
      <c r="L152" s="43"/>
    </row>
    <row r="153" spans="2:12" hidden="1" outlineLevel="1">
      <c r="B153" s="46" t="str">
        <f t="shared" si="11"/>
        <v/>
      </c>
      <c r="C153" s="41" t="str">
        <f t="shared" si="10"/>
        <v/>
      </c>
      <c r="D153" s="41" t="s">
        <v>366</v>
      </c>
      <c r="E153" s="41">
        <v>257207</v>
      </c>
      <c r="F153" s="41"/>
      <c r="G153" s="71"/>
      <c r="H153" s="41"/>
      <c r="I153" s="42"/>
      <c r="J153" s="41"/>
      <c r="K153" s="41"/>
      <c r="L153" s="43"/>
    </row>
    <row r="154" spans="2:12" hidden="1" outlineLevel="1">
      <c r="B154" s="46" t="str">
        <f>IF(C154="","",B153+1)</f>
        <v/>
      </c>
      <c r="C154" s="41" t="str">
        <f t="shared" si="10"/>
        <v/>
      </c>
      <c r="D154" s="41" t="s">
        <v>366</v>
      </c>
      <c r="E154" s="41">
        <v>257210</v>
      </c>
      <c r="F154" s="41"/>
      <c r="G154" s="71"/>
      <c r="H154" s="41"/>
      <c r="I154" s="42"/>
      <c r="J154" s="41"/>
      <c r="K154" s="41"/>
      <c r="L154" s="43"/>
    </row>
    <row r="155" spans="2:12" hidden="1" outlineLevel="1">
      <c r="B155" s="46" t="str">
        <f t="shared" si="11"/>
        <v/>
      </c>
      <c r="C155" s="41" t="str">
        <f t="shared" si="10"/>
        <v/>
      </c>
      <c r="D155" s="41" t="s">
        <v>366</v>
      </c>
      <c r="E155" s="41" t="s">
        <v>616</v>
      </c>
      <c r="F155" s="41"/>
      <c r="G155" s="71"/>
      <c r="H155" s="41"/>
      <c r="I155" s="42"/>
      <c r="J155" s="41"/>
      <c r="K155" s="41"/>
      <c r="L155" s="43"/>
    </row>
    <row r="156" spans="2:12" hidden="1" outlineLevel="1">
      <c r="B156" s="46" t="str">
        <f t="shared" si="11"/>
        <v/>
      </c>
      <c r="C156" s="41" t="str">
        <f t="shared" si="10"/>
        <v/>
      </c>
      <c r="D156" s="41" t="s">
        <v>366</v>
      </c>
      <c r="E156" s="41" t="s">
        <v>617</v>
      </c>
      <c r="F156" s="41"/>
      <c r="G156" s="71"/>
      <c r="H156" s="41"/>
      <c r="I156" s="42"/>
      <c r="J156" s="41"/>
      <c r="K156" s="41"/>
      <c r="L156" s="43"/>
    </row>
    <row r="157" spans="2:12" hidden="1" outlineLevel="1">
      <c r="B157" s="46" t="str">
        <f t="shared" si="11"/>
        <v/>
      </c>
      <c r="C157" s="41" t="str">
        <f t="shared" ref="C157:C220" si="12">IF(G157="","",IF(G157="SEM DATA",$B$86,IF(G157&gt;DATE(1988,12,31),$B$85,IF(G157&lt;=DATE(1988,12,31),$B$84,""))))</f>
        <v/>
      </c>
      <c r="D157" s="41" t="s">
        <v>366</v>
      </c>
      <c r="E157" s="41">
        <v>1034</v>
      </c>
      <c r="F157" s="41"/>
      <c r="G157" s="71"/>
      <c r="H157" s="41"/>
      <c r="I157" s="42"/>
      <c r="J157" s="41"/>
      <c r="K157" s="41"/>
      <c r="L157" s="43"/>
    </row>
    <row r="158" spans="2:12" hidden="1" outlineLevel="1">
      <c r="B158" s="46" t="str">
        <f t="shared" ref="B158:B169" si="13">IF(C158="","",B157+1)</f>
        <v/>
      </c>
      <c r="C158" s="41" t="str">
        <f t="shared" si="12"/>
        <v/>
      </c>
      <c r="D158" s="41" t="s">
        <v>366</v>
      </c>
      <c r="E158" s="41" t="s">
        <v>618</v>
      </c>
      <c r="F158" s="41"/>
      <c r="G158" s="71"/>
      <c r="H158" s="41"/>
      <c r="I158" s="42"/>
      <c r="J158" s="41"/>
      <c r="K158" s="41"/>
      <c r="L158" s="43"/>
    </row>
    <row r="159" spans="2:12" hidden="1" outlineLevel="1">
      <c r="B159" s="46" t="str">
        <f t="shared" si="13"/>
        <v/>
      </c>
      <c r="C159" s="41" t="str">
        <f t="shared" si="12"/>
        <v/>
      </c>
      <c r="D159" s="41" t="s">
        <v>366</v>
      </c>
      <c r="E159" s="41">
        <v>23189</v>
      </c>
      <c r="F159" s="41"/>
      <c r="G159" s="71"/>
      <c r="H159" s="41"/>
      <c r="I159" s="42"/>
      <c r="J159" s="41"/>
      <c r="K159" s="41"/>
      <c r="L159" s="43"/>
    </row>
    <row r="160" spans="2:12" hidden="1" outlineLevel="1">
      <c r="B160" s="46" t="str">
        <f t="shared" si="13"/>
        <v/>
      </c>
      <c r="C160" s="41" t="str">
        <f t="shared" si="12"/>
        <v/>
      </c>
      <c r="D160" s="41" t="s">
        <v>366</v>
      </c>
      <c r="E160" s="41">
        <v>23191</v>
      </c>
      <c r="F160" s="41"/>
      <c r="G160" s="71"/>
      <c r="H160" s="41"/>
      <c r="I160" s="42"/>
      <c r="J160" s="41"/>
      <c r="K160" s="41"/>
      <c r="L160" s="43"/>
    </row>
    <row r="161" spans="2:12" hidden="1" outlineLevel="1">
      <c r="B161" s="46" t="str">
        <f t="shared" si="13"/>
        <v/>
      </c>
      <c r="C161" s="41" t="str">
        <f t="shared" si="12"/>
        <v/>
      </c>
      <c r="D161" s="41" t="s">
        <v>366</v>
      </c>
      <c r="E161" s="41">
        <v>23190</v>
      </c>
      <c r="F161" s="41"/>
      <c r="G161" s="71"/>
      <c r="H161" s="41"/>
      <c r="I161" s="42"/>
      <c r="J161" s="41"/>
      <c r="K161" s="41"/>
      <c r="L161" s="43"/>
    </row>
    <row r="162" spans="2:12" hidden="1" outlineLevel="1">
      <c r="B162" s="46" t="str">
        <f t="shared" si="13"/>
        <v/>
      </c>
      <c r="C162" s="41" t="str">
        <f t="shared" si="12"/>
        <v/>
      </c>
      <c r="D162" s="41" t="s">
        <v>366</v>
      </c>
      <c r="E162" s="41" t="s">
        <v>619</v>
      </c>
      <c r="F162" s="41"/>
      <c r="G162" s="71"/>
      <c r="H162" s="41"/>
      <c r="I162" s="42"/>
      <c r="J162" s="41"/>
      <c r="K162" s="41"/>
      <c r="L162" s="43"/>
    </row>
    <row r="163" spans="2:12" hidden="1" outlineLevel="1">
      <c r="B163" s="46" t="str">
        <f t="shared" si="13"/>
        <v/>
      </c>
      <c r="C163" s="41" t="str">
        <f t="shared" si="12"/>
        <v/>
      </c>
      <c r="D163" s="41" t="s">
        <v>366</v>
      </c>
      <c r="E163" s="41" t="s">
        <v>620</v>
      </c>
      <c r="F163" s="41"/>
      <c r="G163" s="71"/>
      <c r="H163" s="41"/>
      <c r="I163" s="42"/>
      <c r="J163" s="41"/>
      <c r="K163" s="41"/>
      <c r="L163" s="43"/>
    </row>
    <row r="164" spans="2:12" hidden="1" outlineLevel="1">
      <c r="B164" s="46" t="str">
        <f t="shared" si="13"/>
        <v/>
      </c>
      <c r="C164" s="41" t="str">
        <f t="shared" si="12"/>
        <v/>
      </c>
      <c r="D164" s="41" t="s">
        <v>366</v>
      </c>
      <c r="E164" s="41" t="s">
        <v>621</v>
      </c>
      <c r="F164" s="41"/>
      <c r="G164" s="71"/>
      <c r="H164" s="41"/>
      <c r="I164" s="42"/>
      <c r="J164" s="41"/>
      <c r="K164" s="41"/>
      <c r="L164" s="43"/>
    </row>
    <row r="165" spans="2:12" hidden="1" outlineLevel="1">
      <c r="B165" s="46" t="str">
        <f t="shared" si="13"/>
        <v/>
      </c>
      <c r="C165" s="41" t="str">
        <f t="shared" si="12"/>
        <v/>
      </c>
      <c r="D165" s="41" t="s">
        <v>366</v>
      </c>
      <c r="E165" s="41" t="s">
        <v>622</v>
      </c>
      <c r="F165" s="41"/>
      <c r="G165" s="71"/>
      <c r="H165" s="41"/>
      <c r="I165" s="42"/>
      <c r="J165" s="41"/>
      <c r="K165" s="41"/>
      <c r="L165" s="43"/>
    </row>
    <row r="166" spans="2:12" hidden="1" outlineLevel="1">
      <c r="B166" s="46" t="str">
        <f t="shared" si="13"/>
        <v/>
      </c>
      <c r="C166" s="41" t="str">
        <f t="shared" si="12"/>
        <v/>
      </c>
      <c r="D166" s="41" t="s">
        <v>366</v>
      </c>
      <c r="E166" s="41">
        <v>19881</v>
      </c>
      <c r="F166" s="41"/>
      <c r="G166" s="71"/>
      <c r="H166" s="41"/>
      <c r="I166" s="42"/>
      <c r="J166" s="41"/>
      <c r="K166" s="41"/>
      <c r="L166" s="43"/>
    </row>
    <row r="167" spans="2:12" hidden="1" outlineLevel="1">
      <c r="B167" s="46" t="str">
        <f t="shared" si="13"/>
        <v/>
      </c>
      <c r="C167" s="41" t="str">
        <f t="shared" si="12"/>
        <v/>
      </c>
      <c r="D167" s="41" t="s">
        <v>366</v>
      </c>
      <c r="E167" s="41">
        <v>80000426861002</v>
      </c>
      <c r="F167" s="41"/>
      <c r="G167" s="71"/>
      <c r="H167" s="41"/>
      <c r="I167" s="42"/>
      <c r="J167" s="41"/>
      <c r="K167" s="41"/>
      <c r="L167" s="43"/>
    </row>
    <row r="168" spans="2:12" hidden="1" outlineLevel="1">
      <c r="B168" s="46" t="str">
        <f t="shared" si="13"/>
        <v/>
      </c>
      <c r="C168" s="41" t="str">
        <f t="shared" si="12"/>
        <v/>
      </c>
      <c r="D168" s="41" t="s">
        <v>366</v>
      </c>
      <c r="E168" s="41" t="s">
        <v>623</v>
      </c>
      <c r="F168" s="41"/>
      <c r="G168" s="71"/>
      <c r="H168" s="41"/>
      <c r="I168" s="42"/>
      <c r="J168" s="41"/>
      <c r="K168" s="41"/>
      <c r="L168" s="43"/>
    </row>
    <row r="169" spans="2:12" hidden="1" outlineLevel="1">
      <c r="B169" s="46" t="str">
        <f t="shared" si="13"/>
        <v/>
      </c>
      <c r="C169" s="41" t="str">
        <f t="shared" si="12"/>
        <v/>
      </c>
      <c r="D169" s="41" t="s">
        <v>366</v>
      </c>
      <c r="E169" s="41" t="s">
        <v>624</v>
      </c>
      <c r="F169" s="41"/>
      <c r="G169" s="71"/>
      <c r="H169" s="41"/>
      <c r="I169" s="42"/>
      <c r="J169" s="41"/>
      <c r="K169" s="41"/>
      <c r="L169" s="43"/>
    </row>
    <row r="170" spans="2:12" hidden="1" outlineLevel="1">
      <c r="B170" s="46" t="str">
        <f>IF(C170="","",B169+1)</f>
        <v/>
      </c>
      <c r="C170" s="41" t="str">
        <f t="shared" si="12"/>
        <v/>
      </c>
      <c r="D170" s="41" t="s">
        <v>366</v>
      </c>
      <c r="E170" s="41" t="s">
        <v>625</v>
      </c>
      <c r="F170" s="41"/>
      <c r="G170" s="71"/>
      <c r="H170" s="41"/>
      <c r="I170" s="42"/>
      <c r="J170" s="41"/>
      <c r="K170" s="41"/>
      <c r="L170" s="43"/>
    </row>
    <row r="171" spans="2:12" hidden="1" outlineLevel="1">
      <c r="B171" s="46" t="str">
        <f t="shared" ref="B171:B185" si="14">IF(C171="","",B170+1)</f>
        <v/>
      </c>
      <c r="C171" s="41" t="str">
        <f t="shared" si="12"/>
        <v/>
      </c>
      <c r="D171" s="41" t="s">
        <v>366</v>
      </c>
      <c r="E171" s="41" t="s">
        <v>373</v>
      </c>
      <c r="F171" s="41"/>
      <c r="G171" s="71"/>
      <c r="H171" s="41"/>
      <c r="I171" s="42"/>
      <c r="J171" s="41"/>
      <c r="K171" s="41"/>
      <c r="L171" s="43"/>
    </row>
    <row r="172" spans="2:12" hidden="1" outlineLevel="1">
      <c r="B172" s="46" t="str">
        <f t="shared" si="14"/>
        <v/>
      </c>
      <c r="C172" s="41" t="str">
        <f t="shared" si="12"/>
        <v/>
      </c>
      <c r="D172" s="41" t="s">
        <v>366</v>
      </c>
      <c r="E172" s="41" t="s">
        <v>626</v>
      </c>
      <c r="F172" s="41"/>
      <c r="G172" s="71"/>
      <c r="H172" s="41"/>
      <c r="I172" s="42"/>
      <c r="J172" s="41"/>
      <c r="K172" s="41"/>
      <c r="L172" s="43"/>
    </row>
    <row r="173" spans="2:12" hidden="1" outlineLevel="1">
      <c r="B173" s="46" t="str">
        <f t="shared" si="14"/>
        <v/>
      </c>
      <c r="C173" s="41" t="str">
        <f t="shared" si="12"/>
        <v/>
      </c>
      <c r="D173" s="41" t="s">
        <v>366</v>
      </c>
      <c r="E173" s="41" t="s">
        <v>374</v>
      </c>
      <c r="F173" s="41"/>
      <c r="G173" s="71"/>
      <c r="H173" s="41"/>
      <c r="I173" s="42"/>
      <c r="J173" s="41"/>
      <c r="K173" s="41"/>
      <c r="L173" s="43"/>
    </row>
    <row r="174" spans="2:12" hidden="1" outlineLevel="1">
      <c r="B174" s="46" t="str">
        <f t="shared" si="14"/>
        <v/>
      </c>
      <c r="C174" s="41" t="str">
        <f t="shared" si="12"/>
        <v/>
      </c>
      <c r="D174" s="41" t="s">
        <v>366</v>
      </c>
      <c r="E174" s="41" t="s">
        <v>627</v>
      </c>
      <c r="F174" s="41"/>
      <c r="G174" s="71"/>
      <c r="H174" s="41"/>
      <c r="I174" s="42"/>
      <c r="J174" s="41"/>
      <c r="K174" s="41"/>
      <c r="L174" s="43"/>
    </row>
    <row r="175" spans="2:12" hidden="1" outlineLevel="1">
      <c r="B175" s="46" t="str">
        <f t="shared" si="14"/>
        <v/>
      </c>
      <c r="C175" s="41" t="str">
        <f t="shared" si="12"/>
        <v/>
      </c>
      <c r="D175" s="41" t="s">
        <v>366</v>
      </c>
      <c r="E175" s="41" t="s">
        <v>628</v>
      </c>
      <c r="F175" s="41"/>
      <c r="G175" s="71"/>
      <c r="H175" s="41"/>
      <c r="I175" s="42"/>
      <c r="J175" s="41"/>
      <c r="K175" s="41"/>
      <c r="L175" s="43"/>
    </row>
    <row r="176" spans="2:12" hidden="1" outlineLevel="1">
      <c r="B176" s="46" t="str">
        <f t="shared" si="14"/>
        <v/>
      </c>
      <c r="C176" s="41" t="str">
        <f t="shared" si="12"/>
        <v/>
      </c>
      <c r="D176" s="41" t="s">
        <v>366</v>
      </c>
      <c r="E176" s="41" t="s">
        <v>629</v>
      </c>
      <c r="F176" s="41"/>
      <c r="G176" s="71"/>
      <c r="H176" s="41"/>
      <c r="I176" s="42"/>
      <c r="J176" s="41"/>
      <c r="K176" s="41"/>
      <c r="L176" s="43"/>
    </row>
    <row r="177" spans="2:12" hidden="1" outlineLevel="1">
      <c r="B177" s="46" t="str">
        <f t="shared" si="14"/>
        <v/>
      </c>
      <c r="C177" s="41" t="str">
        <f t="shared" si="12"/>
        <v/>
      </c>
      <c r="D177" s="41" t="s">
        <v>366</v>
      </c>
      <c r="E177" s="41">
        <v>15417</v>
      </c>
      <c r="F177" s="41"/>
      <c r="G177" s="71"/>
      <c r="H177" s="41"/>
      <c r="I177" s="42"/>
      <c r="J177" s="41"/>
      <c r="K177" s="41"/>
      <c r="L177" s="43"/>
    </row>
    <row r="178" spans="2:12" hidden="1" outlineLevel="1">
      <c r="B178" s="46" t="str">
        <f t="shared" si="14"/>
        <v/>
      </c>
      <c r="C178" s="41" t="str">
        <f t="shared" si="12"/>
        <v/>
      </c>
      <c r="D178" s="41" t="s">
        <v>366</v>
      </c>
      <c r="E178" s="41">
        <v>15418</v>
      </c>
      <c r="F178" s="41"/>
      <c r="G178" s="71"/>
      <c r="H178" s="41"/>
      <c r="I178" s="42"/>
      <c r="J178" s="41"/>
      <c r="K178" s="41"/>
      <c r="L178" s="43"/>
    </row>
    <row r="179" spans="2:12" hidden="1" outlineLevel="1">
      <c r="B179" s="46" t="str">
        <f t="shared" si="14"/>
        <v/>
      </c>
      <c r="C179" s="41" t="str">
        <f t="shared" si="12"/>
        <v/>
      </c>
      <c r="D179" s="41" t="s">
        <v>366</v>
      </c>
      <c r="E179" s="41">
        <v>15416</v>
      </c>
      <c r="F179" s="41"/>
      <c r="G179" s="71"/>
      <c r="H179" s="41"/>
      <c r="I179" s="42"/>
      <c r="J179" s="41"/>
      <c r="K179" s="41"/>
      <c r="L179" s="43"/>
    </row>
    <row r="180" spans="2:12" hidden="1" outlineLevel="1">
      <c r="B180" s="46" t="str">
        <f t="shared" si="14"/>
        <v/>
      </c>
      <c r="C180" s="41" t="str">
        <f t="shared" si="12"/>
        <v/>
      </c>
      <c r="D180" s="41" t="s">
        <v>366</v>
      </c>
      <c r="E180" s="41">
        <v>27589</v>
      </c>
      <c r="F180" s="41"/>
      <c r="G180" s="71"/>
      <c r="H180" s="41"/>
      <c r="I180" s="42"/>
      <c r="J180" s="41"/>
      <c r="K180" s="41"/>
      <c r="L180" s="43"/>
    </row>
    <row r="181" spans="2:12" hidden="1" outlineLevel="1">
      <c r="B181" s="46" t="str">
        <f t="shared" si="14"/>
        <v/>
      </c>
      <c r="C181" s="41" t="str">
        <f t="shared" si="12"/>
        <v/>
      </c>
      <c r="D181" s="41" t="s">
        <v>366</v>
      </c>
      <c r="E181" s="41">
        <v>27577</v>
      </c>
      <c r="F181" s="41"/>
      <c r="G181" s="71"/>
      <c r="H181" s="41"/>
      <c r="I181" s="42"/>
      <c r="J181" s="41"/>
      <c r="K181" s="41"/>
      <c r="L181" s="43"/>
    </row>
    <row r="182" spans="2:12" hidden="1" outlineLevel="1">
      <c r="B182" s="46" t="str">
        <f t="shared" si="14"/>
        <v/>
      </c>
      <c r="C182" s="41" t="str">
        <f t="shared" si="12"/>
        <v/>
      </c>
      <c r="D182" s="41" t="s">
        <v>366</v>
      </c>
      <c r="E182" s="41">
        <v>27568</v>
      </c>
      <c r="F182" s="41"/>
      <c r="G182" s="71"/>
      <c r="H182" s="41"/>
      <c r="I182" s="42"/>
      <c r="J182" s="41"/>
      <c r="K182" s="41"/>
      <c r="L182" s="43"/>
    </row>
    <row r="183" spans="2:12" hidden="1" outlineLevel="1">
      <c r="B183" s="46" t="str">
        <f t="shared" si="14"/>
        <v/>
      </c>
      <c r="C183" s="41" t="str">
        <f t="shared" si="12"/>
        <v/>
      </c>
      <c r="D183" s="41" t="s">
        <v>366</v>
      </c>
      <c r="E183" s="41" t="s">
        <v>630</v>
      </c>
      <c r="F183" s="41"/>
      <c r="G183" s="71"/>
      <c r="H183" s="41"/>
      <c r="I183" s="42"/>
      <c r="J183" s="41"/>
      <c r="K183" s="41"/>
      <c r="L183" s="43"/>
    </row>
    <row r="184" spans="2:12" hidden="1" outlineLevel="1">
      <c r="B184" s="46" t="str">
        <f t="shared" si="14"/>
        <v/>
      </c>
      <c r="C184" s="41" t="str">
        <f t="shared" si="12"/>
        <v/>
      </c>
      <c r="D184" s="41" t="s">
        <v>366</v>
      </c>
      <c r="E184" s="41" t="s">
        <v>631</v>
      </c>
      <c r="F184" s="41"/>
      <c r="G184" s="71"/>
      <c r="H184" s="41"/>
      <c r="I184" s="42"/>
      <c r="J184" s="41"/>
      <c r="K184" s="41"/>
      <c r="L184" s="43"/>
    </row>
    <row r="185" spans="2:12" hidden="1" outlineLevel="1">
      <c r="B185" s="46" t="str">
        <f t="shared" si="14"/>
        <v/>
      </c>
      <c r="C185" s="41" t="str">
        <f t="shared" si="12"/>
        <v/>
      </c>
      <c r="D185" s="41" t="s">
        <v>366</v>
      </c>
      <c r="E185" s="41">
        <v>80000426867003</v>
      </c>
      <c r="F185" s="41"/>
      <c r="G185" s="71"/>
      <c r="H185" s="41"/>
      <c r="I185" s="42"/>
      <c r="J185" s="41"/>
      <c r="K185" s="41"/>
      <c r="L185" s="43"/>
    </row>
    <row r="186" spans="2:12" hidden="1" outlineLevel="1">
      <c r="B186" s="46" t="str">
        <f>IF(C186="","",B185+1)</f>
        <v/>
      </c>
      <c r="C186" s="41" t="str">
        <f t="shared" si="12"/>
        <v/>
      </c>
      <c r="D186" s="41" t="s">
        <v>366</v>
      </c>
      <c r="E186" s="41">
        <v>80000426867001</v>
      </c>
      <c r="F186" s="41"/>
      <c r="G186" s="71"/>
      <c r="H186" s="41"/>
      <c r="I186" s="42"/>
      <c r="J186" s="41"/>
      <c r="K186" s="41"/>
      <c r="L186" s="43"/>
    </row>
    <row r="187" spans="2:12" hidden="1" outlineLevel="1">
      <c r="B187" s="46" t="str">
        <f t="shared" ref="B187:B201" si="15">IF(C187="","",B186+1)</f>
        <v/>
      </c>
      <c r="C187" s="41" t="str">
        <f t="shared" si="12"/>
        <v/>
      </c>
      <c r="D187" s="41" t="s">
        <v>366</v>
      </c>
      <c r="E187" s="41">
        <v>80000426826003</v>
      </c>
      <c r="F187" s="41"/>
      <c r="G187" s="71"/>
      <c r="H187" s="41"/>
      <c r="I187" s="42"/>
      <c r="J187" s="41"/>
      <c r="K187" s="41"/>
      <c r="L187" s="43"/>
    </row>
    <row r="188" spans="2:12" hidden="1" outlineLevel="1">
      <c r="B188" s="46" t="str">
        <f t="shared" si="15"/>
        <v/>
      </c>
      <c r="C188" s="41" t="str">
        <f t="shared" si="12"/>
        <v/>
      </c>
      <c r="D188" s="41" t="s">
        <v>366</v>
      </c>
      <c r="E188" s="41">
        <v>19884</v>
      </c>
      <c r="F188" s="41"/>
      <c r="G188" s="71"/>
      <c r="H188" s="41"/>
      <c r="I188" s="42"/>
      <c r="J188" s="41"/>
      <c r="K188" s="41"/>
      <c r="L188" s="43"/>
    </row>
    <row r="189" spans="2:12" hidden="1" outlineLevel="1">
      <c r="B189" s="46" t="str">
        <f t="shared" si="15"/>
        <v/>
      </c>
      <c r="C189" s="41" t="str">
        <f t="shared" si="12"/>
        <v/>
      </c>
      <c r="D189" s="41" t="s">
        <v>366</v>
      </c>
      <c r="E189" s="41">
        <v>19876</v>
      </c>
      <c r="F189" s="41"/>
      <c r="G189" s="71"/>
      <c r="H189" s="41"/>
      <c r="I189" s="42"/>
      <c r="J189" s="41"/>
      <c r="K189" s="41"/>
      <c r="L189" s="43"/>
    </row>
    <row r="190" spans="2:12" hidden="1" outlineLevel="1">
      <c r="B190" s="46" t="str">
        <f t="shared" si="15"/>
        <v/>
      </c>
      <c r="C190" s="41" t="str">
        <f t="shared" si="12"/>
        <v/>
      </c>
      <c r="D190" s="41" t="s">
        <v>366</v>
      </c>
      <c r="E190" s="41">
        <v>19887</v>
      </c>
      <c r="F190" s="41"/>
      <c r="G190" s="71"/>
      <c r="H190" s="41"/>
      <c r="I190" s="42"/>
      <c r="J190" s="41"/>
      <c r="K190" s="41"/>
      <c r="L190" s="43"/>
    </row>
    <row r="191" spans="2:12" hidden="1" outlineLevel="1">
      <c r="B191" s="46" t="str">
        <f t="shared" si="15"/>
        <v/>
      </c>
      <c r="C191" s="41" t="str">
        <f t="shared" si="12"/>
        <v/>
      </c>
      <c r="D191" s="41" t="s">
        <v>366</v>
      </c>
      <c r="E191" s="41" t="s">
        <v>632</v>
      </c>
      <c r="F191" s="41"/>
      <c r="G191" s="71"/>
      <c r="H191" s="41"/>
      <c r="I191" s="42"/>
      <c r="J191" s="41"/>
      <c r="K191" s="41"/>
      <c r="L191" s="43"/>
    </row>
    <row r="192" spans="2:12" hidden="1" outlineLevel="1">
      <c r="B192" s="46" t="str">
        <f t="shared" si="15"/>
        <v/>
      </c>
      <c r="C192" s="41" t="str">
        <f t="shared" si="12"/>
        <v/>
      </c>
      <c r="D192" s="41" t="s">
        <v>366</v>
      </c>
      <c r="E192" s="41" t="s">
        <v>633</v>
      </c>
      <c r="F192" s="41"/>
      <c r="G192" s="71"/>
      <c r="H192" s="41"/>
      <c r="I192" s="42"/>
      <c r="J192" s="41"/>
      <c r="K192" s="41"/>
      <c r="L192" s="43"/>
    </row>
    <row r="193" spans="2:12" hidden="1" outlineLevel="1">
      <c r="B193" s="46" t="str">
        <f t="shared" si="15"/>
        <v/>
      </c>
      <c r="C193" s="41" t="str">
        <f t="shared" si="12"/>
        <v/>
      </c>
      <c r="D193" s="41" t="s">
        <v>366</v>
      </c>
      <c r="E193" s="41" t="s">
        <v>634</v>
      </c>
      <c r="F193" s="41"/>
      <c r="G193" s="71"/>
      <c r="H193" s="41"/>
      <c r="I193" s="42"/>
      <c r="J193" s="41"/>
      <c r="K193" s="41"/>
      <c r="L193" s="43"/>
    </row>
    <row r="194" spans="2:12" hidden="1" outlineLevel="1">
      <c r="B194" s="46" t="str">
        <f t="shared" si="15"/>
        <v/>
      </c>
      <c r="C194" s="41" t="str">
        <f t="shared" si="12"/>
        <v/>
      </c>
      <c r="D194" s="41" t="s">
        <v>366</v>
      </c>
      <c r="E194" s="41">
        <v>19880</v>
      </c>
      <c r="F194" s="41"/>
      <c r="G194" s="71"/>
      <c r="H194" s="41"/>
      <c r="I194" s="42"/>
      <c r="J194" s="41"/>
      <c r="K194" s="41"/>
      <c r="L194" s="43"/>
    </row>
    <row r="195" spans="2:12" hidden="1" outlineLevel="1">
      <c r="B195" s="46" t="str">
        <f t="shared" si="15"/>
        <v/>
      </c>
      <c r="C195" s="41" t="str">
        <f t="shared" si="12"/>
        <v/>
      </c>
      <c r="D195" s="41" t="s">
        <v>366</v>
      </c>
      <c r="E195" s="41" t="s">
        <v>635</v>
      </c>
      <c r="F195" s="41"/>
      <c r="G195" s="71"/>
      <c r="H195" s="41"/>
      <c r="I195" s="42"/>
      <c r="J195" s="41"/>
      <c r="K195" s="41"/>
      <c r="L195" s="43"/>
    </row>
    <row r="196" spans="2:12" hidden="1" outlineLevel="1">
      <c r="B196" s="46" t="str">
        <f t="shared" si="15"/>
        <v/>
      </c>
      <c r="C196" s="41" t="str">
        <f t="shared" si="12"/>
        <v/>
      </c>
      <c r="D196" s="41" t="s">
        <v>366</v>
      </c>
      <c r="E196" s="41">
        <v>19885</v>
      </c>
      <c r="F196" s="41"/>
      <c r="G196" s="71"/>
      <c r="H196" s="41"/>
      <c r="I196" s="42"/>
      <c r="J196" s="41"/>
      <c r="K196" s="41"/>
      <c r="L196" s="43"/>
    </row>
    <row r="197" spans="2:12" hidden="1" outlineLevel="1">
      <c r="B197" s="46" t="str">
        <f t="shared" si="15"/>
        <v/>
      </c>
      <c r="C197" s="41" t="str">
        <f t="shared" si="12"/>
        <v/>
      </c>
      <c r="D197" s="41" t="s">
        <v>366</v>
      </c>
      <c r="E197" s="41" t="s">
        <v>636</v>
      </c>
      <c r="F197" s="41"/>
      <c r="G197" s="71"/>
      <c r="H197" s="41"/>
      <c r="I197" s="42"/>
      <c r="J197" s="41"/>
      <c r="K197" s="41"/>
      <c r="L197" s="43"/>
    </row>
    <row r="198" spans="2:12" hidden="1" outlineLevel="1">
      <c r="B198" s="46" t="str">
        <f t="shared" si="15"/>
        <v/>
      </c>
      <c r="C198" s="41" t="str">
        <f t="shared" si="12"/>
        <v/>
      </c>
      <c r="D198" s="41" t="s">
        <v>366</v>
      </c>
      <c r="E198" s="41" t="s">
        <v>637</v>
      </c>
      <c r="F198" s="41"/>
      <c r="G198" s="71"/>
      <c r="H198" s="41"/>
      <c r="I198" s="42"/>
      <c r="J198" s="41"/>
      <c r="K198" s="41"/>
      <c r="L198" s="43"/>
    </row>
    <row r="199" spans="2:12" hidden="1" outlineLevel="1">
      <c r="B199" s="46" t="str">
        <f t="shared" si="15"/>
        <v/>
      </c>
      <c r="C199" s="41" t="str">
        <f t="shared" si="12"/>
        <v/>
      </c>
      <c r="D199" s="41" t="s">
        <v>366</v>
      </c>
      <c r="E199" s="41" t="s">
        <v>638</v>
      </c>
      <c r="F199" s="41"/>
      <c r="G199" s="71"/>
      <c r="H199" s="41"/>
      <c r="I199" s="42"/>
      <c r="J199" s="41"/>
      <c r="K199" s="41"/>
      <c r="L199" s="43"/>
    </row>
    <row r="200" spans="2:12" hidden="1" outlineLevel="1">
      <c r="B200" s="46" t="str">
        <f t="shared" si="15"/>
        <v/>
      </c>
      <c r="C200" s="41" t="str">
        <f t="shared" si="12"/>
        <v/>
      </c>
      <c r="D200" s="41" t="s">
        <v>366</v>
      </c>
      <c r="E200" s="41">
        <v>16577</v>
      </c>
      <c r="F200" s="41"/>
      <c r="G200" s="71"/>
      <c r="H200" s="41"/>
      <c r="I200" s="42"/>
      <c r="J200" s="41"/>
      <c r="K200" s="41"/>
      <c r="L200" s="43"/>
    </row>
    <row r="201" spans="2:12" hidden="1" outlineLevel="1">
      <c r="B201" s="46" t="str">
        <f t="shared" si="15"/>
        <v/>
      </c>
      <c r="C201" s="41" t="str">
        <f t="shared" si="12"/>
        <v/>
      </c>
      <c r="D201" s="41" t="s">
        <v>366</v>
      </c>
      <c r="E201" s="41">
        <v>16576</v>
      </c>
      <c r="F201" s="41"/>
      <c r="G201" s="71"/>
      <c r="H201" s="41"/>
      <c r="I201" s="42"/>
      <c r="J201" s="41"/>
      <c r="K201" s="41"/>
      <c r="L201" s="43"/>
    </row>
    <row r="202" spans="2:12" hidden="1" outlineLevel="1">
      <c r="B202" s="46" t="str">
        <f>IF(C202="","",B201+1)</f>
        <v/>
      </c>
      <c r="C202" s="41" t="str">
        <f t="shared" si="12"/>
        <v/>
      </c>
      <c r="D202" s="41" t="s">
        <v>366</v>
      </c>
      <c r="E202" s="41">
        <v>16522</v>
      </c>
      <c r="F202" s="41"/>
      <c r="G202" s="71"/>
      <c r="H202" s="41"/>
      <c r="I202" s="42"/>
      <c r="J202" s="41"/>
      <c r="K202" s="41"/>
      <c r="L202" s="43"/>
    </row>
    <row r="203" spans="2:12" hidden="1" outlineLevel="1">
      <c r="B203" s="46" t="str">
        <f t="shared" ref="B203:B227" si="16">IF(C203="","",B202+1)</f>
        <v/>
      </c>
      <c r="C203" s="41" t="str">
        <f t="shared" si="12"/>
        <v/>
      </c>
      <c r="D203" s="41" t="s">
        <v>366</v>
      </c>
      <c r="E203" s="41">
        <v>8000057761002</v>
      </c>
      <c r="F203" s="41"/>
      <c r="G203" s="71"/>
      <c r="H203" s="41"/>
      <c r="I203" s="42"/>
      <c r="J203" s="41"/>
      <c r="K203" s="41"/>
      <c r="L203" s="43"/>
    </row>
    <row r="204" spans="2:12" hidden="1" outlineLevel="1">
      <c r="B204" s="46" t="str">
        <f t="shared" si="16"/>
        <v/>
      </c>
      <c r="C204" s="41" t="str">
        <f t="shared" si="12"/>
        <v/>
      </c>
      <c r="D204" s="41" t="s">
        <v>366</v>
      </c>
      <c r="E204" s="41">
        <v>80000426867002</v>
      </c>
      <c r="F204" s="41"/>
      <c r="G204" s="71"/>
      <c r="H204" s="41"/>
      <c r="I204" s="42"/>
      <c r="J204" s="41"/>
      <c r="K204" s="41"/>
      <c r="L204" s="43"/>
    </row>
    <row r="205" spans="2:12" hidden="1" outlineLevel="1">
      <c r="B205" s="46" t="str">
        <f t="shared" si="16"/>
        <v/>
      </c>
      <c r="C205" s="41" t="str">
        <f t="shared" si="12"/>
        <v/>
      </c>
      <c r="D205" s="41" t="s">
        <v>366</v>
      </c>
      <c r="E205" s="41">
        <v>80000426874001</v>
      </c>
      <c r="F205" s="41"/>
      <c r="G205" s="71"/>
      <c r="H205" s="41"/>
      <c r="I205" s="42"/>
      <c r="J205" s="41"/>
      <c r="K205" s="41"/>
      <c r="L205" s="43"/>
    </row>
    <row r="206" spans="2:12" hidden="1" outlineLevel="1">
      <c r="B206" s="46" t="str">
        <f t="shared" si="16"/>
        <v/>
      </c>
      <c r="C206" s="41" t="str">
        <f t="shared" si="12"/>
        <v/>
      </c>
      <c r="D206" s="41" t="s">
        <v>366</v>
      </c>
      <c r="E206" s="41" t="s">
        <v>639</v>
      </c>
      <c r="F206" s="41"/>
      <c r="G206" s="71"/>
      <c r="H206" s="41"/>
      <c r="I206" s="42"/>
      <c r="J206" s="41"/>
      <c r="K206" s="41"/>
      <c r="L206" s="43"/>
    </row>
    <row r="207" spans="2:12" hidden="1" outlineLevel="1">
      <c r="B207" s="46" t="str">
        <f t="shared" si="16"/>
        <v/>
      </c>
      <c r="C207" s="41" t="str">
        <f t="shared" si="12"/>
        <v/>
      </c>
      <c r="D207" s="41" t="s">
        <v>366</v>
      </c>
      <c r="E207" s="41" t="s">
        <v>640</v>
      </c>
      <c r="F207" s="41"/>
      <c r="G207" s="71"/>
      <c r="H207" s="41"/>
      <c r="I207" s="42"/>
      <c r="J207" s="41"/>
      <c r="K207" s="41"/>
      <c r="L207" s="43"/>
    </row>
    <row r="208" spans="2:12" hidden="1" outlineLevel="1">
      <c r="B208" s="46" t="str">
        <f t="shared" si="16"/>
        <v/>
      </c>
      <c r="C208" s="41" t="str">
        <f t="shared" si="12"/>
        <v/>
      </c>
      <c r="D208" s="41" t="s">
        <v>366</v>
      </c>
      <c r="E208" s="41" t="s">
        <v>641</v>
      </c>
      <c r="F208" s="41"/>
      <c r="G208" s="71"/>
      <c r="H208" s="41"/>
      <c r="I208" s="42"/>
      <c r="J208" s="41"/>
      <c r="K208" s="41"/>
      <c r="L208" s="43"/>
    </row>
    <row r="209" spans="2:12" hidden="1" outlineLevel="1">
      <c r="B209" s="46" t="str">
        <f t="shared" si="16"/>
        <v/>
      </c>
      <c r="C209" s="41" t="str">
        <f t="shared" si="12"/>
        <v/>
      </c>
      <c r="D209" s="41" t="s">
        <v>366</v>
      </c>
      <c r="E209" s="41" t="s">
        <v>642</v>
      </c>
      <c r="F209" s="41"/>
      <c r="G209" s="71"/>
      <c r="H209" s="41"/>
      <c r="I209" s="42"/>
      <c r="J209" s="41"/>
      <c r="K209" s="41"/>
      <c r="L209" s="43"/>
    </row>
    <row r="210" spans="2:12" hidden="1" outlineLevel="1">
      <c r="B210" s="46" t="str">
        <f t="shared" si="16"/>
        <v/>
      </c>
      <c r="C210" s="41" t="str">
        <f t="shared" si="12"/>
        <v/>
      </c>
      <c r="D210" s="41" t="s">
        <v>366</v>
      </c>
      <c r="E210" s="41" t="s">
        <v>643</v>
      </c>
      <c r="F210" s="41"/>
      <c r="G210" s="71"/>
      <c r="H210" s="41"/>
      <c r="I210" s="42"/>
      <c r="J210" s="41"/>
      <c r="K210" s="41"/>
      <c r="L210" s="43"/>
    </row>
    <row r="211" spans="2:12" hidden="1" outlineLevel="1">
      <c r="B211" s="46" t="str">
        <f t="shared" si="16"/>
        <v/>
      </c>
      <c r="C211" s="41" t="str">
        <f t="shared" si="12"/>
        <v/>
      </c>
      <c r="D211" s="41" t="s">
        <v>366</v>
      </c>
      <c r="E211" s="41" t="s">
        <v>644</v>
      </c>
      <c r="F211" s="41"/>
      <c r="G211" s="71"/>
      <c r="H211" s="41"/>
      <c r="I211" s="42"/>
      <c r="J211" s="41"/>
      <c r="K211" s="41"/>
      <c r="L211" s="43"/>
    </row>
    <row r="212" spans="2:12" hidden="1" outlineLevel="1">
      <c r="B212" s="46" t="str">
        <f t="shared" si="16"/>
        <v/>
      </c>
      <c r="C212" s="41" t="str">
        <f t="shared" si="12"/>
        <v/>
      </c>
      <c r="D212" s="41" t="s">
        <v>366</v>
      </c>
      <c r="E212" s="41" t="s">
        <v>645</v>
      </c>
      <c r="F212" s="41"/>
      <c r="G212" s="71"/>
      <c r="H212" s="41"/>
      <c r="I212" s="42"/>
      <c r="J212" s="41"/>
      <c r="K212" s="41"/>
      <c r="L212" s="43"/>
    </row>
    <row r="213" spans="2:12" hidden="1" outlineLevel="1">
      <c r="B213" s="46" t="str">
        <f t="shared" si="16"/>
        <v/>
      </c>
      <c r="C213" s="41" t="str">
        <f t="shared" si="12"/>
        <v/>
      </c>
      <c r="D213" s="41" t="s">
        <v>366</v>
      </c>
      <c r="E213" s="41" t="s">
        <v>646</v>
      </c>
      <c r="F213" s="41"/>
      <c r="G213" s="71"/>
      <c r="H213" s="41"/>
      <c r="I213" s="42"/>
      <c r="J213" s="41"/>
      <c r="K213" s="41"/>
      <c r="L213" s="43"/>
    </row>
    <row r="214" spans="2:12" hidden="1" outlineLevel="1">
      <c r="B214" s="46" t="str">
        <f t="shared" si="16"/>
        <v/>
      </c>
      <c r="C214" s="41" t="str">
        <f t="shared" si="12"/>
        <v/>
      </c>
      <c r="D214" s="41" t="s">
        <v>366</v>
      </c>
      <c r="E214" s="41" t="s">
        <v>375</v>
      </c>
      <c r="F214" s="41"/>
      <c r="G214" s="71"/>
      <c r="H214" s="41"/>
      <c r="I214" s="42"/>
      <c r="J214" s="41"/>
      <c r="K214" s="41"/>
      <c r="L214" s="43"/>
    </row>
    <row r="215" spans="2:12" hidden="1" outlineLevel="1">
      <c r="B215" s="46" t="str">
        <f t="shared" si="16"/>
        <v/>
      </c>
      <c r="C215" s="41" t="str">
        <f t="shared" si="12"/>
        <v/>
      </c>
      <c r="D215" s="41" t="s">
        <v>366</v>
      </c>
      <c r="E215" s="41" t="s">
        <v>647</v>
      </c>
      <c r="F215" s="41"/>
      <c r="G215" s="71"/>
      <c r="H215" s="41"/>
      <c r="I215" s="42"/>
      <c r="J215" s="41"/>
      <c r="K215" s="41"/>
      <c r="L215" s="43"/>
    </row>
    <row r="216" spans="2:12" hidden="1" outlineLevel="1">
      <c r="B216" s="46" t="str">
        <f t="shared" si="16"/>
        <v/>
      </c>
      <c r="C216" s="41" t="str">
        <f t="shared" si="12"/>
        <v/>
      </c>
      <c r="D216" s="41" t="s">
        <v>366</v>
      </c>
      <c r="E216" s="41" t="s">
        <v>648</v>
      </c>
      <c r="F216" s="41"/>
      <c r="G216" s="71"/>
      <c r="H216" s="41"/>
      <c r="I216" s="42"/>
      <c r="J216" s="41"/>
      <c r="K216" s="41"/>
      <c r="L216" s="43"/>
    </row>
    <row r="217" spans="2:12" hidden="1" outlineLevel="1">
      <c r="B217" s="46" t="str">
        <f t="shared" si="16"/>
        <v/>
      </c>
      <c r="C217" s="41" t="str">
        <f t="shared" si="12"/>
        <v/>
      </c>
      <c r="D217" s="41" t="s">
        <v>366</v>
      </c>
      <c r="E217" s="41" t="s">
        <v>649</v>
      </c>
      <c r="F217" s="41"/>
      <c r="G217" s="71"/>
      <c r="H217" s="41"/>
      <c r="I217" s="42"/>
      <c r="J217" s="41"/>
      <c r="K217" s="41"/>
      <c r="L217" s="43"/>
    </row>
    <row r="218" spans="2:12" hidden="1" outlineLevel="1">
      <c r="B218" s="46" t="str">
        <f t="shared" si="16"/>
        <v/>
      </c>
      <c r="C218" s="41" t="str">
        <f t="shared" si="12"/>
        <v/>
      </c>
      <c r="D218" s="41" t="s">
        <v>366</v>
      </c>
      <c r="E218" s="41" t="s">
        <v>650</v>
      </c>
      <c r="F218" s="41"/>
      <c r="G218" s="71"/>
      <c r="H218" s="41"/>
      <c r="I218" s="42"/>
      <c r="J218" s="41"/>
      <c r="K218" s="41"/>
      <c r="L218" s="43"/>
    </row>
    <row r="219" spans="2:12" hidden="1" outlineLevel="1">
      <c r="B219" s="46" t="str">
        <f t="shared" si="16"/>
        <v/>
      </c>
      <c r="C219" s="41" t="str">
        <f t="shared" si="12"/>
        <v/>
      </c>
      <c r="D219" s="41" t="s">
        <v>366</v>
      </c>
      <c r="E219" s="41">
        <v>80000426874002</v>
      </c>
      <c r="F219" s="41"/>
      <c r="G219" s="71"/>
      <c r="H219" s="41"/>
      <c r="I219" s="42"/>
      <c r="J219" s="41"/>
      <c r="K219" s="41"/>
      <c r="L219" s="43"/>
    </row>
    <row r="220" spans="2:12" hidden="1" outlineLevel="1">
      <c r="B220" s="46" t="str">
        <f t="shared" si="16"/>
        <v/>
      </c>
      <c r="C220" s="41" t="str">
        <f t="shared" si="12"/>
        <v/>
      </c>
      <c r="D220" s="41" t="s">
        <v>366</v>
      </c>
      <c r="E220" s="41" t="s">
        <v>651</v>
      </c>
      <c r="F220" s="41"/>
      <c r="G220" s="71"/>
      <c r="H220" s="41"/>
      <c r="I220" s="42"/>
      <c r="J220" s="41"/>
      <c r="K220" s="41"/>
      <c r="L220" s="43"/>
    </row>
    <row r="221" spans="2:12" hidden="1" outlineLevel="1">
      <c r="B221" s="46" t="str">
        <f t="shared" si="16"/>
        <v/>
      </c>
      <c r="C221" s="41" t="str">
        <f t="shared" ref="C221:C284" si="17">IF(G221="","",IF(G221="SEM DATA",$B$86,IF(G221&gt;DATE(1988,12,31),$B$85,IF(G221&lt;=DATE(1988,12,31),$B$84,""))))</f>
        <v/>
      </c>
      <c r="D221" s="41" t="s">
        <v>366</v>
      </c>
      <c r="E221" s="41">
        <v>80000426881002</v>
      </c>
      <c r="F221" s="41"/>
      <c r="G221" s="71"/>
      <c r="H221" s="41"/>
      <c r="I221" s="42"/>
      <c r="J221" s="41"/>
      <c r="K221" s="41"/>
      <c r="L221" s="43"/>
    </row>
    <row r="222" spans="2:12" hidden="1" outlineLevel="1">
      <c r="B222" s="46" t="str">
        <f t="shared" si="16"/>
        <v/>
      </c>
      <c r="C222" s="41" t="str">
        <f t="shared" si="17"/>
        <v/>
      </c>
      <c r="D222" s="41" t="s">
        <v>366</v>
      </c>
      <c r="E222" s="41" t="s">
        <v>652</v>
      </c>
      <c r="F222" s="41"/>
      <c r="G222" s="71"/>
      <c r="H222" s="41"/>
      <c r="I222" s="42"/>
      <c r="J222" s="41"/>
      <c r="K222" s="41"/>
      <c r="L222" s="43"/>
    </row>
    <row r="223" spans="2:12" hidden="1" outlineLevel="1">
      <c r="B223" s="46" t="str">
        <f t="shared" si="16"/>
        <v/>
      </c>
      <c r="C223" s="41" t="str">
        <f t="shared" si="17"/>
        <v/>
      </c>
      <c r="D223" s="41" t="s">
        <v>366</v>
      </c>
      <c r="E223" s="41" t="s">
        <v>653</v>
      </c>
      <c r="F223" s="41"/>
      <c r="G223" s="71"/>
      <c r="H223" s="41"/>
      <c r="I223" s="42"/>
      <c r="J223" s="41"/>
      <c r="K223" s="41"/>
      <c r="L223" s="43"/>
    </row>
    <row r="224" spans="2:12" hidden="1" outlineLevel="1">
      <c r="B224" s="46" t="str">
        <f t="shared" si="16"/>
        <v/>
      </c>
      <c r="C224" s="41" t="str">
        <f t="shared" si="17"/>
        <v/>
      </c>
      <c r="D224" s="41" t="s">
        <v>366</v>
      </c>
      <c r="E224" s="41" t="s">
        <v>654</v>
      </c>
      <c r="F224" s="41"/>
      <c r="G224" s="71"/>
      <c r="H224" s="41"/>
      <c r="I224" s="42"/>
      <c r="J224" s="41"/>
      <c r="K224" s="41"/>
      <c r="L224" s="43"/>
    </row>
    <row r="225" spans="2:12" hidden="1" outlineLevel="1">
      <c r="B225" s="46" t="str">
        <f t="shared" si="16"/>
        <v/>
      </c>
      <c r="C225" s="41" t="str">
        <f t="shared" si="17"/>
        <v/>
      </c>
      <c r="D225" s="41" t="s">
        <v>366</v>
      </c>
      <c r="E225" s="41" t="s">
        <v>655</v>
      </c>
      <c r="F225" s="41"/>
      <c r="G225" s="71"/>
      <c r="H225" s="41"/>
      <c r="I225" s="42"/>
      <c r="J225" s="41"/>
      <c r="K225" s="41"/>
      <c r="L225" s="43"/>
    </row>
    <row r="226" spans="2:12" hidden="1" outlineLevel="1">
      <c r="B226" s="46" t="str">
        <f t="shared" si="16"/>
        <v/>
      </c>
      <c r="C226" s="41" t="str">
        <f t="shared" si="17"/>
        <v/>
      </c>
      <c r="D226" s="41" t="s">
        <v>366</v>
      </c>
      <c r="E226" s="41" t="s">
        <v>656</v>
      </c>
      <c r="F226" s="41"/>
      <c r="G226" s="71"/>
      <c r="H226" s="41"/>
      <c r="I226" s="42"/>
      <c r="J226" s="41"/>
      <c r="K226" s="41"/>
      <c r="L226" s="43"/>
    </row>
    <row r="227" spans="2:12" hidden="1" outlineLevel="1">
      <c r="B227" s="46" t="str">
        <f t="shared" si="16"/>
        <v/>
      </c>
      <c r="C227" s="41" t="str">
        <f t="shared" si="17"/>
        <v/>
      </c>
      <c r="D227" s="41" t="s">
        <v>366</v>
      </c>
      <c r="E227" s="41" t="s">
        <v>657</v>
      </c>
      <c r="F227" s="41"/>
      <c r="G227" s="71"/>
      <c r="H227" s="41"/>
      <c r="I227" s="42"/>
      <c r="J227" s="41"/>
      <c r="K227" s="41"/>
      <c r="L227" s="43"/>
    </row>
    <row r="228" spans="2:12" hidden="1" outlineLevel="1">
      <c r="B228" s="46" t="str">
        <f>IF(C228="","",B227+1)</f>
        <v/>
      </c>
      <c r="C228" s="41" t="str">
        <f t="shared" si="17"/>
        <v/>
      </c>
      <c r="D228" s="41" t="s">
        <v>366</v>
      </c>
      <c r="E228" s="41" t="s">
        <v>658</v>
      </c>
      <c r="F228" s="41"/>
      <c r="G228" s="71"/>
      <c r="H228" s="41"/>
      <c r="I228" s="42"/>
      <c r="J228" s="41"/>
      <c r="K228" s="41"/>
      <c r="L228" s="43"/>
    </row>
    <row r="229" spans="2:12" hidden="1" outlineLevel="1">
      <c r="B229" s="46" t="str">
        <f t="shared" ref="B229:B254" si="18">IF(C229="","",B228+1)</f>
        <v/>
      </c>
      <c r="C229" s="41" t="str">
        <f t="shared" si="17"/>
        <v/>
      </c>
      <c r="D229" s="41" t="s">
        <v>366</v>
      </c>
      <c r="E229" s="41" t="s">
        <v>659</v>
      </c>
      <c r="F229" s="41"/>
      <c r="G229" s="71"/>
      <c r="H229" s="41"/>
      <c r="I229" s="42"/>
      <c r="J229" s="41"/>
      <c r="K229" s="41"/>
      <c r="L229" s="43"/>
    </row>
    <row r="230" spans="2:12" hidden="1" outlineLevel="1">
      <c r="B230" s="46" t="str">
        <f t="shared" si="18"/>
        <v/>
      </c>
      <c r="C230" s="41" t="str">
        <f t="shared" si="17"/>
        <v/>
      </c>
      <c r="D230" s="41" t="s">
        <v>366</v>
      </c>
      <c r="E230" s="41" t="s">
        <v>660</v>
      </c>
      <c r="F230" s="41"/>
      <c r="G230" s="71"/>
      <c r="H230" s="41"/>
      <c r="I230" s="42"/>
      <c r="J230" s="41"/>
      <c r="K230" s="41"/>
      <c r="L230" s="43"/>
    </row>
    <row r="231" spans="2:12" hidden="1" outlineLevel="1">
      <c r="B231" s="46" t="str">
        <f t="shared" si="18"/>
        <v/>
      </c>
      <c r="C231" s="41" t="str">
        <f t="shared" si="17"/>
        <v/>
      </c>
      <c r="D231" s="41" t="s">
        <v>366</v>
      </c>
      <c r="E231" s="41" t="s">
        <v>661</v>
      </c>
      <c r="F231" s="41"/>
      <c r="G231" s="71"/>
      <c r="H231" s="41"/>
      <c r="I231" s="42"/>
      <c r="J231" s="41"/>
      <c r="K231" s="41"/>
      <c r="L231" s="43"/>
    </row>
    <row r="232" spans="2:12" hidden="1" outlineLevel="1">
      <c r="B232" s="46" t="str">
        <f t="shared" si="18"/>
        <v/>
      </c>
      <c r="C232" s="41" t="str">
        <f t="shared" si="17"/>
        <v/>
      </c>
      <c r="D232" s="41" t="s">
        <v>366</v>
      </c>
      <c r="E232" s="41" t="s">
        <v>662</v>
      </c>
      <c r="F232" s="41"/>
      <c r="G232" s="71"/>
      <c r="H232" s="41"/>
      <c r="I232" s="42"/>
      <c r="J232" s="41"/>
      <c r="K232" s="41"/>
      <c r="L232" s="43"/>
    </row>
    <row r="233" spans="2:12" hidden="1" outlineLevel="1">
      <c r="B233" s="46" t="str">
        <f t="shared" si="18"/>
        <v/>
      </c>
      <c r="C233" s="41" t="str">
        <f t="shared" si="17"/>
        <v/>
      </c>
      <c r="D233" s="41" t="s">
        <v>366</v>
      </c>
      <c r="E233" s="41" t="s">
        <v>663</v>
      </c>
      <c r="F233" s="41"/>
      <c r="G233" s="71"/>
      <c r="H233" s="41"/>
      <c r="I233" s="42"/>
      <c r="J233" s="41"/>
      <c r="K233" s="41"/>
      <c r="L233" s="43"/>
    </row>
    <row r="234" spans="2:12" hidden="1" outlineLevel="1">
      <c r="B234" s="46" t="str">
        <f t="shared" si="18"/>
        <v/>
      </c>
      <c r="C234" s="41" t="str">
        <f t="shared" si="17"/>
        <v/>
      </c>
      <c r="D234" s="41" t="s">
        <v>366</v>
      </c>
      <c r="E234" s="41" t="s">
        <v>664</v>
      </c>
      <c r="F234" s="41"/>
      <c r="G234" s="71"/>
      <c r="H234" s="41"/>
      <c r="I234" s="42"/>
      <c r="J234" s="41"/>
      <c r="K234" s="41"/>
      <c r="L234" s="43"/>
    </row>
    <row r="235" spans="2:12" hidden="1" outlineLevel="1">
      <c r="B235" s="46" t="str">
        <f t="shared" si="18"/>
        <v/>
      </c>
      <c r="C235" s="41" t="str">
        <f t="shared" si="17"/>
        <v/>
      </c>
      <c r="D235" s="41" t="s">
        <v>366</v>
      </c>
      <c r="E235" s="41">
        <v>16583</v>
      </c>
      <c r="F235" s="41"/>
      <c r="G235" s="71"/>
      <c r="H235" s="41"/>
      <c r="I235" s="42"/>
      <c r="J235" s="41"/>
      <c r="K235" s="41"/>
      <c r="L235" s="43"/>
    </row>
    <row r="236" spans="2:12" hidden="1" outlineLevel="1">
      <c r="B236" s="46" t="str">
        <f t="shared" si="18"/>
        <v/>
      </c>
      <c r="C236" s="41" t="str">
        <f t="shared" si="17"/>
        <v/>
      </c>
      <c r="D236" s="41" t="s">
        <v>366</v>
      </c>
      <c r="E236" s="41">
        <v>16584</v>
      </c>
      <c r="F236" s="41"/>
      <c r="G236" s="71"/>
      <c r="H236" s="41"/>
      <c r="I236" s="42"/>
      <c r="J236" s="41"/>
      <c r="K236" s="41"/>
      <c r="L236" s="43"/>
    </row>
    <row r="237" spans="2:12" hidden="1" outlineLevel="1">
      <c r="B237" s="46" t="str">
        <f t="shared" si="18"/>
        <v/>
      </c>
      <c r="C237" s="41" t="str">
        <f t="shared" si="17"/>
        <v/>
      </c>
      <c r="D237" s="41" t="s">
        <v>366</v>
      </c>
      <c r="E237" s="41">
        <v>16595</v>
      </c>
      <c r="F237" s="41"/>
      <c r="G237" s="71"/>
      <c r="H237" s="41"/>
      <c r="I237" s="42"/>
      <c r="J237" s="41"/>
      <c r="K237" s="41"/>
      <c r="L237" s="43"/>
    </row>
    <row r="238" spans="2:12" hidden="1" outlineLevel="1">
      <c r="B238" s="46" t="str">
        <f t="shared" si="18"/>
        <v/>
      </c>
      <c r="C238" s="41" t="str">
        <f t="shared" si="17"/>
        <v/>
      </c>
      <c r="D238" s="41" t="s">
        <v>366</v>
      </c>
      <c r="E238" s="41">
        <v>27566</v>
      </c>
      <c r="F238" s="41"/>
      <c r="G238" s="71"/>
      <c r="H238" s="41"/>
      <c r="I238" s="42"/>
      <c r="J238" s="41"/>
      <c r="K238" s="41"/>
      <c r="L238" s="43"/>
    </row>
    <row r="239" spans="2:12" hidden="1" outlineLevel="1">
      <c r="B239" s="46" t="str">
        <f t="shared" si="18"/>
        <v/>
      </c>
      <c r="C239" s="41" t="str">
        <f t="shared" si="17"/>
        <v/>
      </c>
      <c r="D239" s="41" t="s">
        <v>366</v>
      </c>
      <c r="E239" s="41">
        <v>27575</v>
      </c>
      <c r="F239" s="41"/>
      <c r="G239" s="71"/>
      <c r="H239" s="41"/>
      <c r="I239" s="42"/>
      <c r="J239" s="41"/>
      <c r="K239" s="41"/>
      <c r="L239" s="43"/>
    </row>
    <row r="240" spans="2:12" hidden="1" outlineLevel="1">
      <c r="B240" s="46" t="str">
        <f t="shared" si="18"/>
        <v/>
      </c>
      <c r="C240" s="41" t="str">
        <f t="shared" si="17"/>
        <v/>
      </c>
      <c r="D240" s="41" t="s">
        <v>366</v>
      </c>
      <c r="E240" s="41">
        <v>27581</v>
      </c>
      <c r="F240" s="41"/>
      <c r="G240" s="71"/>
      <c r="H240" s="41"/>
      <c r="I240" s="42"/>
      <c r="J240" s="41"/>
      <c r="K240" s="41"/>
      <c r="L240" s="43"/>
    </row>
    <row r="241" spans="2:12" hidden="1" outlineLevel="1">
      <c r="B241" s="46" t="str">
        <f t="shared" si="18"/>
        <v/>
      </c>
      <c r="C241" s="41" t="str">
        <f t="shared" si="17"/>
        <v/>
      </c>
      <c r="D241" s="41" t="s">
        <v>366</v>
      </c>
      <c r="E241" s="41">
        <v>1303000072</v>
      </c>
      <c r="F241" s="41"/>
      <c r="G241" s="71"/>
      <c r="H241" s="41"/>
      <c r="I241" s="42"/>
      <c r="J241" s="41"/>
      <c r="K241" s="41"/>
      <c r="L241" s="43"/>
    </row>
    <row r="242" spans="2:12" hidden="1" outlineLevel="1">
      <c r="B242" s="46" t="str">
        <f t="shared" si="18"/>
        <v/>
      </c>
      <c r="C242" s="41" t="str">
        <f t="shared" si="17"/>
        <v/>
      </c>
      <c r="D242" s="41" t="s">
        <v>366</v>
      </c>
      <c r="E242" s="41">
        <v>1303000096</v>
      </c>
      <c r="F242" s="41"/>
      <c r="G242" s="71"/>
      <c r="H242" s="41"/>
      <c r="I242" s="42"/>
      <c r="J242" s="41"/>
      <c r="K242" s="41"/>
      <c r="L242" s="43"/>
    </row>
    <row r="243" spans="2:12" hidden="1" outlineLevel="1">
      <c r="B243" s="46" t="str">
        <f t="shared" si="18"/>
        <v/>
      </c>
      <c r="C243" s="41" t="str">
        <f t="shared" si="17"/>
        <v/>
      </c>
      <c r="D243" s="41" t="s">
        <v>366</v>
      </c>
      <c r="E243" s="41">
        <v>1303000086</v>
      </c>
      <c r="F243" s="41"/>
      <c r="G243" s="71"/>
      <c r="H243" s="41"/>
      <c r="I243" s="42"/>
      <c r="J243" s="41"/>
      <c r="K243" s="41"/>
      <c r="L243" s="43"/>
    </row>
    <row r="244" spans="2:12" hidden="1" outlineLevel="1">
      <c r="B244" s="46" t="str">
        <f t="shared" si="18"/>
        <v/>
      </c>
      <c r="C244" s="41" t="str">
        <f t="shared" si="17"/>
        <v/>
      </c>
      <c r="D244" s="41" t="s">
        <v>366</v>
      </c>
      <c r="E244" s="41">
        <v>1303000076</v>
      </c>
      <c r="F244" s="41"/>
      <c r="G244" s="71"/>
      <c r="H244" s="41"/>
      <c r="I244" s="42"/>
      <c r="J244" s="41"/>
      <c r="K244" s="41"/>
      <c r="L244" s="43"/>
    </row>
    <row r="245" spans="2:12" hidden="1" outlineLevel="1">
      <c r="B245" s="46" t="str">
        <f t="shared" si="18"/>
        <v/>
      </c>
      <c r="C245" s="41" t="str">
        <f t="shared" si="17"/>
        <v/>
      </c>
      <c r="D245" s="41" t="s">
        <v>366</v>
      </c>
      <c r="E245" s="41">
        <v>80000426861003</v>
      </c>
      <c r="F245" s="41"/>
      <c r="G245" s="71"/>
      <c r="H245" s="41"/>
      <c r="I245" s="42"/>
      <c r="J245" s="41"/>
      <c r="K245" s="41"/>
      <c r="L245" s="43"/>
    </row>
    <row r="246" spans="2:12" hidden="1" outlineLevel="1">
      <c r="B246" s="46" t="str">
        <f t="shared" si="18"/>
        <v/>
      </c>
      <c r="C246" s="41" t="str">
        <f t="shared" si="17"/>
        <v/>
      </c>
      <c r="D246" s="41" t="s">
        <v>366</v>
      </c>
      <c r="E246" s="41" t="s">
        <v>665</v>
      </c>
      <c r="F246" s="41"/>
      <c r="G246" s="71"/>
      <c r="H246" s="41"/>
      <c r="I246" s="42"/>
      <c r="J246" s="41"/>
      <c r="K246" s="41"/>
      <c r="L246" s="43"/>
    </row>
    <row r="247" spans="2:12" hidden="1" outlineLevel="1">
      <c r="B247" s="46" t="str">
        <f t="shared" si="18"/>
        <v/>
      </c>
      <c r="C247" s="41" t="str">
        <f t="shared" si="17"/>
        <v/>
      </c>
      <c r="D247" s="41" t="s">
        <v>366</v>
      </c>
      <c r="E247" s="41" t="s">
        <v>666</v>
      </c>
      <c r="F247" s="41"/>
      <c r="G247" s="71"/>
      <c r="H247" s="41"/>
      <c r="I247" s="42"/>
      <c r="J247" s="41"/>
      <c r="K247" s="41"/>
      <c r="L247" s="43"/>
    </row>
    <row r="248" spans="2:12" hidden="1" outlineLevel="1">
      <c r="B248" s="46" t="str">
        <f t="shared" si="18"/>
        <v/>
      </c>
      <c r="C248" s="41" t="str">
        <f t="shared" si="17"/>
        <v/>
      </c>
      <c r="D248" s="41" t="s">
        <v>366</v>
      </c>
      <c r="E248" s="41">
        <v>80000426881001</v>
      </c>
      <c r="F248" s="41"/>
      <c r="G248" s="71"/>
      <c r="H248" s="41"/>
      <c r="I248" s="42"/>
      <c r="J248" s="41"/>
      <c r="K248" s="41"/>
      <c r="L248" s="43"/>
    </row>
    <row r="249" spans="2:12" hidden="1" outlineLevel="1">
      <c r="B249" s="46" t="str">
        <f t="shared" si="18"/>
        <v/>
      </c>
      <c r="C249" s="41" t="str">
        <f t="shared" si="17"/>
        <v/>
      </c>
      <c r="D249" s="41" t="s">
        <v>366</v>
      </c>
      <c r="E249" s="41" t="s">
        <v>667</v>
      </c>
      <c r="F249" s="41"/>
      <c r="G249" s="71"/>
      <c r="H249" s="41"/>
      <c r="I249" s="42"/>
      <c r="J249" s="41"/>
      <c r="K249" s="41"/>
      <c r="L249" s="43"/>
    </row>
    <row r="250" spans="2:12" hidden="1" outlineLevel="1">
      <c r="B250" s="46" t="str">
        <f t="shared" si="18"/>
        <v/>
      </c>
      <c r="C250" s="41" t="str">
        <f t="shared" si="17"/>
        <v/>
      </c>
      <c r="D250" s="41" t="s">
        <v>366</v>
      </c>
      <c r="E250" s="41" t="s">
        <v>668</v>
      </c>
      <c r="F250" s="41"/>
      <c r="G250" s="71"/>
      <c r="H250" s="41"/>
      <c r="I250" s="42"/>
      <c r="J250" s="41"/>
      <c r="K250" s="41"/>
      <c r="L250" s="43"/>
    </row>
    <row r="251" spans="2:12" hidden="1" outlineLevel="1">
      <c r="B251" s="46" t="str">
        <f t="shared" si="18"/>
        <v/>
      </c>
      <c r="C251" s="41" t="str">
        <f t="shared" si="17"/>
        <v/>
      </c>
      <c r="D251" s="41" t="s">
        <v>366</v>
      </c>
      <c r="E251" s="41" t="s">
        <v>669</v>
      </c>
      <c r="F251" s="41"/>
      <c r="G251" s="71"/>
      <c r="H251" s="41"/>
      <c r="I251" s="42"/>
      <c r="J251" s="41"/>
      <c r="K251" s="41"/>
      <c r="L251" s="43"/>
    </row>
    <row r="252" spans="2:12" hidden="1" outlineLevel="1">
      <c r="B252" s="46" t="str">
        <f t="shared" si="18"/>
        <v/>
      </c>
      <c r="C252" s="41" t="str">
        <f t="shared" si="17"/>
        <v/>
      </c>
      <c r="D252" s="41" t="s">
        <v>366</v>
      </c>
      <c r="E252" s="41" t="s">
        <v>670</v>
      </c>
      <c r="F252" s="41"/>
      <c r="G252" s="71"/>
      <c r="H252" s="41"/>
      <c r="I252" s="42"/>
      <c r="J252" s="41"/>
      <c r="K252" s="41"/>
      <c r="L252" s="43"/>
    </row>
    <row r="253" spans="2:12" hidden="1" outlineLevel="1">
      <c r="B253" s="46" t="str">
        <f t="shared" si="18"/>
        <v/>
      </c>
      <c r="C253" s="41" t="str">
        <f t="shared" si="17"/>
        <v/>
      </c>
      <c r="D253" s="41" t="s">
        <v>366</v>
      </c>
      <c r="E253" s="41" t="s">
        <v>671</v>
      </c>
      <c r="F253" s="41"/>
      <c r="G253" s="71"/>
      <c r="H253" s="41"/>
      <c r="I253" s="42"/>
      <c r="J253" s="41"/>
      <c r="K253" s="41"/>
      <c r="L253" s="43"/>
    </row>
    <row r="254" spans="2:12" hidden="1" outlineLevel="1">
      <c r="B254" s="46" t="str">
        <f t="shared" si="18"/>
        <v/>
      </c>
      <c r="C254" s="41" t="str">
        <f t="shared" si="17"/>
        <v/>
      </c>
      <c r="D254" s="41" t="s">
        <v>366</v>
      </c>
      <c r="E254" s="41" t="s">
        <v>672</v>
      </c>
      <c r="F254" s="41"/>
      <c r="G254" s="71"/>
      <c r="H254" s="41"/>
      <c r="I254" s="42"/>
      <c r="J254" s="41"/>
      <c r="K254" s="41"/>
      <c r="L254" s="43"/>
    </row>
    <row r="255" spans="2:12" hidden="1" outlineLevel="1">
      <c r="B255" s="46" t="str">
        <f>IF(C255="","",B254+1)</f>
        <v/>
      </c>
      <c r="C255" s="41" t="str">
        <f t="shared" si="17"/>
        <v/>
      </c>
      <c r="D255" s="41" t="s">
        <v>366</v>
      </c>
      <c r="E255" s="41" t="s">
        <v>673</v>
      </c>
      <c r="F255" s="41"/>
      <c r="G255" s="71"/>
      <c r="H255" s="41"/>
      <c r="I255" s="42"/>
      <c r="J255" s="41"/>
      <c r="K255" s="41"/>
      <c r="L255" s="43"/>
    </row>
    <row r="256" spans="2:12" hidden="1" outlineLevel="1">
      <c r="B256" s="46" t="str">
        <f t="shared" ref="B256:B278" si="19">IF(C256="","",B255+1)</f>
        <v/>
      </c>
      <c r="C256" s="41" t="str">
        <f t="shared" si="17"/>
        <v/>
      </c>
      <c r="D256" s="41" t="s">
        <v>366</v>
      </c>
      <c r="E256" s="41" t="s">
        <v>674</v>
      </c>
      <c r="F256" s="41"/>
      <c r="G256" s="71"/>
      <c r="H256" s="41"/>
      <c r="I256" s="42"/>
      <c r="J256" s="41"/>
      <c r="K256" s="41"/>
      <c r="L256" s="43"/>
    </row>
    <row r="257" spans="2:12" hidden="1" outlineLevel="1">
      <c r="B257" s="46" t="str">
        <f t="shared" si="19"/>
        <v/>
      </c>
      <c r="C257" s="41" t="str">
        <f t="shared" si="17"/>
        <v/>
      </c>
      <c r="D257" s="41" t="s">
        <v>366</v>
      </c>
      <c r="E257" s="41" t="s">
        <v>675</v>
      </c>
      <c r="F257" s="41"/>
      <c r="G257" s="71"/>
      <c r="H257" s="41"/>
      <c r="I257" s="42"/>
      <c r="J257" s="41"/>
      <c r="K257" s="41"/>
      <c r="L257" s="43"/>
    </row>
    <row r="258" spans="2:12" hidden="1" outlineLevel="1">
      <c r="B258" s="46" t="str">
        <f t="shared" si="19"/>
        <v/>
      </c>
      <c r="C258" s="41" t="str">
        <f t="shared" si="17"/>
        <v/>
      </c>
      <c r="D258" s="41" t="s">
        <v>366</v>
      </c>
      <c r="E258" s="41" t="s">
        <v>676</v>
      </c>
      <c r="F258" s="41"/>
      <c r="G258" s="71"/>
      <c r="H258" s="41"/>
      <c r="I258" s="42"/>
      <c r="J258" s="41"/>
      <c r="K258" s="41"/>
      <c r="L258" s="43"/>
    </row>
    <row r="259" spans="2:12" hidden="1" outlineLevel="1">
      <c r="B259" s="46" t="str">
        <f t="shared" si="19"/>
        <v/>
      </c>
      <c r="C259" s="41" t="str">
        <f t="shared" si="17"/>
        <v/>
      </c>
      <c r="D259" s="41" t="s">
        <v>366</v>
      </c>
      <c r="E259" s="41" t="s">
        <v>677</v>
      </c>
      <c r="F259" s="41"/>
      <c r="G259" s="71"/>
      <c r="H259" s="41"/>
      <c r="I259" s="42"/>
      <c r="J259" s="41"/>
      <c r="K259" s="41"/>
      <c r="L259" s="43"/>
    </row>
    <row r="260" spans="2:12" hidden="1" outlineLevel="1">
      <c r="B260" s="46" t="str">
        <f t="shared" si="19"/>
        <v/>
      </c>
      <c r="C260" s="41" t="str">
        <f t="shared" si="17"/>
        <v/>
      </c>
      <c r="D260" s="41" t="s">
        <v>366</v>
      </c>
      <c r="E260" s="41" t="s">
        <v>678</v>
      </c>
      <c r="F260" s="41"/>
      <c r="G260" s="71"/>
      <c r="H260" s="41"/>
      <c r="I260" s="42"/>
      <c r="J260" s="41"/>
      <c r="K260" s="41"/>
      <c r="L260" s="43"/>
    </row>
    <row r="261" spans="2:12" hidden="1" outlineLevel="1">
      <c r="B261" s="46" t="str">
        <f t="shared" si="19"/>
        <v/>
      </c>
      <c r="C261" s="41" t="str">
        <f t="shared" si="17"/>
        <v/>
      </c>
      <c r="D261" s="41" t="s">
        <v>366</v>
      </c>
      <c r="E261" s="41" t="s">
        <v>679</v>
      </c>
      <c r="F261" s="41"/>
      <c r="G261" s="71"/>
      <c r="H261" s="41"/>
      <c r="I261" s="42"/>
      <c r="J261" s="41"/>
      <c r="K261" s="41"/>
      <c r="L261" s="43"/>
    </row>
    <row r="262" spans="2:12" hidden="1" outlineLevel="1">
      <c r="B262" s="46" t="str">
        <f t="shared" si="19"/>
        <v/>
      </c>
      <c r="C262" s="41" t="str">
        <f t="shared" si="17"/>
        <v/>
      </c>
      <c r="D262" s="41" t="s">
        <v>366</v>
      </c>
      <c r="E262" s="41" t="s">
        <v>680</v>
      </c>
      <c r="F262" s="41"/>
      <c r="G262" s="71"/>
      <c r="H262" s="41"/>
      <c r="I262" s="42"/>
      <c r="J262" s="41"/>
      <c r="K262" s="41"/>
      <c r="L262" s="43"/>
    </row>
    <row r="263" spans="2:12" hidden="1" outlineLevel="1">
      <c r="B263" s="46" t="str">
        <f t="shared" si="19"/>
        <v/>
      </c>
      <c r="C263" s="41" t="str">
        <f t="shared" si="17"/>
        <v/>
      </c>
      <c r="D263" s="41" t="s">
        <v>366</v>
      </c>
      <c r="E263" s="41" t="s">
        <v>681</v>
      </c>
      <c r="F263" s="41"/>
      <c r="G263" s="71"/>
      <c r="H263" s="41"/>
      <c r="I263" s="42"/>
      <c r="J263" s="41"/>
      <c r="K263" s="41"/>
      <c r="L263" s="43"/>
    </row>
    <row r="264" spans="2:12" hidden="1" outlineLevel="1">
      <c r="B264" s="46" t="str">
        <f t="shared" si="19"/>
        <v/>
      </c>
      <c r="C264" s="41" t="str">
        <f t="shared" si="17"/>
        <v/>
      </c>
      <c r="D264" s="41" t="s">
        <v>366</v>
      </c>
      <c r="E264" s="41" t="s">
        <v>682</v>
      </c>
      <c r="F264" s="41"/>
      <c r="G264" s="71"/>
      <c r="H264" s="41"/>
      <c r="I264" s="42"/>
      <c r="J264" s="41"/>
      <c r="K264" s="41"/>
      <c r="L264" s="43"/>
    </row>
    <row r="265" spans="2:12" hidden="1" outlineLevel="1">
      <c r="B265" s="46" t="str">
        <f t="shared" si="19"/>
        <v/>
      </c>
      <c r="C265" s="41" t="str">
        <f t="shared" si="17"/>
        <v/>
      </c>
      <c r="D265" s="41" t="s">
        <v>366</v>
      </c>
      <c r="E265" s="41" t="s">
        <v>683</v>
      </c>
      <c r="F265" s="41"/>
      <c r="G265" s="71"/>
      <c r="H265" s="41"/>
      <c r="I265" s="42"/>
      <c r="J265" s="41"/>
      <c r="K265" s="41"/>
      <c r="L265" s="43"/>
    </row>
    <row r="266" spans="2:12" hidden="1" outlineLevel="1">
      <c r="B266" s="46" t="str">
        <f t="shared" si="19"/>
        <v/>
      </c>
      <c r="C266" s="41" t="str">
        <f t="shared" si="17"/>
        <v/>
      </c>
      <c r="D266" s="41" t="s">
        <v>366</v>
      </c>
      <c r="E266" s="41" t="s">
        <v>684</v>
      </c>
      <c r="F266" s="41"/>
      <c r="G266" s="71"/>
      <c r="H266" s="41"/>
      <c r="I266" s="42"/>
      <c r="J266" s="41"/>
      <c r="K266" s="41"/>
      <c r="L266" s="43"/>
    </row>
    <row r="267" spans="2:12" hidden="1" outlineLevel="1">
      <c r="B267" s="46" t="str">
        <f t="shared" si="19"/>
        <v/>
      </c>
      <c r="C267" s="41" t="str">
        <f t="shared" si="17"/>
        <v/>
      </c>
      <c r="D267" s="41" t="s">
        <v>366</v>
      </c>
      <c r="E267" s="41" t="s">
        <v>685</v>
      </c>
      <c r="F267" s="41"/>
      <c r="G267" s="71"/>
      <c r="H267" s="41"/>
      <c r="I267" s="42"/>
      <c r="J267" s="41"/>
      <c r="K267" s="41"/>
      <c r="L267" s="43"/>
    </row>
    <row r="268" spans="2:12" hidden="1" outlineLevel="1">
      <c r="B268" s="46" t="str">
        <f t="shared" si="19"/>
        <v/>
      </c>
      <c r="C268" s="41" t="str">
        <f t="shared" si="17"/>
        <v/>
      </c>
      <c r="D268" s="41" t="s">
        <v>366</v>
      </c>
      <c r="E268" s="41" t="s">
        <v>686</v>
      </c>
      <c r="F268" s="41"/>
      <c r="G268" s="71"/>
      <c r="H268" s="41"/>
      <c r="I268" s="42"/>
      <c r="J268" s="41"/>
      <c r="K268" s="41"/>
      <c r="L268" s="43"/>
    </row>
    <row r="269" spans="2:12" hidden="1" outlineLevel="1">
      <c r="B269" s="46" t="str">
        <f t="shared" si="19"/>
        <v/>
      </c>
      <c r="C269" s="41" t="str">
        <f t="shared" si="17"/>
        <v/>
      </c>
      <c r="D269" s="41" t="s">
        <v>366</v>
      </c>
      <c r="E269" s="41" t="s">
        <v>687</v>
      </c>
      <c r="F269" s="41"/>
      <c r="G269" s="71"/>
      <c r="H269" s="41"/>
      <c r="I269" s="42"/>
      <c r="J269" s="41"/>
      <c r="K269" s="41"/>
      <c r="L269" s="43"/>
    </row>
    <row r="270" spans="2:12" hidden="1" outlineLevel="1">
      <c r="B270" s="46" t="str">
        <f t="shared" si="19"/>
        <v/>
      </c>
      <c r="C270" s="41" t="str">
        <f t="shared" si="17"/>
        <v/>
      </c>
      <c r="D270" s="41" t="s">
        <v>366</v>
      </c>
      <c r="E270" s="41" t="s">
        <v>688</v>
      </c>
      <c r="F270" s="41"/>
      <c r="G270" s="71"/>
      <c r="H270" s="41"/>
      <c r="I270" s="42"/>
      <c r="J270" s="41"/>
      <c r="K270" s="41"/>
      <c r="L270" s="43"/>
    </row>
    <row r="271" spans="2:12" hidden="1" outlineLevel="1">
      <c r="B271" s="46" t="str">
        <f t="shared" si="19"/>
        <v/>
      </c>
      <c r="C271" s="41" t="str">
        <f t="shared" si="17"/>
        <v/>
      </c>
      <c r="D271" s="41" t="s">
        <v>366</v>
      </c>
      <c r="E271" s="41" t="s">
        <v>689</v>
      </c>
      <c r="F271" s="41"/>
      <c r="G271" s="71"/>
      <c r="H271" s="41"/>
      <c r="I271" s="42"/>
      <c r="J271" s="41"/>
      <c r="K271" s="41"/>
      <c r="L271" s="43"/>
    </row>
    <row r="272" spans="2:12" hidden="1" outlineLevel="1">
      <c r="B272" s="46" t="str">
        <f t="shared" si="19"/>
        <v/>
      </c>
      <c r="C272" s="41" t="str">
        <f t="shared" si="17"/>
        <v/>
      </c>
      <c r="D272" s="41" t="s">
        <v>366</v>
      </c>
      <c r="E272" s="41">
        <v>18553</v>
      </c>
      <c r="F272" s="41"/>
      <c r="G272" s="71"/>
      <c r="H272" s="41"/>
      <c r="I272" s="42"/>
      <c r="J272" s="41"/>
      <c r="K272" s="41"/>
      <c r="L272" s="43"/>
    </row>
    <row r="273" spans="2:12" hidden="1" outlineLevel="1">
      <c r="B273" s="46" t="str">
        <f t="shared" si="19"/>
        <v/>
      </c>
      <c r="C273" s="41" t="str">
        <f t="shared" si="17"/>
        <v/>
      </c>
      <c r="D273" s="41" t="s">
        <v>366</v>
      </c>
      <c r="E273" s="41">
        <v>18552</v>
      </c>
      <c r="F273" s="41"/>
      <c r="G273" s="71"/>
      <c r="H273" s="41"/>
      <c r="I273" s="42"/>
      <c r="J273" s="41"/>
      <c r="K273" s="41"/>
      <c r="L273" s="43"/>
    </row>
    <row r="274" spans="2:12" hidden="1" outlineLevel="1">
      <c r="B274" s="46" t="str">
        <f t="shared" si="19"/>
        <v/>
      </c>
      <c r="C274" s="41" t="str">
        <f t="shared" si="17"/>
        <v/>
      </c>
      <c r="D274" s="41" t="s">
        <v>366</v>
      </c>
      <c r="E274" s="41">
        <v>18554</v>
      </c>
      <c r="F274" s="41"/>
      <c r="G274" s="71"/>
      <c r="H274" s="41"/>
      <c r="I274" s="42"/>
      <c r="J274" s="41"/>
      <c r="K274" s="41"/>
      <c r="L274" s="43"/>
    </row>
    <row r="275" spans="2:12" hidden="1" outlineLevel="1">
      <c r="B275" s="46" t="str">
        <f t="shared" si="19"/>
        <v/>
      </c>
      <c r="C275" s="41" t="str">
        <f t="shared" si="17"/>
        <v/>
      </c>
      <c r="D275" s="41" t="s">
        <v>366</v>
      </c>
      <c r="E275" s="41" t="s">
        <v>690</v>
      </c>
      <c r="F275" s="41"/>
      <c r="G275" s="71"/>
      <c r="H275" s="41"/>
      <c r="I275" s="42"/>
      <c r="J275" s="41"/>
      <c r="K275" s="41"/>
      <c r="L275" s="43"/>
    </row>
    <row r="276" spans="2:12" hidden="1" outlineLevel="1">
      <c r="B276" s="46" t="str">
        <f t="shared" si="19"/>
        <v/>
      </c>
      <c r="C276" s="41" t="str">
        <f t="shared" si="17"/>
        <v/>
      </c>
      <c r="D276" s="41" t="s">
        <v>366</v>
      </c>
      <c r="E276" s="41">
        <v>3188</v>
      </c>
      <c r="F276" s="41"/>
      <c r="G276" s="71"/>
      <c r="H276" s="41"/>
      <c r="I276" s="42"/>
      <c r="J276" s="41"/>
      <c r="K276" s="41"/>
      <c r="L276" s="43"/>
    </row>
    <row r="277" spans="2:12" hidden="1" outlineLevel="1">
      <c r="B277" s="46" t="str">
        <f t="shared" si="19"/>
        <v/>
      </c>
      <c r="C277" s="41" t="str">
        <f t="shared" si="17"/>
        <v/>
      </c>
      <c r="D277" s="41" t="s">
        <v>366</v>
      </c>
      <c r="E277" s="41">
        <v>1038</v>
      </c>
      <c r="F277" s="41"/>
      <c r="G277" s="71"/>
      <c r="H277" s="41"/>
      <c r="I277" s="42"/>
      <c r="J277" s="41"/>
      <c r="K277" s="41"/>
      <c r="L277" s="43"/>
    </row>
    <row r="278" spans="2:12" hidden="1" outlineLevel="1">
      <c r="B278" s="46" t="str">
        <f t="shared" si="19"/>
        <v/>
      </c>
      <c r="C278" s="41" t="str">
        <f t="shared" si="17"/>
        <v/>
      </c>
      <c r="D278" s="41" t="s">
        <v>366</v>
      </c>
      <c r="E278" s="41" t="s">
        <v>691</v>
      </c>
      <c r="F278" s="41"/>
      <c r="G278" s="71"/>
      <c r="H278" s="41"/>
      <c r="I278" s="42"/>
      <c r="J278" s="41"/>
      <c r="K278" s="41"/>
      <c r="L278" s="43"/>
    </row>
    <row r="279" spans="2:12" hidden="1" outlineLevel="1">
      <c r="B279" s="46" t="str">
        <f>IF(C279="","",B278+1)</f>
        <v/>
      </c>
      <c r="C279" s="41" t="str">
        <f t="shared" si="17"/>
        <v/>
      </c>
      <c r="D279" s="41" t="s">
        <v>366</v>
      </c>
      <c r="E279" s="58">
        <v>8000060000000</v>
      </c>
      <c r="F279" s="41"/>
      <c r="G279" s="71"/>
      <c r="H279" s="41"/>
      <c r="I279" s="42"/>
      <c r="J279" s="41"/>
      <c r="K279" s="41"/>
      <c r="L279" s="43"/>
    </row>
    <row r="280" spans="2:12" hidden="1" outlineLevel="1">
      <c r="B280" s="46" t="str">
        <f t="shared" ref="B280:B299" si="20">IF(C280="","",B279+1)</f>
        <v/>
      </c>
      <c r="C280" s="41" t="str">
        <f t="shared" si="17"/>
        <v/>
      </c>
      <c r="D280" s="41" t="s">
        <v>366</v>
      </c>
      <c r="E280" s="58">
        <v>8000060000000</v>
      </c>
      <c r="F280" s="41"/>
      <c r="G280" s="71"/>
      <c r="H280" s="41"/>
      <c r="I280" s="42"/>
      <c r="J280" s="41"/>
      <c r="K280" s="41"/>
      <c r="L280" s="43"/>
    </row>
    <row r="281" spans="2:12" hidden="1" outlineLevel="1">
      <c r="B281" s="46" t="str">
        <f t="shared" si="20"/>
        <v/>
      </c>
      <c r="C281" s="41" t="str">
        <f t="shared" si="17"/>
        <v/>
      </c>
      <c r="D281" s="41" t="s">
        <v>366</v>
      </c>
      <c r="E281" s="41" t="s">
        <v>692</v>
      </c>
      <c r="F281" s="41"/>
      <c r="G281" s="71"/>
      <c r="H281" s="41"/>
      <c r="I281" s="42"/>
      <c r="J281" s="41"/>
      <c r="K281" s="41"/>
      <c r="L281" s="43"/>
    </row>
    <row r="282" spans="2:12" hidden="1" outlineLevel="1">
      <c r="B282" s="46" t="str">
        <f t="shared" si="20"/>
        <v/>
      </c>
      <c r="C282" s="41" t="str">
        <f t="shared" si="17"/>
        <v/>
      </c>
      <c r="D282" s="41" t="s">
        <v>366</v>
      </c>
      <c r="E282" s="41" t="s">
        <v>693</v>
      </c>
      <c r="F282" s="41"/>
      <c r="G282" s="71"/>
      <c r="H282" s="41"/>
      <c r="I282" s="42"/>
      <c r="J282" s="41"/>
      <c r="K282" s="41"/>
      <c r="L282" s="43"/>
    </row>
    <row r="283" spans="2:12" hidden="1" outlineLevel="1">
      <c r="B283" s="46" t="str">
        <f t="shared" si="20"/>
        <v/>
      </c>
      <c r="C283" s="41" t="str">
        <f t="shared" si="17"/>
        <v/>
      </c>
      <c r="D283" s="41" t="s">
        <v>366</v>
      </c>
      <c r="E283" s="41" t="s">
        <v>694</v>
      </c>
      <c r="F283" s="41"/>
      <c r="G283" s="71"/>
      <c r="H283" s="41"/>
      <c r="I283" s="42"/>
      <c r="J283" s="41"/>
      <c r="K283" s="41"/>
      <c r="L283" s="43"/>
    </row>
    <row r="284" spans="2:12" hidden="1" outlineLevel="1">
      <c r="B284" s="46" t="str">
        <f t="shared" si="20"/>
        <v/>
      </c>
      <c r="C284" s="41" t="str">
        <f t="shared" si="17"/>
        <v/>
      </c>
      <c r="D284" s="41" t="s">
        <v>366</v>
      </c>
      <c r="E284" s="41" t="s">
        <v>695</v>
      </c>
      <c r="F284" s="41"/>
      <c r="G284" s="71"/>
      <c r="H284" s="41"/>
      <c r="I284" s="42"/>
      <c r="J284" s="41"/>
      <c r="K284" s="41"/>
      <c r="L284" s="43"/>
    </row>
    <row r="285" spans="2:12" hidden="1" outlineLevel="1">
      <c r="B285" s="46" t="str">
        <f t="shared" si="20"/>
        <v/>
      </c>
      <c r="C285" s="41" t="str">
        <f t="shared" ref="C285:C321" si="21">IF(G285="","",IF(G285="SEM DATA",$B$86,IF(G285&gt;DATE(1988,12,31),$B$85,IF(G285&lt;=DATE(1988,12,31),$B$84,""))))</f>
        <v/>
      </c>
      <c r="D285" s="41" t="s">
        <v>366</v>
      </c>
      <c r="E285" s="41">
        <v>14824</v>
      </c>
      <c r="F285" s="41"/>
      <c r="G285" s="71"/>
      <c r="H285" s="41"/>
      <c r="I285" s="42"/>
      <c r="J285" s="41"/>
      <c r="K285" s="41"/>
      <c r="L285" s="43"/>
    </row>
    <row r="286" spans="2:12" hidden="1" outlineLevel="1">
      <c r="B286" s="46" t="str">
        <f t="shared" si="20"/>
        <v/>
      </c>
      <c r="C286" s="41" t="str">
        <f t="shared" si="21"/>
        <v/>
      </c>
      <c r="D286" s="41" t="s">
        <v>366</v>
      </c>
      <c r="E286" s="41">
        <v>14826</v>
      </c>
      <c r="F286" s="41"/>
      <c r="G286" s="71"/>
      <c r="H286" s="41"/>
      <c r="I286" s="42"/>
      <c r="J286" s="41"/>
      <c r="K286" s="41"/>
      <c r="L286" s="43"/>
    </row>
    <row r="287" spans="2:12" hidden="1" outlineLevel="1">
      <c r="B287" s="46" t="str">
        <f t="shared" si="20"/>
        <v/>
      </c>
      <c r="C287" s="41" t="str">
        <f t="shared" si="21"/>
        <v/>
      </c>
      <c r="D287" s="41" t="s">
        <v>366</v>
      </c>
      <c r="E287" s="41">
        <v>14828</v>
      </c>
      <c r="F287" s="41"/>
      <c r="G287" s="71"/>
      <c r="H287" s="41"/>
      <c r="I287" s="42"/>
      <c r="J287" s="41"/>
      <c r="K287" s="41"/>
      <c r="L287" s="43"/>
    </row>
    <row r="288" spans="2:12" hidden="1" outlineLevel="1">
      <c r="B288" s="46" t="str">
        <f t="shared" si="20"/>
        <v/>
      </c>
      <c r="C288" s="41" t="str">
        <f t="shared" si="21"/>
        <v/>
      </c>
      <c r="D288" s="41" t="s">
        <v>366</v>
      </c>
      <c r="E288" s="41">
        <v>1303000182</v>
      </c>
      <c r="F288" s="41"/>
      <c r="G288" s="71"/>
      <c r="H288" s="41"/>
      <c r="I288" s="42"/>
      <c r="J288" s="41"/>
      <c r="K288" s="41"/>
      <c r="L288" s="43"/>
    </row>
    <row r="289" spans="2:12" hidden="1" outlineLevel="1">
      <c r="B289" s="46" t="str">
        <f t="shared" si="20"/>
        <v/>
      </c>
      <c r="C289" s="41" t="str">
        <f t="shared" si="21"/>
        <v/>
      </c>
      <c r="D289" s="41" t="s">
        <v>366</v>
      </c>
      <c r="E289" s="41">
        <v>1303000202</v>
      </c>
      <c r="F289" s="41"/>
      <c r="G289" s="71"/>
      <c r="H289" s="41"/>
      <c r="I289" s="42"/>
      <c r="J289" s="41"/>
      <c r="K289" s="41"/>
      <c r="L289" s="43"/>
    </row>
    <row r="290" spans="2:12" hidden="1" outlineLevel="1">
      <c r="B290" s="46" t="str">
        <f t="shared" si="20"/>
        <v/>
      </c>
      <c r="C290" s="41" t="str">
        <f t="shared" si="21"/>
        <v/>
      </c>
      <c r="D290" s="41" t="s">
        <v>366</v>
      </c>
      <c r="E290" s="41">
        <v>1303000197</v>
      </c>
      <c r="F290" s="41"/>
      <c r="G290" s="71"/>
      <c r="H290" s="41"/>
      <c r="I290" s="42"/>
      <c r="J290" s="41"/>
      <c r="K290" s="41"/>
      <c r="L290" s="43"/>
    </row>
    <row r="291" spans="2:12" hidden="1" outlineLevel="1">
      <c r="B291" s="46" t="str">
        <f t="shared" si="20"/>
        <v/>
      </c>
      <c r="C291" s="41" t="str">
        <f t="shared" si="21"/>
        <v/>
      </c>
      <c r="D291" s="41" t="s">
        <v>366</v>
      </c>
      <c r="E291" s="41">
        <v>16578</v>
      </c>
      <c r="F291" s="41"/>
      <c r="G291" s="71"/>
      <c r="H291" s="41"/>
      <c r="I291" s="42"/>
      <c r="J291" s="41"/>
      <c r="K291" s="41"/>
      <c r="L291" s="43"/>
    </row>
    <row r="292" spans="2:12" hidden="1" outlineLevel="1">
      <c r="B292" s="46" t="str">
        <f t="shared" si="20"/>
        <v/>
      </c>
      <c r="C292" s="41" t="str">
        <f t="shared" si="21"/>
        <v/>
      </c>
      <c r="D292" s="41" t="s">
        <v>366</v>
      </c>
      <c r="E292" s="41">
        <v>16579</v>
      </c>
      <c r="F292" s="41"/>
      <c r="G292" s="71"/>
      <c r="H292" s="41"/>
      <c r="I292" s="42"/>
      <c r="J292" s="41"/>
      <c r="K292" s="41"/>
      <c r="L292" s="43"/>
    </row>
    <row r="293" spans="2:12" hidden="1" outlineLevel="1">
      <c r="B293" s="46" t="str">
        <f t="shared" si="20"/>
        <v/>
      </c>
      <c r="C293" s="41" t="str">
        <f t="shared" si="21"/>
        <v/>
      </c>
      <c r="D293" s="41" t="s">
        <v>366</v>
      </c>
      <c r="E293" s="41">
        <v>16587</v>
      </c>
      <c r="F293" s="41"/>
      <c r="G293" s="71"/>
      <c r="H293" s="41"/>
      <c r="I293" s="42"/>
      <c r="J293" s="41"/>
      <c r="K293" s="41"/>
      <c r="L293" s="43"/>
    </row>
    <row r="294" spans="2:12" hidden="1" outlineLevel="1">
      <c r="B294" s="46" t="str">
        <f t="shared" si="20"/>
        <v/>
      </c>
      <c r="C294" s="41" t="str">
        <f t="shared" si="21"/>
        <v/>
      </c>
      <c r="D294" s="41" t="s">
        <v>366</v>
      </c>
      <c r="E294" s="41"/>
      <c r="F294" s="41"/>
      <c r="G294" s="71"/>
      <c r="H294" s="41"/>
      <c r="I294" s="42"/>
      <c r="J294" s="41"/>
      <c r="K294" s="41"/>
      <c r="L294" s="43"/>
    </row>
    <row r="295" spans="2:12" hidden="1" outlineLevel="1">
      <c r="B295" s="46" t="str">
        <f t="shared" si="20"/>
        <v/>
      </c>
      <c r="C295" s="41" t="str">
        <f t="shared" si="21"/>
        <v/>
      </c>
      <c r="D295" s="41" t="s">
        <v>366</v>
      </c>
      <c r="E295" s="41" t="s">
        <v>696</v>
      </c>
      <c r="F295" s="41"/>
      <c r="G295" s="71"/>
      <c r="H295" s="41"/>
      <c r="I295" s="42"/>
      <c r="J295" s="41"/>
      <c r="K295" s="41"/>
      <c r="L295" s="43"/>
    </row>
    <row r="296" spans="2:12" hidden="1" outlineLevel="1">
      <c r="B296" s="46" t="str">
        <f t="shared" si="20"/>
        <v/>
      </c>
      <c r="C296" s="41" t="str">
        <f t="shared" si="21"/>
        <v/>
      </c>
      <c r="D296" s="41" t="s">
        <v>366</v>
      </c>
      <c r="E296" s="41" t="s">
        <v>697</v>
      </c>
      <c r="F296" s="41"/>
      <c r="G296" s="71"/>
      <c r="H296" s="41"/>
      <c r="I296" s="42"/>
      <c r="J296" s="41"/>
      <c r="K296" s="41"/>
      <c r="L296" s="43"/>
    </row>
    <row r="297" spans="2:12" hidden="1" outlineLevel="1">
      <c r="B297" s="46" t="str">
        <f t="shared" si="20"/>
        <v/>
      </c>
      <c r="C297" s="41" t="str">
        <f t="shared" si="21"/>
        <v/>
      </c>
      <c r="D297" s="41" t="s">
        <v>366</v>
      </c>
      <c r="E297" s="41"/>
      <c r="F297" s="41"/>
      <c r="G297" s="71"/>
      <c r="H297" s="41"/>
      <c r="I297" s="42"/>
      <c r="J297" s="41"/>
      <c r="K297" s="41"/>
      <c r="L297" s="43"/>
    </row>
    <row r="298" spans="2:12" hidden="1" outlineLevel="1">
      <c r="B298" s="46" t="str">
        <f t="shared" si="20"/>
        <v/>
      </c>
      <c r="C298" s="41" t="str">
        <f t="shared" si="21"/>
        <v/>
      </c>
      <c r="D298" s="41" t="s">
        <v>366</v>
      </c>
      <c r="E298" s="41" t="s">
        <v>698</v>
      </c>
      <c r="F298" s="41"/>
      <c r="G298" s="71"/>
      <c r="H298" s="41"/>
      <c r="I298" s="42"/>
      <c r="J298" s="41"/>
      <c r="K298" s="41"/>
      <c r="L298" s="43"/>
    </row>
    <row r="299" spans="2:12" hidden="1" outlineLevel="1">
      <c r="B299" s="46" t="str">
        <f t="shared" si="20"/>
        <v/>
      </c>
      <c r="C299" s="41" t="str">
        <f t="shared" si="21"/>
        <v/>
      </c>
      <c r="D299" s="41" t="s">
        <v>366</v>
      </c>
      <c r="E299" s="41" t="s">
        <v>699</v>
      </c>
      <c r="F299" s="41"/>
      <c r="G299" s="71"/>
      <c r="H299" s="41"/>
      <c r="I299" s="42"/>
      <c r="J299" s="41"/>
      <c r="K299" s="41"/>
      <c r="L299" s="43"/>
    </row>
    <row r="300" spans="2:12" hidden="1" outlineLevel="1">
      <c r="B300" s="46" t="str">
        <f>IF(C300="","",B299+1)</f>
        <v/>
      </c>
      <c r="C300" s="41" t="str">
        <f t="shared" si="21"/>
        <v/>
      </c>
      <c r="D300" s="41" t="s">
        <v>366</v>
      </c>
      <c r="E300" s="41" t="s">
        <v>700</v>
      </c>
      <c r="F300" s="41"/>
      <c r="G300" s="71"/>
      <c r="H300" s="41"/>
      <c r="I300" s="42"/>
      <c r="J300" s="41"/>
      <c r="K300" s="41"/>
      <c r="L300" s="43"/>
    </row>
    <row r="301" spans="2:12" hidden="1" outlineLevel="1">
      <c r="B301" s="46" t="str">
        <f t="shared" ref="B301:B315" si="22">IF(C301="","",B300+1)</f>
        <v/>
      </c>
      <c r="C301" s="41" t="str">
        <f t="shared" si="21"/>
        <v/>
      </c>
      <c r="D301" s="41" t="s">
        <v>366</v>
      </c>
      <c r="E301" s="41" t="s">
        <v>701</v>
      </c>
      <c r="F301" s="41"/>
      <c r="G301" s="71"/>
      <c r="H301" s="41"/>
      <c r="I301" s="42"/>
      <c r="J301" s="41"/>
      <c r="K301" s="41"/>
      <c r="L301" s="43"/>
    </row>
    <row r="302" spans="2:12" hidden="1" outlineLevel="1">
      <c r="B302" s="46" t="str">
        <f t="shared" si="22"/>
        <v/>
      </c>
      <c r="C302" s="41" t="str">
        <f t="shared" si="21"/>
        <v/>
      </c>
      <c r="D302" s="41" t="s">
        <v>366</v>
      </c>
      <c r="E302" s="41" t="s">
        <v>702</v>
      </c>
      <c r="F302" s="41"/>
      <c r="G302" s="71"/>
      <c r="H302" s="41"/>
      <c r="I302" s="42"/>
      <c r="J302" s="41"/>
      <c r="K302" s="41"/>
      <c r="L302" s="43"/>
    </row>
    <row r="303" spans="2:12" hidden="1" outlineLevel="1">
      <c r="B303" s="46" t="str">
        <f t="shared" si="22"/>
        <v/>
      </c>
      <c r="C303" s="41" t="str">
        <f t="shared" si="21"/>
        <v/>
      </c>
      <c r="D303" s="41" t="s">
        <v>366</v>
      </c>
      <c r="E303" s="41" t="s">
        <v>703</v>
      </c>
      <c r="F303" s="41"/>
      <c r="G303" s="71"/>
      <c r="H303" s="41"/>
      <c r="I303" s="42"/>
      <c r="J303" s="41"/>
      <c r="K303" s="41"/>
      <c r="L303" s="43"/>
    </row>
    <row r="304" spans="2:12" hidden="1" outlineLevel="1">
      <c r="B304" s="46" t="str">
        <f t="shared" si="22"/>
        <v/>
      </c>
      <c r="C304" s="41" t="str">
        <f t="shared" si="21"/>
        <v/>
      </c>
      <c r="D304" s="41" t="s">
        <v>366</v>
      </c>
      <c r="E304" s="41" t="s">
        <v>704</v>
      </c>
      <c r="F304" s="41"/>
      <c r="G304" s="71"/>
      <c r="H304" s="41"/>
      <c r="I304" s="42"/>
      <c r="J304" s="41"/>
      <c r="K304" s="41"/>
      <c r="L304" s="43"/>
    </row>
    <row r="305" spans="2:12" hidden="1" outlineLevel="1">
      <c r="B305" s="46" t="str">
        <f t="shared" si="22"/>
        <v/>
      </c>
      <c r="C305" s="41" t="str">
        <f t="shared" si="21"/>
        <v/>
      </c>
      <c r="D305" s="41" t="s">
        <v>366</v>
      </c>
      <c r="E305" s="41" t="s">
        <v>705</v>
      </c>
      <c r="F305" s="41"/>
      <c r="G305" s="71"/>
      <c r="H305" s="41"/>
      <c r="I305" s="42"/>
      <c r="J305" s="41"/>
      <c r="K305" s="41"/>
      <c r="L305" s="43"/>
    </row>
    <row r="306" spans="2:12" hidden="1" outlineLevel="1">
      <c r="B306" s="46" t="str">
        <f t="shared" si="22"/>
        <v/>
      </c>
      <c r="C306" s="41" t="str">
        <f t="shared" si="21"/>
        <v/>
      </c>
      <c r="D306" s="41" t="s">
        <v>366</v>
      </c>
      <c r="E306" s="41" t="s">
        <v>706</v>
      </c>
      <c r="F306" s="41"/>
      <c r="G306" s="71"/>
      <c r="H306" s="41"/>
      <c r="I306" s="42"/>
      <c r="J306" s="41"/>
      <c r="K306" s="41"/>
      <c r="L306" s="43"/>
    </row>
    <row r="307" spans="2:12" hidden="1" outlineLevel="1">
      <c r="B307" s="46" t="str">
        <f t="shared" si="22"/>
        <v/>
      </c>
      <c r="C307" s="41" t="str">
        <f t="shared" si="21"/>
        <v/>
      </c>
      <c r="D307" s="41" t="s">
        <v>366</v>
      </c>
      <c r="E307" s="41">
        <v>16596</v>
      </c>
      <c r="F307" s="41"/>
      <c r="G307" s="71"/>
      <c r="H307" s="41"/>
      <c r="I307" s="42"/>
      <c r="J307" s="41"/>
      <c r="K307" s="41"/>
      <c r="L307" s="43"/>
    </row>
    <row r="308" spans="2:12" hidden="1" outlineLevel="1">
      <c r="B308" s="46" t="str">
        <f t="shared" si="22"/>
        <v/>
      </c>
      <c r="C308" s="41" t="str">
        <f t="shared" si="21"/>
        <v/>
      </c>
      <c r="D308" s="41" t="s">
        <v>366</v>
      </c>
      <c r="E308" s="41">
        <v>16580</v>
      </c>
      <c r="F308" s="41"/>
      <c r="G308" s="71"/>
      <c r="H308" s="41"/>
      <c r="I308" s="42"/>
      <c r="J308" s="41"/>
      <c r="K308" s="41"/>
      <c r="L308" s="43"/>
    </row>
    <row r="309" spans="2:12" hidden="1" outlineLevel="1">
      <c r="B309" s="46" t="str">
        <f t="shared" si="22"/>
        <v/>
      </c>
      <c r="C309" s="41" t="str">
        <f t="shared" si="21"/>
        <v/>
      </c>
      <c r="D309" s="41" t="s">
        <v>366</v>
      </c>
      <c r="E309" s="41">
        <v>16594</v>
      </c>
      <c r="F309" s="41"/>
      <c r="G309" s="71"/>
      <c r="H309" s="41"/>
      <c r="I309" s="42"/>
      <c r="J309" s="41"/>
      <c r="K309" s="41"/>
      <c r="L309" s="43"/>
    </row>
    <row r="310" spans="2:12" hidden="1" outlineLevel="1">
      <c r="B310" s="46" t="str">
        <f t="shared" si="22"/>
        <v/>
      </c>
      <c r="C310" s="41" t="str">
        <f t="shared" si="21"/>
        <v/>
      </c>
      <c r="D310" s="41" t="s">
        <v>366</v>
      </c>
      <c r="E310" s="41" t="s">
        <v>707</v>
      </c>
      <c r="F310" s="41"/>
      <c r="G310" s="71"/>
      <c r="H310" s="41"/>
      <c r="I310" s="42"/>
      <c r="J310" s="41"/>
      <c r="K310" s="41"/>
      <c r="L310" s="43"/>
    </row>
    <row r="311" spans="2:12" hidden="1" outlineLevel="1">
      <c r="B311" s="46" t="str">
        <f t="shared" si="22"/>
        <v/>
      </c>
      <c r="C311" s="41" t="str">
        <f t="shared" si="21"/>
        <v/>
      </c>
      <c r="D311" s="41" t="s">
        <v>366</v>
      </c>
      <c r="E311" s="41" t="s">
        <v>708</v>
      </c>
      <c r="F311" s="41"/>
      <c r="G311" s="71"/>
      <c r="H311" s="41"/>
      <c r="I311" s="42"/>
      <c r="J311" s="41"/>
      <c r="K311" s="41"/>
      <c r="L311" s="43"/>
    </row>
    <row r="312" spans="2:12" hidden="1" outlineLevel="1">
      <c r="B312" s="46" t="str">
        <f t="shared" si="22"/>
        <v/>
      </c>
      <c r="C312" s="41" t="str">
        <f t="shared" si="21"/>
        <v/>
      </c>
      <c r="D312" s="41" t="s">
        <v>366</v>
      </c>
      <c r="E312" s="41">
        <v>80000426835001</v>
      </c>
      <c r="F312" s="41"/>
      <c r="G312" s="71"/>
      <c r="H312" s="41"/>
      <c r="I312" s="42"/>
      <c r="J312" s="41"/>
      <c r="K312" s="41"/>
      <c r="L312" s="43"/>
    </row>
    <row r="313" spans="2:12" hidden="1" outlineLevel="1">
      <c r="B313" s="46" t="str">
        <f t="shared" si="22"/>
        <v/>
      </c>
      <c r="C313" s="41" t="str">
        <f t="shared" si="21"/>
        <v/>
      </c>
      <c r="D313" s="41" t="s">
        <v>366</v>
      </c>
      <c r="E313" s="41" t="s">
        <v>709</v>
      </c>
      <c r="F313" s="41"/>
      <c r="G313" s="71"/>
      <c r="H313" s="41"/>
      <c r="I313" s="42"/>
      <c r="J313" s="41"/>
      <c r="K313" s="41"/>
      <c r="L313" s="43"/>
    </row>
    <row r="314" spans="2:12" hidden="1" outlineLevel="1">
      <c r="B314" s="46" t="str">
        <f t="shared" si="22"/>
        <v/>
      </c>
      <c r="C314" s="41" t="str">
        <f t="shared" si="21"/>
        <v/>
      </c>
      <c r="D314" s="41" t="s">
        <v>366</v>
      </c>
      <c r="E314" s="41" t="s">
        <v>710</v>
      </c>
      <c r="F314" s="41"/>
      <c r="G314" s="71"/>
      <c r="H314" s="41"/>
      <c r="I314" s="42"/>
      <c r="J314" s="41"/>
      <c r="K314" s="41"/>
      <c r="L314" s="43"/>
    </row>
    <row r="315" spans="2:12" hidden="1" outlineLevel="1">
      <c r="B315" s="46" t="str">
        <f t="shared" si="22"/>
        <v/>
      </c>
      <c r="C315" s="41" t="str">
        <f t="shared" si="21"/>
        <v/>
      </c>
      <c r="D315" s="41" t="s">
        <v>366</v>
      </c>
      <c r="E315" s="41" t="s">
        <v>711</v>
      </c>
      <c r="F315" s="41"/>
      <c r="G315" s="71"/>
      <c r="H315" s="41"/>
      <c r="I315" s="42"/>
      <c r="J315" s="41"/>
      <c r="K315" s="41"/>
      <c r="L315" s="43"/>
    </row>
    <row r="316" spans="2:12" hidden="1" outlineLevel="1">
      <c r="B316" s="46" t="str">
        <f>IF(C316="","",B315+1)</f>
        <v/>
      </c>
      <c r="C316" s="41" t="str">
        <f t="shared" si="21"/>
        <v/>
      </c>
      <c r="D316" s="41" t="s">
        <v>366</v>
      </c>
      <c r="E316" s="41" t="s">
        <v>712</v>
      </c>
      <c r="F316" s="41"/>
      <c r="G316" s="71"/>
      <c r="H316" s="41"/>
      <c r="I316" s="42"/>
      <c r="J316" s="41"/>
      <c r="K316" s="41"/>
      <c r="L316" s="43"/>
    </row>
    <row r="317" spans="2:12" hidden="1" outlineLevel="1">
      <c r="B317" s="46" t="str">
        <f t="shared" ref="B317:B338" si="23">IF(C317="","",B316+1)</f>
        <v/>
      </c>
      <c r="C317" s="41" t="str">
        <f t="shared" si="21"/>
        <v/>
      </c>
      <c r="D317" s="41" t="s">
        <v>366</v>
      </c>
      <c r="E317" s="41" t="s">
        <v>713</v>
      </c>
      <c r="F317" s="41"/>
      <c r="G317" s="71"/>
      <c r="H317" s="41"/>
      <c r="I317" s="42"/>
      <c r="J317" s="41"/>
      <c r="K317" s="41"/>
      <c r="L317" s="43"/>
    </row>
    <row r="318" spans="2:12" hidden="1" outlineLevel="1">
      <c r="B318" s="46" t="str">
        <f t="shared" si="23"/>
        <v/>
      </c>
      <c r="C318" s="41" t="str">
        <f t="shared" si="21"/>
        <v/>
      </c>
      <c r="D318" s="41" t="s">
        <v>366</v>
      </c>
      <c r="E318" s="41" t="s">
        <v>714</v>
      </c>
      <c r="F318" s="41"/>
      <c r="G318" s="71"/>
      <c r="H318" s="41"/>
      <c r="I318" s="42"/>
      <c r="J318" s="41"/>
      <c r="K318" s="41"/>
      <c r="L318" s="43"/>
    </row>
    <row r="319" spans="2:12" hidden="1" outlineLevel="1">
      <c r="B319" s="46" t="str">
        <f t="shared" si="23"/>
        <v/>
      </c>
      <c r="C319" s="41" t="str">
        <f t="shared" si="21"/>
        <v/>
      </c>
      <c r="D319" s="41" t="s">
        <v>366</v>
      </c>
      <c r="E319" s="41" t="s">
        <v>715</v>
      </c>
      <c r="F319" s="41"/>
      <c r="G319" s="71"/>
      <c r="H319" s="41"/>
      <c r="I319" s="42"/>
      <c r="J319" s="41"/>
      <c r="K319" s="41"/>
      <c r="L319" s="43"/>
    </row>
    <row r="320" spans="2:12" hidden="1" outlineLevel="1">
      <c r="B320" s="46" t="str">
        <f t="shared" si="23"/>
        <v/>
      </c>
      <c r="C320" s="41" t="str">
        <f t="shared" si="21"/>
        <v/>
      </c>
      <c r="D320" s="41" t="s">
        <v>366</v>
      </c>
      <c r="E320" s="41" t="s">
        <v>716</v>
      </c>
      <c r="F320" s="41"/>
      <c r="G320" s="71"/>
      <c r="H320" s="41"/>
      <c r="I320" s="42"/>
      <c r="J320" s="41"/>
      <c r="K320" s="41"/>
      <c r="L320" s="43"/>
    </row>
    <row r="321" spans="2:12" hidden="1" outlineLevel="1">
      <c r="B321" s="46" t="str">
        <f t="shared" si="23"/>
        <v/>
      </c>
      <c r="C321" s="41" t="str">
        <f t="shared" si="21"/>
        <v/>
      </c>
      <c r="D321" s="41" t="s">
        <v>366</v>
      </c>
      <c r="E321" s="41" t="s">
        <v>717</v>
      </c>
      <c r="F321" s="41"/>
      <c r="G321" s="71"/>
      <c r="H321" s="41"/>
      <c r="I321" s="42"/>
      <c r="J321" s="41"/>
      <c r="K321" s="41"/>
      <c r="L321" s="43"/>
    </row>
    <row r="322" spans="2:12" hidden="1" outlineLevel="1">
      <c r="B322" s="46" t="str">
        <f t="shared" si="23"/>
        <v/>
      </c>
      <c r="C322" s="41" t="str">
        <f t="shared" ref="C322:C385" si="24">IF(G322="","",IF(G322="SEM DATA",$B$86,IF(G322&gt;DATE(1988,12,31),$B$85,IF(G322&lt;=DATE(1988,12,31),$B$84,""))))</f>
        <v/>
      </c>
      <c r="D322" s="41" t="s">
        <v>366</v>
      </c>
      <c r="E322" s="41">
        <v>3187</v>
      </c>
      <c r="F322" s="41"/>
      <c r="G322" s="71"/>
      <c r="H322" s="41"/>
      <c r="I322" s="42"/>
      <c r="J322" s="41"/>
      <c r="K322" s="41"/>
      <c r="L322" s="43"/>
    </row>
    <row r="323" spans="2:12" hidden="1" outlineLevel="1">
      <c r="B323" s="46" t="str">
        <f t="shared" si="23"/>
        <v/>
      </c>
      <c r="C323" s="41" t="str">
        <f t="shared" si="24"/>
        <v/>
      </c>
      <c r="D323" s="41" t="s">
        <v>366</v>
      </c>
      <c r="E323" s="41">
        <v>14825</v>
      </c>
      <c r="F323" s="41"/>
      <c r="G323" s="71"/>
      <c r="H323" s="41"/>
      <c r="I323" s="42"/>
      <c r="J323" s="41"/>
      <c r="K323" s="41"/>
      <c r="L323" s="43"/>
    </row>
    <row r="324" spans="2:12" hidden="1" outlineLevel="1">
      <c r="B324" s="46" t="str">
        <f t="shared" si="23"/>
        <v/>
      </c>
      <c r="C324" s="41" t="str">
        <f t="shared" si="24"/>
        <v/>
      </c>
      <c r="D324" s="41" t="s">
        <v>366</v>
      </c>
      <c r="E324" s="41" t="s">
        <v>718</v>
      </c>
      <c r="F324" s="41"/>
      <c r="G324" s="71"/>
      <c r="H324" s="41"/>
      <c r="I324" s="42"/>
      <c r="J324" s="41"/>
      <c r="K324" s="41"/>
      <c r="L324" s="43"/>
    </row>
    <row r="325" spans="2:12" hidden="1" outlineLevel="1">
      <c r="B325" s="46" t="str">
        <f t="shared" si="23"/>
        <v/>
      </c>
      <c r="C325" s="41" t="str">
        <f t="shared" si="24"/>
        <v/>
      </c>
      <c r="D325" s="41" t="s">
        <v>366</v>
      </c>
      <c r="E325" s="41" t="s">
        <v>719</v>
      </c>
      <c r="F325" s="41"/>
      <c r="G325" s="71"/>
      <c r="H325" s="41"/>
      <c r="I325" s="42"/>
      <c r="J325" s="41"/>
      <c r="K325" s="41"/>
      <c r="L325" s="43"/>
    </row>
    <row r="326" spans="2:12" hidden="1" outlineLevel="1">
      <c r="B326" s="46" t="str">
        <f t="shared" si="23"/>
        <v/>
      </c>
      <c r="C326" s="41" t="str">
        <f t="shared" si="24"/>
        <v/>
      </c>
      <c r="D326" s="41" t="s">
        <v>366</v>
      </c>
      <c r="E326" s="41" t="s">
        <v>720</v>
      </c>
      <c r="F326" s="41"/>
      <c r="G326" s="71"/>
      <c r="H326" s="41"/>
      <c r="I326" s="42"/>
      <c r="J326" s="41"/>
      <c r="K326" s="41"/>
      <c r="L326" s="43"/>
    </row>
    <row r="327" spans="2:12" hidden="1" outlineLevel="1">
      <c r="B327" s="46" t="str">
        <f t="shared" si="23"/>
        <v/>
      </c>
      <c r="C327" s="41" t="str">
        <f t="shared" si="24"/>
        <v/>
      </c>
      <c r="D327" s="41" t="s">
        <v>366</v>
      </c>
      <c r="E327" s="41" t="s">
        <v>721</v>
      </c>
      <c r="F327" s="41"/>
      <c r="G327" s="71"/>
      <c r="H327" s="41"/>
      <c r="I327" s="42"/>
      <c r="J327" s="41"/>
      <c r="K327" s="41"/>
      <c r="L327" s="43"/>
    </row>
    <row r="328" spans="2:12" hidden="1" outlineLevel="1">
      <c r="B328" s="46" t="str">
        <f t="shared" si="23"/>
        <v/>
      </c>
      <c r="C328" s="41" t="str">
        <f t="shared" si="24"/>
        <v/>
      </c>
      <c r="D328" s="41" t="s">
        <v>366</v>
      </c>
      <c r="E328" s="58" t="s">
        <v>722</v>
      </c>
      <c r="F328" s="41"/>
      <c r="G328" s="71"/>
      <c r="H328" s="41"/>
      <c r="I328" s="42"/>
      <c r="J328" s="41"/>
      <c r="K328" s="41"/>
      <c r="L328" s="43"/>
    </row>
    <row r="329" spans="2:12" hidden="1" outlineLevel="1">
      <c r="B329" s="46" t="str">
        <f t="shared" si="23"/>
        <v/>
      </c>
      <c r="C329" s="41" t="str">
        <f t="shared" si="24"/>
        <v/>
      </c>
      <c r="D329" s="41" t="s">
        <v>366</v>
      </c>
      <c r="E329" s="58" t="s">
        <v>723</v>
      </c>
      <c r="F329" s="41"/>
      <c r="G329" s="71"/>
      <c r="H329" s="41"/>
      <c r="I329" s="42"/>
      <c r="J329" s="41"/>
      <c r="K329" s="41"/>
      <c r="L329" s="43"/>
    </row>
    <row r="330" spans="2:12" hidden="1" outlineLevel="1">
      <c r="B330" s="46" t="str">
        <f t="shared" si="23"/>
        <v/>
      </c>
      <c r="C330" s="41" t="str">
        <f t="shared" si="24"/>
        <v/>
      </c>
      <c r="D330" s="41" t="s">
        <v>366</v>
      </c>
      <c r="E330" s="58" t="s">
        <v>724</v>
      </c>
      <c r="F330" s="41"/>
      <c r="G330" s="71"/>
      <c r="H330" s="41"/>
      <c r="I330" s="42"/>
      <c r="J330" s="41"/>
      <c r="K330" s="41"/>
      <c r="L330" s="43"/>
    </row>
    <row r="331" spans="2:12" hidden="1" outlineLevel="1">
      <c r="B331" s="46" t="str">
        <f t="shared" si="23"/>
        <v/>
      </c>
      <c r="C331" s="41" t="str">
        <f t="shared" si="24"/>
        <v/>
      </c>
      <c r="D331" s="41" t="s">
        <v>366</v>
      </c>
      <c r="E331" s="41" t="s">
        <v>725</v>
      </c>
      <c r="F331" s="41"/>
      <c r="G331" s="71"/>
      <c r="H331" s="41"/>
      <c r="I331" s="42"/>
      <c r="J331" s="41"/>
      <c r="K331" s="41"/>
      <c r="L331" s="43"/>
    </row>
    <row r="332" spans="2:12" hidden="1" outlineLevel="1">
      <c r="B332" s="46" t="str">
        <f t="shared" si="23"/>
        <v/>
      </c>
      <c r="C332" s="41" t="str">
        <f t="shared" si="24"/>
        <v/>
      </c>
      <c r="D332" s="41" t="s">
        <v>366</v>
      </c>
      <c r="E332" s="41" t="s">
        <v>726</v>
      </c>
      <c r="F332" s="41"/>
      <c r="G332" s="71"/>
      <c r="H332" s="41"/>
      <c r="I332" s="42"/>
      <c r="J332" s="41"/>
      <c r="K332" s="41"/>
      <c r="L332" s="43"/>
    </row>
    <row r="333" spans="2:12" hidden="1" outlineLevel="1">
      <c r="B333" s="46" t="str">
        <f t="shared" si="23"/>
        <v/>
      </c>
      <c r="C333" s="41" t="str">
        <f t="shared" si="24"/>
        <v/>
      </c>
      <c r="D333" s="41" t="s">
        <v>366</v>
      </c>
      <c r="E333" s="41">
        <v>3619</v>
      </c>
      <c r="F333" s="41"/>
      <c r="G333" s="71"/>
      <c r="H333" s="41"/>
      <c r="I333" s="42"/>
      <c r="J333" s="41"/>
      <c r="K333" s="41"/>
      <c r="L333" s="43"/>
    </row>
    <row r="334" spans="2:12" hidden="1" outlineLevel="1">
      <c r="B334" s="46" t="str">
        <f t="shared" si="23"/>
        <v/>
      </c>
      <c r="C334" s="41" t="str">
        <f t="shared" si="24"/>
        <v/>
      </c>
      <c r="D334" s="41" t="s">
        <v>366</v>
      </c>
      <c r="E334" s="41">
        <v>3618</v>
      </c>
      <c r="F334" s="41"/>
      <c r="G334" s="71"/>
      <c r="H334" s="41"/>
      <c r="I334" s="42"/>
      <c r="J334" s="41"/>
      <c r="K334" s="41"/>
      <c r="L334" s="43"/>
    </row>
    <row r="335" spans="2:12" hidden="1" outlineLevel="1">
      <c r="B335" s="46" t="str">
        <f t="shared" si="23"/>
        <v/>
      </c>
      <c r="C335" s="41" t="str">
        <f t="shared" si="24"/>
        <v/>
      </c>
      <c r="D335" s="41" t="s">
        <v>366</v>
      </c>
      <c r="E335" s="41">
        <v>3617</v>
      </c>
      <c r="F335" s="41"/>
      <c r="G335" s="71"/>
      <c r="H335" s="41"/>
      <c r="I335" s="42"/>
      <c r="J335" s="41"/>
      <c r="K335" s="41"/>
      <c r="L335" s="43"/>
    </row>
    <row r="336" spans="2:12" hidden="1" outlineLevel="1">
      <c r="B336" s="46" t="str">
        <f t="shared" si="23"/>
        <v/>
      </c>
      <c r="C336" s="41" t="str">
        <f t="shared" si="24"/>
        <v/>
      </c>
      <c r="D336" s="41" t="s">
        <v>366</v>
      </c>
      <c r="E336" s="41" t="s">
        <v>727</v>
      </c>
      <c r="F336" s="41"/>
      <c r="G336" s="71"/>
      <c r="H336" s="41"/>
      <c r="I336" s="42"/>
      <c r="J336" s="41"/>
      <c r="K336" s="41"/>
      <c r="L336" s="43"/>
    </row>
    <row r="337" spans="2:12" hidden="1" outlineLevel="1">
      <c r="B337" s="46" t="str">
        <f t="shared" si="23"/>
        <v/>
      </c>
      <c r="C337" s="41" t="str">
        <f t="shared" si="24"/>
        <v/>
      </c>
      <c r="D337" s="41" t="s">
        <v>366</v>
      </c>
      <c r="E337" s="58" t="s">
        <v>728</v>
      </c>
      <c r="F337" s="41"/>
      <c r="G337" s="71"/>
      <c r="H337" s="41"/>
      <c r="I337" s="42"/>
      <c r="J337" s="41"/>
      <c r="K337" s="41"/>
      <c r="L337" s="43"/>
    </row>
    <row r="338" spans="2:12" hidden="1" outlineLevel="1">
      <c r="B338" s="46" t="str">
        <f t="shared" si="23"/>
        <v/>
      </c>
      <c r="C338" s="41" t="str">
        <f t="shared" si="24"/>
        <v/>
      </c>
      <c r="D338" s="41" t="s">
        <v>366</v>
      </c>
      <c r="E338" s="41" t="s">
        <v>729</v>
      </c>
      <c r="F338" s="41"/>
      <c r="G338" s="71"/>
      <c r="H338" s="41"/>
      <c r="I338" s="42"/>
      <c r="J338" s="41"/>
      <c r="K338" s="41"/>
      <c r="L338" s="43"/>
    </row>
    <row r="339" spans="2:12" hidden="1" outlineLevel="1">
      <c r="B339" s="46" t="str">
        <f>IF(C339="","",B338+1)</f>
        <v/>
      </c>
      <c r="C339" s="41" t="str">
        <f>IF(G339="","",IF(G339="SEM DATA",$B$86,IF(G339&gt;DATE(1988,12,31),$B$85,IF(G339&lt;=DATE(1988,12,31),$B$84,""))))</f>
        <v/>
      </c>
      <c r="D339" s="41" t="s">
        <v>366</v>
      </c>
      <c r="E339" s="41" t="s">
        <v>380</v>
      </c>
      <c r="F339" s="41"/>
      <c r="G339" s="71"/>
      <c r="H339" s="41"/>
      <c r="I339" s="42"/>
      <c r="J339" s="41"/>
      <c r="K339" s="41"/>
      <c r="L339" s="43"/>
    </row>
    <row r="340" spans="2:12" hidden="1" outlineLevel="1">
      <c r="B340" s="46" t="str">
        <f t="shared" ref="B340:B365" si="25">IF(C340="","",B339+1)</f>
        <v/>
      </c>
      <c r="C340" s="41" t="str">
        <f t="shared" si="24"/>
        <v/>
      </c>
      <c r="D340" s="41" t="s">
        <v>366</v>
      </c>
      <c r="E340" s="41" t="s">
        <v>382</v>
      </c>
      <c r="F340" s="41"/>
      <c r="G340" s="71"/>
      <c r="H340" s="41"/>
      <c r="I340" s="42"/>
      <c r="J340" s="41"/>
      <c r="K340" s="41"/>
      <c r="L340" s="43"/>
    </row>
    <row r="341" spans="2:12" hidden="1" outlineLevel="1">
      <c r="B341" s="46" t="str">
        <f t="shared" si="25"/>
        <v/>
      </c>
      <c r="C341" s="41" t="str">
        <f t="shared" si="24"/>
        <v/>
      </c>
      <c r="D341" s="41" t="s">
        <v>366</v>
      </c>
      <c r="E341" s="41" t="s">
        <v>730</v>
      </c>
      <c r="F341" s="41"/>
      <c r="G341" s="71"/>
      <c r="H341" s="41"/>
      <c r="I341" s="42"/>
      <c r="J341" s="41"/>
      <c r="K341" s="41"/>
      <c r="L341" s="43"/>
    </row>
    <row r="342" spans="2:12" hidden="1" outlineLevel="1">
      <c r="B342" s="46" t="str">
        <f t="shared" si="25"/>
        <v/>
      </c>
      <c r="C342" s="41" t="str">
        <f t="shared" si="24"/>
        <v/>
      </c>
      <c r="D342" s="41" t="s">
        <v>366</v>
      </c>
      <c r="E342" s="41" t="s">
        <v>731</v>
      </c>
      <c r="F342" s="41"/>
      <c r="G342" s="71"/>
      <c r="H342" s="41"/>
      <c r="I342" s="42"/>
      <c r="J342" s="41"/>
      <c r="K342" s="41"/>
      <c r="L342" s="43"/>
    </row>
    <row r="343" spans="2:12" hidden="1" outlineLevel="1">
      <c r="B343" s="46" t="str">
        <f t="shared" si="25"/>
        <v/>
      </c>
      <c r="C343" s="41" t="str">
        <f t="shared" si="24"/>
        <v/>
      </c>
      <c r="D343" s="41" t="s">
        <v>366</v>
      </c>
      <c r="E343" s="41" t="s">
        <v>732</v>
      </c>
      <c r="F343" s="41"/>
      <c r="G343" s="71"/>
      <c r="H343" s="41"/>
      <c r="I343" s="42"/>
      <c r="J343" s="41"/>
      <c r="K343" s="41"/>
      <c r="L343" s="43"/>
    </row>
    <row r="344" spans="2:12" hidden="1" outlineLevel="1">
      <c r="B344" s="46" t="str">
        <f t="shared" si="25"/>
        <v/>
      </c>
      <c r="C344" s="41" t="str">
        <f t="shared" si="24"/>
        <v/>
      </c>
      <c r="D344" s="41" t="s">
        <v>366</v>
      </c>
      <c r="E344" s="41" t="s">
        <v>733</v>
      </c>
      <c r="F344" s="41"/>
      <c r="G344" s="71"/>
      <c r="H344" s="41"/>
      <c r="I344" s="42"/>
      <c r="J344" s="41"/>
      <c r="K344" s="41"/>
      <c r="L344" s="43"/>
    </row>
    <row r="345" spans="2:12" hidden="1" outlineLevel="1">
      <c r="B345" s="46" t="str">
        <f t="shared" si="25"/>
        <v/>
      </c>
      <c r="C345" s="41" t="str">
        <f t="shared" si="24"/>
        <v/>
      </c>
      <c r="D345" s="41" t="s">
        <v>366</v>
      </c>
      <c r="E345" s="41" t="s">
        <v>734</v>
      </c>
      <c r="F345" s="41"/>
      <c r="G345" s="71"/>
      <c r="H345" s="41"/>
      <c r="I345" s="42"/>
      <c r="J345" s="41"/>
      <c r="K345" s="41"/>
      <c r="L345" s="43"/>
    </row>
    <row r="346" spans="2:12" hidden="1" outlineLevel="1">
      <c r="B346" s="46" t="str">
        <f t="shared" si="25"/>
        <v/>
      </c>
      <c r="C346" s="41" t="str">
        <f t="shared" si="24"/>
        <v/>
      </c>
      <c r="D346" s="41" t="s">
        <v>366</v>
      </c>
      <c r="E346" s="41" t="s">
        <v>735</v>
      </c>
      <c r="F346" s="41"/>
      <c r="G346" s="71"/>
      <c r="H346" s="41"/>
      <c r="I346" s="42"/>
      <c r="J346" s="41"/>
      <c r="K346" s="41"/>
      <c r="L346" s="43"/>
    </row>
    <row r="347" spans="2:12" hidden="1" outlineLevel="1">
      <c r="B347" s="46" t="str">
        <f t="shared" si="25"/>
        <v/>
      </c>
      <c r="C347" s="41" t="str">
        <f t="shared" si="24"/>
        <v/>
      </c>
      <c r="D347" s="41" t="s">
        <v>366</v>
      </c>
      <c r="E347" s="41" t="s">
        <v>736</v>
      </c>
      <c r="F347" s="41"/>
      <c r="G347" s="71"/>
      <c r="H347" s="41"/>
      <c r="I347" s="42"/>
      <c r="J347" s="41"/>
      <c r="K347" s="41"/>
      <c r="L347" s="43"/>
    </row>
    <row r="348" spans="2:12" hidden="1" outlineLevel="1">
      <c r="B348" s="46" t="str">
        <f t="shared" si="25"/>
        <v/>
      </c>
      <c r="C348" s="41" t="str">
        <f t="shared" si="24"/>
        <v/>
      </c>
      <c r="D348" s="41" t="s">
        <v>366</v>
      </c>
      <c r="E348" s="41">
        <v>16588</v>
      </c>
      <c r="F348" s="41"/>
      <c r="G348" s="71"/>
      <c r="H348" s="41"/>
      <c r="I348" s="42"/>
      <c r="J348" s="41"/>
      <c r="K348" s="41"/>
      <c r="L348" s="43"/>
    </row>
    <row r="349" spans="2:12" hidden="1" outlineLevel="1">
      <c r="B349" s="46" t="str">
        <f t="shared" si="25"/>
        <v/>
      </c>
      <c r="C349" s="41" t="str">
        <f t="shared" si="24"/>
        <v/>
      </c>
      <c r="D349" s="41" t="s">
        <v>366</v>
      </c>
      <c r="E349" s="41">
        <v>16593</v>
      </c>
      <c r="F349" s="41"/>
      <c r="G349" s="71"/>
      <c r="H349" s="41"/>
      <c r="I349" s="42"/>
      <c r="J349" s="41"/>
      <c r="K349" s="41"/>
      <c r="L349" s="43"/>
    </row>
    <row r="350" spans="2:12" hidden="1" outlineLevel="1">
      <c r="B350" s="46" t="str">
        <f t="shared" si="25"/>
        <v/>
      </c>
      <c r="C350" s="41" t="str">
        <f t="shared" si="24"/>
        <v/>
      </c>
      <c r="D350" s="41" t="s">
        <v>366</v>
      </c>
      <c r="E350" s="41">
        <v>16589</v>
      </c>
      <c r="F350" s="41"/>
      <c r="G350" s="71"/>
      <c r="H350" s="41"/>
      <c r="I350" s="42"/>
      <c r="J350" s="41"/>
      <c r="K350" s="41"/>
      <c r="L350" s="43"/>
    </row>
    <row r="351" spans="2:12" hidden="1" outlineLevel="1">
      <c r="B351" s="46" t="str">
        <f t="shared" si="25"/>
        <v/>
      </c>
      <c r="C351" s="41" t="str">
        <f>IF(G351="","",IF(G351="SEM DATA",$B$86,IF(G351&gt;DATE(1988,12,31),$B$85,IF(G351&lt;=DATE(1988,12,31),$B$84,""))))</f>
        <v/>
      </c>
      <c r="D351" s="41" t="s">
        <v>366</v>
      </c>
      <c r="E351" s="41" t="s">
        <v>379</v>
      </c>
      <c r="F351" s="41"/>
      <c r="G351" s="71"/>
      <c r="H351" s="41"/>
      <c r="I351" s="42"/>
      <c r="J351" s="41"/>
      <c r="K351" s="41"/>
      <c r="L351" s="43"/>
    </row>
    <row r="352" spans="2:12" hidden="1" outlineLevel="1">
      <c r="B352" s="46" t="str">
        <f t="shared" si="25"/>
        <v/>
      </c>
      <c r="C352" s="41" t="str">
        <f t="shared" si="24"/>
        <v/>
      </c>
      <c r="D352" s="41" t="s">
        <v>366</v>
      </c>
      <c r="E352" s="41" t="s">
        <v>737</v>
      </c>
      <c r="F352" s="41"/>
      <c r="G352" s="71"/>
      <c r="H352" s="41"/>
      <c r="I352" s="42"/>
      <c r="J352" s="41"/>
      <c r="K352" s="41"/>
      <c r="L352" s="43"/>
    </row>
    <row r="353" spans="2:12" hidden="1" outlineLevel="1">
      <c r="B353" s="46" t="str">
        <f t="shared" si="25"/>
        <v/>
      </c>
      <c r="C353" s="41" t="str">
        <f t="shared" si="24"/>
        <v/>
      </c>
      <c r="D353" s="41" t="s">
        <v>366</v>
      </c>
      <c r="E353" s="41" t="s">
        <v>738</v>
      </c>
      <c r="F353" s="41"/>
      <c r="G353" s="71"/>
      <c r="H353" s="41"/>
      <c r="I353" s="42"/>
      <c r="J353" s="41"/>
      <c r="K353" s="41"/>
      <c r="L353" s="43"/>
    </row>
    <row r="354" spans="2:12" hidden="1" outlineLevel="1">
      <c r="B354" s="46" t="str">
        <f t="shared" si="25"/>
        <v/>
      </c>
      <c r="C354" s="41" t="str">
        <f t="shared" si="24"/>
        <v/>
      </c>
      <c r="D354" s="41" t="s">
        <v>366</v>
      </c>
      <c r="E354" s="41" t="s">
        <v>739</v>
      </c>
      <c r="F354" s="41"/>
      <c r="G354" s="71"/>
      <c r="H354" s="41"/>
      <c r="I354" s="42"/>
      <c r="J354" s="41"/>
      <c r="K354" s="41"/>
      <c r="L354" s="43"/>
    </row>
    <row r="355" spans="2:12" hidden="1" outlineLevel="1">
      <c r="B355" s="46" t="str">
        <f t="shared" si="25"/>
        <v/>
      </c>
      <c r="C355" s="41" t="str">
        <f t="shared" si="24"/>
        <v/>
      </c>
      <c r="D355" s="41" t="s">
        <v>366</v>
      </c>
      <c r="E355" s="41" t="s">
        <v>740</v>
      </c>
      <c r="F355" s="41"/>
      <c r="G355" s="71"/>
      <c r="H355" s="41"/>
      <c r="I355" s="42"/>
      <c r="J355" s="41"/>
      <c r="K355" s="41"/>
      <c r="L355" s="43"/>
    </row>
    <row r="356" spans="2:12" hidden="1" outlineLevel="1">
      <c r="B356" s="46" t="str">
        <f t="shared" si="25"/>
        <v/>
      </c>
      <c r="C356" s="41" t="str">
        <f t="shared" si="24"/>
        <v/>
      </c>
      <c r="D356" s="41" t="s">
        <v>366</v>
      </c>
      <c r="E356" s="41" t="s">
        <v>741</v>
      </c>
      <c r="F356" s="41"/>
      <c r="G356" s="71"/>
      <c r="H356" s="41"/>
      <c r="I356" s="42"/>
      <c r="J356" s="41"/>
      <c r="K356" s="41"/>
      <c r="L356" s="43"/>
    </row>
    <row r="357" spans="2:12" hidden="1" outlineLevel="1">
      <c r="B357" s="46" t="str">
        <f t="shared" si="25"/>
        <v/>
      </c>
      <c r="C357" s="41" t="str">
        <f t="shared" si="24"/>
        <v/>
      </c>
      <c r="D357" s="41" t="s">
        <v>366</v>
      </c>
      <c r="E357" s="58" t="s">
        <v>742</v>
      </c>
      <c r="F357" s="41"/>
      <c r="G357" s="71"/>
      <c r="H357" s="41"/>
      <c r="I357" s="42"/>
      <c r="J357" s="41"/>
      <c r="K357" s="41"/>
      <c r="L357" s="43"/>
    </row>
    <row r="358" spans="2:12" hidden="1" outlineLevel="1">
      <c r="B358" s="46" t="str">
        <f t="shared" si="25"/>
        <v/>
      </c>
      <c r="C358" s="41" t="str">
        <f t="shared" si="24"/>
        <v/>
      </c>
      <c r="D358" s="41" t="s">
        <v>366</v>
      </c>
      <c r="E358" s="58" t="s">
        <v>743</v>
      </c>
      <c r="F358" s="41"/>
      <c r="G358" s="71"/>
      <c r="H358" s="41"/>
      <c r="I358" s="42"/>
      <c r="J358" s="41"/>
      <c r="K358" s="41"/>
      <c r="L358" s="43"/>
    </row>
    <row r="359" spans="2:12" hidden="1" outlineLevel="1">
      <c r="B359" s="46" t="str">
        <f t="shared" si="25"/>
        <v/>
      </c>
      <c r="C359" s="41" t="str">
        <f t="shared" si="24"/>
        <v/>
      </c>
      <c r="D359" s="41" t="s">
        <v>366</v>
      </c>
      <c r="E359" s="41" t="s">
        <v>744</v>
      </c>
      <c r="F359" s="41"/>
      <c r="G359" s="71"/>
      <c r="H359" s="41"/>
      <c r="I359" s="42"/>
      <c r="J359" s="41"/>
      <c r="K359" s="41"/>
      <c r="L359" s="43"/>
    </row>
    <row r="360" spans="2:12" hidden="1" outlineLevel="1">
      <c r="B360" s="46" t="str">
        <f t="shared" si="25"/>
        <v/>
      </c>
      <c r="C360" s="41" t="str">
        <f>IF(G360="","",IF(G360="SEM DATA",$B$86,IF(G360&gt;DATE(1988,12,31),$B$85,IF(G360&lt;=DATE(1988,12,31),$B$84,""))))</f>
        <v/>
      </c>
      <c r="D360" s="41" t="s">
        <v>366</v>
      </c>
      <c r="E360" s="41" t="s">
        <v>745</v>
      </c>
      <c r="F360" s="41"/>
      <c r="G360" s="71"/>
      <c r="H360" s="41"/>
      <c r="I360" s="42"/>
      <c r="J360" s="41"/>
      <c r="K360" s="41"/>
      <c r="L360" s="43"/>
    </row>
    <row r="361" spans="2:12" hidden="1" outlineLevel="1">
      <c r="B361" s="46" t="str">
        <f t="shared" si="25"/>
        <v/>
      </c>
      <c r="C361" s="41" t="str">
        <f t="shared" si="24"/>
        <v/>
      </c>
      <c r="D361" s="41" t="s">
        <v>366</v>
      </c>
      <c r="E361" s="41" t="s">
        <v>746</v>
      </c>
      <c r="F361" s="41"/>
      <c r="G361" s="71"/>
      <c r="H361" s="41"/>
      <c r="I361" s="42"/>
      <c r="J361" s="41"/>
      <c r="K361" s="41"/>
      <c r="L361" s="43"/>
    </row>
    <row r="362" spans="2:12" hidden="1" outlineLevel="1">
      <c r="B362" s="46" t="str">
        <f t="shared" si="25"/>
        <v/>
      </c>
      <c r="C362" s="41" t="str">
        <f t="shared" si="24"/>
        <v/>
      </c>
      <c r="D362" s="41" t="s">
        <v>366</v>
      </c>
      <c r="E362" s="41" t="s">
        <v>747</v>
      </c>
      <c r="F362" s="41"/>
      <c r="G362" s="71"/>
      <c r="H362" s="41"/>
      <c r="I362" s="42"/>
      <c r="J362" s="41"/>
      <c r="K362" s="41"/>
      <c r="L362" s="43"/>
    </row>
    <row r="363" spans="2:12" hidden="1" outlineLevel="1">
      <c r="B363" s="46" t="str">
        <f t="shared" si="25"/>
        <v/>
      </c>
      <c r="C363" s="41" t="str">
        <f t="shared" si="24"/>
        <v/>
      </c>
      <c r="D363" s="41" t="s">
        <v>366</v>
      </c>
      <c r="E363" s="41" t="s">
        <v>748</v>
      </c>
      <c r="F363" s="41"/>
      <c r="G363" s="71"/>
      <c r="H363" s="41"/>
      <c r="I363" s="42"/>
      <c r="J363" s="41"/>
      <c r="K363" s="41"/>
      <c r="L363" s="43"/>
    </row>
    <row r="364" spans="2:12" hidden="1" outlineLevel="1">
      <c r="B364" s="46" t="str">
        <f t="shared" si="25"/>
        <v/>
      </c>
      <c r="C364" s="41" t="str">
        <f t="shared" si="24"/>
        <v/>
      </c>
      <c r="D364" s="41" t="s">
        <v>366</v>
      </c>
      <c r="E364" s="41" t="s">
        <v>749</v>
      </c>
      <c r="F364" s="41"/>
      <c r="G364" s="71"/>
      <c r="H364" s="41"/>
      <c r="I364" s="42"/>
      <c r="J364" s="41"/>
      <c r="K364" s="41"/>
      <c r="L364" s="43"/>
    </row>
    <row r="365" spans="2:12" hidden="1" outlineLevel="1">
      <c r="B365" s="46" t="str">
        <f t="shared" si="25"/>
        <v/>
      </c>
      <c r="C365" s="41" t="str">
        <f t="shared" si="24"/>
        <v/>
      </c>
      <c r="D365" s="41" t="s">
        <v>366</v>
      </c>
      <c r="E365" s="41" t="s">
        <v>750</v>
      </c>
      <c r="F365" s="41"/>
      <c r="G365" s="71"/>
      <c r="H365" s="41"/>
      <c r="I365" s="42"/>
      <c r="J365" s="41"/>
      <c r="K365" s="41"/>
      <c r="L365" s="43"/>
    </row>
    <row r="366" spans="2:12" hidden="1" outlineLevel="1">
      <c r="B366" s="46" t="str">
        <f>IF(C366="","",B365+1)</f>
        <v/>
      </c>
      <c r="C366" s="41" t="str">
        <f t="shared" si="24"/>
        <v/>
      </c>
      <c r="D366" s="41" t="s">
        <v>366</v>
      </c>
      <c r="E366" s="41" t="s">
        <v>751</v>
      </c>
      <c r="F366" s="41"/>
      <c r="G366" s="71"/>
      <c r="H366" s="41"/>
      <c r="I366" s="42"/>
      <c r="J366" s="41"/>
      <c r="K366" s="41"/>
      <c r="L366" s="43"/>
    </row>
    <row r="367" spans="2:12" hidden="1" outlineLevel="1">
      <c r="B367" s="46" t="str">
        <f t="shared" ref="B367:B386" si="26">IF(C367="","",B366+1)</f>
        <v/>
      </c>
      <c r="C367" s="41" t="str">
        <f t="shared" si="24"/>
        <v/>
      </c>
      <c r="D367" s="41" t="s">
        <v>366</v>
      </c>
      <c r="E367" s="41" t="s">
        <v>752</v>
      </c>
      <c r="F367" s="41"/>
      <c r="G367" s="71"/>
      <c r="H367" s="41"/>
      <c r="I367" s="42"/>
      <c r="J367" s="41"/>
      <c r="K367" s="41"/>
      <c r="L367" s="43"/>
    </row>
    <row r="368" spans="2:12" hidden="1" outlineLevel="1">
      <c r="B368" s="46" t="str">
        <f t="shared" si="26"/>
        <v/>
      </c>
      <c r="C368" s="41" t="str">
        <f t="shared" si="24"/>
        <v/>
      </c>
      <c r="D368" s="41" t="s">
        <v>366</v>
      </c>
      <c r="E368" s="41" t="s">
        <v>753</v>
      </c>
      <c r="F368" s="41"/>
      <c r="G368" s="71"/>
      <c r="H368" s="41"/>
      <c r="I368" s="42"/>
      <c r="J368" s="41"/>
      <c r="K368" s="41"/>
      <c r="L368" s="43"/>
    </row>
    <row r="369" spans="2:12" hidden="1" outlineLevel="1">
      <c r="B369" s="46" t="str">
        <f t="shared" si="26"/>
        <v/>
      </c>
      <c r="C369" s="41" t="str">
        <f t="shared" si="24"/>
        <v/>
      </c>
      <c r="D369" s="41" t="s">
        <v>366</v>
      </c>
      <c r="E369" s="41" t="s">
        <v>754</v>
      </c>
      <c r="F369" s="41"/>
      <c r="G369" s="71"/>
      <c r="H369" s="41"/>
      <c r="I369" s="42"/>
      <c r="J369" s="41"/>
      <c r="K369" s="41"/>
      <c r="L369" s="43"/>
    </row>
    <row r="370" spans="2:12" hidden="1" outlineLevel="1">
      <c r="B370" s="46" t="str">
        <f t="shared" si="26"/>
        <v/>
      </c>
      <c r="C370" s="41" t="str">
        <f t="shared" si="24"/>
        <v/>
      </c>
      <c r="D370" s="41" t="s">
        <v>366</v>
      </c>
      <c r="E370" s="41" t="s">
        <v>755</v>
      </c>
      <c r="F370" s="41"/>
      <c r="G370" s="71"/>
      <c r="H370" s="41"/>
      <c r="I370" s="42"/>
      <c r="J370" s="41"/>
      <c r="K370" s="41"/>
      <c r="L370" s="43"/>
    </row>
    <row r="371" spans="2:12" hidden="1" outlineLevel="1">
      <c r="B371" s="46" t="str">
        <f t="shared" si="26"/>
        <v/>
      </c>
      <c r="C371" s="41" t="str">
        <f t="shared" si="24"/>
        <v/>
      </c>
      <c r="D371" s="41" t="s">
        <v>366</v>
      </c>
      <c r="E371" s="41" t="s">
        <v>756</v>
      </c>
      <c r="F371" s="41"/>
      <c r="G371" s="71"/>
      <c r="H371" s="41"/>
      <c r="I371" s="42"/>
      <c r="J371" s="41"/>
      <c r="K371" s="41"/>
      <c r="L371" s="43"/>
    </row>
    <row r="372" spans="2:12" hidden="1" outlineLevel="1">
      <c r="B372" s="46" t="str">
        <f t="shared" si="26"/>
        <v/>
      </c>
      <c r="C372" s="41" t="str">
        <f t="shared" si="24"/>
        <v/>
      </c>
      <c r="D372" s="41" t="s">
        <v>366</v>
      </c>
      <c r="E372" s="41" t="s">
        <v>757</v>
      </c>
      <c r="F372" s="41"/>
      <c r="G372" s="71"/>
      <c r="H372" s="41"/>
      <c r="I372" s="42"/>
      <c r="J372" s="41"/>
      <c r="K372" s="41"/>
      <c r="L372" s="43"/>
    </row>
    <row r="373" spans="2:12" hidden="1" outlineLevel="1">
      <c r="B373" s="46" t="str">
        <f t="shared" si="26"/>
        <v/>
      </c>
      <c r="C373" s="41" t="str">
        <f t="shared" si="24"/>
        <v/>
      </c>
      <c r="D373" s="41" t="s">
        <v>366</v>
      </c>
      <c r="E373" s="41" t="s">
        <v>387</v>
      </c>
      <c r="F373" s="41"/>
      <c r="G373" s="71"/>
      <c r="H373" s="41"/>
      <c r="I373" s="42"/>
      <c r="J373" s="41"/>
      <c r="K373" s="41"/>
      <c r="L373" s="43"/>
    </row>
    <row r="374" spans="2:12" hidden="1" outlineLevel="1">
      <c r="B374" s="46" t="str">
        <f t="shared" si="26"/>
        <v/>
      </c>
      <c r="C374" s="41" t="str">
        <f t="shared" si="24"/>
        <v/>
      </c>
      <c r="D374" s="41" t="s">
        <v>366</v>
      </c>
      <c r="E374" s="41" t="s">
        <v>386</v>
      </c>
      <c r="F374" s="41"/>
      <c r="G374" s="71"/>
      <c r="H374" s="41"/>
      <c r="I374" s="42"/>
      <c r="J374" s="41"/>
      <c r="K374" s="41"/>
      <c r="L374" s="43"/>
    </row>
    <row r="375" spans="2:12" hidden="1" outlineLevel="1">
      <c r="B375" s="46" t="str">
        <f t="shared" si="26"/>
        <v/>
      </c>
      <c r="C375" s="41" t="str">
        <f t="shared" si="24"/>
        <v/>
      </c>
      <c r="D375" s="41" t="s">
        <v>366</v>
      </c>
      <c r="E375" s="41" t="s">
        <v>385</v>
      </c>
      <c r="F375" s="41"/>
      <c r="G375" s="71"/>
      <c r="H375" s="41"/>
      <c r="I375" s="42"/>
      <c r="J375" s="41"/>
      <c r="K375" s="41"/>
      <c r="L375" s="43"/>
    </row>
    <row r="376" spans="2:12" hidden="1" outlineLevel="1">
      <c r="B376" s="46" t="str">
        <f t="shared" si="26"/>
        <v/>
      </c>
      <c r="C376" s="41" t="str">
        <f t="shared" si="24"/>
        <v/>
      </c>
      <c r="D376" s="41" t="s">
        <v>366</v>
      </c>
      <c r="E376" s="41">
        <v>19877</v>
      </c>
      <c r="F376" s="41"/>
      <c r="G376" s="71"/>
      <c r="H376" s="41"/>
      <c r="I376" s="42"/>
      <c r="J376" s="41"/>
      <c r="K376" s="41"/>
      <c r="L376" s="43"/>
    </row>
    <row r="377" spans="2:12" hidden="1" outlineLevel="1">
      <c r="B377" s="46" t="str">
        <f t="shared" si="26"/>
        <v/>
      </c>
      <c r="C377" s="41" t="str">
        <f>IF(G377="","",IF(G377="SEM DATA",$B$86,IF(G377&gt;DATE(1988,12,31),$B$85,IF(G377&lt;=DATE(1988,12,31),$B$84,""))))</f>
        <v/>
      </c>
      <c r="D377" s="41" t="s">
        <v>366</v>
      </c>
      <c r="E377" s="41">
        <v>19878</v>
      </c>
      <c r="F377" s="41"/>
      <c r="G377" s="71"/>
      <c r="H377" s="41"/>
      <c r="I377" s="42"/>
      <c r="J377" s="41"/>
      <c r="K377" s="41"/>
      <c r="L377" s="43"/>
    </row>
    <row r="378" spans="2:12" hidden="1" outlineLevel="1">
      <c r="B378" s="46" t="str">
        <f t="shared" si="26"/>
        <v/>
      </c>
      <c r="C378" s="41" t="str">
        <f t="shared" si="24"/>
        <v/>
      </c>
      <c r="D378" s="41" t="s">
        <v>366</v>
      </c>
      <c r="E378" s="41">
        <v>19879</v>
      </c>
      <c r="F378" s="41"/>
      <c r="G378" s="71"/>
      <c r="H378" s="41"/>
      <c r="I378" s="42"/>
      <c r="J378" s="41"/>
      <c r="K378" s="41"/>
      <c r="L378" s="43"/>
    </row>
    <row r="379" spans="2:12" hidden="1" outlineLevel="1">
      <c r="B379" s="46" t="str">
        <f t="shared" si="26"/>
        <v/>
      </c>
      <c r="C379" s="41" t="str">
        <f t="shared" si="24"/>
        <v/>
      </c>
      <c r="D379" s="41" t="s">
        <v>366</v>
      </c>
      <c r="E379" s="41" t="s">
        <v>758</v>
      </c>
      <c r="F379" s="41"/>
      <c r="G379" s="71"/>
      <c r="H379" s="41"/>
      <c r="I379" s="42"/>
      <c r="J379" s="41"/>
      <c r="K379" s="41"/>
      <c r="L379" s="43"/>
    </row>
    <row r="380" spans="2:12" hidden="1" outlineLevel="1">
      <c r="B380" s="46" t="str">
        <f t="shared" si="26"/>
        <v/>
      </c>
      <c r="C380" s="41" t="str">
        <f t="shared" si="24"/>
        <v/>
      </c>
      <c r="D380" s="41" t="s">
        <v>366</v>
      </c>
      <c r="E380" s="41" t="s">
        <v>759</v>
      </c>
      <c r="F380" s="41"/>
      <c r="G380" s="71"/>
      <c r="H380" s="41"/>
      <c r="I380" s="42"/>
      <c r="J380" s="41"/>
      <c r="K380" s="41"/>
      <c r="L380" s="43"/>
    </row>
    <row r="381" spans="2:12" hidden="1" outlineLevel="1">
      <c r="B381" s="46" t="str">
        <f t="shared" si="26"/>
        <v/>
      </c>
      <c r="C381" s="41" t="str">
        <f t="shared" si="24"/>
        <v/>
      </c>
      <c r="D381" s="41" t="s">
        <v>366</v>
      </c>
      <c r="E381" s="41" t="s">
        <v>760</v>
      </c>
      <c r="F381" s="41"/>
      <c r="G381" s="71"/>
      <c r="H381" s="41"/>
      <c r="I381" s="42"/>
      <c r="J381" s="41"/>
      <c r="K381" s="41"/>
      <c r="L381" s="43"/>
    </row>
    <row r="382" spans="2:12" hidden="1" outlineLevel="1">
      <c r="B382" s="46" t="str">
        <f t="shared" si="26"/>
        <v/>
      </c>
      <c r="C382" s="41" t="str">
        <f t="shared" si="24"/>
        <v/>
      </c>
      <c r="D382" s="41" t="s">
        <v>366</v>
      </c>
      <c r="E382" s="58" t="s">
        <v>761</v>
      </c>
      <c r="F382" s="41"/>
      <c r="G382" s="71"/>
      <c r="H382" s="41"/>
      <c r="I382" s="42"/>
      <c r="J382" s="41"/>
      <c r="K382" s="41"/>
      <c r="L382" s="43"/>
    </row>
    <row r="383" spans="2:12" hidden="1" outlineLevel="1">
      <c r="B383" s="46" t="str">
        <f t="shared" si="26"/>
        <v/>
      </c>
      <c r="C383" s="41" t="str">
        <f t="shared" si="24"/>
        <v/>
      </c>
      <c r="D383" s="41" t="s">
        <v>366</v>
      </c>
      <c r="E383" s="41" t="s">
        <v>762</v>
      </c>
      <c r="F383" s="41"/>
      <c r="G383" s="71"/>
      <c r="H383" s="41"/>
      <c r="I383" s="42"/>
      <c r="J383" s="41"/>
      <c r="K383" s="41"/>
      <c r="L383" s="43"/>
    </row>
    <row r="384" spans="2:12" hidden="1" outlineLevel="1">
      <c r="B384" s="46" t="str">
        <f t="shared" si="26"/>
        <v/>
      </c>
      <c r="C384" s="41" t="str">
        <f t="shared" si="24"/>
        <v/>
      </c>
      <c r="D384" s="41" t="s">
        <v>366</v>
      </c>
      <c r="E384" s="41" t="s">
        <v>763</v>
      </c>
      <c r="F384" s="41"/>
      <c r="G384" s="71"/>
      <c r="H384" s="41"/>
      <c r="I384" s="42"/>
      <c r="J384" s="41"/>
      <c r="K384" s="41"/>
      <c r="L384" s="43"/>
    </row>
    <row r="385" spans="2:12" hidden="1" outlineLevel="1">
      <c r="B385" s="46" t="str">
        <f t="shared" si="26"/>
        <v/>
      </c>
      <c r="C385" s="41" t="str">
        <f t="shared" si="24"/>
        <v/>
      </c>
      <c r="D385" s="41" t="s">
        <v>366</v>
      </c>
      <c r="E385" s="41" t="s">
        <v>764</v>
      </c>
      <c r="F385" s="41"/>
      <c r="G385" s="71"/>
      <c r="H385" s="41"/>
      <c r="I385" s="42"/>
      <c r="J385" s="41"/>
      <c r="K385" s="41"/>
      <c r="L385" s="43"/>
    </row>
    <row r="386" spans="2:12" hidden="1" outlineLevel="1">
      <c r="B386" s="46" t="str">
        <f t="shared" si="26"/>
        <v/>
      </c>
      <c r="C386" s="41" t="str">
        <f t="shared" ref="C386:C391" si="27">IF(G386="","",IF(G386="SEM DATA",$B$86,IF(G386&gt;DATE(1988,12,31),$B$85,IF(G386&lt;=DATE(1988,12,31),$B$84,""))))</f>
        <v/>
      </c>
      <c r="D386" s="41" t="s">
        <v>366</v>
      </c>
      <c r="E386" s="41" t="s">
        <v>765</v>
      </c>
      <c r="F386" s="41"/>
      <c r="G386" s="71"/>
      <c r="H386" s="41"/>
      <c r="I386" s="42"/>
      <c r="J386" s="41"/>
      <c r="K386" s="41"/>
      <c r="L386" s="43"/>
    </row>
    <row r="387" spans="2:12" hidden="1" outlineLevel="1">
      <c r="B387" s="46" t="str">
        <f>IF(C387="","",B386+1)</f>
        <v/>
      </c>
      <c r="C387" s="41" t="str">
        <f t="shared" si="27"/>
        <v/>
      </c>
      <c r="D387" s="41" t="s">
        <v>366</v>
      </c>
      <c r="E387" s="41" t="s">
        <v>766</v>
      </c>
      <c r="F387" s="41"/>
      <c r="G387" s="71"/>
      <c r="H387" s="41"/>
      <c r="I387" s="42"/>
      <c r="J387" s="41"/>
      <c r="K387" s="41"/>
      <c r="L387" s="43"/>
    </row>
    <row r="388" spans="2:12" hidden="1" outlineLevel="1">
      <c r="B388" s="46" t="str">
        <f t="shared" ref="B388:B410" si="28">IF(C388="","",B387+1)</f>
        <v/>
      </c>
      <c r="C388" s="41" t="str">
        <f t="shared" si="27"/>
        <v/>
      </c>
      <c r="D388" s="41" t="s">
        <v>366</v>
      </c>
      <c r="E388" s="41" t="s">
        <v>767</v>
      </c>
      <c r="F388" s="41"/>
      <c r="G388" s="71"/>
      <c r="H388" s="41"/>
      <c r="I388" s="42"/>
      <c r="J388" s="41"/>
      <c r="K388" s="41"/>
      <c r="L388" s="43"/>
    </row>
    <row r="389" spans="2:12" hidden="1" outlineLevel="1">
      <c r="B389" s="46" t="str">
        <f t="shared" si="28"/>
        <v/>
      </c>
      <c r="C389" s="41" t="str">
        <f t="shared" si="27"/>
        <v/>
      </c>
      <c r="D389" s="41" t="s">
        <v>366</v>
      </c>
      <c r="E389" s="58" t="s">
        <v>768</v>
      </c>
      <c r="F389" s="41"/>
      <c r="G389" s="71"/>
      <c r="H389" s="41"/>
      <c r="I389" s="42"/>
      <c r="J389" s="41"/>
      <c r="K389" s="41"/>
      <c r="L389" s="43"/>
    </row>
    <row r="390" spans="2:12" hidden="1" outlineLevel="1">
      <c r="B390" s="46" t="str">
        <f t="shared" si="28"/>
        <v/>
      </c>
      <c r="C390" s="41" t="str">
        <f t="shared" si="27"/>
        <v/>
      </c>
      <c r="D390" s="41" t="s">
        <v>366</v>
      </c>
      <c r="E390" s="41">
        <v>27580</v>
      </c>
      <c r="F390" s="41"/>
      <c r="G390" s="71"/>
      <c r="H390" s="41"/>
      <c r="I390" s="42"/>
      <c r="J390" s="41"/>
      <c r="K390" s="41"/>
      <c r="L390" s="43"/>
    </row>
    <row r="391" spans="2:12" hidden="1" outlineLevel="1">
      <c r="B391" s="46" t="str">
        <f t="shared" si="28"/>
        <v/>
      </c>
      <c r="C391" s="41" t="str">
        <f t="shared" si="27"/>
        <v/>
      </c>
      <c r="D391" s="41" t="s">
        <v>366</v>
      </c>
      <c r="E391" s="58">
        <v>19883</v>
      </c>
      <c r="F391" s="41"/>
      <c r="G391" s="71"/>
      <c r="H391" s="41"/>
      <c r="I391" s="42"/>
      <c r="J391" s="41"/>
      <c r="K391" s="41"/>
      <c r="L391" s="43"/>
    </row>
    <row r="392" spans="2:12" hidden="1" outlineLevel="1">
      <c r="B392" s="46" t="str">
        <f t="shared" si="28"/>
        <v/>
      </c>
      <c r="C392" s="41" t="str">
        <f>IF(G392="","",IF(G392="SEM DATA",$B$86,IF(G392&gt;DATE(1988,12,31),$B$85,IF(G392&lt;=DATE(1988,12,31),$B$84,""))))</f>
        <v/>
      </c>
      <c r="D392" s="41" t="s">
        <v>366</v>
      </c>
      <c r="E392" s="41">
        <v>19886</v>
      </c>
      <c r="F392" s="41"/>
      <c r="G392" s="71"/>
      <c r="H392" s="41"/>
      <c r="I392" s="42"/>
      <c r="J392" s="41"/>
      <c r="K392" s="41"/>
      <c r="L392" s="43"/>
    </row>
    <row r="393" spans="2:12" hidden="1" outlineLevel="1">
      <c r="B393" s="46" t="str">
        <f t="shared" si="28"/>
        <v/>
      </c>
      <c r="C393" s="41" t="str">
        <f t="shared" ref="C393:C406" si="29">IF(G393="","",IF(G393="SEM DATA",$B$86,IF(G393&gt;DATE(1988,12,31),$B$85,IF(G393&lt;=DATE(1988,12,31),$B$84,""))))</f>
        <v/>
      </c>
      <c r="D393" s="41" t="s">
        <v>366</v>
      </c>
      <c r="E393" s="41">
        <v>19882</v>
      </c>
      <c r="F393" s="41"/>
      <c r="G393" s="71"/>
      <c r="H393" s="41"/>
      <c r="I393" s="42"/>
      <c r="J393" s="41"/>
      <c r="K393" s="41"/>
      <c r="L393" s="43"/>
    </row>
    <row r="394" spans="2:12" hidden="1" outlineLevel="1">
      <c r="B394" s="46" t="str">
        <f t="shared" si="28"/>
        <v/>
      </c>
      <c r="C394" s="41" t="str">
        <f t="shared" si="29"/>
        <v/>
      </c>
      <c r="D394" s="41" t="s">
        <v>366</v>
      </c>
      <c r="E394" s="41">
        <v>2961</v>
      </c>
      <c r="F394" s="41"/>
      <c r="G394" s="71"/>
      <c r="H394" s="41"/>
      <c r="I394" s="42"/>
      <c r="J394" s="41"/>
      <c r="K394" s="41"/>
      <c r="L394" s="43"/>
    </row>
    <row r="395" spans="2:12" hidden="1" outlineLevel="1">
      <c r="B395" s="46" t="str">
        <f t="shared" si="28"/>
        <v/>
      </c>
      <c r="C395" s="41" t="str">
        <f t="shared" si="29"/>
        <v/>
      </c>
      <c r="D395" s="41" t="s">
        <v>366</v>
      </c>
      <c r="E395" s="41">
        <v>3180</v>
      </c>
      <c r="F395" s="41"/>
      <c r="G395" s="71"/>
      <c r="H395" s="41"/>
      <c r="I395" s="42"/>
      <c r="J395" s="41"/>
      <c r="K395" s="41"/>
      <c r="L395" s="43"/>
    </row>
    <row r="396" spans="2:12" hidden="1" outlineLevel="1">
      <c r="B396" s="46" t="str">
        <f t="shared" si="28"/>
        <v/>
      </c>
      <c r="C396" s="41" t="str">
        <f t="shared" si="29"/>
        <v/>
      </c>
      <c r="D396" s="41" t="s">
        <v>366</v>
      </c>
      <c r="E396" s="41" t="s">
        <v>769</v>
      </c>
      <c r="F396" s="41"/>
      <c r="G396" s="71"/>
      <c r="H396" s="41"/>
      <c r="I396" s="42"/>
      <c r="J396" s="41"/>
      <c r="K396" s="41"/>
      <c r="L396" s="43"/>
    </row>
    <row r="397" spans="2:12" hidden="1" outlineLevel="1">
      <c r="B397" s="46" t="str">
        <f t="shared" si="28"/>
        <v/>
      </c>
      <c r="C397" s="41" t="str">
        <f t="shared" si="29"/>
        <v/>
      </c>
      <c r="D397" s="41" t="s">
        <v>366</v>
      </c>
      <c r="E397" s="58">
        <v>1132</v>
      </c>
      <c r="F397" s="41"/>
      <c r="G397" s="71"/>
      <c r="H397" s="41"/>
      <c r="I397" s="42"/>
      <c r="J397" s="41"/>
      <c r="K397" s="41"/>
      <c r="L397" s="43"/>
    </row>
    <row r="398" spans="2:12" hidden="1" outlineLevel="1">
      <c r="B398" s="46" t="str">
        <f t="shared" si="28"/>
        <v/>
      </c>
      <c r="C398" s="41" t="str">
        <f t="shared" si="29"/>
        <v/>
      </c>
      <c r="D398" s="41" t="s">
        <v>366</v>
      </c>
      <c r="E398" s="41">
        <v>1133</v>
      </c>
      <c r="F398" s="41"/>
      <c r="G398" s="71"/>
      <c r="H398" s="41"/>
      <c r="I398" s="42"/>
      <c r="J398" s="41"/>
      <c r="K398" s="41"/>
      <c r="L398" s="43"/>
    </row>
    <row r="399" spans="2:12" hidden="1" outlineLevel="1">
      <c r="B399" s="46" t="str">
        <f t="shared" si="28"/>
        <v/>
      </c>
      <c r="C399" s="41" t="str">
        <f t="shared" si="29"/>
        <v/>
      </c>
      <c r="D399" s="41" t="s">
        <v>366</v>
      </c>
      <c r="E399" s="41">
        <v>1134</v>
      </c>
      <c r="F399" s="41"/>
      <c r="G399" s="71"/>
      <c r="H399" s="41"/>
      <c r="I399" s="42"/>
      <c r="J399" s="41"/>
      <c r="K399" s="41"/>
      <c r="L399" s="43"/>
    </row>
    <row r="400" spans="2:12" hidden="1" outlineLevel="1">
      <c r="B400" s="46" t="str">
        <f t="shared" si="28"/>
        <v/>
      </c>
      <c r="C400" s="41" t="str">
        <f t="shared" si="29"/>
        <v/>
      </c>
      <c r="D400" s="41" t="s">
        <v>366</v>
      </c>
      <c r="E400" s="41">
        <v>27860</v>
      </c>
      <c r="F400" s="41"/>
      <c r="G400" s="71"/>
      <c r="H400" s="41"/>
      <c r="I400" s="42"/>
      <c r="J400" s="41"/>
      <c r="K400" s="41"/>
      <c r="L400" s="43"/>
    </row>
    <row r="401" spans="2:12" hidden="1" outlineLevel="1">
      <c r="B401" s="46" t="str">
        <f t="shared" si="28"/>
        <v/>
      </c>
      <c r="C401" s="41" t="str">
        <f t="shared" si="29"/>
        <v/>
      </c>
      <c r="D401" s="41" t="s">
        <v>366</v>
      </c>
      <c r="E401" s="41">
        <v>27591</v>
      </c>
      <c r="F401" s="41"/>
      <c r="G401" s="71"/>
      <c r="H401" s="41"/>
      <c r="I401" s="42"/>
      <c r="J401" s="41"/>
      <c r="K401" s="41"/>
      <c r="L401" s="43"/>
    </row>
    <row r="402" spans="2:12" hidden="1" outlineLevel="1">
      <c r="B402" s="46" t="str">
        <f t="shared" si="28"/>
        <v/>
      </c>
      <c r="C402" s="41" t="str">
        <f t="shared" si="29"/>
        <v/>
      </c>
      <c r="D402" s="41" t="s">
        <v>366</v>
      </c>
      <c r="E402" s="58">
        <v>27587</v>
      </c>
      <c r="F402" s="41"/>
      <c r="G402" s="71"/>
      <c r="H402" s="41"/>
      <c r="I402" s="42"/>
      <c r="J402" s="41"/>
      <c r="K402" s="41"/>
      <c r="L402" s="43"/>
    </row>
    <row r="403" spans="2:12" hidden="1" outlineLevel="1">
      <c r="B403" s="46" t="str">
        <f t="shared" si="28"/>
        <v/>
      </c>
      <c r="C403" s="41" t="str">
        <f t="shared" si="29"/>
        <v/>
      </c>
      <c r="D403" s="41" t="s">
        <v>366</v>
      </c>
      <c r="E403" s="41" t="s">
        <v>770</v>
      </c>
      <c r="F403" s="41"/>
      <c r="G403" s="71"/>
      <c r="H403" s="41"/>
      <c r="I403" s="42"/>
      <c r="J403" s="41"/>
      <c r="K403" s="41"/>
      <c r="L403" s="43"/>
    </row>
    <row r="404" spans="2:12" hidden="1" outlineLevel="1">
      <c r="B404" s="46" t="str">
        <f t="shared" si="28"/>
        <v/>
      </c>
      <c r="C404" s="41" t="str">
        <f t="shared" si="29"/>
        <v/>
      </c>
      <c r="D404" s="41" t="s">
        <v>366</v>
      </c>
      <c r="E404" s="41" t="s">
        <v>771</v>
      </c>
      <c r="F404" s="41"/>
      <c r="G404" s="71"/>
      <c r="H404" s="41"/>
      <c r="I404" s="42"/>
      <c r="J404" s="41"/>
      <c r="K404" s="41"/>
      <c r="L404" s="43"/>
    </row>
    <row r="405" spans="2:12" hidden="1" outlineLevel="1">
      <c r="B405" s="46" t="str">
        <f t="shared" si="28"/>
        <v/>
      </c>
      <c r="C405" s="41" t="str">
        <f t="shared" si="29"/>
        <v/>
      </c>
      <c r="D405" s="41" t="s">
        <v>366</v>
      </c>
      <c r="E405" s="41">
        <v>16575</v>
      </c>
      <c r="F405" s="41"/>
      <c r="G405" s="71"/>
      <c r="H405" s="41"/>
      <c r="I405" s="42"/>
      <c r="J405" s="41"/>
      <c r="K405" s="41"/>
      <c r="L405" s="43"/>
    </row>
    <row r="406" spans="2:12" hidden="1" outlineLevel="1">
      <c r="B406" s="46" t="str">
        <f t="shared" si="28"/>
        <v/>
      </c>
      <c r="C406" s="41" t="str">
        <f t="shared" si="29"/>
        <v/>
      </c>
      <c r="D406" s="41" t="s">
        <v>366</v>
      </c>
      <c r="E406" s="41">
        <v>3181</v>
      </c>
      <c r="F406" s="41"/>
      <c r="G406" s="71"/>
      <c r="H406" s="41"/>
      <c r="I406" s="42"/>
      <c r="J406" s="41"/>
      <c r="K406" s="41"/>
      <c r="L406" s="43"/>
    </row>
    <row r="407" spans="2:12" hidden="1" outlineLevel="1">
      <c r="B407" s="46" t="str">
        <f t="shared" si="28"/>
        <v/>
      </c>
      <c r="C407" s="41" t="str">
        <f>IF(G407="","",IF(G407="SEM DATA",$B$86,IF(G407&gt;DATE(1988,12,31),$B$85,IF(G407&lt;=DATE(1988,12,31),$B$84,""))))</f>
        <v/>
      </c>
      <c r="D407" s="41" t="s">
        <v>366</v>
      </c>
      <c r="E407" s="41">
        <v>80000426835003</v>
      </c>
      <c r="F407" s="41"/>
      <c r="G407" s="71"/>
      <c r="H407" s="41"/>
      <c r="I407" s="42"/>
      <c r="J407" s="41"/>
      <c r="K407" s="41"/>
      <c r="L407" s="43"/>
    </row>
    <row r="408" spans="2:12" hidden="1" outlineLevel="1">
      <c r="B408" s="46" t="str">
        <f t="shared" si="28"/>
        <v/>
      </c>
      <c r="C408" s="41" t="str">
        <f t="shared" ref="C408:C433" si="30">IF(G408="","",IF(G408="SEM DATA",$B$86,IF(G408&gt;DATE(1988,12,31),$B$85,IF(G408&lt;=DATE(1988,12,31),$B$84,""))))</f>
        <v/>
      </c>
      <c r="D408" s="41" t="s">
        <v>366</v>
      </c>
      <c r="E408" s="41" t="s">
        <v>772</v>
      </c>
      <c r="F408" s="41"/>
      <c r="G408" s="71"/>
      <c r="H408" s="41"/>
      <c r="I408" s="42"/>
      <c r="J408" s="41"/>
      <c r="K408" s="41"/>
      <c r="L408" s="43"/>
    </row>
    <row r="409" spans="2:12" hidden="1" outlineLevel="1">
      <c r="B409" s="46" t="str">
        <f t="shared" si="28"/>
        <v/>
      </c>
      <c r="C409" s="41" t="str">
        <f t="shared" si="30"/>
        <v/>
      </c>
      <c r="D409" s="41" t="s">
        <v>366</v>
      </c>
      <c r="E409" s="41" t="s">
        <v>773</v>
      </c>
      <c r="F409" s="41"/>
      <c r="G409" s="71"/>
      <c r="H409" s="41"/>
      <c r="I409" s="42"/>
      <c r="J409" s="41"/>
      <c r="K409" s="41"/>
      <c r="L409" s="43"/>
    </row>
    <row r="410" spans="2:12" hidden="1" outlineLevel="1">
      <c r="B410" s="46" t="str">
        <f t="shared" si="28"/>
        <v/>
      </c>
      <c r="C410" s="41" t="str">
        <f t="shared" si="30"/>
        <v/>
      </c>
      <c r="D410" s="41" t="s">
        <v>366</v>
      </c>
      <c r="E410" s="41" t="s">
        <v>774</v>
      </c>
      <c r="F410" s="41"/>
      <c r="G410" s="71"/>
      <c r="H410" s="41"/>
      <c r="I410" s="42"/>
      <c r="J410" s="41"/>
      <c r="K410" s="41"/>
      <c r="L410" s="43"/>
    </row>
    <row r="411" spans="2:12" hidden="1" outlineLevel="1">
      <c r="B411" s="46" t="str">
        <f>IF(C411="","",B410+1)</f>
        <v/>
      </c>
      <c r="C411" s="41" t="str">
        <f t="shared" si="30"/>
        <v/>
      </c>
      <c r="D411" s="41" t="s">
        <v>366</v>
      </c>
      <c r="E411" s="41" t="s">
        <v>775</v>
      </c>
      <c r="F411" s="41"/>
      <c r="G411" s="71"/>
      <c r="H411" s="41"/>
      <c r="I411" s="42"/>
      <c r="J411" s="41"/>
      <c r="K411" s="41"/>
      <c r="L411" s="43"/>
    </row>
    <row r="412" spans="2:12" hidden="1" outlineLevel="1">
      <c r="B412" s="46" t="str">
        <f t="shared" ref="B412:B434" si="31">IF(C412="","",B411+1)</f>
        <v/>
      </c>
      <c r="C412" s="41" t="str">
        <f t="shared" si="30"/>
        <v/>
      </c>
      <c r="D412" s="41" t="s">
        <v>366</v>
      </c>
      <c r="E412" s="41">
        <v>27570</v>
      </c>
      <c r="F412" s="41"/>
      <c r="G412" s="71"/>
      <c r="H412" s="41"/>
      <c r="I412" s="42"/>
      <c r="J412" s="41"/>
      <c r="K412" s="41"/>
      <c r="L412" s="43"/>
    </row>
    <row r="413" spans="2:12" hidden="1" outlineLevel="1">
      <c r="B413" s="46" t="str">
        <f t="shared" si="31"/>
        <v/>
      </c>
      <c r="C413" s="41" t="str">
        <f t="shared" si="30"/>
        <v/>
      </c>
      <c r="D413" s="41" t="s">
        <v>366</v>
      </c>
      <c r="E413" s="41">
        <v>27571</v>
      </c>
      <c r="F413" s="41"/>
      <c r="G413" s="71"/>
      <c r="H413" s="41"/>
      <c r="I413" s="42"/>
      <c r="J413" s="41"/>
      <c r="K413" s="41"/>
      <c r="L413" s="43"/>
    </row>
    <row r="414" spans="2:12" hidden="1" outlineLevel="1">
      <c r="B414" s="46" t="str">
        <f t="shared" si="31"/>
        <v/>
      </c>
      <c r="C414" s="41" t="str">
        <f t="shared" si="30"/>
        <v/>
      </c>
      <c r="D414" s="41" t="s">
        <v>366</v>
      </c>
      <c r="E414" s="41">
        <v>27579</v>
      </c>
      <c r="F414" s="41"/>
      <c r="G414" s="71"/>
      <c r="H414" s="41"/>
      <c r="I414" s="42"/>
      <c r="J414" s="41"/>
      <c r="K414" s="41"/>
      <c r="L414" s="43"/>
    </row>
    <row r="415" spans="2:12" hidden="1" outlineLevel="1">
      <c r="B415" s="46" t="str">
        <f t="shared" si="31"/>
        <v/>
      </c>
      <c r="C415" s="41" t="str">
        <f t="shared" si="30"/>
        <v/>
      </c>
      <c r="D415" s="41" t="s">
        <v>366</v>
      </c>
      <c r="E415" s="41"/>
      <c r="F415" s="41"/>
      <c r="G415" s="71"/>
      <c r="H415" s="41"/>
      <c r="I415" s="42"/>
      <c r="J415" s="41"/>
      <c r="K415" s="41"/>
      <c r="L415" s="43"/>
    </row>
    <row r="416" spans="2:12" hidden="1" outlineLevel="1">
      <c r="B416" s="46" t="str">
        <f t="shared" si="31"/>
        <v/>
      </c>
      <c r="C416" s="41" t="str">
        <f t="shared" si="30"/>
        <v/>
      </c>
      <c r="D416" s="41" t="s">
        <v>366</v>
      </c>
      <c r="E416" s="41"/>
      <c r="F416" s="41"/>
      <c r="G416" s="71"/>
      <c r="H416" s="41"/>
      <c r="I416" s="42"/>
      <c r="J416" s="41"/>
      <c r="K416" s="41"/>
      <c r="L416" s="43"/>
    </row>
    <row r="417" spans="2:12" hidden="1" outlineLevel="1">
      <c r="B417" s="46" t="str">
        <f t="shared" si="31"/>
        <v/>
      </c>
      <c r="C417" s="41" t="str">
        <f t="shared" si="30"/>
        <v/>
      </c>
      <c r="D417" s="41" t="s">
        <v>366</v>
      </c>
      <c r="E417" s="41"/>
      <c r="F417" s="41"/>
      <c r="G417" s="71"/>
      <c r="H417" s="41"/>
      <c r="I417" s="42"/>
      <c r="J417" s="41"/>
      <c r="K417" s="41"/>
      <c r="L417" s="43"/>
    </row>
    <row r="418" spans="2:12" hidden="1" outlineLevel="1">
      <c r="B418" s="46" t="str">
        <f t="shared" si="31"/>
        <v/>
      </c>
      <c r="C418" s="41" t="str">
        <f t="shared" si="30"/>
        <v/>
      </c>
      <c r="D418" s="41" t="s">
        <v>366</v>
      </c>
      <c r="E418" s="41" t="s">
        <v>776</v>
      </c>
      <c r="F418" s="41"/>
      <c r="G418" s="71"/>
      <c r="H418" s="41"/>
      <c r="I418" s="42"/>
      <c r="J418" s="41"/>
      <c r="K418" s="41"/>
      <c r="L418" s="43"/>
    </row>
    <row r="419" spans="2:12" hidden="1" outlineLevel="1">
      <c r="B419" s="46" t="str">
        <f t="shared" si="31"/>
        <v/>
      </c>
      <c r="C419" s="41" t="str">
        <f t="shared" si="30"/>
        <v/>
      </c>
      <c r="D419" s="41" t="s">
        <v>366</v>
      </c>
      <c r="E419" s="41" t="s">
        <v>777</v>
      </c>
      <c r="F419" s="41"/>
      <c r="G419" s="71"/>
      <c r="H419" s="41"/>
      <c r="I419" s="42"/>
      <c r="J419" s="41"/>
      <c r="K419" s="41"/>
      <c r="L419" s="43"/>
    </row>
    <row r="420" spans="2:12" hidden="1" outlineLevel="1">
      <c r="B420" s="46" t="str">
        <f t="shared" si="31"/>
        <v/>
      </c>
      <c r="C420" s="41" t="str">
        <f t="shared" si="30"/>
        <v/>
      </c>
      <c r="D420" s="41" t="s">
        <v>366</v>
      </c>
      <c r="E420" s="41">
        <v>1001</v>
      </c>
      <c r="F420" s="41"/>
      <c r="G420" s="71"/>
      <c r="H420" s="41"/>
      <c r="I420" s="42"/>
      <c r="J420" s="41"/>
      <c r="K420" s="41"/>
      <c r="L420" s="43"/>
    </row>
    <row r="421" spans="2:12" hidden="1" outlineLevel="1">
      <c r="B421" s="46" t="str">
        <f t="shared" si="31"/>
        <v/>
      </c>
      <c r="C421" s="41" t="str">
        <f t="shared" si="30"/>
        <v/>
      </c>
      <c r="D421" s="41" t="s">
        <v>366</v>
      </c>
      <c r="E421" s="41" t="s">
        <v>778</v>
      </c>
      <c r="F421" s="41"/>
      <c r="G421" s="71"/>
      <c r="H421" s="41"/>
      <c r="I421" s="42"/>
      <c r="J421" s="41"/>
      <c r="K421" s="41"/>
      <c r="L421" s="43"/>
    </row>
    <row r="422" spans="2:12" hidden="1" outlineLevel="1">
      <c r="B422" s="46" t="str">
        <f t="shared" si="31"/>
        <v/>
      </c>
      <c r="C422" s="41" t="str">
        <f t="shared" si="30"/>
        <v/>
      </c>
      <c r="D422" s="41" t="s">
        <v>366</v>
      </c>
      <c r="E422" s="41" t="s">
        <v>779</v>
      </c>
      <c r="F422" s="41"/>
      <c r="G422" s="71"/>
      <c r="H422" s="41"/>
      <c r="I422" s="42"/>
      <c r="J422" s="41"/>
      <c r="K422" s="41"/>
      <c r="L422" s="43"/>
    </row>
    <row r="423" spans="2:12" hidden="1" outlineLevel="1">
      <c r="B423" s="46" t="str">
        <f t="shared" si="31"/>
        <v/>
      </c>
      <c r="C423" s="41" t="str">
        <f t="shared" si="30"/>
        <v/>
      </c>
      <c r="D423" s="41" t="s">
        <v>366</v>
      </c>
      <c r="E423" s="41" t="s">
        <v>780</v>
      </c>
      <c r="F423" s="41"/>
      <c r="G423" s="71"/>
      <c r="H423" s="41"/>
      <c r="I423" s="42"/>
      <c r="J423" s="41"/>
      <c r="K423" s="41"/>
      <c r="L423" s="43"/>
    </row>
    <row r="424" spans="2:12" hidden="1" outlineLevel="1">
      <c r="B424" s="46" t="str">
        <f t="shared" si="31"/>
        <v/>
      </c>
      <c r="C424" s="41" t="str">
        <f t="shared" si="30"/>
        <v/>
      </c>
      <c r="D424" s="41" t="s">
        <v>366</v>
      </c>
      <c r="E424" s="41">
        <v>14827</v>
      </c>
      <c r="F424" s="41"/>
      <c r="G424" s="71"/>
      <c r="H424" s="41"/>
      <c r="I424" s="42"/>
      <c r="J424" s="41"/>
      <c r="K424" s="41"/>
      <c r="L424" s="43"/>
    </row>
    <row r="425" spans="2:12" hidden="1" outlineLevel="1">
      <c r="B425" s="46" t="str">
        <f t="shared" si="31"/>
        <v/>
      </c>
      <c r="C425" s="41" t="str">
        <f>IF(G425="","",IF(G425="SEM DATA",$B$86,IF(G425&gt;DATE(1988,12,31),$B$85,IF(G425&lt;=DATE(1988,12,31),$B$84,""))))</f>
        <v/>
      </c>
      <c r="D425" s="41" t="s">
        <v>366</v>
      </c>
      <c r="E425" s="41" t="s">
        <v>781</v>
      </c>
      <c r="F425" s="41"/>
      <c r="G425" s="71"/>
      <c r="H425" s="41"/>
      <c r="I425" s="42"/>
      <c r="J425" s="41"/>
      <c r="K425" s="41"/>
      <c r="L425" s="43"/>
    </row>
    <row r="426" spans="2:12" hidden="1" outlineLevel="1">
      <c r="B426" s="46" t="str">
        <f t="shared" si="31"/>
        <v/>
      </c>
      <c r="C426" s="41" t="str">
        <f t="shared" si="30"/>
        <v/>
      </c>
      <c r="D426" s="41" t="s">
        <v>366</v>
      </c>
      <c r="E426" s="41" t="s">
        <v>782</v>
      </c>
      <c r="F426" s="41"/>
      <c r="G426" s="71"/>
      <c r="H426" s="41"/>
      <c r="I426" s="42"/>
      <c r="J426" s="41"/>
      <c r="K426" s="41"/>
      <c r="L426" s="43"/>
    </row>
    <row r="427" spans="2:12" hidden="1" outlineLevel="1">
      <c r="B427" s="46" t="str">
        <f t="shared" si="31"/>
        <v/>
      </c>
      <c r="C427" s="41" t="str">
        <f t="shared" si="30"/>
        <v/>
      </c>
      <c r="D427" s="41" t="s">
        <v>366</v>
      </c>
      <c r="E427" s="41" t="s">
        <v>783</v>
      </c>
      <c r="F427" s="41"/>
      <c r="G427" s="71"/>
      <c r="H427" s="41"/>
      <c r="I427" s="42"/>
      <c r="J427" s="41"/>
      <c r="K427" s="41"/>
      <c r="L427" s="43"/>
    </row>
    <row r="428" spans="2:12" hidden="1" outlineLevel="1">
      <c r="B428" s="46" t="str">
        <f t="shared" si="31"/>
        <v/>
      </c>
      <c r="C428" s="41" t="str">
        <f t="shared" si="30"/>
        <v/>
      </c>
      <c r="D428" s="41" t="s">
        <v>366</v>
      </c>
      <c r="E428" s="41" t="s">
        <v>784</v>
      </c>
      <c r="F428" s="41"/>
      <c r="G428" s="71"/>
      <c r="H428" s="41"/>
      <c r="I428" s="42"/>
      <c r="J428" s="41"/>
      <c r="K428" s="41"/>
      <c r="L428" s="43"/>
    </row>
    <row r="429" spans="2:12" hidden="1" outlineLevel="1">
      <c r="B429" s="46" t="str">
        <f t="shared" si="31"/>
        <v/>
      </c>
      <c r="C429" s="41" t="str">
        <f t="shared" si="30"/>
        <v/>
      </c>
      <c r="D429" s="41" t="s">
        <v>366</v>
      </c>
      <c r="E429" s="41" t="s">
        <v>785</v>
      </c>
      <c r="F429" s="41"/>
      <c r="G429" s="71"/>
      <c r="H429" s="41"/>
      <c r="I429" s="42"/>
      <c r="J429" s="41"/>
      <c r="K429" s="41"/>
      <c r="L429" s="43"/>
    </row>
    <row r="430" spans="2:12" hidden="1" outlineLevel="1">
      <c r="B430" s="46" t="str">
        <f t="shared" si="31"/>
        <v/>
      </c>
      <c r="C430" s="41" t="str">
        <f t="shared" si="30"/>
        <v/>
      </c>
      <c r="D430" s="41" t="s">
        <v>366</v>
      </c>
      <c r="E430" s="41">
        <v>80000426835002</v>
      </c>
      <c r="F430" s="41"/>
      <c r="G430" s="71"/>
      <c r="H430" s="41"/>
      <c r="I430" s="42"/>
      <c r="J430" s="41"/>
      <c r="K430" s="41"/>
      <c r="L430" s="43"/>
    </row>
    <row r="431" spans="2:12" hidden="1" outlineLevel="1">
      <c r="B431" s="46" t="str">
        <f t="shared" si="31"/>
        <v/>
      </c>
      <c r="C431" s="41" t="str">
        <f t="shared" si="30"/>
        <v/>
      </c>
      <c r="D431" s="41" t="s">
        <v>366</v>
      </c>
      <c r="E431" s="41" t="s">
        <v>786</v>
      </c>
      <c r="F431" s="41"/>
      <c r="G431" s="71"/>
      <c r="H431" s="41"/>
      <c r="I431" s="42"/>
      <c r="J431" s="41"/>
      <c r="K431" s="41"/>
      <c r="L431" s="43"/>
    </row>
    <row r="432" spans="2:12" hidden="1" outlineLevel="1">
      <c r="B432" s="46" t="str">
        <f t="shared" si="31"/>
        <v/>
      </c>
      <c r="C432" s="41" t="str">
        <f t="shared" si="30"/>
        <v/>
      </c>
      <c r="D432" s="41" t="s">
        <v>366</v>
      </c>
      <c r="E432" s="41" t="s">
        <v>659</v>
      </c>
      <c r="F432" s="41"/>
      <c r="G432" s="71"/>
      <c r="H432" s="41"/>
      <c r="I432" s="42"/>
      <c r="J432" s="41"/>
      <c r="K432" s="41"/>
      <c r="L432" s="43"/>
    </row>
    <row r="433" spans="2:12" hidden="1" outlineLevel="1">
      <c r="B433" s="46" t="str">
        <f t="shared" si="31"/>
        <v/>
      </c>
      <c r="C433" s="41" t="str">
        <f t="shared" si="30"/>
        <v/>
      </c>
      <c r="D433" s="41" t="s">
        <v>366</v>
      </c>
      <c r="E433" s="41" t="s">
        <v>787</v>
      </c>
      <c r="F433" s="41"/>
      <c r="G433" s="71"/>
      <c r="H433" s="41"/>
      <c r="I433" s="42"/>
      <c r="J433" s="41"/>
      <c r="K433" s="41"/>
      <c r="L433" s="43"/>
    </row>
    <row r="434" spans="2:12" hidden="1" outlineLevel="1">
      <c r="B434" s="46" t="str">
        <f t="shared" si="31"/>
        <v/>
      </c>
      <c r="C434" s="41" t="str">
        <f>IF(G434="","",IF(G434="SEM DATA",$B$86,IF(G434&gt;DATE(1988,12,31),$B$85,IF(G434&lt;=DATE(1988,12,31),$B$84,""))))</f>
        <v/>
      </c>
      <c r="D434" s="41" t="s">
        <v>366</v>
      </c>
      <c r="E434" s="41" t="s">
        <v>788</v>
      </c>
      <c r="F434" s="41"/>
      <c r="G434" s="71"/>
      <c r="H434" s="41"/>
      <c r="I434" s="42"/>
      <c r="J434" s="41"/>
      <c r="K434" s="41"/>
      <c r="L434" s="43"/>
    </row>
    <row r="435" spans="2:12" hidden="1" outlineLevel="1">
      <c r="B435" s="46" t="str">
        <f>IF(C435="","",B434+1)</f>
        <v/>
      </c>
      <c r="C435" s="41" t="str">
        <f t="shared" ref="C435:C460" si="32">IF(G435="","",IF(G435="SEM DATA",$B$86,IF(G435&gt;DATE(1988,12,31),$B$85,IF(G435&lt;=DATE(1988,12,31),$B$84,""))))</f>
        <v/>
      </c>
      <c r="D435" s="41" t="s">
        <v>366</v>
      </c>
      <c r="E435" s="41" t="s">
        <v>789</v>
      </c>
      <c r="F435" s="41"/>
      <c r="G435" s="71"/>
      <c r="H435" s="41"/>
      <c r="I435" s="42"/>
      <c r="J435" s="41"/>
      <c r="K435" s="41"/>
      <c r="L435" s="43"/>
    </row>
    <row r="436" spans="2:12" hidden="1" outlineLevel="1">
      <c r="B436" s="46" t="str">
        <f t="shared" ref="B436:B455" si="33">IF(C436="","",B435+1)</f>
        <v/>
      </c>
      <c r="C436" s="41" t="str">
        <f t="shared" si="32"/>
        <v/>
      </c>
      <c r="D436" s="41" t="s">
        <v>366</v>
      </c>
      <c r="E436" s="41" t="s">
        <v>790</v>
      </c>
      <c r="F436" s="41"/>
      <c r="G436" s="71"/>
      <c r="H436" s="41"/>
      <c r="I436" s="42"/>
      <c r="J436" s="41"/>
      <c r="K436" s="41"/>
      <c r="L436" s="43"/>
    </row>
    <row r="437" spans="2:12" hidden="1" outlineLevel="1">
      <c r="B437" s="46" t="str">
        <f t="shared" si="33"/>
        <v/>
      </c>
      <c r="C437" s="41" t="str">
        <f t="shared" si="32"/>
        <v/>
      </c>
      <c r="D437" s="41" t="s">
        <v>366</v>
      </c>
      <c r="E437" s="41" t="s">
        <v>791</v>
      </c>
      <c r="F437" s="41"/>
      <c r="G437" s="71"/>
      <c r="H437" s="41"/>
      <c r="I437" s="42"/>
      <c r="J437" s="41"/>
      <c r="K437" s="41"/>
      <c r="L437" s="43"/>
    </row>
    <row r="438" spans="2:12" hidden="1" outlineLevel="1">
      <c r="B438" s="46" t="str">
        <f t="shared" si="33"/>
        <v/>
      </c>
      <c r="C438" s="41" t="str">
        <f t="shared" si="32"/>
        <v/>
      </c>
      <c r="D438" s="41" t="s">
        <v>366</v>
      </c>
      <c r="E438" s="41" t="s">
        <v>792</v>
      </c>
      <c r="F438" s="41"/>
      <c r="G438" s="71"/>
      <c r="H438" s="41"/>
      <c r="I438" s="42"/>
      <c r="J438" s="41"/>
      <c r="K438" s="41"/>
      <c r="L438" s="43"/>
    </row>
    <row r="439" spans="2:12" hidden="1" outlineLevel="1">
      <c r="B439" s="46" t="str">
        <f t="shared" si="33"/>
        <v/>
      </c>
      <c r="C439" s="41" t="str">
        <f t="shared" si="32"/>
        <v/>
      </c>
      <c r="D439" s="41" t="s">
        <v>366</v>
      </c>
      <c r="E439" s="41" t="s">
        <v>793</v>
      </c>
      <c r="F439" s="41"/>
      <c r="G439" s="71"/>
      <c r="H439" s="41"/>
      <c r="I439" s="42"/>
      <c r="J439" s="41"/>
      <c r="K439" s="41"/>
      <c r="L439" s="43"/>
    </row>
    <row r="440" spans="2:12" hidden="1" outlineLevel="1">
      <c r="B440" s="46" t="str">
        <f t="shared" si="33"/>
        <v/>
      </c>
      <c r="C440" s="41" t="str">
        <f t="shared" si="32"/>
        <v/>
      </c>
      <c r="D440" s="41" t="s">
        <v>366</v>
      </c>
      <c r="E440" s="41" t="s">
        <v>794</v>
      </c>
      <c r="F440" s="41"/>
      <c r="G440" s="71"/>
      <c r="H440" s="41"/>
      <c r="I440" s="42"/>
      <c r="J440" s="41"/>
      <c r="K440" s="41"/>
      <c r="L440" s="43"/>
    </row>
    <row r="441" spans="2:12" hidden="1" outlineLevel="1">
      <c r="B441" s="46" t="str">
        <f t="shared" si="33"/>
        <v/>
      </c>
      <c r="C441" s="41" t="str">
        <f t="shared" si="32"/>
        <v/>
      </c>
      <c r="D441" s="41" t="s">
        <v>366</v>
      </c>
      <c r="E441" s="41" t="s">
        <v>795</v>
      </c>
      <c r="F441" s="41"/>
      <c r="G441" s="71"/>
      <c r="H441" s="41"/>
      <c r="I441" s="42"/>
      <c r="J441" s="41"/>
      <c r="K441" s="41"/>
      <c r="L441" s="43"/>
    </row>
    <row r="442" spans="2:12" hidden="1" outlineLevel="1">
      <c r="B442" s="46" t="str">
        <f t="shared" si="33"/>
        <v/>
      </c>
      <c r="C442" s="41" t="str">
        <f t="shared" si="32"/>
        <v/>
      </c>
      <c r="D442" s="41" t="s">
        <v>366</v>
      </c>
      <c r="E442" s="41" t="s">
        <v>796</v>
      </c>
      <c r="F442" s="41"/>
      <c r="G442" s="71"/>
      <c r="H442" s="41"/>
      <c r="I442" s="42"/>
      <c r="J442" s="41"/>
      <c r="K442" s="41"/>
      <c r="L442" s="43"/>
    </row>
    <row r="443" spans="2:12" hidden="1" outlineLevel="1">
      <c r="B443" s="46" t="str">
        <f t="shared" si="33"/>
        <v/>
      </c>
      <c r="C443" s="41" t="str">
        <f t="shared" si="32"/>
        <v/>
      </c>
      <c r="D443" s="41" t="s">
        <v>366</v>
      </c>
      <c r="E443" s="41" t="s">
        <v>797</v>
      </c>
      <c r="F443" s="41"/>
      <c r="G443" s="71"/>
      <c r="H443" s="41"/>
      <c r="I443" s="42"/>
      <c r="J443" s="41"/>
      <c r="K443" s="41"/>
      <c r="L443" s="43"/>
    </row>
    <row r="444" spans="2:12" hidden="1" outlineLevel="1">
      <c r="B444" s="46" t="str">
        <f t="shared" si="33"/>
        <v/>
      </c>
      <c r="C444" s="41" t="str">
        <f t="shared" si="32"/>
        <v/>
      </c>
      <c r="D444" s="41" t="s">
        <v>366</v>
      </c>
      <c r="E444" s="41" t="s">
        <v>798</v>
      </c>
      <c r="F444" s="41"/>
      <c r="G444" s="71"/>
      <c r="H444" s="41"/>
      <c r="I444" s="42"/>
      <c r="J444" s="41"/>
      <c r="K444" s="41"/>
      <c r="L444" s="43"/>
    </row>
    <row r="445" spans="2:12" hidden="1" outlineLevel="1">
      <c r="B445" s="46" t="str">
        <f t="shared" si="33"/>
        <v/>
      </c>
      <c r="C445" s="41" t="str">
        <f t="shared" si="32"/>
        <v/>
      </c>
      <c r="D445" s="41" t="s">
        <v>366</v>
      </c>
      <c r="E445" s="41" t="s">
        <v>799</v>
      </c>
      <c r="F445" s="41"/>
      <c r="G445" s="71"/>
      <c r="H445" s="41"/>
      <c r="I445" s="42"/>
      <c r="J445" s="41"/>
      <c r="K445" s="41"/>
      <c r="L445" s="43"/>
    </row>
    <row r="446" spans="2:12" hidden="1" outlineLevel="1">
      <c r="B446" s="46" t="str">
        <f t="shared" si="33"/>
        <v/>
      </c>
      <c r="C446" s="41" t="str">
        <f t="shared" si="32"/>
        <v/>
      </c>
      <c r="D446" s="41" t="s">
        <v>366</v>
      </c>
      <c r="E446" s="41" t="s">
        <v>800</v>
      </c>
      <c r="F446" s="41"/>
      <c r="G446" s="71"/>
      <c r="H446" s="41"/>
      <c r="I446" s="42"/>
      <c r="J446" s="41"/>
      <c r="K446" s="41"/>
      <c r="L446" s="43"/>
    </row>
    <row r="447" spans="2:12" hidden="1" outlineLevel="1">
      <c r="B447" s="46" t="str">
        <f t="shared" si="33"/>
        <v/>
      </c>
      <c r="C447" s="41" t="str">
        <f t="shared" si="32"/>
        <v/>
      </c>
      <c r="D447" s="41" t="s">
        <v>366</v>
      </c>
      <c r="E447" s="41" t="s">
        <v>801</v>
      </c>
      <c r="F447" s="41"/>
      <c r="G447" s="71"/>
      <c r="H447" s="41"/>
      <c r="I447" s="42"/>
      <c r="J447" s="41"/>
      <c r="K447" s="41"/>
      <c r="L447" s="43"/>
    </row>
    <row r="448" spans="2:12" hidden="1" outlineLevel="1">
      <c r="B448" s="46" t="str">
        <f t="shared" si="33"/>
        <v/>
      </c>
      <c r="C448" s="41" t="str">
        <f t="shared" si="32"/>
        <v/>
      </c>
      <c r="D448" s="41" t="s">
        <v>366</v>
      </c>
      <c r="E448" s="41" t="s">
        <v>802</v>
      </c>
      <c r="F448" s="41"/>
      <c r="G448" s="71"/>
      <c r="H448" s="41"/>
      <c r="I448" s="42"/>
      <c r="J448" s="41"/>
      <c r="K448" s="41"/>
      <c r="L448" s="43"/>
    </row>
    <row r="449" spans="2:12" hidden="1" outlineLevel="1">
      <c r="B449" s="46" t="str">
        <f t="shared" si="33"/>
        <v/>
      </c>
      <c r="C449" s="41" t="str">
        <f t="shared" si="32"/>
        <v/>
      </c>
      <c r="D449" s="41" t="s">
        <v>366</v>
      </c>
      <c r="E449" s="41" t="s">
        <v>803</v>
      </c>
      <c r="F449" s="41"/>
      <c r="G449" s="71"/>
      <c r="H449" s="41"/>
      <c r="I449" s="42"/>
      <c r="J449" s="41"/>
      <c r="K449" s="41"/>
      <c r="L449" s="43"/>
    </row>
    <row r="450" spans="2:12" hidden="1" outlineLevel="1">
      <c r="B450" s="46" t="str">
        <f t="shared" si="33"/>
        <v/>
      </c>
      <c r="C450" s="41" t="str">
        <f t="shared" si="32"/>
        <v/>
      </c>
      <c r="D450" s="41" t="s">
        <v>366</v>
      </c>
      <c r="E450" s="41" t="s">
        <v>804</v>
      </c>
      <c r="F450" s="41"/>
      <c r="G450" s="71"/>
      <c r="H450" s="41"/>
      <c r="I450" s="42"/>
      <c r="J450" s="41"/>
      <c r="K450" s="41"/>
      <c r="L450" s="43"/>
    </row>
    <row r="451" spans="2:12" hidden="1" outlineLevel="1">
      <c r="B451" s="46" t="str">
        <f t="shared" si="33"/>
        <v/>
      </c>
      <c r="C451" s="41" t="str">
        <f t="shared" si="32"/>
        <v/>
      </c>
      <c r="D451" s="41" t="s">
        <v>366</v>
      </c>
      <c r="E451" s="41" t="s">
        <v>805</v>
      </c>
      <c r="F451" s="41"/>
      <c r="G451" s="71"/>
      <c r="H451" s="41"/>
      <c r="I451" s="42"/>
      <c r="J451" s="41"/>
      <c r="K451" s="41"/>
      <c r="L451" s="43"/>
    </row>
    <row r="452" spans="2:12" hidden="1" outlineLevel="1">
      <c r="B452" s="46" t="str">
        <f t="shared" si="33"/>
        <v/>
      </c>
      <c r="C452" s="41" t="str">
        <f>IF(G452="","",IF(G452="SEM DATA",$B$86,IF(G452&gt;DATE(1988,12,31),$B$85,IF(G452&lt;=DATE(1988,12,31),$B$84,""))))</f>
        <v/>
      </c>
      <c r="D452" s="41" t="s">
        <v>366</v>
      </c>
      <c r="E452" s="41" t="s">
        <v>806</v>
      </c>
      <c r="F452" s="41"/>
      <c r="G452" s="71"/>
      <c r="H452" s="41"/>
      <c r="I452" s="42"/>
      <c r="J452" s="41"/>
      <c r="K452" s="41"/>
      <c r="L452" s="43"/>
    </row>
    <row r="453" spans="2:12" hidden="1" outlineLevel="1">
      <c r="B453" s="46" t="str">
        <f t="shared" si="33"/>
        <v/>
      </c>
      <c r="C453" s="41" t="str">
        <f t="shared" si="32"/>
        <v/>
      </c>
      <c r="D453" s="41" t="s">
        <v>366</v>
      </c>
      <c r="E453" s="58" t="s">
        <v>807</v>
      </c>
      <c r="F453" s="41"/>
      <c r="G453" s="71"/>
      <c r="H453" s="41"/>
      <c r="I453" s="42"/>
      <c r="J453" s="41"/>
      <c r="K453" s="41"/>
      <c r="L453" s="43"/>
    </row>
    <row r="454" spans="2:12" hidden="1" outlineLevel="1">
      <c r="B454" s="46" t="str">
        <f t="shared" si="33"/>
        <v/>
      </c>
      <c r="C454" s="41" t="str">
        <f t="shared" si="32"/>
        <v/>
      </c>
      <c r="D454" s="41" t="s">
        <v>366</v>
      </c>
      <c r="E454" s="41" t="s">
        <v>808</v>
      </c>
      <c r="F454" s="41"/>
      <c r="G454" s="71"/>
      <c r="H454" s="41"/>
      <c r="I454" s="42"/>
      <c r="J454" s="41"/>
      <c r="K454" s="41"/>
      <c r="L454" s="43"/>
    </row>
    <row r="455" spans="2:12" hidden="1" outlineLevel="1">
      <c r="B455" s="46" t="str">
        <f t="shared" si="33"/>
        <v/>
      </c>
      <c r="C455" s="41" t="str">
        <f t="shared" si="32"/>
        <v/>
      </c>
      <c r="D455" s="41" t="s">
        <v>366</v>
      </c>
      <c r="E455" s="41" t="s">
        <v>809</v>
      </c>
      <c r="F455" s="41"/>
      <c r="G455" s="71"/>
      <c r="H455" s="41"/>
      <c r="I455" s="42"/>
      <c r="J455" s="41"/>
      <c r="K455" s="41"/>
      <c r="L455" s="43"/>
    </row>
    <row r="456" spans="2:12" hidden="1" outlineLevel="1">
      <c r="B456" s="46" t="str">
        <f>IF(C456="","",B455+1)</f>
        <v/>
      </c>
      <c r="C456" s="41" t="str">
        <f t="shared" si="32"/>
        <v/>
      </c>
      <c r="D456" s="41" t="s">
        <v>366</v>
      </c>
      <c r="E456" s="58">
        <v>15201</v>
      </c>
      <c r="F456" s="41"/>
      <c r="G456" s="71"/>
      <c r="H456" s="41"/>
      <c r="I456" s="42"/>
      <c r="J456" s="41"/>
      <c r="K456" s="41"/>
      <c r="L456" s="43"/>
    </row>
    <row r="457" spans="2:12" hidden="1" outlineLevel="1">
      <c r="B457" s="46" t="str">
        <f t="shared" ref="B457:B479" si="34">IF(C457="","",B456+1)</f>
        <v/>
      </c>
      <c r="C457" s="41" t="str">
        <f t="shared" si="32"/>
        <v/>
      </c>
      <c r="D457" s="41" t="s">
        <v>366</v>
      </c>
      <c r="E457" s="41">
        <v>15202</v>
      </c>
      <c r="F457" s="41"/>
      <c r="G457" s="71"/>
      <c r="H457" s="41"/>
      <c r="I457" s="42"/>
      <c r="J457" s="41"/>
      <c r="K457" s="41"/>
      <c r="L457" s="43"/>
    </row>
    <row r="458" spans="2:12" hidden="1" outlineLevel="1">
      <c r="B458" s="46" t="str">
        <f t="shared" si="34"/>
        <v/>
      </c>
      <c r="C458" s="41" t="str">
        <f t="shared" si="32"/>
        <v/>
      </c>
      <c r="D458" s="41" t="s">
        <v>366</v>
      </c>
      <c r="E458" s="41">
        <v>15204</v>
      </c>
      <c r="F458" s="41"/>
      <c r="G458" s="71"/>
      <c r="H458" s="41"/>
      <c r="I458" s="42"/>
      <c r="J458" s="41"/>
      <c r="K458" s="41"/>
      <c r="L458" s="43"/>
    </row>
    <row r="459" spans="2:12" hidden="1" outlineLevel="1">
      <c r="B459" s="46" t="str">
        <f t="shared" si="34"/>
        <v/>
      </c>
      <c r="C459" s="41" t="str">
        <f t="shared" si="32"/>
        <v/>
      </c>
      <c r="D459" s="41" t="s">
        <v>366</v>
      </c>
      <c r="E459" s="41" t="s">
        <v>810</v>
      </c>
      <c r="F459" s="41"/>
      <c r="G459" s="71"/>
      <c r="H459" s="41"/>
      <c r="I459" s="42"/>
      <c r="J459" s="41"/>
      <c r="K459" s="41"/>
      <c r="L459" s="43"/>
    </row>
    <row r="460" spans="2:12" hidden="1" outlineLevel="1">
      <c r="B460" s="46" t="str">
        <f t="shared" si="34"/>
        <v/>
      </c>
      <c r="C460" s="41" t="str">
        <f t="shared" si="32"/>
        <v/>
      </c>
      <c r="D460" s="41" t="s">
        <v>366</v>
      </c>
      <c r="E460" s="41" t="s">
        <v>811</v>
      </c>
      <c r="F460" s="41"/>
      <c r="G460" s="71"/>
      <c r="H460" s="41"/>
      <c r="I460" s="42"/>
      <c r="J460" s="41"/>
      <c r="K460" s="41"/>
      <c r="L460" s="43"/>
    </row>
    <row r="461" spans="2:12" hidden="1" outlineLevel="1">
      <c r="B461" s="46" t="str">
        <f t="shared" si="34"/>
        <v/>
      </c>
      <c r="C461" s="41" t="str">
        <f>IF(G461="","",IF(G461="SEM DATA",$B$86,IF(G461&gt;DATE(1988,12,31),$B$85,IF(G461&lt;=DATE(1988,12,31),$B$84,""))))</f>
        <v/>
      </c>
      <c r="D461" s="41" t="s">
        <v>366</v>
      </c>
      <c r="E461" s="41" t="s">
        <v>812</v>
      </c>
      <c r="F461" s="41"/>
      <c r="G461" s="71"/>
      <c r="H461" s="41"/>
      <c r="I461" s="42"/>
      <c r="J461" s="41"/>
      <c r="K461" s="41"/>
      <c r="L461" s="43"/>
    </row>
    <row r="462" spans="2:12" hidden="1" outlineLevel="1">
      <c r="B462" s="46" t="str">
        <f t="shared" si="34"/>
        <v/>
      </c>
      <c r="C462" s="41" t="str">
        <f t="shared" ref="C462:C484" si="35">IF(G462="","",IF(G462="SEM DATA",$B$86,IF(G462&gt;DATE(1988,12,31),$B$85,IF(G462&lt;=DATE(1988,12,31),$B$84,""))))</f>
        <v/>
      </c>
      <c r="D462" s="41" t="s">
        <v>366</v>
      </c>
      <c r="E462" s="41" t="s">
        <v>813</v>
      </c>
      <c r="F462" s="41"/>
      <c r="G462" s="71"/>
      <c r="H462" s="41"/>
      <c r="I462" s="42"/>
      <c r="J462" s="41"/>
      <c r="K462" s="41"/>
      <c r="L462" s="43"/>
    </row>
    <row r="463" spans="2:12" hidden="1" outlineLevel="1">
      <c r="B463" s="46" t="str">
        <f t="shared" si="34"/>
        <v/>
      </c>
      <c r="C463" s="41" t="str">
        <f t="shared" si="35"/>
        <v/>
      </c>
      <c r="D463" s="41" t="s">
        <v>366</v>
      </c>
      <c r="E463" s="41" t="s">
        <v>814</v>
      </c>
      <c r="F463" s="41"/>
      <c r="G463" s="71"/>
      <c r="H463" s="41"/>
      <c r="I463" s="42"/>
      <c r="J463" s="41"/>
      <c r="K463" s="41"/>
      <c r="L463" s="43"/>
    </row>
    <row r="464" spans="2:12" hidden="1" outlineLevel="1">
      <c r="B464" s="46" t="str">
        <f t="shared" si="34"/>
        <v/>
      </c>
      <c r="C464" s="41" t="str">
        <f t="shared" si="35"/>
        <v/>
      </c>
      <c r="D464" s="41" t="s">
        <v>366</v>
      </c>
      <c r="E464" s="41" t="s">
        <v>815</v>
      </c>
      <c r="F464" s="41"/>
      <c r="G464" s="71"/>
      <c r="H464" s="41"/>
      <c r="I464" s="42"/>
      <c r="J464" s="41"/>
      <c r="K464" s="41"/>
      <c r="L464" s="43"/>
    </row>
    <row r="465" spans="2:12" hidden="1" outlineLevel="1">
      <c r="B465" s="46" t="str">
        <f t="shared" si="34"/>
        <v/>
      </c>
      <c r="C465" s="41" t="str">
        <f t="shared" si="35"/>
        <v/>
      </c>
      <c r="D465" s="41" t="s">
        <v>366</v>
      </c>
      <c r="E465" s="41">
        <v>16582</v>
      </c>
      <c r="F465" s="41"/>
      <c r="G465" s="71"/>
      <c r="H465" s="41"/>
      <c r="I465" s="42"/>
      <c r="J465" s="41"/>
      <c r="K465" s="41"/>
      <c r="L465" s="43"/>
    </row>
    <row r="466" spans="2:12" hidden="1" outlineLevel="1">
      <c r="B466" s="46" t="str">
        <f t="shared" si="34"/>
        <v/>
      </c>
      <c r="C466" s="41" t="str">
        <f t="shared" si="35"/>
        <v/>
      </c>
      <c r="D466" s="41" t="s">
        <v>366</v>
      </c>
      <c r="E466" s="41">
        <v>3189</v>
      </c>
      <c r="F466" s="41"/>
      <c r="G466" s="71"/>
      <c r="H466" s="41"/>
      <c r="I466" s="42"/>
      <c r="J466" s="41"/>
      <c r="K466" s="41"/>
      <c r="L466" s="43"/>
    </row>
    <row r="467" spans="2:12" hidden="1" outlineLevel="1">
      <c r="B467" s="46" t="str">
        <f t="shared" si="34"/>
        <v/>
      </c>
      <c r="C467" s="41" t="str">
        <f t="shared" si="35"/>
        <v/>
      </c>
      <c r="D467" s="41" t="s">
        <v>366</v>
      </c>
      <c r="E467" s="41">
        <v>16581</v>
      </c>
      <c r="F467" s="41"/>
      <c r="G467" s="71"/>
      <c r="H467" s="41"/>
      <c r="I467" s="42"/>
      <c r="J467" s="41"/>
      <c r="K467" s="41"/>
      <c r="L467" s="43"/>
    </row>
    <row r="468" spans="2:12" hidden="1" outlineLevel="1">
      <c r="B468" s="46" t="str">
        <f t="shared" si="34"/>
        <v/>
      </c>
      <c r="C468" s="41" t="str">
        <f t="shared" si="35"/>
        <v/>
      </c>
      <c r="D468" s="41" t="s">
        <v>366</v>
      </c>
      <c r="E468" s="41" t="s">
        <v>816</v>
      </c>
      <c r="F468" s="41"/>
      <c r="G468" s="71"/>
      <c r="H468" s="41"/>
      <c r="I468" s="42"/>
      <c r="J468" s="41"/>
      <c r="K468" s="41"/>
      <c r="L468" s="43"/>
    </row>
    <row r="469" spans="2:12" hidden="1" outlineLevel="1">
      <c r="B469" s="46" t="str">
        <f t="shared" si="34"/>
        <v/>
      </c>
      <c r="C469" s="41" t="str">
        <f t="shared" si="35"/>
        <v/>
      </c>
      <c r="D469" s="41" t="s">
        <v>366</v>
      </c>
      <c r="E469" s="41" t="s">
        <v>817</v>
      </c>
      <c r="F469" s="41"/>
      <c r="G469" s="71"/>
      <c r="H469" s="41"/>
      <c r="I469" s="42"/>
      <c r="J469" s="41"/>
      <c r="K469" s="41"/>
      <c r="L469" s="43"/>
    </row>
    <row r="470" spans="2:12" hidden="1" outlineLevel="1">
      <c r="B470" s="46" t="str">
        <f t="shared" si="34"/>
        <v/>
      </c>
      <c r="C470" s="41" t="str">
        <f t="shared" si="35"/>
        <v/>
      </c>
      <c r="D470" s="41" t="s">
        <v>366</v>
      </c>
      <c r="E470" s="41" t="s">
        <v>818</v>
      </c>
      <c r="F470" s="41"/>
      <c r="G470" s="71"/>
      <c r="H470" s="41"/>
      <c r="I470" s="42"/>
      <c r="J470" s="41"/>
      <c r="K470" s="41"/>
      <c r="L470" s="43"/>
    </row>
    <row r="471" spans="2:12" hidden="1" outlineLevel="1">
      <c r="B471" s="46" t="str">
        <f t="shared" si="34"/>
        <v/>
      </c>
      <c r="C471" s="41" t="str">
        <f t="shared" si="35"/>
        <v/>
      </c>
      <c r="D471" s="41" t="s">
        <v>366</v>
      </c>
      <c r="E471" s="41">
        <v>16597</v>
      </c>
      <c r="F471" s="41"/>
      <c r="G471" s="71"/>
      <c r="H471" s="41"/>
      <c r="I471" s="42"/>
      <c r="J471" s="41"/>
      <c r="K471" s="41"/>
      <c r="L471" s="43"/>
    </row>
    <row r="472" spans="2:12" hidden="1" outlineLevel="1">
      <c r="B472" s="46" t="str">
        <f t="shared" si="34"/>
        <v/>
      </c>
      <c r="C472" s="41" t="str">
        <f t="shared" si="35"/>
        <v/>
      </c>
      <c r="D472" s="41" t="s">
        <v>366</v>
      </c>
      <c r="E472" s="41">
        <v>16598</v>
      </c>
      <c r="F472" s="41"/>
      <c r="G472" s="71"/>
      <c r="H472" s="41"/>
      <c r="I472" s="42"/>
      <c r="J472" s="41"/>
      <c r="K472" s="41"/>
      <c r="L472" s="43"/>
    </row>
    <row r="473" spans="2:12" hidden="1" outlineLevel="1">
      <c r="B473" s="46" t="str">
        <f t="shared" si="34"/>
        <v/>
      </c>
      <c r="C473" s="41" t="str">
        <f t="shared" si="35"/>
        <v/>
      </c>
      <c r="D473" s="41" t="s">
        <v>366</v>
      </c>
      <c r="E473" s="58">
        <v>16586</v>
      </c>
      <c r="F473" s="41"/>
      <c r="G473" s="71"/>
      <c r="H473" s="41"/>
      <c r="I473" s="42"/>
      <c r="J473" s="41"/>
      <c r="K473" s="41"/>
      <c r="L473" s="43"/>
    </row>
    <row r="474" spans="2:12" hidden="1" outlineLevel="1">
      <c r="B474" s="46" t="str">
        <f t="shared" si="34"/>
        <v/>
      </c>
      <c r="C474" s="41" t="str">
        <f t="shared" si="35"/>
        <v/>
      </c>
      <c r="D474" s="41" t="s">
        <v>366</v>
      </c>
      <c r="E474" s="41">
        <v>16590</v>
      </c>
      <c r="F474" s="41"/>
      <c r="G474" s="71"/>
      <c r="H474" s="41"/>
      <c r="I474" s="42"/>
      <c r="J474" s="41"/>
      <c r="K474" s="41"/>
      <c r="L474" s="43"/>
    </row>
    <row r="475" spans="2:12" hidden="1" outlineLevel="1">
      <c r="B475" s="46" t="str">
        <f t="shared" si="34"/>
        <v/>
      </c>
      <c r="C475" s="41" t="str">
        <f t="shared" si="35"/>
        <v/>
      </c>
      <c r="D475" s="41" t="s">
        <v>366</v>
      </c>
      <c r="E475" s="41">
        <v>16591</v>
      </c>
      <c r="F475" s="41"/>
      <c r="G475" s="71"/>
      <c r="H475" s="41"/>
      <c r="I475" s="42"/>
      <c r="J475" s="41"/>
      <c r="K475" s="41"/>
      <c r="L475" s="43"/>
    </row>
    <row r="476" spans="2:12" hidden="1" outlineLevel="1">
      <c r="B476" s="46" t="str">
        <f t="shared" si="34"/>
        <v/>
      </c>
      <c r="C476" s="41" t="str">
        <f t="shared" si="35"/>
        <v/>
      </c>
      <c r="D476" s="41" t="s">
        <v>366</v>
      </c>
      <c r="E476" s="41">
        <v>16592</v>
      </c>
      <c r="F476" s="41"/>
      <c r="G476" s="71"/>
      <c r="H476" s="41"/>
      <c r="I476" s="42"/>
      <c r="J476" s="41"/>
      <c r="K476" s="41"/>
      <c r="L476" s="43"/>
    </row>
    <row r="477" spans="2:12" hidden="1" outlineLevel="1">
      <c r="B477" s="46" t="str">
        <f t="shared" si="34"/>
        <v/>
      </c>
      <c r="C477" s="41" t="str">
        <f t="shared" si="35"/>
        <v/>
      </c>
      <c r="D477" s="41" t="s">
        <v>366</v>
      </c>
      <c r="E477" s="41">
        <v>14327</v>
      </c>
      <c r="F477" s="41"/>
      <c r="G477" s="71"/>
      <c r="H477" s="41"/>
      <c r="I477" s="42"/>
      <c r="J477" s="41"/>
      <c r="K477" s="41"/>
      <c r="L477" s="43"/>
    </row>
    <row r="478" spans="2:12" hidden="1" outlineLevel="1">
      <c r="B478" s="46" t="str">
        <f t="shared" si="34"/>
        <v/>
      </c>
      <c r="C478" s="41" t="str">
        <f t="shared" si="35"/>
        <v/>
      </c>
      <c r="D478" s="41" t="s">
        <v>366</v>
      </c>
      <c r="E478" s="41">
        <v>14328</v>
      </c>
      <c r="F478" s="41"/>
      <c r="G478" s="71"/>
      <c r="H478" s="41"/>
      <c r="I478" s="42"/>
      <c r="J478" s="41"/>
      <c r="K478" s="41"/>
      <c r="L478" s="43"/>
    </row>
    <row r="479" spans="2:12" hidden="1" outlineLevel="1">
      <c r="B479" s="46" t="str">
        <f t="shared" si="34"/>
        <v/>
      </c>
      <c r="C479" s="41" t="str">
        <f>IF(G479="","",IF(G479="SEM DATA",$B$86,IF(G479&gt;DATE(1988,12,31),$B$85,IF(G479&lt;=DATE(1988,12,31),$B$84,""))))</f>
        <v/>
      </c>
      <c r="D479" s="41" t="s">
        <v>366</v>
      </c>
      <c r="E479" s="58">
        <v>14326</v>
      </c>
      <c r="F479" s="41"/>
      <c r="G479" s="71"/>
      <c r="H479" s="41"/>
      <c r="I479" s="42"/>
      <c r="J479" s="41"/>
      <c r="K479" s="41"/>
      <c r="L479" s="43"/>
    </row>
    <row r="480" spans="2:12" hidden="1" outlineLevel="1">
      <c r="B480" s="46" t="str">
        <f>IF(C480="","",B479+1)</f>
        <v/>
      </c>
      <c r="C480" s="41" t="str">
        <f t="shared" si="35"/>
        <v/>
      </c>
      <c r="D480" s="41" t="s">
        <v>366</v>
      </c>
      <c r="E480" s="41" t="s">
        <v>819</v>
      </c>
      <c r="F480" s="41"/>
      <c r="G480" s="71"/>
      <c r="H480" s="41"/>
      <c r="I480" s="42"/>
      <c r="J480" s="41"/>
      <c r="K480" s="41"/>
      <c r="L480" s="43"/>
    </row>
    <row r="481" spans="2:12" hidden="1" outlineLevel="1">
      <c r="B481" s="46" t="str">
        <f t="shared" ref="B481:B503" si="36">IF(C481="","",B480+1)</f>
        <v/>
      </c>
      <c r="C481" s="41" t="str">
        <f t="shared" si="35"/>
        <v/>
      </c>
      <c r="D481" s="41" t="s">
        <v>366</v>
      </c>
      <c r="E481" s="41" t="s">
        <v>820</v>
      </c>
      <c r="F481" s="41"/>
      <c r="G481" s="71"/>
      <c r="H481" s="41"/>
      <c r="I481" s="42"/>
      <c r="J481" s="41"/>
      <c r="K481" s="41"/>
      <c r="L481" s="43"/>
    </row>
    <row r="482" spans="2:12" hidden="1" outlineLevel="1">
      <c r="B482" s="46" t="str">
        <f t="shared" si="36"/>
        <v/>
      </c>
      <c r="C482" s="41" t="str">
        <f t="shared" si="35"/>
        <v/>
      </c>
      <c r="D482" s="41" t="s">
        <v>366</v>
      </c>
      <c r="E482" s="58" t="s">
        <v>821</v>
      </c>
      <c r="F482" s="41"/>
      <c r="G482" s="71"/>
      <c r="H482" s="41"/>
      <c r="I482" s="42"/>
      <c r="J482" s="41"/>
      <c r="K482" s="41"/>
      <c r="L482" s="43"/>
    </row>
    <row r="483" spans="2:12" hidden="1" outlineLevel="1">
      <c r="B483" s="46" t="str">
        <f t="shared" si="36"/>
        <v/>
      </c>
      <c r="C483" s="41" t="str">
        <f t="shared" si="35"/>
        <v/>
      </c>
      <c r="D483" s="41" t="s">
        <v>366</v>
      </c>
      <c r="E483" s="58" t="s">
        <v>822</v>
      </c>
      <c r="F483" s="41"/>
      <c r="G483" s="71"/>
      <c r="H483" s="41"/>
      <c r="I483" s="42"/>
      <c r="J483" s="41"/>
      <c r="K483" s="41"/>
      <c r="L483" s="43"/>
    </row>
    <row r="484" spans="2:12" hidden="1" outlineLevel="1">
      <c r="B484" s="46" t="str">
        <f t="shared" si="36"/>
        <v/>
      </c>
      <c r="C484" s="41" t="str">
        <f t="shared" si="35"/>
        <v/>
      </c>
      <c r="D484" s="41" t="s">
        <v>366</v>
      </c>
      <c r="E484" s="58" t="s">
        <v>823</v>
      </c>
      <c r="F484" s="41"/>
      <c r="G484" s="71"/>
      <c r="H484" s="41"/>
      <c r="I484" s="42"/>
      <c r="J484" s="41"/>
      <c r="K484" s="41"/>
      <c r="L484" s="43"/>
    </row>
    <row r="485" spans="2:12" hidden="1" outlineLevel="1">
      <c r="B485" s="46" t="str">
        <f t="shared" si="36"/>
        <v/>
      </c>
      <c r="C485" s="41" t="str">
        <f>IF(G485="","",IF(G485="SEM DATA",$B$86,IF(G485&gt;DATE(1988,12,31),$B$85,IF(G485&lt;=DATE(1988,12,31),$B$84,""))))</f>
        <v/>
      </c>
      <c r="D485" s="41" t="s">
        <v>366</v>
      </c>
      <c r="E485" s="41" t="s">
        <v>824</v>
      </c>
      <c r="F485" s="41"/>
      <c r="G485" s="71"/>
      <c r="H485" s="41"/>
      <c r="I485" s="42"/>
      <c r="J485" s="41"/>
      <c r="K485" s="41"/>
      <c r="L485" s="43"/>
    </row>
    <row r="486" spans="2:12" hidden="1" outlineLevel="1">
      <c r="B486" s="46" t="str">
        <f t="shared" si="36"/>
        <v/>
      </c>
      <c r="C486" s="41" t="str">
        <f t="shared" ref="C486:C511" si="37">IF(G486="","",IF(G486="SEM DATA",$B$86,IF(G486&gt;DATE(1988,12,31),$B$85,IF(G486&lt;=DATE(1988,12,31),$B$84,""))))</f>
        <v/>
      </c>
      <c r="D486" s="41" t="s">
        <v>366</v>
      </c>
      <c r="E486" s="41" t="s">
        <v>825</v>
      </c>
      <c r="F486" s="41"/>
      <c r="G486" s="71"/>
      <c r="H486" s="41"/>
      <c r="I486" s="42"/>
      <c r="J486" s="41"/>
      <c r="K486" s="41"/>
      <c r="L486" s="43"/>
    </row>
    <row r="487" spans="2:12" hidden="1" outlineLevel="1">
      <c r="B487" s="46" t="str">
        <f t="shared" si="36"/>
        <v/>
      </c>
      <c r="C487" s="41" t="str">
        <f t="shared" si="37"/>
        <v/>
      </c>
      <c r="D487" s="41" t="s">
        <v>366</v>
      </c>
      <c r="E487" s="41" t="s">
        <v>826</v>
      </c>
      <c r="F487" s="41"/>
      <c r="G487" s="71"/>
      <c r="H487" s="41"/>
      <c r="I487" s="42"/>
      <c r="J487" s="41"/>
      <c r="K487" s="41"/>
      <c r="L487" s="43"/>
    </row>
    <row r="488" spans="2:12" hidden="1" outlineLevel="1">
      <c r="B488" s="46" t="str">
        <f t="shared" si="36"/>
        <v/>
      </c>
      <c r="C488" s="41" t="str">
        <f t="shared" si="37"/>
        <v/>
      </c>
      <c r="D488" s="41" t="s">
        <v>366</v>
      </c>
      <c r="E488" s="41" t="s">
        <v>827</v>
      </c>
      <c r="F488" s="41"/>
      <c r="G488" s="71"/>
      <c r="H488" s="41"/>
      <c r="I488" s="42"/>
      <c r="J488" s="41"/>
      <c r="K488" s="41"/>
      <c r="L488" s="43"/>
    </row>
    <row r="489" spans="2:12" hidden="1" outlineLevel="1">
      <c r="B489" s="46" t="str">
        <f t="shared" si="36"/>
        <v/>
      </c>
      <c r="C489" s="41" t="str">
        <f t="shared" si="37"/>
        <v/>
      </c>
      <c r="D489" s="41" t="s">
        <v>366</v>
      </c>
      <c r="E489" s="41">
        <v>27593</v>
      </c>
      <c r="F489" s="41"/>
      <c r="G489" s="71"/>
      <c r="H489" s="41"/>
      <c r="I489" s="42"/>
      <c r="J489" s="41"/>
      <c r="K489" s="41"/>
      <c r="L489" s="43"/>
    </row>
    <row r="490" spans="2:12" hidden="1" outlineLevel="1">
      <c r="B490" s="46" t="str">
        <f t="shared" si="36"/>
        <v/>
      </c>
      <c r="C490" s="41" t="str">
        <f t="shared" si="37"/>
        <v/>
      </c>
      <c r="D490" s="41" t="s">
        <v>366</v>
      </c>
      <c r="E490" s="41">
        <v>27588</v>
      </c>
      <c r="F490" s="41"/>
      <c r="G490" s="71"/>
      <c r="H490" s="41"/>
      <c r="I490" s="42"/>
      <c r="J490" s="41"/>
      <c r="K490" s="41"/>
      <c r="L490" s="43"/>
    </row>
    <row r="491" spans="2:12" hidden="1" outlineLevel="1">
      <c r="B491" s="46" t="str">
        <f t="shared" si="36"/>
        <v/>
      </c>
      <c r="C491" s="41" t="str">
        <f t="shared" si="37"/>
        <v/>
      </c>
      <c r="D491" s="41" t="s">
        <v>366</v>
      </c>
      <c r="E491" s="41">
        <v>27569</v>
      </c>
      <c r="F491" s="41"/>
      <c r="G491" s="71"/>
      <c r="H491" s="41"/>
      <c r="I491" s="42"/>
      <c r="J491" s="41"/>
      <c r="K491" s="41"/>
      <c r="L491" s="43"/>
    </row>
    <row r="492" spans="2:12" hidden="1" outlineLevel="1">
      <c r="B492" s="46" t="str">
        <f t="shared" si="36"/>
        <v/>
      </c>
      <c r="C492" s="41" t="str">
        <f t="shared" si="37"/>
        <v/>
      </c>
      <c r="D492" s="41" t="s">
        <v>366</v>
      </c>
      <c r="E492" s="41">
        <v>23071</v>
      </c>
      <c r="F492" s="41"/>
      <c r="G492" s="71"/>
      <c r="H492" s="41"/>
      <c r="I492" s="42"/>
      <c r="J492" s="41"/>
      <c r="K492" s="41"/>
      <c r="L492" s="43"/>
    </row>
    <row r="493" spans="2:12" hidden="1" outlineLevel="1">
      <c r="B493" s="46" t="str">
        <f t="shared" si="36"/>
        <v/>
      </c>
      <c r="C493" s="41" t="str">
        <f t="shared" si="37"/>
        <v/>
      </c>
      <c r="D493" s="41" t="s">
        <v>366</v>
      </c>
      <c r="E493" s="41">
        <v>23069</v>
      </c>
      <c r="F493" s="41"/>
      <c r="G493" s="71"/>
      <c r="H493" s="41"/>
      <c r="I493" s="42"/>
      <c r="J493" s="41"/>
      <c r="K493" s="41"/>
      <c r="L493" s="43"/>
    </row>
    <row r="494" spans="2:12" hidden="1" outlineLevel="1">
      <c r="B494" s="46" t="str">
        <f t="shared" si="36"/>
        <v/>
      </c>
      <c r="C494" s="41" t="str">
        <f t="shared" si="37"/>
        <v/>
      </c>
      <c r="D494" s="41" t="s">
        <v>366</v>
      </c>
      <c r="E494" s="41">
        <v>23070</v>
      </c>
      <c r="F494" s="41"/>
      <c r="G494" s="71"/>
      <c r="H494" s="41"/>
      <c r="I494" s="42"/>
      <c r="J494" s="41"/>
      <c r="K494" s="41"/>
      <c r="L494" s="43"/>
    </row>
    <row r="495" spans="2:12" hidden="1" outlineLevel="1">
      <c r="B495" s="46" t="str">
        <f t="shared" si="36"/>
        <v/>
      </c>
      <c r="C495" s="41" t="str">
        <f t="shared" si="37"/>
        <v/>
      </c>
      <c r="D495" s="41" t="s">
        <v>366</v>
      </c>
      <c r="E495" s="41" t="s">
        <v>828</v>
      </c>
      <c r="F495" s="41"/>
      <c r="G495" s="71"/>
      <c r="H495" s="41"/>
      <c r="I495" s="42"/>
      <c r="J495" s="41"/>
      <c r="K495" s="41"/>
      <c r="L495" s="43"/>
    </row>
    <row r="496" spans="2:12" hidden="1" outlineLevel="1">
      <c r="B496" s="46" t="str">
        <f t="shared" si="36"/>
        <v/>
      </c>
      <c r="C496" s="41" t="str">
        <f t="shared" si="37"/>
        <v/>
      </c>
      <c r="D496" s="41" t="s">
        <v>366</v>
      </c>
      <c r="E496" s="58" t="s">
        <v>829</v>
      </c>
      <c r="F496" s="41"/>
      <c r="G496" s="71"/>
      <c r="H496" s="41"/>
      <c r="I496" s="42"/>
      <c r="J496" s="41"/>
      <c r="K496" s="41"/>
      <c r="L496" s="43"/>
    </row>
    <row r="497" spans="2:12" hidden="1" outlineLevel="1">
      <c r="B497" s="46" t="str">
        <f t="shared" si="36"/>
        <v/>
      </c>
      <c r="C497" s="41" t="str">
        <f t="shared" si="37"/>
        <v/>
      </c>
      <c r="D497" s="41" t="s">
        <v>366</v>
      </c>
      <c r="E497" s="41" t="s">
        <v>830</v>
      </c>
      <c r="F497" s="41"/>
      <c r="G497" s="71"/>
      <c r="H497" s="41"/>
      <c r="I497" s="42"/>
      <c r="J497" s="41"/>
      <c r="K497" s="41"/>
      <c r="L497" s="43"/>
    </row>
    <row r="498" spans="2:12" hidden="1" outlineLevel="1">
      <c r="B498" s="46" t="str">
        <f t="shared" si="36"/>
        <v/>
      </c>
      <c r="C498" s="41" t="str">
        <f t="shared" si="37"/>
        <v/>
      </c>
      <c r="D498" s="41" t="s">
        <v>366</v>
      </c>
      <c r="E498" s="58" t="s">
        <v>383</v>
      </c>
      <c r="F498" s="41"/>
      <c r="G498" s="71"/>
      <c r="H498" s="41"/>
      <c r="I498" s="42"/>
      <c r="J498" s="41"/>
      <c r="K498" s="41"/>
      <c r="L498" s="43"/>
    </row>
    <row r="499" spans="2:12" hidden="1" outlineLevel="1">
      <c r="B499" s="46" t="str">
        <f t="shared" si="36"/>
        <v/>
      </c>
      <c r="C499" s="41" t="str">
        <f t="shared" si="37"/>
        <v/>
      </c>
      <c r="D499" s="41" t="s">
        <v>366</v>
      </c>
      <c r="E499" s="41" t="s">
        <v>831</v>
      </c>
      <c r="F499" s="41"/>
      <c r="G499" s="71"/>
      <c r="H499" s="41"/>
      <c r="I499" s="42"/>
      <c r="J499" s="41"/>
      <c r="K499" s="41"/>
      <c r="L499" s="43"/>
    </row>
    <row r="500" spans="2:12" hidden="1" outlineLevel="1">
      <c r="B500" s="46" t="str">
        <f t="shared" si="36"/>
        <v/>
      </c>
      <c r="C500" s="41" t="str">
        <f t="shared" si="37"/>
        <v/>
      </c>
      <c r="D500" s="41" t="s">
        <v>366</v>
      </c>
      <c r="E500" s="58" t="s">
        <v>832</v>
      </c>
      <c r="F500" s="41"/>
      <c r="G500" s="71"/>
      <c r="H500" s="41"/>
      <c r="I500" s="42"/>
      <c r="J500" s="41"/>
      <c r="K500" s="41"/>
      <c r="L500" s="43"/>
    </row>
    <row r="501" spans="2:12" hidden="1" outlineLevel="1">
      <c r="B501" s="46" t="str">
        <f t="shared" si="36"/>
        <v/>
      </c>
      <c r="C501" s="41" t="str">
        <f t="shared" si="37"/>
        <v/>
      </c>
      <c r="D501" s="41" t="s">
        <v>366</v>
      </c>
      <c r="E501" s="41" t="s">
        <v>833</v>
      </c>
      <c r="F501" s="41"/>
      <c r="G501" s="71"/>
      <c r="H501" s="41"/>
      <c r="I501" s="42"/>
      <c r="J501" s="41"/>
      <c r="K501" s="41"/>
      <c r="L501" s="43"/>
    </row>
    <row r="502" spans="2:12" hidden="1" outlineLevel="1">
      <c r="B502" s="46" t="str">
        <f t="shared" si="36"/>
        <v/>
      </c>
      <c r="C502" s="41" t="str">
        <f t="shared" si="37"/>
        <v/>
      </c>
      <c r="D502" s="41" t="s">
        <v>366</v>
      </c>
      <c r="E502" s="58" t="s">
        <v>834</v>
      </c>
      <c r="F502" s="41"/>
      <c r="G502" s="71"/>
      <c r="H502" s="41"/>
      <c r="I502" s="42"/>
      <c r="J502" s="41"/>
      <c r="K502" s="41"/>
      <c r="L502" s="43"/>
    </row>
    <row r="503" spans="2:12" hidden="1" outlineLevel="1">
      <c r="B503" s="46" t="str">
        <f t="shared" si="36"/>
        <v/>
      </c>
      <c r="C503" s="41" t="str">
        <f>IF(G503="","",IF(G503="SEM DATA",$B$86,IF(G503&gt;DATE(1988,12,31),$B$85,IF(G503&lt;=DATE(1988,12,31),$B$84,""))))</f>
        <v/>
      </c>
      <c r="D503" s="41" t="s">
        <v>366</v>
      </c>
      <c r="E503" s="41" t="s">
        <v>389</v>
      </c>
      <c r="F503" s="41"/>
      <c r="G503" s="71"/>
      <c r="H503" s="41"/>
      <c r="I503" s="42"/>
      <c r="J503" s="41"/>
      <c r="K503" s="41"/>
      <c r="L503" s="43"/>
    </row>
    <row r="504" spans="2:12" hidden="1" outlineLevel="1">
      <c r="B504" s="46" t="str">
        <f>IF(C504="","",B503+1)</f>
        <v/>
      </c>
      <c r="C504" s="41" t="str">
        <f t="shared" si="37"/>
        <v/>
      </c>
      <c r="D504" s="41" t="s">
        <v>366</v>
      </c>
      <c r="E504" s="41" t="s">
        <v>835</v>
      </c>
      <c r="F504" s="41"/>
      <c r="G504" s="71"/>
      <c r="H504" s="41"/>
      <c r="I504" s="42"/>
      <c r="J504" s="41"/>
      <c r="K504" s="41"/>
      <c r="L504" s="43"/>
    </row>
    <row r="505" spans="2:12" hidden="1" outlineLevel="1">
      <c r="B505" s="46" t="str">
        <f t="shared" ref="B505:B527" si="38">IF(C505="","",B504+1)</f>
        <v/>
      </c>
      <c r="C505" s="41" t="str">
        <f t="shared" si="37"/>
        <v/>
      </c>
      <c r="D505" s="41" t="s">
        <v>366</v>
      </c>
      <c r="E505" s="41" t="s">
        <v>836</v>
      </c>
      <c r="F505" s="41"/>
      <c r="G505" s="71"/>
      <c r="H505" s="41"/>
      <c r="I505" s="42"/>
      <c r="J505" s="41"/>
      <c r="K505" s="41"/>
      <c r="L505" s="43"/>
    </row>
    <row r="506" spans="2:12" hidden="1" outlineLevel="1">
      <c r="B506" s="46" t="str">
        <f t="shared" si="38"/>
        <v/>
      </c>
      <c r="C506" s="41" t="str">
        <f t="shared" si="37"/>
        <v/>
      </c>
      <c r="D506" s="41" t="s">
        <v>366</v>
      </c>
      <c r="E506" s="58" t="s">
        <v>837</v>
      </c>
      <c r="F506" s="41"/>
      <c r="G506" s="71"/>
      <c r="H506" s="41"/>
      <c r="I506" s="42"/>
      <c r="J506" s="41"/>
      <c r="K506" s="41"/>
      <c r="L506" s="43"/>
    </row>
    <row r="507" spans="2:12" hidden="1" outlineLevel="1">
      <c r="B507" s="46" t="str">
        <f t="shared" si="38"/>
        <v/>
      </c>
      <c r="C507" s="41" t="str">
        <f t="shared" si="37"/>
        <v/>
      </c>
      <c r="D507" s="41" t="s">
        <v>366</v>
      </c>
      <c r="E507" s="41" t="s">
        <v>367</v>
      </c>
      <c r="F507" s="41"/>
      <c r="G507" s="71"/>
      <c r="H507" s="41"/>
      <c r="I507" s="42"/>
      <c r="J507" s="41"/>
      <c r="K507" s="41"/>
      <c r="L507" s="43"/>
    </row>
    <row r="508" spans="2:12" hidden="1" outlineLevel="1">
      <c r="B508" s="46" t="str">
        <f t="shared" si="38"/>
        <v/>
      </c>
      <c r="C508" s="41" t="str">
        <f t="shared" si="37"/>
        <v/>
      </c>
      <c r="D508" s="41" t="s">
        <v>366</v>
      </c>
      <c r="E508" s="41" t="s">
        <v>368</v>
      </c>
      <c r="F508" s="41"/>
      <c r="G508" s="71"/>
      <c r="H508" s="41"/>
      <c r="I508" s="42"/>
      <c r="J508" s="41"/>
      <c r="K508" s="41"/>
      <c r="L508" s="43"/>
    </row>
    <row r="509" spans="2:12" hidden="1" outlineLevel="1">
      <c r="B509" s="46" t="str">
        <f t="shared" si="38"/>
        <v/>
      </c>
      <c r="C509" s="41" t="str">
        <f t="shared" si="37"/>
        <v/>
      </c>
      <c r="D509" s="41" t="s">
        <v>366</v>
      </c>
      <c r="E509" s="58" t="s">
        <v>370</v>
      </c>
      <c r="F509" s="41"/>
      <c r="G509" s="71"/>
      <c r="H509" s="41"/>
      <c r="I509" s="42"/>
      <c r="J509" s="41"/>
      <c r="K509" s="41"/>
      <c r="L509" s="43"/>
    </row>
    <row r="510" spans="2:12" hidden="1" outlineLevel="1">
      <c r="B510" s="46" t="str">
        <f t="shared" si="38"/>
        <v/>
      </c>
      <c r="C510" s="41" t="str">
        <f t="shared" si="37"/>
        <v/>
      </c>
      <c r="D510" s="41" t="s">
        <v>366</v>
      </c>
      <c r="E510" s="41" t="s">
        <v>838</v>
      </c>
      <c r="F510" s="41"/>
      <c r="G510" s="71"/>
      <c r="H510" s="41"/>
      <c r="I510" s="42"/>
      <c r="J510" s="41"/>
      <c r="K510" s="41"/>
      <c r="L510" s="43"/>
    </row>
    <row r="511" spans="2:12" hidden="1" outlineLevel="1">
      <c r="B511" s="46" t="str">
        <f t="shared" si="38"/>
        <v/>
      </c>
      <c r="C511" s="41" t="str">
        <f t="shared" si="37"/>
        <v/>
      </c>
      <c r="D511" s="41" t="s">
        <v>366</v>
      </c>
      <c r="E511" s="41" t="s">
        <v>839</v>
      </c>
      <c r="F511" s="41"/>
      <c r="G511" s="71"/>
      <c r="H511" s="41"/>
      <c r="I511" s="42"/>
      <c r="J511" s="41"/>
      <c r="K511" s="41"/>
      <c r="L511" s="43"/>
    </row>
    <row r="512" spans="2:12" hidden="1" outlineLevel="1">
      <c r="B512" s="46" t="str">
        <f t="shared" si="38"/>
        <v/>
      </c>
      <c r="C512" s="41" t="str">
        <f>IF(G512="","",IF(G512="SEM DATA",$B$86,IF(G512&gt;DATE(1988,12,31),$B$85,IF(G512&lt;=DATE(1988,12,31),$B$84,""))))</f>
        <v/>
      </c>
      <c r="D512" s="41" t="s">
        <v>366</v>
      </c>
      <c r="E512" s="41">
        <v>29887</v>
      </c>
      <c r="F512" s="41"/>
      <c r="G512" s="71"/>
      <c r="H512" s="41"/>
      <c r="I512" s="42"/>
      <c r="J512" s="41"/>
      <c r="K512" s="41"/>
      <c r="L512" s="43"/>
    </row>
    <row r="513" spans="2:12" hidden="1" outlineLevel="1">
      <c r="B513" s="46" t="str">
        <f t="shared" si="38"/>
        <v/>
      </c>
      <c r="C513" s="41" t="str">
        <f t="shared" ref="C513:C538" si="39">IF(G513="","",IF(G513="SEM DATA",$B$86,IF(G513&gt;DATE(1988,12,31),$B$85,IF(G513&lt;=DATE(1988,12,31),$B$84,""))))</f>
        <v/>
      </c>
      <c r="D513" s="41" t="s">
        <v>366</v>
      </c>
      <c r="E513" s="41" t="s">
        <v>840</v>
      </c>
      <c r="F513" s="41"/>
      <c r="G513" s="71"/>
      <c r="H513" s="41"/>
      <c r="I513" s="42"/>
      <c r="J513" s="41"/>
      <c r="K513" s="41"/>
      <c r="L513" s="43"/>
    </row>
    <row r="514" spans="2:12" hidden="1" outlineLevel="1">
      <c r="B514" s="46" t="str">
        <f t="shared" si="38"/>
        <v/>
      </c>
      <c r="C514" s="41" t="str">
        <f t="shared" si="39"/>
        <v/>
      </c>
      <c r="D514" s="41" t="s">
        <v>366</v>
      </c>
      <c r="E514" s="41" t="s">
        <v>841</v>
      </c>
      <c r="F514" s="41"/>
      <c r="G514" s="71"/>
      <c r="H514" s="41"/>
      <c r="I514" s="42"/>
      <c r="J514" s="41"/>
      <c r="K514" s="41"/>
      <c r="L514" s="43"/>
    </row>
    <row r="515" spans="2:12" hidden="1" outlineLevel="1">
      <c r="B515" s="46" t="str">
        <f t="shared" si="38"/>
        <v/>
      </c>
      <c r="C515" s="41" t="str">
        <f t="shared" si="39"/>
        <v/>
      </c>
      <c r="D515" s="41" t="s">
        <v>366</v>
      </c>
      <c r="E515" s="58" t="s">
        <v>842</v>
      </c>
      <c r="F515" s="41"/>
      <c r="G515" s="71"/>
      <c r="H515" s="41"/>
      <c r="I515" s="42"/>
      <c r="J515" s="41"/>
      <c r="K515" s="41"/>
      <c r="L515" s="43"/>
    </row>
    <row r="516" spans="2:12" hidden="1" outlineLevel="1">
      <c r="B516" s="46" t="str">
        <f t="shared" si="38"/>
        <v/>
      </c>
      <c r="C516" s="41" t="str">
        <f t="shared" si="39"/>
        <v/>
      </c>
      <c r="D516" s="41" t="s">
        <v>366</v>
      </c>
      <c r="E516" s="41">
        <v>1303000174</v>
      </c>
      <c r="F516" s="41"/>
      <c r="G516" s="71"/>
      <c r="H516" s="41"/>
      <c r="I516" s="42"/>
      <c r="J516" s="41"/>
      <c r="K516" s="41"/>
      <c r="L516" s="43"/>
    </row>
    <row r="517" spans="2:12" hidden="1" outlineLevel="1">
      <c r="B517" s="46" t="str">
        <f t="shared" si="38"/>
        <v/>
      </c>
      <c r="C517" s="41" t="str">
        <f t="shared" si="39"/>
        <v/>
      </c>
      <c r="D517" s="41" t="s">
        <v>366</v>
      </c>
      <c r="E517" s="58" t="s">
        <v>843</v>
      </c>
      <c r="F517" s="41"/>
      <c r="G517" s="71"/>
      <c r="H517" s="41"/>
      <c r="I517" s="42"/>
      <c r="J517" s="41"/>
      <c r="K517" s="41"/>
      <c r="L517" s="43"/>
    </row>
    <row r="518" spans="2:12" hidden="1" outlineLevel="1">
      <c r="B518" s="46" t="str">
        <f t="shared" si="38"/>
        <v/>
      </c>
      <c r="C518" s="41" t="str">
        <f t="shared" si="39"/>
        <v/>
      </c>
      <c r="D518" s="41" t="s">
        <v>366</v>
      </c>
      <c r="E518" s="41" t="s">
        <v>844</v>
      </c>
      <c r="F518" s="41"/>
      <c r="G518" s="71"/>
      <c r="H518" s="41"/>
      <c r="I518" s="42"/>
      <c r="J518" s="41"/>
      <c r="K518" s="41"/>
      <c r="L518" s="43"/>
    </row>
    <row r="519" spans="2:12" hidden="1" outlineLevel="1">
      <c r="B519" s="46" t="str">
        <f t="shared" si="38"/>
        <v/>
      </c>
      <c r="C519" s="41" t="str">
        <f t="shared" si="39"/>
        <v/>
      </c>
      <c r="D519" s="41" t="s">
        <v>366</v>
      </c>
      <c r="E519" s="41" t="s">
        <v>371</v>
      </c>
      <c r="F519" s="41"/>
      <c r="G519" s="71"/>
      <c r="H519" s="41"/>
      <c r="I519" s="42"/>
      <c r="J519" s="41"/>
      <c r="K519" s="41"/>
      <c r="L519" s="43"/>
    </row>
    <row r="520" spans="2:12" hidden="1" outlineLevel="1">
      <c r="B520" s="46" t="str">
        <f t="shared" si="38"/>
        <v/>
      </c>
      <c r="C520" s="41" t="str">
        <f t="shared" si="39"/>
        <v/>
      </c>
      <c r="D520" s="41" t="s">
        <v>366</v>
      </c>
      <c r="E520" s="41" t="s">
        <v>845</v>
      </c>
      <c r="F520" s="41"/>
      <c r="G520" s="71"/>
      <c r="H520" s="41"/>
      <c r="I520" s="42"/>
      <c r="J520" s="41"/>
      <c r="K520" s="41"/>
      <c r="L520" s="43"/>
    </row>
    <row r="521" spans="2:12" hidden="1" outlineLevel="1">
      <c r="B521" s="46" t="str">
        <f t="shared" si="38"/>
        <v/>
      </c>
      <c r="C521" s="41" t="str">
        <f t="shared" si="39"/>
        <v/>
      </c>
      <c r="D521" s="41" t="s">
        <v>366</v>
      </c>
      <c r="E521" s="41" t="s">
        <v>846</v>
      </c>
      <c r="F521" s="41"/>
      <c r="G521" s="71"/>
      <c r="H521" s="41"/>
      <c r="I521" s="42"/>
      <c r="J521" s="41"/>
      <c r="K521" s="41"/>
      <c r="L521" s="43"/>
    </row>
    <row r="522" spans="2:12" hidden="1" outlineLevel="1">
      <c r="B522" s="46" t="str">
        <f t="shared" si="38"/>
        <v/>
      </c>
      <c r="C522" s="41" t="str">
        <f t="shared" si="39"/>
        <v/>
      </c>
      <c r="D522" s="41" t="s">
        <v>366</v>
      </c>
      <c r="E522" s="41" t="s">
        <v>847</v>
      </c>
      <c r="F522" s="41"/>
      <c r="G522" s="71"/>
      <c r="H522" s="41"/>
      <c r="I522" s="42"/>
      <c r="J522" s="41"/>
      <c r="K522" s="41"/>
      <c r="L522" s="43"/>
    </row>
    <row r="523" spans="2:12" hidden="1" outlineLevel="1">
      <c r="B523" s="46" t="str">
        <f t="shared" si="38"/>
        <v/>
      </c>
      <c r="C523" s="41" t="str">
        <f t="shared" si="39"/>
        <v/>
      </c>
      <c r="D523" s="41" t="s">
        <v>366</v>
      </c>
      <c r="E523" s="41" t="s">
        <v>848</v>
      </c>
      <c r="F523" s="41"/>
      <c r="G523" s="71"/>
      <c r="H523" s="41"/>
      <c r="I523" s="42"/>
      <c r="J523" s="41"/>
      <c r="K523" s="41"/>
      <c r="L523" s="43"/>
    </row>
    <row r="524" spans="2:12" hidden="1" outlineLevel="1">
      <c r="B524" s="46" t="str">
        <f t="shared" si="38"/>
        <v/>
      </c>
      <c r="C524" s="41" t="str">
        <f t="shared" si="39"/>
        <v/>
      </c>
      <c r="D524" s="41" t="s">
        <v>366</v>
      </c>
      <c r="E524" s="41" t="s">
        <v>849</v>
      </c>
      <c r="F524" s="41"/>
      <c r="G524" s="71"/>
      <c r="H524" s="41"/>
      <c r="I524" s="42"/>
      <c r="J524" s="41"/>
      <c r="K524" s="41"/>
      <c r="L524" s="43"/>
    </row>
    <row r="525" spans="2:12" hidden="1" outlineLevel="1">
      <c r="B525" s="46" t="str">
        <f t="shared" si="38"/>
        <v/>
      </c>
      <c r="C525" s="41" t="str">
        <f t="shared" si="39"/>
        <v/>
      </c>
      <c r="D525" s="41" t="s">
        <v>366</v>
      </c>
      <c r="E525" s="41" t="s">
        <v>850</v>
      </c>
      <c r="F525" s="41"/>
      <c r="G525" s="71"/>
      <c r="H525" s="41"/>
      <c r="I525" s="42"/>
      <c r="J525" s="41"/>
      <c r="K525" s="41"/>
      <c r="L525" s="43"/>
    </row>
    <row r="526" spans="2:12" hidden="1" outlineLevel="1">
      <c r="B526" s="46" t="str">
        <f t="shared" si="38"/>
        <v/>
      </c>
      <c r="C526" s="41" t="str">
        <f t="shared" si="39"/>
        <v/>
      </c>
      <c r="D526" s="41" t="s">
        <v>366</v>
      </c>
      <c r="E526" s="41" t="s">
        <v>851</v>
      </c>
      <c r="F526" s="41"/>
      <c r="G526" s="71"/>
      <c r="H526" s="41"/>
      <c r="I526" s="42"/>
      <c r="J526" s="41"/>
      <c r="K526" s="41"/>
      <c r="L526" s="43"/>
    </row>
    <row r="527" spans="2:12" hidden="1" outlineLevel="1">
      <c r="B527" s="46" t="str">
        <f t="shared" si="38"/>
        <v/>
      </c>
      <c r="C527" s="41" t="str">
        <f t="shared" si="39"/>
        <v/>
      </c>
      <c r="D527" s="41" t="s">
        <v>366</v>
      </c>
      <c r="E527" s="41" t="s">
        <v>852</v>
      </c>
      <c r="F527" s="41"/>
      <c r="G527" s="71"/>
      <c r="H527" s="41"/>
      <c r="I527" s="42"/>
      <c r="J527" s="41"/>
      <c r="K527" s="41"/>
      <c r="L527" s="43"/>
    </row>
    <row r="528" spans="2:12" hidden="1" outlineLevel="1">
      <c r="B528" s="46" t="str">
        <f>IF(C528="","",B527+1)</f>
        <v/>
      </c>
      <c r="C528" s="41" t="str">
        <f t="shared" si="39"/>
        <v/>
      </c>
      <c r="D528" s="41" t="s">
        <v>366</v>
      </c>
      <c r="E528" s="41" t="s">
        <v>853</v>
      </c>
      <c r="F528" s="41"/>
      <c r="G528" s="71"/>
      <c r="H528" s="41"/>
      <c r="I528" s="42"/>
      <c r="J528" s="41"/>
      <c r="K528" s="41"/>
      <c r="L528" s="43"/>
    </row>
    <row r="529" spans="2:12" hidden="1" outlineLevel="1">
      <c r="B529" s="46" t="str">
        <f t="shared" ref="B529:B556" si="40">IF(C529="","",B528+1)</f>
        <v/>
      </c>
      <c r="C529" s="41" t="str">
        <f t="shared" si="39"/>
        <v/>
      </c>
      <c r="D529" s="41" t="s">
        <v>366</v>
      </c>
      <c r="E529" s="41" t="s">
        <v>854</v>
      </c>
      <c r="F529" s="41"/>
      <c r="G529" s="71"/>
      <c r="H529" s="41"/>
      <c r="I529" s="42"/>
      <c r="J529" s="41"/>
      <c r="K529" s="41"/>
      <c r="L529" s="43"/>
    </row>
    <row r="530" spans="2:12" hidden="1" outlineLevel="1">
      <c r="B530" s="46" t="str">
        <f t="shared" si="40"/>
        <v/>
      </c>
      <c r="C530" s="41" t="str">
        <f>IF(G530="","",IF(G530="SEM DATA",$B$86,IF(G530&gt;DATE(1988,12,31),$B$85,IF(G530&lt;=DATE(1988,12,31),$B$84,""))))</f>
        <v/>
      </c>
      <c r="D530" s="41" t="s">
        <v>366</v>
      </c>
      <c r="E530" s="41" t="s">
        <v>855</v>
      </c>
      <c r="F530" s="41"/>
      <c r="G530" s="71"/>
      <c r="H530" s="41"/>
      <c r="I530" s="42"/>
      <c r="J530" s="41"/>
      <c r="K530" s="41"/>
      <c r="L530" s="43"/>
    </row>
    <row r="531" spans="2:12" hidden="1" outlineLevel="1">
      <c r="B531" s="46" t="str">
        <f t="shared" si="40"/>
        <v/>
      </c>
      <c r="C531" s="41" t="str">
        <f t="shared" si="39"/>
        <v/>
      </c>
      <c r="D531" s="41" t="s">
        <v>366</v>
      </c>
      <c r="E531" s="41" t="s">
        <v>378</v>
      </c>
      <c r="F531" s="41"/>
      <c r="G531" s="71"/>
      <c r="H531" s="41"/>
      <c r="I531" s="42"/>
      <c r="J531" s="41"/>
      <c r="K531" s="41"/>
      <c r="L531" s="43"/>
    </row>
    <row r="532" spans="2:12" hidden="1" outlineLevel="1">
      <c r="B532" s="46" t="str">
        <f t="shared" si="40"/>
        <v/>
      </c>
      <c r="C532" s="41" t="str">
        <f t="shared" si="39"/>
        <v/>
      </c>
      <c r="D532" s="41" t="s">
        <v>366</v>
      </c>
      <c r="E532" s="41" t="s">
        <v>856</v>
      </c>
      <c r="F532" s="41"/>
      <c r="G532" s="71"/>
      <c r="H532" s="41"/>
      <c r="I532" s="42"/>
      <c r="J532" s="41"/>
      <c r="K532" s="41"/>
      <c r="L532" s="43"/>
    </row>
    <row r="533" spans="2:12" hidden="1" outlineLevel="1">
      <c r="B533" s="46" t="str">
        <f t="shared" si="40"/>
        <v/>
      </c>
      <c r="C533" s="41" t="str">
        <f t="shared" si="39"/>
        <v/>
      </c>
      <c r="D533" s="41" t="s">
        <v>366</v>
      </c>
      <c r="E533" s="41" t="s">
        <v>857</v>
      </c>
      <c r="F533" s="41"/>
      <c r="G533" s="71"/>
      <c r="H533" s="41"/>
      <c r="I533" s="42"/>
      <c r="J533" s="41"/>
      <c r="K533" s="41"/>
      <c r="L533" s="43"/>
    </row>
    <row r="534" spans="2:12" hidden="1" outlineLevel="1">
      <c r="B534" s="46" t="str">
        <f t="shared" si="40"/>
        <v/>
      </c>
      <c r="C534" s="41" t="str">
        <f t="shared" si="39"/>
        <v/>
      </c>
      <c r="D534" s="41" t="s">
        <v>366</v>
      </c>
      <c r="E534" s="41" t="s">
        <v>858</v>
      </c>
      <c r="F534" s="41"/>
      <c r="G534" s="71"/>
      <c r="H534" s="41"/>
      <c r="I534" s="42"/>
      <c r="J534" s="41"/>
      <c r="K534" s="41"/>
      <c r="L534" s="43"/>
    </row>
    <row r="535" spans="2:12" hidden="1" outlineLevel="1">
      <c r="B535" s="46" t="str">
        <f t="shared" si="40"/>
        <v/>
      </c>
      <c r="C535" s="41" t="str">
        <f t="shared" si="39"/>
        <v/>
      </c>
      <c r="D535" s="41" t="s">
        <v>366</v>
      </c>
      <c r="E535" s="41">
        <v>30717</v>
      </c>
      <c r="F535" s="41"/>
      <c r="G535" s="71"/>
      <c r="H535" s="41"/>
      <c r="I535" s="42"/>
      <c r="J535" s="41"/>
      <c r="K535" s="41"/>
      <c r="L535" s="43"/>
    </row>
    <row r="536" spans="2:12" hidden="1" outlineLevel="1">
      <c r="B536" s="46" t="str">
        <f t="shared" si="40"/>
        <v/>
      </c>
      <c r="C536" s="41" t="str">
        <f t="shared" si="39"/>
        <v/>
      </c>
      <c r="D536" s="41" t="s">
        <v>366</v>
      </c>
      <c r="E536" s="41">
        <v>30711</v>
      </c>
      <c r="F536" s="41"/>
      <c r="G536" s="71"/>
      <c r="H536" s="41"/>
      <c r="I536" s="42"/>
      <c r="J536" s="41"/>
      <c r="K536" s="41"/>
      <c r="L536" s="43"/>
    </row>
    <row r="537" spans="2:12" hidden="1" outlineLevel="1">
      <c r="B537" s="46" t="str">
        <f t="shared" si="40"/>
        <v/>
      </c>
      <c r="C537" s="41" t="str">
        <f t="shared" si="39"/>
        <v/>
      </c>
      <c r="D537" s="41" t="s">
        <v>366</v>
      </c>
      <c r="E537" s="41">
        <v>30725</v>
      </c>
      <c r="F537" s="41"/>
      <c r="G537" s="71"/>
      <c r="H537" s="41"/>
      <c r="I537" s="42"/>
      <c r="J537" s="41"/>
      <c r="K537" s="41"/>
      <c r="L537" s="43"/>
    </row>
    <row r="538" spans="2:12" hidden="1" outlineLevel="1">
      <c r="B538" s="46" t="str">
        <f t="shared" si="40"/>
        <v/>
      </c>
      <c r="C538" s="41" t="str">
        <f t="shared" si="39"/>
        <v/>
      </c>
      <c r="D538" s="41" t="s">
        <v>366</v>
      </c>
      <c r="E538" s="41">
        <v>30749</v>
      </c>
      <c r="F538" s="41"/>
      <c r="G538" s="71"/>
      <c r="H538" s="41"/>
      <c r="I538" s="42"/>
      <c r="J538" s="41"/>
      <c r="K538" s="41"/>
      <c r="L538" s="43"/>
    </row>
    <row r="539" spans="2:12" hidden="1" outlineLevel="1">
      <c r="B539" s="46" t="str">
        <f t="shared" si="40"/>
        <v/>
      </c>
      <c r="C539" s="41" t="str">
        <f>IF(G539="","",IF(G539="SEM DATA",$B$86,IF(G539&gt;DATE(1988,12,31),$B$85,IF(G539&lt;=DATE(1988,12,31),$B$84,""))))</f>
        <v/>
      </c>
      <c r="D539" s="41" t="s">
        <v>366</v>
      </c>
      <c r="E539" s="41">
        <v>31456</v>
      </c>
      <c r="F539" s="41"/>
      <c r="G539" s="71"/>
      <c r="H539" s="41"/>
      <c r="I539" s="42"/>
      <c r="J539" s="41"/>
      <c r="K539" s="41"/>
      <c r="L539" s="43"/>
    </row>
    <row r="540" spans="2:12" hidden="1" outlineLevel="1">
      <c r="B540" s="46" t="str">
        <f t="shared" si="40"/>
        <v/>
      </c>
      <c r="C540" s="41" t="str">
        <f t="shared" ref="C540:C562" si="41">IF(G540="","",IF(G540="SEM DATA",$B$86,IF(G540&gt;DATE(1988,12,31),$B$85,IF(G540&lt;=DATE(1988,12,31),$B$84,""))))</f>
        <v/>
      </c>
      <c r="D540" s="41" t="s">
        <v>366</v>
      </c>
      <c r="E540" s="41">
        <v>31457</v>
      </c>
      <c r="F540" s="41"/>
      <c r="G540" s="71"/>
      <c r="H540" s="41"/>
      <c r="I540" s="42"/>
      <c r="J540" s="41"/>
      <c r="K540" s="41"/>
      <c r="L540" s="43"/>
    </row>
    <row r="541" spans="2:12" hidden="1" outlineLevel="1">
      <c r="B541" s="46" t="str">
        <f t="shared" si="40"/>
        <v/>
      </c>
      <c r="C541" s="41" t="str">
        <f t="shared" si="41"/>
        <v/>
      </c>
      <c r="D541" s="41" t="s">
        <v>366</v>
      </c>
      <c r="E541" s="41">
        <v>30710</v>
      </c>
      <c r="F541" s="41"/>
      <c r="G541" s="71"/>
      <c r="H541" s="41"/>
      <c r="I541" s="42"/>
      <c r="J541" s="41"/>
      <c r="K541" s="41"/>
      <c r="L541" s="43"/>
    </row>
    <row r="542" spans="2:12" hidden="1" outlineLevel="1">
      <c r="B542" s="46" t="str">
        <f t="shared" si="40"/>
        <v/>
      </c>
      <c r="C542" s="41" t="str">
        <f t="shared" si="41"/>
        <v/>
      </c>
      <c r="D542" s="41" t="s">
        <v>366</v>
      </c>
      <c r="E542" s="41">
        <v>30748</v>
      </c>
      <c r="F542" s="41"/>
      <c r="G542" s="71"/>
      <c r="H542" s="41"/>
      <c r="I542" s="42"/>
      <c r="J542" s="41"/>
      <c r="K542" s="41"/>
      <c r="L542" s="43"/>
    </row>
    <row r="543" spans="2:12" hidden="1" outlineLevel="1">
      <c r="B543" s="46" t="str">
        <f t="shared" si="40"/>
        <v/>
      </c>
      <c r="C543" s="41" t="str">
        <f t="shared" si="41"/>
        <v/>
      </c>
      <c r="D543" s="41" t="s">
        <v>366</v>
      </c>
      <c r="E543" s="41">
        <v>30753</v>
      </c>
      <c r="F543" s="41"/>
      <c r="G543" s="71"/>
      <c r="H543" s="41"/>
      <c r="I543" s="42"/>
      <c r="J543" s="41"/>
      <c r="K543" s="41"/>
      <c r="L543" s="43"/>
    </row>
    <row r="544" spans="2:12" hidden="1" outlineLevel="1">
      <c r="B544" s="46" t="str">
        <f t="shared" si="40"/>
        <v/>
      </c>
      <c r="C544" s="41" t="str">
        <f t="shared" si="41"/>
        <v/>
      </c>
      <c r="D544" s="41" t="s">
        <v>366</v>
      </c>
      <c r="E544" s="41" t="s">
        <v>859</v>
      </c>
      <c r="F544" s="41"/>
      <c r="G544" s="71"/>
      <c r="H544" s="41"/>
      <c r="I544" s="42"/>
      <c r="J544" s="41"/>
      <c r="K544" s="41"/>
      <c r="L544" s="43"/>
    </row>
    <row r="545" spans="2:12" hidden="1" outlineLevel="1">
      <c r="B545" s="46" t="str">
        <f t="shared" si="40"/>
        <v/>
      </c>
      <c r="C545" s="41" t="str">
        <f t="shared" si="41"/>
        <v/>
      </c>
      <c r="D545" s="41" t="s">
        <v>366</v>
      </c>
      <c r="E545" s="41">
        <v>30713</v>
      </c>
      <c r="F545" s="41"/>
      <c r="G545" s="71"/>
      <c r="H545" s="41"/>
      <c r="I545" s="42"/>
      <c r="J545" s="41"/>
      <c r="K545" s="41"/>
      <c r="L545" s="43"/>
    </row>
    <row r="546" spans="2:12" hidden="1" outlineLevel="1">
      <c r="B546" s="46" t="str">
        <f t="shared" si="40"/>
        <v/>
      </c>
      <c r="C546" s="41" t="str">
        <f t="shared" si="41"/>
        <v/>
      </c>
      <c r="D546" s="41" t="s">
        <v>366</v>
      </c>
      <c r="E546" s="41">
        <v>30737</v>
      </c>
      <c r="F546" s="41"/>
      <c r="G546" s="71"/>
      <c r="H546" s="41"/>
      <c r="I546" s="42"/>
      <c r="J546" s="41"/>
      <c r="K546" s="41"/>
      <c r="L546" s="43"/>
    </row>
    <row r="547" spans="2:12" hidden="1" outlineLevel="1">
      <c r="B547" s="46" t="str">
        <f t="shared" si="40"/>
        <v/>
      </c>
      <c r="C547" s="41" t="str">
        <f t="shared" si="41"/>
        <v/>
      </c>
      <c r="D547" s="41" t="s">
        <v>366</v>
      </c>
      <c r="E547" s="41">
        <v>31305</v>
      </c>
      <c r="F547" s="41"/>
      <c r="G547" s="71"/>
      <c r="H547" s="41"/>
      <c r="I547" s="42"/>
      <c r="J547" s="41"/>
      <c r="K547" s="41"/>
      <c r="L547" s="43"/>
    </row>
    <row r="548" spans="2:12" hidden="1" outlineLevel="1">
      <c r="B548" s="46" t="str">
        <f t="shared" si="40"/>
        <v/>
      </c>
      <c r="C548" s="41" t="str">
        <f t="shared" si="41"/>
        <v/>
      </c>
      <c r="D548" s="41" t="s">
        <v>366</v>
      </c>
      <c r="E548" s="41">
        <v>33467</v>
      </c>
      <c r="F548" s="41"/>
      <c r="G548" s="71"/>
      <c r="H548" s="41"/>
      <c r="I548" s="42"/>
      <c r="J548" s="41"/>
      <c r="K548" s="41"/>
      <c r="L548" s="43"/>
    </row>
    <row r="549" spans="2:12" hidden="1" outlineLevel="1">
      <c r="B549" s="46" t="str">
        <f t="shared" si="40"/>
        <v/>
      </c>
      <c r="C549" s="41" t="str">
        <f t="shared" si="41"/>
        <v/>
      </c>
      <c r="D549" s="41" t="s">
        <v>366</v>
      </c>
      <c r="E549" s="41">
        <v>33470</v>
      </c>
      <c r="F549" s="41"/>
      <c r="G549" s="71"/>
      <c r="H549" s="41"/>
      <c r="I549" s="42"/>
      <c r="J549" s="41"/>
      <c r="K549" s="41"/>
      <c r="L549" s="43"/>
    </row>
    <row r="550" spans="2:12" hidden="1" outlineLevel="1">
      <c r="B550" s="46" t="str">
        <f t="shared" si="40"/>
        <v/>
      </c>
      <c r="C550" s="41" t="str">
        <f t="shared" si="41"/>
        <v/>
      </c>
      <c r="D550" s="41" t="s">
        <v>366</v>
      </c>
      <c r="E550" s="41">
        <v>33468</v>
      </c>
      <c r="F550" s="41"/>
      <c r="G550" s="71"/>
      <c r="H550" s="41"/>
      <c r="I550" s="42"/>
      <c r="J550" s="41"/>
      <c r="K550" s="41"/>
      <c r="L550" s="43"/>
    </row>
    <row r="551" spans="2:12" hidden="1" outlineLevel="1">
      <c r="B551" s="46" t="str">
        <f t="shared" si="40"/>
        <v/>
      </c>
      <c r="C551" s="41" t="str">
        <f t="shared" si="41"/>
        <v/>
      </c>
      <c r="D551" s="41" t="s">
        <v>366</v>
      </c>
      <c r="E551" s="41" t="s">
        <v>860</v>
      </c>
      <c r="F551" s="41"/>
      <c r="G551" s="71"/>
      <c r="H551" s="41"/>
      <c r="I551" s="42"/>
      <c r="J551" s="41"/>
      <c r="K551" s="41"/>
      <c r="L551" s="43"/>
    </row>
    <row r="552" spans="2:12" hidden="1" outlineLevel="1">
      <c r="B552" s="46" t="str">
        <f t="shared" si="40"/>
        <v/>
      </c>
      <c r="C552" s="41" t="str">
        <f t="shared" si="41"/>
        <v/>
      </c>
      <c r="D552" s="41" t="s">
        <v>366</v>
      </c>
      <c r="E552" s="41" t="s">
        <v>384</v>
      </c>
      <c r="F552" s="41"/>
      <c r="G552" s="71"/>
      <c r="H552" s="41"/>
      <c r="I552" s="42"/>
      <c r="J552" s="41"/>
      <c r="K552" s="41"/>
      <c r="L552" s="43"/>
    </row>
    <row r="553" spans="2:12" hidden="1" outlineLevel="1">
      <c r="B553" s="46" t="str">
        <f t="shared" si="40"/>
        <v/>
      </c>
      <c r="C553" s="41" t="str">
        <f t="shared" si="41"/>
        <v/>
      </c>
      <c r="D553" s="41" t="s">
        <v>366</v>
      </c>
      <c r="E553" s="41">
        <v>16565</v>
      </c>
      <c r="F553" s="41"/>
      <c r="G553" s="71"/>
      <c r="H553" s="41"/>
      <c r="I553" s="42"/>
      <c r="J553" s="41"/>
      <c r="K553" s="41"/>
      <c r="L553" s="43"/>
    </row>
    <row r="554" spans="2:12" hidden="1" outlineLevel="1">
      <c r="B554" s="46" t="str">
        <f t="shared" si="40"/>
        <v/>
      </c>
      <c r="C554" s="41" t="str">
        <f t="shared" si="41"/>
        <v/>
      </c>
      <c r="D554" s="41" t="s">
        <v>366</v>
      </c>
      <c r="E554" s="41">
        <v>1036</v>
      </c>
      <c r="F554" s="41"/>
      <c r="G554" s="71"/>
      <c r="H554" s="41"/>
      <c r="I554" s="42"/>
      <c r="J554" s="41"/>
      <c r="K554" s="41"/>
      <c r="L554" s="43"/>
    </row>
    <row r="555" spans="2:12" hidden="1" outlineLevel="1">
      <c r="B555" s="46" t="str">
        <f t="shared" si="40"/>
        <v/>
      </c>
      <c r="C555" s="41" t="str">
        <f t="shared" si="41"/>
        <v/>
      </c>
      <c r="D555" s="41" t="s">
        <v>366</v>
      </c>
      <c r="E555" s="41" t="s">
        <v>861</v>
      </c>
      <c r="F555" s="41"/>
      <c r="G555" s="71"/>
      <c r="H555" s="41"/>
      <c r="I555" s="42"/>
      <c r="J555" s="41"/>
      <c r="K555" s="41"/>
      <c r="L555" s="43"/>
    </row>
    <row r="556" spans="2:12" hidden="1" outlineLevel="1">
      <c r="B556" s="46" t="str">
        <f t="shared" si="40"/>
        <v/>
      </c>
      <c r="C556" s="41" t="str">
        <f t="shared" si="41"/>
        <v/>
      </c>
      <c r="D556" s="41" t="s">
        <v>366</v>
      </c>
      <c r="E556" s="41" t="s">
        <v>862</v>
      </c>
      <c r="F556" s="41"/>
      <c r="G556" s="71"/>
      <c r="H556" s="41"/>
      <c r="I556" s="42"/>
      <c r="J556" s="41"/>
      <c r="K556" s="41"/>
      <c r="L556" s="43"/>
    </row>
    <row r="557" spans="2:12" hidden="1" outlineLevel="1">
      <c r="B557" s="46" t="str">
        <f>IF(C557="","",B556+1)</f>
        <v/>
      </c>
      <c r="C557" s="41" t="str">
        <f>IF(G557="","",IF(G557="SEM DATA",$B$86,IF(G557&gt;DATE(1988,12,31),$B$85,IF(G557&lt;=DATE(1988,12,31),$B$84,""))))</f>
        <v/>
      </c>
      <c r="D557" s="41" t="s">
        <v>366</v>
      </c>
      <c r="E557" s="41" t="s">
        <v>863</v>
      </c>
      <c r="F557" s="41"/>
      <c r="G557" s="71"/>
      <c r="H557" s="41"/>
      <c r="I557" s="42"/>
      <c r="J557" s="41"/>
      <c r="K557" s="41"/>
      <c r="L557" s="43"/>
    </row>
    <row r="558" spans="2:12" hidden="1" outlineLevel="1">
      <c r="B558" s="46" t="str">
        <f t="shared" ref="B558:B569" si="42">IF(C558="","",B557+1)</f>
        <v/>
      </c>
      <c r="C558" s="41" t="str">
        <f t="shared" si="41"/>
        <v/>
      </c>
      <c r="D558" s="41" t="s">
        <v>366</v>
      </c>
      <c r="E558" s="41" t="s">
        <v>864</v>
      </c>
      <c r="F558" s="41"/>
      <c r="G558" s="71"/>
      <c r="H558" s="41"/>
      <c r="I558" s="42"/>
      <c r="J558" s="41"/>
      <c r="K558" s="41"/>
      <c r="L558" s="43"/>
    </row>
    <row r="559" spans="2:12" hidden="1" outlineLevel="1">
      <c r="B559" s="46" t="str">
        <f t="shared" si="42"/>
        <v/>
      </c>
      <c r="C559" s="41" t="str">
        <f t="shared" si="41"/>
        <v/>
      </c>
      <c r="D559" s="41" t="s">
        <v>366</v>
      </c>
      <c r="E559" s="41">
        <v>30714</v>
      </c>
      <c r="F559" s="41"/>
      <c r="G559" s="71"/>
      <c r="H559" s="41"/>
      <c r="I559" s="42"/>
      <c r="J559" s="41"/>
      <c r="K559" s="41"/>
      <c r="L559" s="43"/>
    </row>
    <row r="560" spans="2:12" hidden="1" outlineLevel="1">
      <c r="B560" s="46" t="str">
        <f t="shared" si="42"/>
        <v/>
      </c>
      <c r="C560" s="41" t="str">
        <f t="shared" si="41"/>
        <v/>
      </c>
      <c r="D560" s="41" t="s">
        <v>366</v>
      </c>
      <c r="E560" s="41">
        <v>30747</v>
      </c>
      <c r="F560" s="41"/>
      <c r="G560" s="71"/>
      <c r="H560" s="41"/>
      <c r="I560" s="42"/>
      <c r="J560" s="41"/>
      <c r="K560" s="41"/>
      <c r="L560" s="43"/>
    </row>
    <row r="561" spans="2:12" hidden="1" outlineLevel="1">
      <c r="B561" s="46" t="str">
        <f t="shared" si="42"/>
        <v/>
      </c>
      <c r="C561" s="41" t="str">
        <f t="shared" si="41"/>
        <v/>
      </c>
      <c r="D561" s="41" t="s">
        <v>366</v>
      </c>
      <c r="E561" s="41">
        <v>30723</v>
      </c>
      <c r="F561" s="41"/>
      <c r="G561" s="71"/>
      <c r="H561" s="41"/>
      <c r="I561" s="42"/>
      <c r="J561" s="41"/>
      <c r="K561" s="41"/>
      <c r="L561" s="43"/>
    </row>
    <row r="562" spans="2:12" hidden="1" outlineLevel="1">
      <c r="B562" s="46" t="str">
        <f t="shared" si="42"/>
        <v/>
      </c>
      <c r="C562" s="41" t="str">
        <f t="shared" si="41"/>
        <v/>
      </c>
      <c r="D562" s="41" t="s">
        <v>366</v>
      </c>
      <c r="E562" s="41" t="s">
        <v>865</v>
      </c>
      <c r="F562" s="41"/>
      <c r="G562" s="71"/>
      <c r="H562" s="41"/>
      <c r="I562" s="42"/>
      <c r="J562" s="41"/>
      <c r="K562" s="41"/>
      <c r="L562" s="43"/>
    </row>
    <row r="563" spans="2:12" hidden="1" outlineLevel="1">
      <c r="B563" s="46" t="str">
        <f t="shared" si="42"/>
        <v/>
      </c>
      <c r="C563" s="41" t="str">
        <f>IF(G563="","",IF(G563="SEM DATA",$B$86,IF(G563&gt;DATE(1988,12,31),$B$85,IF(G563&lt;=DATE(1988,12,31),$B$84,""))))</f>
        <v/>
      </c>
      <c r="D563" s="41" t="s">
        <v>366</v>
      </c>
      <c r="E563" s="41" t="s">
        <v>381</v>
      </c>
      <c r="F563" s="41"/>
      <c r="G563" s="71"/>
      <c r="H563" s="41"/>
      <c r="I563" s="42"/>
      <c r="J563" s="41"/>
      <c r="K563" s="41"/>
      <c r="L563" s="43"/>
    </row>
    <row r="564" spans="2:12" hidden="1" outlineLevel="1">
      <c r="B564" s="46" t="str">
        <f t="shared" si="42"/>
        <v/>
      </c>
      <c r="C564" s="41" t="str">
        <f t="shared" ref="C564:C572" si="43">IF(G564="","",IF(G564="SEM DATA",$B$86,IF(G564&gt;DATE(1988,12,31),$B$85,IF(G564&lt;=DATE(1988,12,31),$B$84,""))))</f>
        <v/>
      </c>
      <c r="D564" s="41" t="s">
        <v>366</v>
      </c>
      <c r="E564" s="41" t="s">
        <v>388</v>
      </c>
      <c r="F564" s="41"/>
      <c r="G564" s="71"/>
      <c r="H564" s="41"/>
      <c r="I564" s="42"/>
      <c r="J564" s="41"/>
      <c r="K564" s="41"/>
      <c r="L564" s="43"/>
    </row>
    <row r="565" spans="2:12" hidden="1" outlineLevel="1">
      <c r="B565" s="46" t="str">
        <f t="shared" si="42"/>
        <v/>
      </c>
      <c r="C565" s="41" t="str">
        <f t="shared" si="43"/>
        <v/>
      </c>
      <c r="D565" s="41" t="s">
        <v>366</v>
      </c>
      <c r="E565" s="41" t="s">
        <v>372</v>
      </c>
      <c r="F565" s="41"/>
      <c r="G565" s="71"/>
      <c r="H565" s="41"/>
      <c r="I565" s="42"/>
      <c r="J565" s="41"/>
      <c r="K565" s="41"/>
      <c r="L565" s="43"/>
    </row>
    <row r="566" spans="2:12" hidden="1" outlineLevel="1">
      <c r="B566" s="46" t="str">
        <f t="shared" si="42"/>
        <v/>
      </c>
      <c r="C566" s="41" t="str">
        <f t="shared" si="43"/>
        <v/>
      </c>
      <c r="D566" s="41" t="s">
        <v>366</v>
      </c>
      <c r="E566" s="41">
        <v>27597</v>
      </c>
      <c r="F566" s="41"/>
      <c r="G566" s="71"/>
      <c r="H566" s="41"/>
      <c r="I566" s="42"/>
      <c r="J566" s="41"/>
      <c r="K566" s="41"/>
      <c r="L566" s="43"/>
    </row>
    <row r="567" spans="2:12" hidden="1" outlineLevel="1">
      <c r="B567" s="46" t="str">
        <f t="shared" si="42"/>
        <v/>
      </c>
      <c r="C567" s="41" t="str">
        <f t="shared" si="43"/>
        <v/>
      </c>
      <c r="D567" s="41" t="s">
        <v>366</v>
      </c>
      <c r="E567" s="41">
        <v>27596</v>
      </c>
      <c r="F567" s="41"/>
      <c r="G567" s="71"/>
      <c r="H567" s="41"/>
      <c r="I567" s="42"/>
      <c r="J567" s="41"/>
      <c r="K567" s="41"/>
      <c r="L567" s="43"/>
    </row>
    <row r="568" spans="2:12" hidden="1" outlineLevel="1">
      <c r="B568" s="46" t="str">
        <f t="shared" si="42"/>
        <v/>
      </c>
      <c r="C568" s="41" t="str">
        <f t="shared" si="43"/>
        <v/>
      </c>
      <c r="D568" s="41" t="s">
        <v>366</v>
      </c>
      <c r="E568" s="41">
        <v>27595</v>
      </c>
      <c r="F568" s="41"/>
      <c r="G568" s="71"/>
      <c r="H568" s="41"/>
      <c r="I568" s="42"/>
      <c r="J568" s="41"/>
      <c r="K568" s="41"/>
      <c r="L568" s="43"/>
    </row>
    <row r="569" spans="2:12" hidden="1" outlineLevel="1">
      <c r="B569" s="46" t="str">
        <f t="shared" si="42"/>
        <v/>
      </c>
      <c r="C569" s="41" t="str">
        <f t="shared" si="43"/>
        <v/>
      </c>
      <c r="D569" s="41" t="s">
        <v>366</v>
      </c>
      <c r="E569" s="41" t="s">
        <v>866</v>
      </c>
      <c r="F569" s="41"/>
      <c r="G569" s="71"/>
      <c r="H569" s="41"/>
      <c r="I569" s="42"/>
      <c r="J569" s="41"/>
      <c r="K569" s="41"/>
      <c r="L569" s="43"/>
    </row>
    <row r="570" spans="2:12" hidden="1" outlineLevel="1">
      <c r="B570" s="46" t="str">
        <f>IF(C570="","",B569+1)</f>
        <v/>
      </c>
      <c r="C570" s="41" t="str">
        <f t="shared" si="43"/>
        <v/>
      </c>
      <c r="D570" s="41" t="s">
        <v>366</v>
      </c>
      <c r="E570" s="41" t="s">
        <v>867</v>
      </c>
      <c r="F570" s="41"/>
      <c r="G570" s="71"/>
      <c r="H570" s="41"/>
      <c r="I570" s="42"/>
      <c r="J570" s="41"/>
      <c r="K570" s="41"/>
      <c r="L570" s="43"/>
    </row>
    <row r="571" spans="2:12" hidden="1" outlineLevel="1">
      <c r="B571" s="46" t="str">
        <f t="shared" ref="B571:B572" si="44">IF(C571="","",B570+1)</f>
        <v/>
      </c>
      <c r="C571" s="41" t="str">
        <f t="shared" si="43"/>
        <v/>
      </c>
      <c r="D571" s="1" t="s">
        <v>366</v>
      </c>
      <c r="E571" s="1" t="s">
        <v>868</v>
      </c>
      <c r="F571" s="1"/>
      <c r="G571" s="76"/>
      <c r="H571" s="1"/>
      <c r="I571" s="36"/>
      <c r="J571" s="1"/>
      <c r="K571" s="1"/>
      <c r="L571" s="2"/>
    </row>
    <row r="572" spans="2:12" ht="15.75" hidden="1" outlineLevel="1" thickBot="1">
      <c r="B572" s="7" t="str">
        <f t="shared" si="44"/>
        <v/>
      </c>
      <c r="C572" s="38" t="str">
        <f t="shared" si="43"/>
        <v/>
      </c>
      <c r="D572" s="38" t="s">
        <v>366</v>
      </c>
      <c r="E572" s="38" t="s">
        <v>869</v>
      </c>
      <c r="F572" s="38"/>
      <c r="G572" s="77"/>
      <c r="H572" s="38"/>
      <c r="I572" s="38"/>
      <c r="J572" s="38"/>
      <c r="K572" s="38"/>
      <c r="L572" s="39"/>
    </row>
    <row r="573" spans="2:12" ht="24" customHeight="1" collapsed="1" thickBot="1">
      <c r="B573" s="320" t="s">
        <v>59</v>
      </c>
      <c r="C573" s="321"/>
      <c r="D573" s="321"/>
      <c r="E573" s="321"/>
      <c r="F573" s="321"/>
      <c r="G573" s="321"/>
      <c r="H573" s="321"/>
      <c r="I573" s="321"/>
      <c r="J573" s="321"/>
      <c r="K573" s="321"/>
      <c r="L573" s="322"/>
    </row>
    <row r="574" spans="2:12" ht="24" customHeight="1" thickBot="1">
      <c r="B574" s="26" t="s">
        <v>49</v>
      </c>
      <c r="C574" s="27" t="s">
        <v>60</v>
      </c>
      <c r="D574" s="27" t="s">
        <v>62</v>
      </c>
      <c r="E574" s="27" t="s">
        <v>63</v>
      </c>
      <c r="F574" s="27" t="s">
        <v>64</v>
      </c>
      <c r="G574" s="27" t="s">
        <v>65</v>
      </c>
      <c r="H574" s="27" t="s">
        <v>66</v>
      </c>
      <c r="I574" s="27" t="s">
        <v>67</v>
      </c>
      <c r="J574" s="27" t="s">
        <v>6</v>
      </c>
      <c r="K574" s="27" t="s">
        <v>7</v>
      </c>
      <c r="L574" s="28" t="s">
        <v>68</v>
      </c>
    </row>
    <row r="575" spans="2:12">
      <c r="B575" s="46" t="s">
        <v>8</v>
      </c>
      <c r="C575" s="41">
        <f>COUNTIFS(B92:B572,"&gt;"&amp;0,C92:C572,"="&amp;B575)</f>
        <v>0</v>
      </c>
      <c r="D575" s="41">
        <f>COUNTIFS(B92:B572,"&gt;="&amp;1,C92:C572,B575,K92:K572,"&gt;="&amp;0,K92:K572,"&lt;"&amp;50)</f>
        <v>0</v>
      </c>
      <c r="E575" s="41">
        <f>COUNTIFS(B92:B572,"&gt;="&amp;1,C92:C572,B575,K92:K572,"&gt;="&amp;50,K92:K572,"&lt;"&amp;500)</f>
        <v>0</v>
      </c>
      <c r="F575" s="41">
        <f>COUNTIFS(B92:B572,"&gt;="&amp;1,C92:C572,B575,K92:K572,"&gt;="&amp;500)</f>
        <v>0</v>
      </c>
      <c r="G575" s="41">
        <f>COUNTIFS(B92:B572,"&gt;="&amp;1,C92:C572,B575,K92:K572,"&gt;="&amp;0,I92:I572,"&gt;"&amp;DATE(2021,1,1))</f>
        <v>0</v>
      </c>
      <c r="H575" s="47" t="str">
        <f>IF(G575=0,"-",(SUM(E575,F575)/G575))</f>
        <v>-</v>
      </c>
      <c r="I575" s="41">
        <f>IF((COUNTIFS(B92:B572,"&gt;="&amp;1,C92:C572,"="&amp;B575))&gt;228,228,(COUNTIFS(B92:B572,"&gt;="&amp;1,C92:C572,"="&amp;B575)))</f>
        <v>0</v>
      </c>
      <c r="J575" s="47" t="str">
        <f>IF(I575=0,"-",(COUNTIFS(C92:C572,"="&amp;B575,I92:I572,"&lt;="&amp;DATE(2024,12,31),K92:K572,"&gt;="&amp;0)/I575))</f>
        <v>-</v>
      </c>
      <c r="K575" s="47" t="str">
        <f>IF(I575=0,"-",IF(J575=1,"-",(COUNTIFS(B92:B572,"&gt;"&amp;0,C92:C572,"="&amp;B575,I92:I572,"&gt;"&amp;DATE(2024,12,31),K92:K572,"&gt;="&amp;0)/(I575-COUNTIFS(B92:B572,"&gt;"&amp;0,C92:C572,"="&amp;B575,I92:I572,"&lt;="&amp;DATE(2024,12,31),K92:K572,"&gt;="&amp;0)))))</f>
        <v>-</v>
      </c>
      <c r="L575" s="48" t="str">
        <f>IF(I575=0,"-",G575/I575)</f>
        <v>-</v>
      </c>
    </row>
    <row r="576" spans="2:12">
      <c r="B576" s="7" t="s">
        <v>9</v>
      </c>
      <c r="C576" s="1">
        <f>COUNTIFS(B92:B572,"&gt;"&amp;0,C92:C572,"="&amp;B576)</f>
        <v>8</v>
      </c>
      <c r="D576" s="1">
        <f>COUNTIFS(B92:B572,"&gt;="&amp;1,C92:C572,B576,K92:K572,"&gt;="&amp;0,K92:K572,"&lt;"&amp;50)</f>
        <v>8</v>
      </c>
      <c r="E576" s="1">
        <f>COUNTIFS(B92:B572,"&gt;="&amp;1,C92:C572,B576,K92:K572,"&gt;="&amp;50,K92:K572,"&lt;"&amp;500)</f>
        <v>0</v>
      </c>
      <c r="F576" s="1">
        <f>COUNTIFS(B92:B572,"&gt;="&amp;1,C92:C572,B576,K92:K572,"&gt;="&amp;500)</f>
        <v>0</v>
      </c>
      <c r="G576" s="1">
        <f>COUNTIFS(B92:B572,"&gt;="&amp;1,C92:C572,B576,K92:K572,"&gt;="&amp;0,I92:I572,"&gt;"&amp;DATE(2021,1,1))</f>
        <v>8</v>
      </c>
      <c r="H576" s="44">
        <f t="shared" ref="H576:H578" si="45">IF(G576=0,"-",(SUM(E576,F576)/G576))</f>
        <v>0</v>
      </c>
      <c r="I576" s="1">
        <f>IF((COUNTIFS(B92:B572,"&gt;="&amp;1,C92:C572,"="&amp;B576))&gt;228,228,(COUNTIFS(B92:B572,"&gt;="&amp;1,C92:C572,"="&amp;B576)))</f>
        <v>8</v>
      </c>
      <c r="J576" s="44">
        <f>IF(I576=0,"-",(COUNTIFS(C92:C572,"="&amp;B576,I92:I572,"&lt;="&amp;DATE(2024,12,31),K92:K572,"&gt;="&amp;0)/I576))</f>
        <v>1</v>
      </c>
      <c r="K576" s="47" t="str">
        <f>IF(I576=0,"-",IF(J576=1,"-",(COUNTIFS(B92:B572,"&gt;"&amp;0,C92:C572,"="&amp;B576,I92:I572,"&gt;"&amp;DATE(2024,12,31),K92:K572,"&gt;="&amp;0)/(I576-COUNTIFS(B92:B572,"&gt;"&amp;0,C92:C572,"="&amp;B576,I92:I572,"&lt;="&amp;DATE(2024,12,31),K92:K572,"&gt;="&amp;0)))))</f>
        <v>-</v>
      </c>
      <c r="L576" s="45">
        <f t="shared" ref="L576:L578" si="46">IF(I576=0,"-",G576/I576)</f>
        <v>1</v>
      </c>
    </row>
    <row r="577" spans="2:12">
      <c r="B577" s="7" t="s">
        <v>69</v>
      </c>
      <c r="C577" s="1">
        <f>COUNTIFS(B92:B572,"&gt;"&amp;0,C92:C572,"="&amp;B577)</f>
        <v>0</v>
      </c>
      <c r="D577" s="1">
        <f>COUNTIFS(B92:B572,"&gt;="&amp;1,C92:C572,B577,K92:K572,"&gt;="&amp;0,K92:K572,"&lt;"&amp;50)</f>
        <v>0</v>
      </c>
      <c r="E577" s="1">
        <f>COUNTIFS(B92:B572,"&gt;="&amp;1,C92:C572,B577,K92:K572,"&gt;="&amp;50,K92:K572,"&lt;"&amp;500)</f>
        <v>0</v>
      </c>
      <c r="F577" s="1">
        <f>COUNTIFS(B92:B571,"&gt;="&amp;1,C92:C571,B577,K92:K571,"&gt;="&amp;500)</f>
        <v>0</v>
      </c>
      <c r="G577" s="1">
        <f>COUNTIFS(B92:B572,"&gt;="&amp;1,C92:C572,B577,K92:K572,"&gt;="&amp;0,I92:I572,"&gt;"&amp;DATE(2021,1,1))</f>
        <v>0</v>
      </c>
      <c r="H577" s="44" t="str">
        <f t="shared" si="45"/>
        <v>-</v>
      </c>
      <c r="I577" s="1">
        <f>IF((COUNTIFS(B92:B571,"&gt;="&amp;1,C92:C571,"="&amp;B577))&gt;228,228,(COUNTIFS(B92:B571,"&gt;="&amp;1,C92:C571,"="&amp;B577)))</f>
        <v>0</v>
      </c>
      <c r="J577" s="44" t="str">
        <f>IF(I577=0,"-",(COUNTIFS(C92:C572,"="&amp;B577,I92:I572,"&lt;="&amp;DATE(2024,12,31),K92:K572,"&gt;="&amp;0)/I577))</f>
        <v>-</v>
      </c>
      <c r="K577" s="47" t="str">
        <f>IF(I577=0,"-",IF(J577=1,"-",(COUNTIFS(B92:B572,"&gt;"&amp;0,C92:C572,"="&amp;B577,I92:I572,"&gt;"&amp;DATE(2024,12,31),K92:K572,"&gt;="&amp;0)/(I577-COUNTIFS(B92:B572,"&gt;"&amp;0,C92:C572,"="&amp;B577,I92:I572,"&lt;="&amp;DATE(2024,12,31),K92:K572,"&gt;="&amp;0)))))</f>
        <v>-</v>
      </c>
      <c r="L577" s="45" t="str">
        <f t="shared" si="46"/>
        <v>-</v>
      </c>
    </row>
    <row r="578" spans="2:12" ht="24" customHeight="1" thickBot="1">
      <c r="B578" s="49" t="s">
        <v>59</v>
      </c>
      <c r="C578" s="50">
        <f>SUM(C575:C577)</f>
        <v>8</v>
      </c>
      <c r="D578" s="50">
        <f>SUM(D575:D577)</f>
        <v>8</v>
      </c>
      <c r="E578" s="50">
        <f>SUM(E575:E577)</f>
        <v>0</v>
      </c>
      <c r="F578" s="50">
        <f>SUM(F575:F577)</f>
        <v>0</v>
      </c>
      <c r="G578" s="50">
        <f>SUM(G575:G577)</f>
        <v>8</v>
      </c>
      <c r="H578" s="51">
        <f t="shared" si="45"/>
        <v>0</v>
      </c>
      <c r="I578" s="50">
        <f>SUM(I575:I577)</f>
        <v>8</v>
      </c>
      <c r="J578" s="51">
        <f>IF(I578=0,"-",(COUNTIFS(I92:I572,"&lt;="&amp;DATE(2024,12,31),K92:K572,"&gt;="&amp;0)/I578))</f>
        <v>1</v>
      </c>
      <c r="K578" s="51" t="str">
        <f>IF(I578=0,"-",IF(J578=1,"-",(COUNTIFS(B92:B572,"&gt;"&amp;0,I92:I572,"&gt;"&amp;DATE(2024,12,31),K92:K572,"&gt;="&amp;0)/(I578-COUNTIFS(B92:B572,"&gt;"&amp;0,I92:I572,"&lt;="&amp;DATE(2024,12,31),K92:K572,"&gt;="&amp;0)))))</f>
        <v>-</v>
      </c>
      <c r="L578" s="52">
        <f t="shared" si="46"/>
        <v>1</v>
      </c>
    </row>
    <row r="580" spans="2:12" ht="15.75" thickBot="1"/>
    <row r="581" spans="2:12" ht="32.25" customHeight="1" thickBot="1">
      <c r="B581" s="320" t="str">
        <f>_xlfn.CONCAT("Outros Equipamentos ( TSAs,Chaves a Óleo entre Outros)",TEXT(IF(SUM(I685:I687)=0," ",(SUM(G685:G687)/SUM(I685:I687))), " 0,00%"))</f>
        <v xml:space="preserve">Outros Equipamentos ( TSAs,Chaves a Óleo entre Outros) </v>
      </c>
      <c r="C581" s="321"/>
      <c r="D581" s="321"/>
      <c r="E581" s="321"/>
      <c r="F581" s="321"/>
      <c r="G581" s="321"/>
      <c r="H581" s="321"/>
      <c r="I581" s="321"/>
      <c r="J581" s="321"/>
      <c r="K581" s="321"/>
      <c r="L581" s="322"/>
    </row>
    <row r="582" spans="2:12" ht="24" hidden="1" customHeight="1" outlineLevel="1" thickBot="1">
      <c r="B582" s="26" t="s">
        <v>48</v>
      </c>
      <c r="C582" s="27" t="s">
        <v>49</v>
      </c>
      <c r="D582" s="27" t="s">
        <v>50</v>
      </c>
      <c r="E582" s="27" t="s">
        <v>51</v>
      </c>
      <c r="F582" s="27" t="s">
        <v>52</v>
      </c>
      <c r="G582" s="27" t="s">
        <v>53</v>
      </c>
      <c r="H582" s="27" t="s">
        <v>54</v>
      </c>
      <c r="I582" s="27" t="s">
        <v>55</v>
      </c>
      <c r="J582" s="27" t="s">
        <v>56</v>
      </c>
      <c r="K582" s="27" t="s">
        <v>57</v>
      </c>
      <c r="L582" s="28" t="s">
        <v>58</v>
      </c>
    </row>
    <row r="583" spans="2:12" hidden="1" outlineLevel="1">
      <c r="B583" s="40" t="str">
        <f>IF(C583="","",ROW($A$1))</f>
        <v/>
      </c>
      <c r="C583" s="41"/>
      <c r="D583" s="41"/>
      <c r="E583" s="41"/>
      <c r="F583" s="41"/>
      <c r="G583" s="41"/>
      <c r="H583" s="41"/>
      <c r="I583" s="42"/>
      <c r="J583" s="41"/>
      <c r="K583" s="41"/>
      <c r="L583" s="43"/>
    </row>
    <row r="584" spans="2:12" hidden="1" outlineLevel="1">
      <c r="B584" s="35" t="str">
        <f>IF(C584="","",(B583+1))</f>
        <v/>
      </c>
      <c r="C584" s="41"/>
      <c r="D584" s="41"/>
      <c r="E584" s="41"/>
      <c r="F584" s="41"/>
      <c r="G584" s="41"/>
      <c r="H584" s="41"/>
      <c r="I584" s="42"/>
      <c r="J584" s="41"/>
      <c r="K584" s="41"/>
      <c r="L584" s="43"/>
    </row>
    <row r="585" spans="2:12" hidden="1" outlineLevel="1">
      <c r="B585" s="35" t="str">
        <f t="shared" ref="B585:B648" si="47">IF(C585="","",(B584+1))</f>
        <v/>
      </c>
      <c r="C585" s="41"/>
      <c r="D585" s="41"/>
      <c r="E585" s="41"/>
      <c r="F585" s="41"/>
      <c r="G585" s="41"/>
      <c r="H585" s="41"/>
      <c r="I585" s="42"/>
      <c r="J585" s="41"/>
      <c r="K585" s="41"/>
      <c r="L585" s="43"/>
    </row>
    <row r="586" spans="2:12" hidden="1" outlineLevel="1">
      <c r="B586" s="35" t="str">
        <f t="shared" si="47"/>
        <v/>
      </c>
      <c r="C586" s="41"/>
      <c r="D586" s="41"/>
      <c r="E586" s="41"/>
      <c r="F586" s="41"/>
      <c r="G586" s="41"/>
      <c r="H586" s="41"/>
      <c r="I586" s="42"/>
      <c r="J586" s="41"/>
      <c r="K586" s="41"/>
      <c r="L586" s="43"/>
    </row>
    <row r="587" spans="2:12" hidden="1" outlineLevel="1">
      <c r="B587" s="35" t="str">
        <f t="shared" si="47"/>
        <v/>
      </c>
      <c r="C587" s="41"/>
      <c r="D587" s="41"/>
      <c r="E587" s="41"/>
      <c r="F587" s="41"/>
      <c r="G587" s="41"/>
      <c r="H587" s="41"/>
      <c r="I587" s="42"/>
      <c r="J587" s="41"/>
      <c r="K587" s="41"/>
      <c r="L587" s="43"/>
    </row>
    <row r="588" spans="2:12" hidden="1" outlineLevel="1">
      <c r="B588" s="35" t="str">
        <f t="shared" si="47"/>
        <v/>
      </c>
      <c r="C588" s="41"/>
      <c r="D588" s="41"/>
      <c r="E588" s="41"/>
      <c r="F588" s="41"/>
      <c r="G588" s="41"/>
      <c r="H588" s="41"/>
      <c r="I588" s="42"/>
      <c r="J588" s="41"/>
      <c r="K588" s="41"/>
      <c r="L588" s="43"/>
    </row>
    <row r="589" spans="2:12" hidden="1" outlineLevel="1">
      <c r="B589" s="35" t="str">
        <f t="shared" si="47"/>
        <v/>
      </c>
      <c r="C589" s="41"/>
      <c r="D589" s="41"/>
      <c r="E589" s="41"/>
      <c r="F589" s="41"/>
      <c r="G589" s="41"/>
      <c r="H589" s="41"/>
      <c r="I589" s="42"/>
      <c r="J589" s="41"/>
      <c r="K589" s="41"/>
      <c r="L589" s="43"/>
    </row>
    <row r="590" spans="2:12" hidden="1" outlineLevel="1">
      <c r="B590" s="35" t="str">
        <f t="shared" si="47"/>
        <v/>
      </c>
      <c r="C590" s="41"/>
      <c r="D590" s="41"/>
      <c r="E590" s="41"/>
      <c r="F590" s="41"/>
      <c r="G590" s="41"/>
      <c r="H590" s="41"/>
      <c r="I590" s="42"/>
      <c r="J590" s="41"/>
      <c r="K590" s="41"/>
      <c r="L590" s="43"/>
    </row>
    <row r="591" spans="2:12" hidden="1" outlineLevel="1">
      <c r="B591" s="35" t="str">
        <f t="shared" si="47"/>
        <v/>
      </c>
      <c r="C591" s="41"/>
      <c r="D591" s="41"/>
      <c r="E591" s="41"/>
      <c r="F591" s="41"/>
      <c r="G591" s="41"/>
      <c r="H591" s="41"/>
      <c r="I591" s="42"/>
      <c r="J591" s="41"/>
      <c r="K591" s="41"/>
      <c r="L591" s="43"/>
    </row>
    <row r="592" spans="2:12" hidden="1" outlineLevel="1">
      <c r="B592" s="35" t="str">
        <f t="shared" si="47"/>
        <v/>
      </c>
      <c r="C592" s="41"/>
      <c r="D592" s="41"/>
      <c r="E592" s="41"/>
      <c r="F592" s="41"/>
      <c r="G592" s="41"/>
      <c r="H592" s="41"/>
      <c r="I592" s="42"/>
      <c r="J592" s="41"/>
      <c r="K592" s="41"/>
      <c r="L592" s="43"/>
    </row>
    <row r="593" spans="2:12" hidden="1" outlineLevel="1">
      <c r="B593" s="35" t="str">
        <f t="shared" si="47"/>
        <v/>
      </c>
      <c r="C593" s="41"/>
      <c r="D593" s="41"/>
      <c r="E593" s="41"/>
      <c r="F593" s="41"/>
      <c r="G593" s="41"/>
      <c r="H593" s="41"/>
      <c r="I593" s="42"/>
      <c r="J593" s="41"/>
      <c r="K593" s="41"/>
      <c r="L593" s="43"/>
    </row>
    <row r="594" spans="2:12" hidden="1" outlineLevel="1">
      <c r="B594" s="40" t="str">
        <f t="shared" si="47"/>
        <v/>
      </c>
      <c r="C594" s="41"/>
      <c r="D594" s="41"/>
      <c r="E594" s="41"/>
      <c r="F594" s="41"/>
      <c r="G594" s="41"/>
      <c r="H594" s="41"/>
      <c r="I594" s="42"/>
      <c r="J594" s="41"/>
      <c r="K594" s="41"/>
      <c r="L594" s="43"/>
    </row>
    <row r="595" spans="2:12" hidden="1" outlineLevel="1">
      <c r="B595" s="40" t="str">
        <f t="shared" si="47"/>
        <v/>
      </c>
      <c r="C595" s="41"/>
      <c r="D595" s="41"/>
      <c r="E595" s="41"/>
      <c r="F595" s="41"/>
      <c r="G595" s="41"/>
      <c r="H595" s="41"/>
      <c r="I595" s="42"/>
      <c r="J595" s="41"/>
      <c r="K595" s="41"/>
      <c r="L595" s="43"/>
    </row>
    <row r="596" spans="2:12" hidden="1" outlineLevel="1">
      <c r="B596" s="40" t="str">
        <f t="shared" si="47"/>
        <v/>
      </c>
      <c r="C596" s="41"/>
      <c r="D596" s="41"/>
      <c r="E596" s="41"/>
      <c r="F596" s="41"/>
      <c r="G596" s="41"/>
      <c r="H596" s="41"/>
      <c r="I596" s="42"/>
      <c r="J596" s="41"/>
      <c r="K596" s="41"/>
      <c r="L596" s="43"/>
    </row>
    <row r="597" spans="2:12" hidden="1" outlineLevel="1">
      <c r="B597" s="40" t="str">
        <f t="shared" si="47"/>
        <v/>
      </c>
      <c r="C597" s="41"/>
      <c r="D597" s="41"/>
      <c r="E597" s="41"/>
      <c r="F597" s="41"/>
      <c r="G597" s="41"/>
      <c r="H597" s="41"/>
      <c r="I597" s="42"/>
      <c r="J597" s="41"/>
      <c r="K597" s="41"/>
      <c r="L597" s="43"/>
    </row>
    <row r="598" spans="2:12" hidden="1" outlineLevel="1">
      <c r="B598" s="40" t="str">
        <f t="shared" si="47"/>
        <v/>
      </c>
      <c r="C598" s="41"/>
      <c r="D598" s="41"/>
      <c r="E598" s="41"/>
      <c r="F598" s="41"/>
      <c r="G598" s="41"/>
      <c r="H598" s="41"/>
      <c r="I598" s="42"/>
      <c r="J598" s="41"/>
      <c r="K598" s="41"/>
      <c r="L598" s="43"/>
    </row>
    <row r="599" spans="2:12" hidden="1" outlineLevel="1">
      <c r="B599" s="40" t="str">
        <f t="shared" si="47"/>
        <v/>
      </c>
      <c r="C599" s="41"/>
      <c r="D599" s="41"/>
      <c r="E599" s="41"/>
      <c r="F599" s="41"/>
      <c r="G599" s="41"/>
      <c r="H599" s="41"/>
      <c r="I599" s="42"/>
      <c r="J599" s="41"/>
      <c r="K599" s="41"/>
      <c r="L599" s="43"/>
    </row>
    <row r="600" spans="2:12" hidden="1" outlineLevel="1">
      <c r="B600" s="40" t="str">
        <f t="shared" si="47"/>
        <v/>
      </c>
      <c r="C600" s="41"/>
      <c r="D600" s="41"/>
      <c r="E600" s="41"/>
      <c r="F600" s="41"/>
      <c r="G600" s="41"/>
      <c r="H600" s="41"/>
      <c r="I600" s="42"/>
      <c r="J600" s="41"/>
      <c r="K600" s="41"/>
      <c r="L600" s="43"/>
    </row>
    <row r="601" spans="2:12" hidden="1" outlineLevel="1">
      <c r="B601" s="40" t="str">
        <f t="shared" si="47"/>
        <v/>
      </c>
      <c r="C601" s="41"/>
      <c r="D601" s="41"/>
      <c r="E601" s="41"/>
      <c r="F601" s="41"/>
      <c r="G601" s="41"/>
      <c r="H601" s="41"/>
      <c r="I601" s="42"/>
      <c r="J601" s="41"/>
      <c r="K601" s="41"/>
      <c r="L601" s="43"/>
    </row>
    <row r="602" spans="2:12" hidden="1" outlineLevel="1">
      <c r="B602" s="40" t="str">
        <f t="shared" si="47"/>
        <v/>
      </c>
      <c r="C602" s="41"/>
      <c r="D602" s="41"/>
      <c r="E602" s="41"/>
      <c r="F602" s="41"/>
      <c r="G602" s="41"/>
      <c r="H602" s="41"/>
      <c r="I602" s="42"/>
      <c r="J602" s="41"/>
      <c r="K602" s="41"/>
      <c r="L602" s="43"/>
    </row>
    <row r="603" spans="2:12" hidden="1" outlineLevel="1">
      <c r="B603" s="40" t="str">
        <f t="shared" si="47"/>
        <v/>
      </c>
      <c r="C603" s="41"/>
      <c r="D603" s="41"/>
      <c r="E603" s="41"/>
      <c r="F603" s="41"/>
      <c r="G603" s="41"/>
      <c r="H603" s="41"/>
      <c r="I603" s="42"/>
      <c r="J603" s="41"/>
      <c r="K603" s="41"/>
      <c r="L603" s="43"/>
    </row>
    <row r="604" spans="2:12" hidden="1" outlineLevel="1">
      <c r="B604" s="40" t="str">
        <f t="shared" si="47"/>
        <v/>
      </c>
      <c r="C604" s="41"/>
      <c r="D604" s="41"/>
      <c r="E604" s="41"/>
      <c r="F604" s="41"/>
      <c r="G604" s="41"/>
      <c r="H604" s="41"/>
      <c r="I604" s="42"/>
      <c r="J604" s="41"/>
      <c r="K604" s="41"/>
      <c r="L604" s="43"/>
    </row>
    <row r="605" spans="2:12" hidden="1" outlineLevel="1">
      <c r="B605" s="40" t="str">
        <f t="shared" si="47"/>
        <v/>
      </c>
      <c r="C605" s="41"/>
      <c r="D605" s="41"/>
      <c r="E605" s="41"/>
      <c r="F605" s="41"/>
      <c r="G605" s="41"/>
      <c r="H605" s="41"/>
      <c r="I605" s="42"/>
      <c r="J605" s="41"/>
      <c r="K605" s="41"/>
      <c r="L605" s="43"/>
    </row>
    <row r="606" spans="2:12" hidden="1" outlineLevel="1">
      <c r="B606" s="40" t="str">
        <f t="shared" si="47"/>
        <v/>
      </c>
      <c r="C606" s="41"/>
      <c r="D606" s="41"/>
      <c r="E606" s="41"/>
      <c r="F606" s="41"/>
      <c r="G606" s="41"/>
      <c r="H606" s="41"/>
      <c r="I606" s="42"/>
      <c r="J606" s="41"/>
      <c r="K606" s="41"/>
      <c r="L606" s="43"/>
    </row>
    <row r="607" spans="2:12" hidden="1" outlineLevel="1">
      <c r="B607" s="40" t="str">
        <f t="shared" si="47"/>
        <v/>
      </c>
      <c r="C607" s="41"/>
      <c r="D607" s="41"/>
      <c r="E607" s="41"/>
      <c r="F607" s="41"/>
      <c r="G607" s="41"/>
      <c r="H607" s="41"/>
      <c r="I607" s="42"/>
      <c r="J607" s="41"/>
      <c r="K607" s="41"/>
      <c r="L607" s="43"/>
    </row>
    <row r="608" spans="2:12" hidden="1" outlineLevel="1">
      <c r="B608" s="40" t="str">
        <f t="shared" si="47"/>
        <v/>
      </c>
      <c r="C608" s="41"/>
      <c r="D608" s="41"/>
      <c r="E608" s="41"/>
      <c r="F608" s="41"/>
      <c r="G608" s="41"/>
      <c r="H608" s="41"/>
      <c r="I608" s="42"/>
      <c r="J608" s="41"/>
      <c r="K608" s="41"/>
      <c r="L608" s="43"/>
    </row>
    <row r="609" spans="2:12" hidden="1" outlineLevel="1">
      <c r="B609" s="40" t="str">
        <f t="shared" si="47"/>
        <v/>
      </c>
      <c r="C609" s="41"/>
      <c r="D609" s="41"/>
      <c r="E609" s="41"/>
      <c r="F609" s="41"/>
      <c r="G609" s="41"/>
      <c r="H609" s="41"/>
      <c r="I609" s="42"/>
      <c r="J609" s="41"/>
      <c r="K609" s="41"/>
      <c r="L609" s="43"/>
    </row>
    <row r="610" spans="2:12" hidden="1" outlineLevel="1">
      <c r="B610" s="40" t="str">
        <f t="shared" si="47"/>
        <v/>
      </c>
      <c r="C610" s="41"/>
      <c r="D610" s="41"/>
      <c r="E610" s="41"/>
      <c r="F610" s="41"/>
      <c r="G610" s="41"/>
      <c r="H610" s="41"/>
      <c r="I610" s="42"/>
      <c r="J610" s="41"/>
      <c r="K610" s="41"/>
      <c r="L610" s="43"/>
    </row>
    <row r="611" spans="2:12" hidden="1" outlineLevel="1">
      <c r="B611" s="40" t="str">
        <f t="shared" si="47"/>
        <v/>
      </c>
      <c r="C611" s="41"/>
      <c r="D611" s="41"/>
      <c r="E611" s="41"/>
      <c r="F611" s="41"/>
      <c r="G611" s="41"/>
      <c r="H611" s="41"/>
      <c r="I611" s="42"/>
      <c r="J611" s="41"/>
      <c r="K611" s="41"/>
      <c r="L611" s="43"/>
    </row>
    <row r="612" spans="2:12" hidden="1" outlineLevel="1">
      <c r="B612" s="40" t="str">
        <f t="shared" si="47"/>
        <v/>
      </c>
      <c r="C612" s="41"/>
      <c r="D612" s="41"/>
      <c r="E612" s="41"/>
      <c r="F612" s="41"/>
      <c r="G612" s="41"/>
      <c r="H612" s="41"/>
      <c r="I612" s="42"/>
      <c r="J612" s="41"/>
      <c r="K612" s="41"/>
      <c r="L612" s="43"/>
    </row>
    <row r="613" spans="2:12" hidden="1" outlineLevel="1">
      <c r="B613" s="40" t="str">
        <f t="shared" si="47"/>
        <v/>
      </c>
      <c r="C613" s="41"/>
      <c r="D613" s="41"/>
      <c r="E613" s="41"/>
      <c r="F613" s="41"/>
      <c r="G613" s="41"/>
      <c r="H613" s="41"/>
      <c r="I613" s="42"/>
      <c r="J613" s="41"/>
      <c r="K613" s="41"/>
      <c r="L613" s="43"/>
    </row>
    <row r="614" spans="2:12" hidden="1" outlineLevel="1">
      <c r="B614" s="40" t="str">
        <f t="shared" si="47"/>
        <v/>
      </c>
      <c r="C614" s="41"/>
      <c r="D614" s="41"/>
      <c r="E614" s="41"/>
      <c r="F614" s="41"/>
      <c r="G614" s="41"/>
      <c r="H614" s="41"/>
      <c r="I614" s="42"/>
      <c r="J614" s="41"/>
      <c r="K614" s="41"/>
      <c r="L614" s="43"/>
    </row>
    <row r="615" spans="2:12" hidden="1" outlineLevel="1">
      <c r="B615" s="40" t="str">
        <f t="shared" si="47"/>
        <v/>
      </c>
      <c r="C615" s="41"/>
      <c r="D615" s="41"/>
      <c r="E615" s="41"/>
      <c r="F615" s="41"/>
      <c r="G615" s="41"/>
      <c r="H615" s="41"/>
      <c r="I615" s="42"/>
      <c r="J615" s="41"/>
      <c r="K615" s="41"/>
      <c r="L615" s="43"/>
    </row>
    <row r="616" spans="2:12" hidden="1" outlineLevel="1">
      <c r="B616" s="40" t="str">
        <f t="shared" si="47"/>
        <v/>
      </c>
      <c r="C616" s="41"/>
      <c r="D616" s="41"/>
      <c r="E616" s="41"/>
      <c r="F616" s="41"/>
      <c r="G616" s="41"/>
      <c r="H616" s="41"/>
      <c r="I616" s="42"/>
      <c r="J616" s="41"/>
      <c r="K616" s="41"/>
      <c r="L616" s="43"/>
    </row>
    <row r="617" spans="2:12" hidden="1" outlineLevel="1">
      <c r="B617" s="40" t="str">
        <f t="shared" si="47"/>
        <v/>
      </c>
      <c r="C617" s="41"/>
      <c r="D617" s="41"/>
      <c r="E617" s="41"/>
      <c r="F617" s="41"/>
      <c r="G617" s="41"/>
      <c r="H617" s="41"/>
      <c r="I617" s="42"/>
      <c r="J617" s="41"/>
      <c r="K617" s="41"/>
      <c r="L617" s="43"/>
    </row>
    <row r="618" spans="2:12" hidden="1" outlineLevel="1">
      <c r="B618" s="40" t="str">
        <f t="shared" si="47"/>
        <v/>
      </c>
      <c r="C618" s="41"/>
      <c r="D618" s="41"/>
      <c r="E618" s="41"/>
      <c r="F618" s="41"/>
      <c r="G618" s="41"/>
      <c r="H618" s="41"/>
      <c r="I618" s="42"/>
      <c r="J618" s="41"/>
      <c r="K618" s="41"/>
      <c r="L618" s="43"/>
    </row>
    <row r="619" spans="2:12" hidden="1" outlineLevel="1">
      <c r="B619" s="40" t="str">
        <f t="shared" si="47"/>
        <v/>
      </c>
      <c r="C619" s="41"/>
      <c r="D619" s="41"/>
      <c r="E619" s="41"/>
      <c r="F619" s="41"/>
      <c r="G619" s="41"/>
      <c r="H619" s="41"/>
      <c r="I619" s="42"/>
      <c r="J619" s="41"/>
      <c r="K619" s="41"/>
      <c r="L619" s="43"/>
    </row>
    <row r="620" spans="2:12" hidden="1" outlineLevel="1">
      <c r="B620" s="40" t="str">
        <f t="shared" si="47"/>
        <v/>
      </c>
      <c r="C620" s="41"/>
      <c r="D620" s="41"/>
      <c r="E620" s="41"/>
      <c r="F620" s="41"/>
      <c r="G620" s="41"/>
      <c r="H620" s="41"/>
      <c r="I620" s="42"/>
      <c r="J620" s="41"/>
      <c r="K620" s="41"/>
      <c r="L620" s="43"/>
    </row>
    <row r="621" spans="2:12" hidden="1" outlineLevel="1">
      <c r="B621" s="40" t="str">
        <f t="shared" si="47"/>
        <v/>
      </c>
      <c r="C621" s="41"/>
      <c r="D621" s="41"/>
      <c r="E621" s="41"/>
      <c r="F621" s="41"/>
      <c r="G621" s="41"/>
      <c r="H621" s="41"/>
      <c r="I621" s="42"/>
      <c r="J621" s="41"/>
      <c r="K621" s="41"/>
      <c r="L621" s="43"/>
    </row>
    <row r="622" spans="2:12" hidden="1" outlineLevel="1">
      <c r="B622" s="40" t="str">
        <f t="shared" si="47"/>
        <v/>
      </c>
      <c r="C622" s="41"/>
      <c r="D622" s="41"/>
      <c r="E622" s="41"/>
      <c r="F622" s="41"/>
      <c r="G622" s="41"/>
      <c r="H622" s="41"/>
      <c r="I622" s="42"/>
      <c r="J622" s="41"/>
      <c r="K622" s="41"/>
      <c r="L622" s="43"/>
    </row>
    <row r="623" spans="2:12" hidden="1" outlineLevel="1">
      <c r="B623" s="40" t="str">
        <f t="shared" si="47"/>
        <v/>
      </c>
      <c r="C623" s="41"/>
      <c r="D623" s="41"/>
      <c r="E623" s="41"/>
      <c r="F623" s="41"/>
      <c r="G623" s="41"/>
      <c r="H623" s="41"/>
      <c r="I623" s="42"/>
      <c r="J623" s="41"/>
      <c r="K623" s="41"/>
      <c r="L623" s="43"/>
    </row>
    <row r="624" spans="2:12" hidden="1" outlineLevel="1">
      <c r="B624" s="40" t="str">
        <f t="shared" si="47"/>
        <v/>
      </c>
      <c r="C624" s="41"/>
      <c r="D624" s="41"/>
      <c r="E624" s="41"/>
      <c r="F624" s="41"/>
      <c r="G624" s="41"/>
      <c r="H624" s="41"/>
      <c r="I624" s="42"/>
      <c r="J624" s="41"/>
      <c r="K624" s="41"/>
      <c r="L624" s="43"/>
    </row>
    <row r="625" spans="2:12" hidden="1" outlineLevel="1">
      <c r="B625" s="40" t="str">
        <f t="shared" si="47"/>
        <v/>
      </c>
      <c r="C625" s="41"/>
      <c r="D625" s="41"/>
      <c r="E625" s="41"/>
      <c r="F625" s="41"/>
      <c r="G625" s="41"/>
      <c r="H625" s="41"/>
      <c r="I625" s="42"/>
      <c r="J625" s="41"/>
      <c r="K625" s="41"/>
      <c r="L625" s="43"/>
    </row>
    <row r="626" spans="2:12" hidden="1" outlineLevel="1">
      <c r="B626" s="40" t="str">
        <f t="shared" si="47"/>
        <v/>
      </c>
      <c r="C626" s="41"/>
      <c r="D626" s="41"/>
      <c r="E626" s="41"/>
      <c r="F626" s="41"/>
      <c r="G626" s="41"/>
      <c r="H626" s="41"/>
      <c r="I626" s="42"/>
      <c r="J626" s="41"/>
      <c r="K626" s="41"/>
      <c r="L626" s="43"/>
    </row>
    <row r="627" spans="2:12" hidden="1" outlineLevel="1">
      <c r="B627" s="40" t="str">
        <f t="shared" si="47"/>
        <v/>
      </c>
      <c r="C627" s="41"/>
      <c r="D627" s="41"/>
      <c r="E627" s="41"/>
      <c r="F627" s="41"/>
      <c r="G627" s="41"/>
      <c r="H627" s="41"/>
      <c r="I627" s="42"/>
      <c r="J627" s="41"/>
      <c r="K627" s="41"/>
      <c r="L627" s="43"/>
    </row>
    <row r="628" spans="2:12" hidden="1" outlineLevel="1">
      <c r="B628" s="40" t="str">
        <f t="shared" si="47"/>
        <v/>
      </c>
      <c r="C628" s="41"/>
      <c r="D628" s="41"/>
      <c r="E628" s="41"/>
      <c r="F628" s="41"/>
      <c r="G628" s="41"/>
      <c r="H628" s="41"/>
      <c r="I628" s="42"/>
      <c r="J628" s="41"/>
      <c r="K628" s="41"/>
      <c r="L628" s="43"/>
    </row>
    <row r="629" spans="2:12" hidden="1" outlineLevel="1">
      <c r="B629" s="40" t="str">
        <f t="shared" si="47"/>
        <v/>
      </c>
      <c r="C629" s="41"/>
      <c r="D629" s="41"/>
      <c r="E629" s="41"/>
      <c r="F629" s="41"/>
      <c r="G629" s="41"/>
      <c r="H629" s="41"/>
      <c r="I629" s="42"/>
      <c r="J629" s="41"/>
      <c r="K629" s="41"/>
      <c r="L629" s="43"/>
    </row>
    <row r="630" spans="2:12" hidden="1" outlineLevel="1">
      <c r="B630" s="40" t="str">
        <f t="shared" si="47"/>
        <v/>
      </c>
      <c r="C630" s="41"/>
      <c r="D630" s="41"/>
      <c r="E630" s="41"/>
      <c r="F630" s="41"/>
      <c r="G630" s="41"/>
      <c r="H630" s="41"/>
      <c r="I630" s="42"/>
      <c r="J630" s="41"/>
      <c r="K630" s="41"/>
      <c r="L630" s="43"/>
    </row>
    <row r="631" spans="2:12" hidden="1" outlineLevel="1">
      <c r="B631" s="40" t="str">
        <f t="shared" si="47"/>
        <v/>
      </c>
      <c r="C631" s="41"/>
      <c r="D631" s="41"/>
      <c r="E631" s="41"/>
      <c r="F631" s="41"/>
      <c r="G631" s="41"/>
      <c r="H631" s="41"/>
      <c r="I631" s="42"/>
      <c r="J631" s="41"/>
      <c r="K631" s="41"/>
      <c r="L631" s="43"/>
    </row>
    <row r="632" spans="2:12" hidden="1" outlineLevel="1">
      <c r="B632" s="40" t="str">
        <f t="shared" si="47"/>
        <v/>
      </c>
      <c r="C632" s="41"/>
      <c r="D632" s="41"/>
      <c r="E632" s="41"/>
      <c r="F632" s="41"/>
      <c r="G632" s="41"/>
      <c r="H632" s="41"/>
      <c r="I632" s="42"/>
      <c r="J632" s="41"/>
      <c r="K632" s="41"/>
      <c r="L632" s="43"/>
    </row>
    <row r="633" spans="2:12" hidden="1" outlineLevel="1">
      <c r="B633" s="40" t="str">
        <f t="shared" si="47"/>
        <v/>
      </c>
      <c r="C633" s="41"/>
      <c r="D633" s="41"/>
      <c r="E633" s="41"/>
      <c r="F633" s="41"/>
      <c r="G633" s="41"/>
      <c r="H633" s="41"/>
      <c r="I633" s="42"/>
      <c r="J633" s="41"/>
      <c r="K633" s="41"/>
      <c r="L633" s="43"/>
    </row>
    <row r="634" spans="2:12" hidden="1" outlineLevel="1">
      <c r="B634" s="40" t="str">
        <f t="shared" si="47"/>
        <v/>
      </c>
      <c r="C634" s="41"/>
      <c r="D634" s="41"/>
      <c r="E634" s="41"/>
      <c r="F634" s="41"/>
      <c r="G634" s="41"/>
      <c r="H634" s="41"/>
      <c r="I634" s="42"/>
      <c r="J634" s="41"/>
      <c r="K634" s="41"/>
      <c r="L634" s="43"/>
    </row>
    <row r="635" spans="2:12" hidden="1" outlineLevel="1">
      <c r="B635" s="40" t="str">
        <f t="shared" si="47"/>
        <v/>
      </c>
      <c r="C635" s="41"/>
      <c r="D635" s="41"/>
      <c r="E635" s="41"/>
      <c r="F635" s="41"/>
      <c r="G635" s="41"/>
      <c r="H635" s="41"/>
      <c r="I635" s="42"/>
      <c r="J635" s="41"/>
      <c r="K635" s="41"/>
      <c r="L635" s="43"/>
    </row>
    <row r="636" spans="2:12" hidden="1" outlineLevel="1">
      <c r="B636" s="40" t="str">
        <f t="shared" si="47"/>
        <v/>
      </c>
      <c r="C636" s="41"/>
      <c r="D636" s="41"/>
      <c r="E636" s="41"/>
      <c r="F636" s="41"/>
      <c r="G636" s="41"/>
      <c r="H636" s="41"/>
      <c r="I636" s="42"/>
      <c r="J636" s="41"/>
      <c r="K636" s="41"/>
      <c r="L636" s="43"/>
    </row>
    <row r="637" spans="2:12" hidden="1" outlineLevel="1">
      <c r="B637" s="40" t="str">
        <f t="shared" si="47"/>
        <v/>
      </c>
      <c r="C637" s="41"/>
      <c r="D637" s="41"/>
      <c r="E637" s="41"/>
      <c r="F637" s="41"/>
      <c r="G637" s="41"/>
      <c r="H637" s="41"/>
      <c r="I637" s="42"/>
      <c r="J637" s="41"/>
      <c r="K637" s="41"/>
      <c r="L637" s="43"/>
    </row>
    <row r="638" spans="2:12" hidden="1" outlineLevel="1">
      <c r="B638" s="40" t="str">
        <f t="shared" si="47"/>
        <v/>
      </c>
      <c r="C638" s="41"/>
      <c r="D638" s="41"/>
      <c r="E638" s="41"/>
      <c r="F638" s="41"/>
      <c r="G638" s="41"/>
      <c r="H638" s="41"/>
      <c r="I638" s="42"/>
      <c r="J638" s="41"/>
      <c r="K638" s="41"/>
      <c r="L638" s="43"/>
    </row>
    <row r="639" spans="2:12" hidden="1" outlineLevel="1">
      <c r="B639" s="40" t="str">
        <f t="shared" si="47"/>
        <v/>
      </c>
      <c r="C639" s="41"/>
      <c r="D639" s="41"/>
      <c r="E639" s="41"/>
      <c r="F639" s="41"/>
      <c r="G639" s="41"/>
      <c r="H639" s="41"/>
      <c r="I639" s="42"/>
      <c r="J639" s="41"/>
      <c r="K639" s="41"/>
      <c r="L639" s="43"/>
    </row>
    <row r="640" spans="2:12" hidden="1" outlineLevel="1">
      <c r="B640" s="40" t="str">
        <f t="shared" si="47"/>
        <v/>
      </c>
      <c r="C640" s="41"/>
      <c r="D640" s="41"/>
      <c r="E640" s="41"/>
      <c r="F640" s="41"/>
      <c r="G640" s="41"/>
      <c r="H640" s="41"/>
      <c r="I640" s="42"/>
      <c r="J640" s="41"/>
      <c r="K640" s="41"/>
      <c r="L640" s="43"/>
    </row>
    <row r="641" spans="2:12" hidden="1" outlineLevel="1">
      <c r="B641" s="40" t="str">
        <f t="shared" si="47"/>
        <v/>
      </c>
      <c r="C641" s="41"/>
      <c r="D641" s="41"/>
      <c r="E641" s="41"/>
      <c r="F641" s="41"/>
      <c r="G641" s="41"/>
      <c r="H641" s="41"/>
      <c r="I641" s="42"/>
      <c r="J641" s="41"/>
      <c r="K641" s="41"/>
      <c r="L641" s="43"/>
    </row>
    <row r="642" spans="2:12" hidden="1" outlineLevel="1">
      <c r="B642" s="40" t="str">
        <f t="shared" si="47"/>
        <v/>
      </c>
      <c r="C642" s="41"/>
      <c r="D642" s="41"/>
      <c r="E642" s="41"/>
      <c r="F642" s="41"/>
      <c r="G642" s="41"/>
      <c r="H642" s="41"/>
      <c r="I642" s="42"/>
      <c r="J642" s="41"/>
      <c r="K642" s="41"/>
      <c r="L642" s="43"/>
    </row>
    <row r="643" spans="2:12" hidden="1" outlineLevel="1">
      <c r="B643" s="40" t="str">
        <f t="shared" si="47"/>
        <v/>
      </c>
      <c r="C643" s="41"/>
      <c r="D643" s="41"/>
      <c r="E643" s="41"/>
      <c r="F643" s="41"/>
      <c r="G643" s="41"/>
      <c r="H643" s="41"/>
      <c r="I643" s="42"/>
      <c r="J643" s="41"/>
      <c r="K643" s="41"/>
      <c r="L643" s="43"/>
    </row>
    <row r="644" spans="2:12" hidden="1" outlineLevel="1">
      <c r="B644" s="40" t="str">
        <f t="shared" si="47"/>
        <v/>
      </c>
      <c r="C644" s="41"/>
      <c r="D644" s="41"/>
      <c r="E644" s="41"/>
      <c r="F644" s="41"/>
      <c r="G644" s="41"/>
      <c r="H644" s="41"/>
      <c r="I644" s="42"/>
      <c r="J644" s="41"/>
      <c r="K644" s="41"/>
      <c r="L644" s="43"/>
    </row>
    <row r="645" spans="2:12" hidden="1" outlineLevel="1">
      <c r="B645" s="40" t="str">
        <f t="shared" si="47"/>
        <v/>
      </c>
      <c r="C645" s="41"/>
      <c r="D645" s="41"/>
      <c r="E645" s="41"/>
      <c r="F645" s="41"/>
      <c r="G645" s="41"/>
      <c r="H645" s="41"/>
      <c r="I645" s="42"/>
      <c r="J645" s="41"/>
      <c r="K645" s="41"/>
      <c r="L645" s="43"/>
    </row>
    <row r="646" spans="2:12" hidden="1" outlineLevel="1">
      <c r="B646" s="40" t="str">
        <f t="shared" si="47"/>
        <v/>
      </c>
      <c r="C646" s="41"/>
      <c r="D646" s="41"/>
      <c r="E646" s="41"/>
      <c r="F646" s="41"/>
      <c r="G646" s="41"/>
      <c r="H646" s="41"/>
      <c r="I646" s="42"/>
      <c r="J646" s="41"/>
      <c r="K646" s="41"/>
      <c r="L646" s="43"/>
    </row>
    <row r="647" spans="2:12" hidden="1" outlineLevel="1">
      <c r="B647" s="40" t="str">
        <f t="shared" si="47"/>
        <v/>
      </c>
      <c r="C647" s="41"/>
      <c r="D647" s="41"/>
      <c r="E647" s="41"/>
      <c r="F647" s="41"/>
      <c r="G647" s="41"/>
      <c r="H647" s="41"/>
      <c r="I647" s="42"/>
      <c r="J647" s="41"/>
      <c r="K647" s="41"/>
      <c r="L647" s="43"/>
    </row>
    <row r="648" spans="2:12" hidden="1" outlineLevel="1">
      <c r="B648" s="40" t="str">
        <f t="shared" si="47"/>
        <v/>
      </c>
      <c r="C648" s="41"/>
      <c r="D648" s="41"/>
      <c r="E648" s="41"/>
      <c r="F648" s="41"/>
      <c r="G648" s="41"/>
      <c r="H648" s="41"/>
      <c r="I648" s="42"/>
      <c r="J648" s="41"/>
      <c r="K648" s="41"/>
      <c r="L648" s="43"/>
    </row>
    <row r="649" spans="2:12" hidden="1" outlineLevel="1">
      <c r="B649" s="40" t="str">
        <f t="shared" ref="B649:B682" si="48">IF(C649="","",(B648+1))</f>
        <v/>
      </c>
      <c r="C649" s="41"/>
      <c r="D649" s="41"/>
      <c r="E649" s="41"/>
      <c r="F649" s="41"/>
      <c r="G649" s="41"/>
      <c r="H649" s="41"/>
      <c r="I649" s="42"/>
      <c r="J649" s="41"/>
      <c r="K649" s="41"/>
      <c r="L649" s="43"/>
    </row>
    <row r="650" spans="2:12" hidden="1" outlineLevel="1">
      <c r="B650" s="40" t="str">
        <f t="shared" si="48"/>
        <v/>
      </c>
      <c r="C650" s="41"/>
      <c r="D650" s="41"/>
      <c r="E650" s="41"/>
      <c r="F650" s="41"/>
      <c r="G650" s="41"/>
      <c r="H650" s="41"/>
      <c r="I650" s="42"/>
      <c r="J650" s="41"/>
      <c r="K650" s="41"/>
      <c r="L650" s="43"/>
    </row>
    <row r="651" spans="2:12" hidden="1" outlineLevel="1">
      <c r="B651" s="40" t="str">
        <f t="shared" si="48"/>
        <v/>
      </c>
      <c r="C651" s="41"/>
      <c r="D651" s="41"/>
      <c r="E651" s="41"/>
      <c r="F651" s="41"/>
      <c r="G651" s="41"/>
      <c r="H651" s="41"/>
      <c r="I651" s="42"/>
      <c r="J651" s="41"/>
      <c r="K651" s="41"/>
      <c r="L651" s="43"/>
    </row>
    <row r="652" spans="2:12" hidden="1" outlineLevel="1">
      <c r="B652" s="40" t="str">
        <f t="shared" si="48"/>
        <v/>
      </c>
      <c r="C652" s="41"/>
      <c r="D652" s="41"/>
      <c r="E652" s="41"/>
      <c r="F652" s="41"/>
      <c r="G652" s="41"/>
      <c r="H652" s="41"/>
      <c r="I652" s="42"/>
      <c r="J652" s="41"/>
      <c r="K652" s="41"/>
      <c r="L652" s="43"/>
    </row>
    <row r="653" spans="2:12" hidden="1" outlineLevel="1">
      <c r="B653" s="40" t="str">
        <f t="shared" si="48"/>
        <v/>
      </c>
      <c r="C653" s="41"/>
      <c r="D653" s="41"/>
      <c r="E653" s="41"/>
      <c r="F653" s="41"/>
      <c r="G653" s="41"/>
      <c r="H653" s="41"/>
      <c r="I653" s="42"/>
      <c r="J653" s="41"/>
      <c r="K653" s="41"/>
      <c r="L653" s="43"/>
    </row>
    <row r="654" spans="2:12" hidden="1" outlineLevel="1">
      <c r="B654" s="40" t="str">
        <f t="shared" si="48"/>
        <v/>
      </c>
      <c r="C654" s="41"/>
      <c r="D654" s="41"/>
      <c r="E654" s="41"/>
      <c r="F654" s="41"/>
      <c r="G654" s="41"/>
      <c r="H654" s="41"/>
      <c r="I654" s="42"/>
      <c r="J654" s="41"/>
      <c r="K654" s="41"/>
      <c r="L654" s="43"/>
    </row>
    <row r="655" spans="2:12" hidden="1" outlineLevel="1">
      <c r="B655" s="40" t="str">
        <f t="shared" si="48"/>
        <v/>
      </c>
      <c r="C655" s="41"/>
      <c r="D655" s="41"/>
      <c r="E655" s="41"/>
      <c r="F655" s="41"/>
      <c r="G655" s="41"/>
      <c r="H655" s="41"/>
      <c r="I655" s="42"/>
      <c r="J655" s="41"/>
      <c r="K655" s="41"/>
      <c r="L655" s="43"/>
    </row>
    <row r="656" spans="2:12" hidden="1" outlineLevel="1">
      <c r="B656" s="40" t="str">
        <f t="shared" si="48"/>
        <v/>
      </c>
      <c r="C656" s="41"/>
      <c r="D656" s="41"/>
      <c r="E656" s="41"/>
      <c r="F656" s="41"/>
      <c r="G656" s="41"/>
      <c r="H656" s="41"/>
      <c r="I656" s="42"/>
      <c r="J656" s="41"/>
      <c r="K656" s="41"/>
      <c r="L656" s="43"/>
    </row>
    <row r="657" spans="2:12" hidden="1" outlineLevel="1">
      <c r="B657" s="40" t="str">
        <f t="shared" si="48"/>
        <v/>
      </c>
      <c r="C657" s="41"/>
      <c r="D657" s="41"/>
      <c r="E657" s="41"/>
      <c r="F657" s="41"/>
      <c r="G657" s="41"/>
      <c r="H657" s="41"/>
      <c r="I657" s="42"/>
      <c r="J657" s="41"/>
      <c r="K657" s="41"/>
      <c r="L657" s="43"/>
    </row>
    <row r="658" spans="2:12" hidden="1" outlineLevel="1">
      <c r="B658" s="40" t="str">
        <f t="shared" si="48"/>
        <v/>
      </c>
      <c r="C658" s="41"/>
      <c r="D658" s="41"/>
      <c r="E658" s="41"/>
      <c r="F658" s="41"/>
      <c r="G658" s="41"/>
      <c r="H658" s="41"/>
      <c r="I658" s="42"/>
      <c r="J658" s="41"/>
      <c r="K658" s="41"/>
      <c r="L658" s="43"/>
    </row>
    <row r="659" spans="2:12" hidden="1" outlineLevel="1">
      <c r="B659" s="40" t="str">
        <f t="shared" si="48"/>
        <v/>
      </c>
      <c r="C659" s="41"/>
      <c r="D659" s="41"/>
      <c r="E659" s="41"/>
      <c r="F659" s="41"/>
      <c r="G659" s="41"/>
      <c r="H659" s="41"/>
      <c r="I659" s="42"/>
      <c r="J659" s="41"/>
      <c r="K659" s="41"/>
      <c r="L659" s="43"/>
    </row>
    <row r="660" spans="2:12" hidden="1" outlineLevel="1">
      <c r="B660" s="40" t="str">
        <f t="shared" si="48"/>
        <v/>
      </c>
      <c r="C660" s="41"/>
      <c r="D660" s="41"/>
      <c r="E660" s="41"/>
      <c r="F660" s="41"/>
      <c r="G660" s="41"/>
      <c r="H660" s="41"/>
      <c r="I660" s="42"/>
      <c r="J660" s="41"/>
      <c r="K660" s="41"/>
      <c r="L660" s="43"/>
    </row>
    <row r="661" spans="2:12" hidden="1" outlineLevel="1">
      <c r="B661" s="40" t="str">
        <f t="shared" si="48"/>
        <v/>
      </c>
      <c r="C661" s="41"/>
      <c r="D661" s="41"/>
      <c r="E661" s="41"/>
      <c r="F661" s="41"/>
      <c r="G661" s="41"/>
      <c r="H661" s="41"/>
      <c r="I661" s="42"/>
      <c r="J661" s="41"/>
      <c r="K661" s="41"/>
      <c r="L661" s="43"/>
    </row>
    <row r="662" spans="2:12" hidden="1" outlineLevel="1">
      <c r="B662" s="40" t="str">
        <f t="shared" si="48"/>
        <v/>
      </c>
      <c r="C662" s="41"/>
      <c r="D662" s="41"/>
      <c r="E662" s="41"/>
      <c r="F662" s="41"/>
      <c r="G662" s="41"/>
      <c r="H662" s="41"/>
      <c r="I662" s="42"/>
      <c r="J662" s="41"/>
      <c r="K662" s="41"/>
      <c r="L662" s="43"/>
    </row>
    <row r="663" spans="2:12" hidden="1" outlineLevel="1">
      <c r="B663" s="40" t="str">
        <f t="shared" si="48"/>
        <v/>
      </c>
      <c r="C663" s="41"/>
      <c r="D663" s="41"/>
      <c r="E663" s="41"/>
      <c r="F663" s="41"/>
      <c r="G663" s="41"/>
      <c r="H663" s="41"/>
      <c r="I663" s="42"/>
      <c r="J663" s="41"/>
      <c r="K663" s="41"/>
      <c r="L663" s="43"/>
    </row>
    <row r="664" spans="2:12" hidden="1" outlineLevel="1">
      <c r="B664" s="40" t="str">
        <f t="shared" si="48"/>
        <v/>
      </c>
      <c r="C664" s="41"/>
      <c r="D664" s="41"/>
      <c r="E664" s="41"/>
      <c r="F664" s="41"/>
      <c r="G664" s="41"/>
      <c r="H664" s="41"/>
      <c r="I664" s="42"/>
      <c r="J664" s="41"/>
      <c r="K664" s="41"/>
      <c r="L664" s="43"/>
    </row>
    <row r="665" spans="2:12" hidden="1" outlineLevel="1">
      <c r="B665" s="40" t="str">
        <f t="shared" si="48"/>
        <v/>
      </c>
      <c r="C665" s="41"/>
      <c r="D665" s="41"/>
      <c r="E665" s="41"/>
      <c r="F665" s="41"/>
      <c r="G665" s="41"/>
      <c r="H665" s="41"/>
      <c r="I665" s="42"/>
      <c r="J665" s="41"/>
      <c r="K665" s="41"/>
      <c r="L665" s="43"/>
    </row>
    <row r="666" spans="2:12" hidden="1" outlineLevel="1">
      <c r="B666" s="40" t="str">
        <f t="shared" si="48"/>
        <v/>
      </c>
      <c r="C666" s="41"/>
      <c r="D666" s="41"/>
      <c r="E666" s="41"/>
      <c r="F666" s="41"/>
      <c r="G666" s="41"/>
      <c r="H666" s="41"/>
      <c r="I666" s="42"/>
      <c r="J666" s="41"/>
      <c r="K666" s="41"/>
      <c r="L666" s="43"/>
    </row>
    <row r="667" spans="2:12" hidden="1" outlineLevel="1">
      <c r="B667" s="40" t="str">
        <f t="shared" si="48"/>
        <v/>
      </c>
      <c r="C667" s="41"/>
      <c r="D667" s="41"/>
      <c r="E667" s="41"/>
      <c r="F667" s="41"/>
      <c r="G667" s="41"/>
      <c r="H667" s="41"/>
      <c r="I667" s="42"/>
      <c r="J667" s="41"/>
      <c r="K667" s="41"/>
      <c r="L667" s="43"/>
    </row>
    <row r="668" spans="2:12" hidden="1" outlineLevel="1">
      <c r="B668" s="40" t="str">
        <f t="shared" si="48"/>
        <v/>
      </c>
      <c r="C668" s="41"/>
      <c r="D668" s="41"/>
      <c r="E668" s="41"/>
      <c r="F668" s="41"/>
      <c r="G668" s="41"/>
      <c r="H668" s="41"/>
      <c r="I668" s="42"/>
      <c r="J668" s="41"/>
      <c r="K668" s="41"/>
      <c r="L668" s="43"/>
    </row>
    <row r="669" spans="2:12" hidden="1" outlineLevel="1">
      <c r="B669" s="40" t="str">
        <f t="shared" si="48"/>
        <v/>
      </c>
      <c r="C669" s="41"/>
      <c r="D669" s="41"/>
      <c r="E669" s="41"/>
      <c r="F669" s="41"/>
      <c r="G669" s="41"/>
      <c r="H669" s="41"/>
      <c r="I669" s="42"/>
      <c r="J669" s="41"/>
      <c r="K669" s="41"/>
      <c r="L669" s="43"/>
    </row>
    <row r="670" spans="2:12" hidden="1" outlineLevel="1">
      <c r="B670" s="40" t="str">
        <f t="shared" si="48"/>
        <v/>
      </c>
      <c r="C670" s="41"/>
      <c r="D670" s="41"/>
      <c r="E670" s="41"/>
      <c r="F670" s="41"/>
      <c r="G670" s="41"/>
      <c r="H670" s="41"/>
      <c r="I670" s="42"/>
      <c r="J670" s="41"/>
      <c r="K670" s="41"/>
      <c r="L670" s="43"/>
    </row>
    <row r="671" spans="2:12" hidden="1" outlineLevel="1">
      <c r="B671" s="40" t="str">
        <f t="shared" si="48"/>
        <v/>
      </c>
      <c r="C671" s="41"/>
      <c r="D671" s="41"/>
      <c r="E671" s="41"/>
      <c r="F671" s="41"/>
      <c r="G671" s="41"/>
      <c r="H671" s="41"/>
      <c r="I671" s="42"/>
      <c r="J671" s="41"/>
      <c r="K671" s="41"/>
      <c r="L671" s="43"/>
    </row>
    <row r="672" spans="2:12" hidden="1" outlineLevel="1">
      <c r="B672" s="40" t="str">
        <f t="shared" si="48"/>
        <v/>
      </c>
      <c r="C672" s="41"/>
      <c r="D672" s="41"/>
      <c r="E672" s="41"/>
      <c r="F672" s="41"/>
      <c r="G672" s="41"/>
      <c r="H672" s="41"/>
      <c r="I672" s="42"/>
      <c r="J672" s="41"/>
      <c r="K672" s="41"/>
      <c r="L672" s="43"/>
    </row>
    <row r="673" spans="2:12" hidden="1" outlineLevel="1">
      <c r="B673" s="40" t="str">
        <f t="shared" si="48"/>
        <v/>
      </c>
      <c r="C673" s="41"/>
      <c r="D673" s="41"/>
      <c r="E673" s="41"/>
      <c r="F673" s="41"/>
      <c r="G673" s="41"/>
      <c r="H673" s="41"/>
      <c r="I673" s="42"/>
      <c r="J673" s="41"/>
      <c r="K673" s="41"/>
      <c r="L673" s="43"/>
    </row>
    <row r="674" spans="2:12" hidden="1" outlineLevel="1">
      <c r="B674" s="40" t="str">
        <f t="shared" si="48"/>
        <v/>
      </c>
      <c r="C674" s="41"/>
      <c r="D674" s="41"/>
      <c r="E674" s="41"/>
      <c r="F674" s="41"/>
      <c r="G674" s="41"/>
      <c r="H674" s="41"/>
      <c r="I674" s="42"/>
      <c r="J674" s="41"/>
      <c r="K674" s="41"/>
      <c r="L674" s="43"/>
    </row>
    <row r="675" spans="2:12" hidden="1" outlineLevel="1">
      <c r="B675" s="40" t="str">
        <f t="shared" si="48"/>
        <v/>
      </c>
      <c r="C675" s="41"/>
      <c r="D675" s="41"/>
      <c r="E675" s="41"/>
      <c r="F675" s="41"/>
      <c r="G675" s="41"/>
      <c r="H675" s="41"/>
      <c r="I675" s="42"/>
      <c r="J675" s="41"/>
      <c r="K675" s="41"/>
      <c r="L675" s="43"/>
    </row>
    <row r="676" spans="2:12" hidden="1" outlineLevel="1">
      <c r="B676" s="40" t="str">
        <f t="shared" si="48"/>
        <v/>
      </c>
      <c r="C676" s="41"/>
      <c r="D676" s="41"/>
      <c r="E676" s="41"/>
      <c r="F676" s="41"/>
      <c r="G676" s="41"/>
      <c r="H676" s="41"/>
      <c r="I676" s="42"/>
      <c r="J676" s="41"/>
      <c r="K676" s="41"/>
      <c r="L676" s="43"/>
    </row>
    <row r="677" spans="2:12" hidden="1" outlineLevel="1">
      <c r="B677" s="40" t="str">
        <f t="shared" si="48"/>
        <v/>
      </c>
      <c r="C677" s="41"/>
      <c r="D677" s="41"/>
      <c r="E677" s="41"/>
      <c r="F677" s="41"/>
      <c r="G677" s="41"/>
      <c r="H677" s="41"/>
      <c r="I677" s="42"/>
      <c r="J677" s="41"/>
      <c r="K677" s="41"/>
      <c r="L677" s="43"/>
    </row>
    <row r="678" spans="2:12" hidden="1" outlineLevel="1">
      <c r="B678" s="40" t="str">
        <f t="shared" si="48"/>
        <v/>
      </c>
      <c r="C678" s="41"/>
      <c r="D678" s="41"/>
      <c r="E678" s="41"/>
      <c r="F678" s="41"/>
      <c r="G678" s="41"/>
      <c r="H678" s="41"/>
      <c r="I678" s="42"/>
      <c r="J678" s="41"/>
      <c r="K678" s="41"/>
      <c r="L678" s="43"/>
    </row>
    <row r="679" spans="2:12" hidden="1" outlineLevel="1">
      <c r="B679" s="40" t="str">
        <f t="shared" si="48"/>
        <v/>
      </c>
      <c r="C679" s="41"/>
      <c r="D679" s="41"/>
      <c r="E679" s="41"/>
      <c r="F679" s="41"/>
      <c r="G679" s="41"/>
      <c r="H679" s="41"/>
      <c r="I679" s="42"/>
      <c r="J679" s="41"/>
      <c r="K679" s="41"/>
      <c r="L679" s="43"/>
    </row>
    <row r="680" spans="2:12" hidden="1" outlineLevel="1">
      <c r="B680" s="40" t="str">
        <f t="shared" si="48"/>
        <v/>
      </c>
      <c r="C680" s="41"/>
      <c r="D680" s="41"/>
      <c r="E680" s="41"/>
      <c r="F680" s="41"/>
      <c r="G680" s="41"/>
      <c r="H680" s="41"/>
      <c r="I680" s="42"/>
      <c r="J680" s="41"/>
      <c r="K680" s="41"/>
      <c r="L680" s="43"/>
    </row>
    <row r="681" spans="2:12" hidden="1" outlineLevel="1">
      <c r="B681" s="35" t="str">
        <f t="shared" si="48"/>
        <v/>
      </c>
      <c r="C681" s="41"/>
      <c r="D681" s="1"/>
      <c r="E681" s="1"/>
      <c r="F681" s="1"/>
      <c r="G681" s="1"/>
      <c r="H681" s="1"/>
      <c r="I681" s="36"/>
      <c r="J681" s="1"/>
      <c r="K681" s="1"/>
      <c r="L681" s="2"/>
    </row>
    <row r="682" spans="2:12" ht="15.75" hidden="1" outlineLevel="1" thickBot="1">
      <c r="B682" s="37" t="str">
        <f t="shared" si="48"/>
        <v/>
      </c>
      <c r="C682" s="38"/>
      <c r="D682" s="38"/>
      <c r="E682" s="38"/>
      <c r="F682" s="38"/>
      <c r="G682" s="38"/>
      <c r="H682" s="38"/>
      <c r="I682" s="38"/>
      <c r="J682" s="38"/>
      <c r="K682" s="38"/>
      <c r="L682" s="39"/>
    </row>
    <row r="683" spans="2:12" ht="24" customHeight="1" collapsed="1" thickBot="1">
      <c r="B683" s="320" t="s">
        <v>59</v>
      </c>
      <c r="C683" s="321"/>
      <c r="D683" s="321"/>
      <c r="E683" s="321"/>
      <c r="F683" s="321"/>
      <c r="G683" s="321"/>
      <c r="H683" s="321"/>
      <c r="I683" s="321"/>
      <c r="J683" s="321"/>
      <c r="K683" s="321"/>
      <c r="L683" s="322"/>
    </row>
    <row r="684" spans="2:12" ht="24" customHeight="1" thickBot="1">
      <c r="B684" s="26" t="s">
        <v>49</v>
      </c>
      <c r="C684" s="27" t="s">
        <v>60</v>
      </c>
      <c r="D684" s="27" t="s">
        <v>62</v>
      </c>
      <c r="E684" s="27" t="s">
        <v>63</v>
      </c>
      <c r="F684" s="27" t="s">
        <v>64</v>
      </c>
      <c r="G684" s="27" t="s">
        <v>65</v>
      </c>
      <c r="H684" s="27" t="s">
        <v>66</v>
      </c>
      <c r="I684" s="27" t="s">
        <v>67</v>
      </c>
      <c r="J684" s="27" t="s">
        <v>6</v>
      </c>
      <c r="K684" s="27" t="s">
        <v>7</v>
      </c>
      <c r="L684" s="28" t="s">
        <v>68</v>
      </c>
    </row>
    <row r="685" spans="2:12">
      <c r="B685" s="46" t="s">
        <v>8</v>
      </c>
      <c r="C685" s="41">
        <f>COUNTIFS(B583:B682,"&gt;"&amp;0,C583:C682,"="&amp;B685)</f>
        <v>0</v>
      </c>
      <c r="D685" s="41">
        <f>COUNTIFS(B583:B682,"&gt;="&amp;1,C583:C682,B685,K583:K682,"&gt;="&amp;0,K583:K682,"&lt;"&amp;50)</f>
        <v>0</v>
      </c>
      <c r="E685" s="41">
        <f>COUNTIFS(B583:B682,"&gt;="&amp;1,C583:C682,B685,K583:K682,"&gt;="&amp;50,K583:K682,"&lt;"&amp;500)</f>
        <v>0</v>
      </c>
      <c r="F685" s="41">
        <f>COUNTIFS(B583:B682,"&gt;="&amp;1,C583:C682,B685,K583:K682,"&gt;="&amp;500)</f>
        <v>0</v>
      </c>
      <c r="G685" s="41">
        <f>COUNTIFS(B583:B682,"&gt;="&amp;1,C583:C682,B685,K583:K682,"&gt;="&amp;0,I583:I682,"&gt;"&amp;DATE(2021,1,1))</f>
        <v>0</v>
      </c>
      <c r="H685" s="47" t="str">
        <f>IF(G685=0,"-",(SUM(E685,F685)/G685))</f>
        <v>-</v>
      </c>
      <c r="I685" s="41">
        <f>IF((COUNTIFS(B583:B682,"&gt;="&amp;1,C583:C682,"="&amp;B685))&gt;228,228,(COUNTIFS(B583:B682,"&gt;="&amp;1,C583:C682,"="&amp;B685)))</f>
        <v>0</v>
      </c>
      <c r="J685" s="47" t="str">
        <f>IF(I685=0,"-",(COUNTIFS(C583:C682,"="&amp;B685,I583:I682,"&lt;="&amp;DATE(2024,12,31),K583:K682,"&gt;="&amp;0)/I685))</f>
        <v>-</v>
      </c>
      <c r="K685" s="47" t="str">
        <f>IF(I685=0,"-",IF(J685=1,"-",(COUNTIFS(B583:B682,"&gt;"&amp;0,C583:C682,"="&amp;B685,I583:I682,"&gt;"&amp;DATE(2024,12,31),K583:K682,"&gt;="&amp;0)/(I685-COUNTIFS(B583:B682,"&gt;"&amp;0,C583:C682,"="&amp;B685,I583:I682,"&lt;="&amp;DATE(2024,12,31),K583:K682,"&gt;="&amp;0)))))</f>
        <v>-</v>
      </c>
      <c r="L685" s="48" t="str">
        <f>IF(I685=0,"-",G685/I685)</f>
        <v>-</v>
      </c>
    </row>
    <row r="686" spans="2:12">
      <c r="B686" s="7" t="s">
        <v>9</v>
      </c>
      <c r="C686" s="1">
        <f>COUNTIFS(B583:B682,"&gt;"&amp;0,C583:C682,"="&amp;B686)</f>
        <v>0</v>
      </c>
      <c r="D686" s="1">
        <f>COUNTIFS(B583:B682,"&gt;="&amp;1,C583:C682,B686,K583:K682,"&gt;="&amp;0,K583:K682,"&lt;"&amp;50)</f>
        <v>0</v>
      </c>
      <c r="E686" s="1">
        <f>COUNTIFS(B583:B682,"&gt;="&amp;1,C583:C682,B686,K583:K682,"&gt;="&amp;50,K583:K682,"&lt;"&amp;500)</f>
        <v>0</v>
      </c>
      <c r="F686" s="1">
        <f>COUNTIFS(B583:B682,"&gt;="&amp;1,C583:C682,B686,K583:K682,"&gt;="&amp;500)</f>
        <v>0</v>
      </c>
      <c r="G686" s="1">
        <f>COUNTIFS(B583:B682,"&gt;="&amp;1,C583:C682,B686,K583:K682,"&gt;="&amp;0,I583:I682,"&gt;"&amp;DATE(2021,1,1))</f>
        <v>0</v>
      </c>
      <c r="H686" s="44" t="str">
        <f t="shared" ref="H686:H688" si="49">IF(G686=0,"-",(SUM(E686,F686)/G686))</f>
        <v>-</v>
      </c>
      <c r="I686" s="1">
        <f>IF((COUNTIFS(B583:B682,"&gt;="&amp;1,C583:C682,"="&amp;B686))&gt;228,228,(COUNTIFS(B583:B682,"&gt;="&amp;1,C583:C682,"="&amp;B686)))</f>
        <v>0</v>
      </c>
      <c r="J686" s="44" t="str">
        <f>IF(I686=0,"-",(COUNTIFS(C583:C682,"="&amp;B686,I583:I682,"&lt;="&amp;DATE(2024,12,31),K583:K682,"&gt;="&amp;0)/I686))</f>
        <v>-</v>
      </c>
      <c r="K686" s="47" t="str">
        <f>IF(I686=0,"-",IF(J686=1,"-",(COUNTIFS(B583:B682,"&gt;"&amp;0,C583:C682,"="&amp;B686,I583:I682,"&gt;"&amp;DATE(2024,12,31),K583:K682,"&gt;="&amp;0)/(I686-COUNTIFS(B583:B682,"&gt;"&amp;0,C583:C682,"="&amp;B686,I583:I682,"&lt;="&amp;DATE(2024,12,31),K583:K682,"&gt;="&amp;0)))))</f>
        <v>-</v>
      </c>
      <c r="L686" s="45" t="str">
        <f t="shared" ref="L686:L688" si="50">IF(I686=0,"-",G686/I686)</f>
        <v>-</v>
      </c>
    </row>
    <row r="687" spans="2:12">
      <c r="B687" s="7" t="s">
        <v>69</v>
      </c>
      <c r="C687" s="1">
        <f>COUNTIFS(B583:B682,"&gt;"&amp;0,C583:C682,"="&amp;B687)</f>
        <v>0</v>
      </c>
      <c r="D687" s="1">
        <f>COUNTIFS(B583:B682,"&gt;="&amp;1,C583:C682,B687,K583:K682,"&gt;="&amp;0,K583:K682,"&lt;"&amp;50)</f>
        <v>0</v>
      </c>
      <c r="E687" s="1">
        <f>COUNTIFS(B583:B682,"&gt;="&amp;1,C583:C682,B687,K583:K682,"&gt;="&amp;50,K583:K682,"&lt;"&amp;500)</f>
        <v>0</v>
      </c>
      <c r="F687" s="1">
        <f>COUNTIFS(B583:B681,"&gt;="&amp;1,C583:C681,B687,K583:K681,"&gt;="&amp;500)</f>
        <v>0</v>
      </c>
      <c r="G687" s="1">
        <f>COUNTIFS(B583:B682,"&gt;="&amp;1,C583:C682,B687,K583:K682,"&gt;="&amp;0,I583:I682,"&gt;"&amp;DATE(2021,1,1))</f>
        <v>0</v>
      </c>
      <c r="H687" s="44" t="str">
        <f t="shared" si="49"/>
        <v>-</v>
      </c>
      <c r="I687" s="1">
        <f>IF((COUNTIFS(B583:B681,"&gt;="&amp;1,C583:C681,"="&amp;B687))&gt;228,228,(COUNTIFS(B583:B681,"&gt;="&amp;1,C583:C681,"="&amp;B687)))</f>
        <v>0</v>
      </c>
      <c r="J687" s="44" t="str">
        <f>IF(I687=0,"-",(COUNTIFS(C583:C682,"="&amp;B687,I583:I682,"&lt;="&amp;DATE(2024,12,31),K583:K682,"&gt;="&amp;0)/I687))</f>
        <v>-</v>
      </c>
      <c r="K687" s="47" t="str">
        <f>IF(I687=0,"-",IF(J687=1,"-",(COUNTIFS(B583:B682,"&gt;"&amp;0,C583:C682,"="&amp;B687,I583:I682,"&gt;"&amp;DATE(2024,12,31),K583:K682,"&gt;="&amp;0)/(I687-COUNTIFS(B583:B682,"&gt;"&amp;0,C583:C682,"="&amp;B687,I583:I682,"&lt;="&amp;DATE(2024,12,31),K583:K682,"&gt;="&amp;0)))))</f>
        <v>-</v>
      </c>
      <c r="L687" s="45" t="str">
        <f t="shared" si="50"/>
        <v>-</v>
      </c>
    </row>
    <row r="688" spans="2:12" ht="24" customHeight="1" thickBot="1">
      <c r="B688" s="49" t="s">
        <v>59</v>
      </c>
      <c r="C688" s="50">
        <f>SUM(C685:C687)</f>
        <v>0</v>
      </c>
      <c r="D688" s="50">
        <f>SUM(D685:D687)</f>
        <v>0</v>
      </c>
      <c r="E688" s="50">
        <f>SUM(E685:E687)</f>
        <v>0</v>
      </c>
      <c r="F688" s="50">
        <f>SUM(F685:F687)</f>
        <v>0</v>
      </c>
      <c r="G688" s="50">
        <f>SUM(G685:G687)</f>
        <v>0</v>
      </c>
      <c r="H688" s="51" t="str">
        <f t="shared" si="49"/>
        <v>-</v>
      </c>
      <c r="I688" s="50">
        <f>SUM(I685:I687)</f>
        <v>0</v>
      </c>
      <c r="J688" s="51" t="str">
        <f>IF(I688=0,"-",(COUNTIFS(I583:I682,"&lt;="&amp;DATE(2024,12,31),K583:K682,"&gt;="&amp;0)/I688))</f>
        <v>-</v>
      </c>
      <c r="K688" s="51" t="str">
        <f>IF(I688=0,"-",IF(J688=1,"-",(COUNTIFS(B583:B682,"&gt;"&amp;0,I583:I682,"&gt;"&amp;DATE(2024,12,31),K583:K682,"&gt;="&amp;0)/(I688-COUNTIFS(B583:B682,"&gt;"&amp;0,I583:I682,"&lt;="&amp;DATE(2024,12,31),K583:K682,"&gt;="&amp;0)))))</f>
        <v>-</v>
      </c>
      <c r="L688" s="52" t="str">
        <f t="shared" si="50"/>
        <v>-</v>
      </c>
    </row>
    <row r="690" spans="2:12" ht="15.75" thickBot="1"/>
    <row r="691" spans="2:12" ht="30.75" customHeight="1" thickBot="1">
      <c r="B691" s="320" t="str">
        <f>_xlfn.CONCAT("Transformadores de Distribuição - TD's",TEXT(IF(SUM(I1612:I1615)=0," ",(SUM(G1612:G1615)/SUM(I1612:I1615))), " 0,00%"))</f>
        <v>Transformadores de Distribuição - TD's 0,22%</v>
      </c>
      <c r="C691" s="321"/>
      <c r="D691" s="321"/>
      <c r="E691" s="321"/>
      <c r="F691" s="321"/>
      <c r="G691" s="321"/>
      <c r="H691" s="321"/>
      <c r="I691" s="321"/>
      <c r="J691" s="321"/>
      <c r="K691" s="321"/>
      <c r="L691" s="322"/>
    </row>
    <row r="692" spans="2:12" ht="15.75" thickBot="1">
      <c r="B692" s="26" t="s">
        <v>48</v>
      </c>
      <c r="C692" s="27" t="s">
        <v>49</v>
      </c>
      <c r="D692" s="27" t="s">
        <v>50</v>
      </c>
      <c r="E692" s="27" t="s">
        <v>51</v>
      </c>
      <c r="F692" s="27" t="s">
        <v>52</v>
      </c>
      <c r="G692" s="27" t="s">
        <v>53</v>
      </c>
      <c r="H692" s="27" t="s">
        <v>54</v>
      </c>
      <c r="I692" s="27" t="s">
        <v>55</v>
      </c>
      <c r="J692" s="27" t="s">
        <v>56</v>
      </c>
      <c r="K692" s="27" t="s">
        <v>57</v>
      </c>
      <c r="L692" s="28" t="s">
        <v>58</v>
      </c>
    </row>
    <row r="693" spans="2:12" outlineLevel="2">
      <c r="B693" s="40">
        <f>IF(C693="","",ROW(A1))</f>
        <v>1</v>
      </c>
      <c r="C693" s="41" t="s">
        <v>8</v>
      </c>
      <c r="D693" s="41" t="s">
        <v>130</v>
      </c>
      <c r="E693" s="41">
        <v>3183</v>
      </c>
      <c r="F693" s="41"/>
      <c r="G693" s="41">
        <v>1988</v>
      </c>
      <c r="H693" s="41"/>
      <c r="I693" s="42">
        <v>44546</v>
      </c>
      <c r="J693" s="41" t="s">
        <v>870</v>
      </c>
      <c r="K693" s="41">
        <v>28</v>
      </c>
      <c r="L693" s="43">
        <v>27895</v>
      </c>
    </row>
    <row r="694" spans="2:12" outlineLevel="2">
      <c r="B694" s="40">
        <f>IF(C694="","",B693+1)</f>
        <v>2</v>
      </c>
      <c r="C694" s="41" t="s">
        <v>8</v>
      </c>
      <c r="D694" s="41" t="s">
        <v>129</v>
      </c>
      <c r="E694" s="41">
        <v>29336</v>
      </c>
      <c r="F694" s="41"/>
      <c r="G694" s="41">
        <v>1988</v>
      </c>
      <c r="H694" s="41"/>
      <c r="I694" s="42">
        <v>44671</v>
      </c>
      <c r="J694" s="41" t="s">
        <v>870</v>
      </c>
      <c r="K694" s="41">
        <v>12</v>
      </c>
      <c r="L694" s="65">
        <v>37229</v>
      </c>
    </row>
    <row r="695" spans="2:12" outlineLevel="2">
      <c r="B695" s="40">
        <f t="shared" ref="B695:B758" si="51">IF(C695="","",B694+1)</f>
        <v>3</v>
      </c>
      <c r="C695" s="41" t="s">
        <v>8</v>
      </c>
      <c r="D695" s="41" t="s">
        <v>191</v>
      </c>
      <c r="E695" s="41">
        <v>156518</v>
      </c>
      <c r="F695" s="41"/>
      <c r="G695" s="41">
        <v>1987</v>
      </c>
      <c r="H695" s="41"/>
      <c r="I695" s="42"/>
      <c r="J695" s="41"/>
      <c r="K695" s="41">
        <v>34</v>
      </c>
      <c r="L695" s="43">
        <v>44270</v>
      </c>
    </row>
    <row r="696" spans="2:12" outlineLevel="2">
      <c r="B696" s="40">
        <f t="shared" si="51"/>
        <v>4</v>
      </c>
      <c r="C696" s="41" t="s">
        <v>8</v>
      </c>
      <c r="D696" s="41" t="s">
        <v>129</v>
      </c>
      <c r="E696" s="41">
        <v>26170</v>
      </c>
      <c r="F696" s="41"/>
      <c r="G696" s="41">
        <v>1987</v>
      </c>
      <c r="H696" s="41"/>
      <c r="I696" s="42"/>
      <c r="J696" s="41"/>
      <c r="K696" s="41">
        <v>10</v>
      </c>
      <c r="L696" s="43">
        <v>31662</v>
      </c>
    </row>
    <row r="697" spans="2:12" outlineLevel="2">
      <c r="B697" s="40">
        <f t="shared" si="51"/>
        <v>5</v>
      </c>
      <c r="C697" s="41" t="s">
        <v>8</v>
      </c>
      <c r="D697" s="41" t="s">
        <v>129</v>
      </c>
      <c r="E697" s="41">
        <v>30174</v>
      </c>
      <c r="F697" s="41"/>
      <c r="G697" s="41">
        <v>1988</v>
      </c>
      <c r="H697" s="41"/>
      <c r="I697" s="42"/>
      <c r="J697" s="41"/>
      <c r="K697" s="41">
        <v>249</v>
      </c>
      <c r="L697" s="43">
        <v>48521</v>
      </c>
    </row>
    <row r="698" spans="2:12" outlineLevel="2">
      <c r="B698" s="40">
        <f t="shared" si="51"/>
        <v>6</v>
      </c>
      <c r="C698" s="41" t="s">
        <v>8</v>
      </c>
      <c r="D698" s="41" t="s">
        <v>871</v>
      </c>
      <c r="E698" s="41">
        <v>140779</v>
      </c>
      <c r="F698" s="41"/>
      <c r="G698" s="41">
        <v>1987</v>
      </c>
      <c r="H698" s="41"/>
      <c r="I698" s="42"/>
      <c r="J698" s="41"/>
      <c r="K698" s="41">
        <v>18</v>
      </c>
      <c r="L698" s="43">
        <v>67019</v>
      </c>
    </row>
    <row r="699" spans="2:12" outlineLevel="2">
      <c r="B699" s="40">
        <f t="shared" si="51"/>
        <v>7</v>
      </c>
      <c r="C699" s="41" t="s">
        <v>8</v>
      </c>
      <c r="D699" s="41" t="s">
        <v>128</v>
      </c>
      <c r="E699" s="41">
        <v>26018</v>
      </c>
      <c r="F699" s="41"/>
      <c r="G699" s="41">
        <v>1987</v>
      </c>
      <c r="H699" s="41"/>
      <c r="I699" s="42"/>
      <c r="J699" s="41"/>
      <c r="K699" s="41">
        <v>49</v>
      </c>
      <c r="L699" s="43">
        <v>23809</v>
      </c>
    </row>
    <row r="700" spans="2:12" outlineLevel="2">
      <c r="B700" s="40">
        <f t="shared" si="51"/>
        <v>8</v>
      </c>
      <c r="C700" s="41" t="s">
        <v>8</v>
      </c>
      <c r="D700" s="41" t="s">
        <v>129</v>
      </c>
      <c r="E700" s="41">
        <v>31653</v>
      </c>
      <c r="F700" s="41"/>
      <c r="G700" s="41">
        <v>1988</v>
      </c>
      <c r="H700" s="41"/>
      <c r="I700" s="42"/>
      <c r="J700" s="41"/>
      <c r="K700" s="41">
        <v>7</v>
      </c>
      <c r="L700" s="43">
        <v>26215</v>
      </c>
    </row>
    <row r="701" spans="2:12" outlineLevel="2">
      <c r="B701" s="40">
        <f t="shared" si="51"/>
        <v>9</v>
      </c>
      <c r="C701" s="41" t="s">
        <v>8</v>
      </c>
      <c r="D701" s="41" t="s">
        <v>128</v>
      </c>
      <c r="E701" s="41">
        <v>26245</v>
      </c>
      <c r="F701" s="41"/>
      <c r="G701" s="41">
        <v>1987</v>
      </c>
      <c r="H701" s="41"/>
      <c r="I701" s="42"/>
      <c r="J701" s="41"/>
      <c r="K701" s="41">
        <v>19</v>
      </c>
      <c r="L701" s="43">
        <v>26253</v>
      </c>
    </row>
    <row r="702" spans="2:12" outlineLevel="2">
      <c r="B702" s="40">
        <f t="shared" si="51"/>
        <v>10</v>
      </c>
      <c r="C702" s="41" t="s">
        <v>8</v>
      </c>
      <c r="D702" s="41" t="s">
        <v>166</v>
      </c>
      <c r="E702" s="41">
        <v>19744</v>
      </c>
      <c r="F702" s="41"/>
      <c r="G702" s="41">
        <v>1987</v>
      </c>
      <c r="H702" s="41"/>
      <c r="I702" s="42"/>
      <c r="J702" s="41"/>
      <c r="K702" s="41">
        <v>27</v>
      </c>
      <c r="L702" s="43">
        <v>26271</v>
      </c>
    </row>
    <row r="703" spans="2:12" outlineLevel="2">
      <c r="B703" s="40">
        <f t="shared" si="51"/>
        <v>11</v>
      </c>
      <c r="C703" s="41" t="s">
        <v>8</v>
      </c>
      <c r="D703" s="41" t="s">
        <v>129</v>
      </c>
      <c r="E703" s="41">
        <v>30997</v>
      </c>
      <c r="F703" s="41"/>
      <c r="G703" s="41">
        <v>1988</v>
      </c>
      <c r="H703" s="41"/>
      <c r="I703" s="42"/>
      <c r="J703" s="41"/>
      <c r="K703" s="41">
        <v>10</v>
      </c>
      <c r="L703" s="43">
        <v>26264</v>
      </c>
    </row>
    <row r="704" spans="2:12" outlineLevel="2">
      <c r="B704" s="40">
        <f t="shared" si="51"/>
        <v>12</v>
      </c>
      <c r="C704" s="41" t="s">
        <v>8</v>
      </c>
      <c r="D704" s="41" t="s">
        <v>131</v>
      </c>
      <c r="E704" s="41">
        <v>87023</v>
      </c>
      <c r="F704" s="41"/>
      <c r="G704" s="41">
        <v>1988</v>
      </c>
      <c r="H704" s="41"/>
      <c r="I704" s="42"/>
      <c r="J704" s="41"/>
      <c r="K704" s="41">
        <v>25</v>
      </c>
      <c r="L704" s="43">
        <v>26288</v>
      </c>
    </row>
    <row r="705" spans="2:12" outlineLevel="2">
      <c r="B705" s="40">
        <f t="shared" si="51"/>
        <v>13</v>
      </c>
      <c r="C705" s="41" t="s">
        <v>8</v>
      </c>
      <c r="D705" s="41" t="s">
        <v>129</v>
      </c>
      <c r="E705" s="41">
        <v>27819</v>
      </c>
      <c r="F705" s="41"/>
      <c r="G705" s="41">
        <v>1987</v>
      </c>
      <c r="H705" s="41"/>
      <c r="I705" s="42"/>
      <c r="J705" s="41"/>
      <c r="K705" s="41">
        <v>3</v>
      </c>
      <c r="L705" s="43">
        <v>26230</v>
      </c>
    </row>
    <row r="706" spans="2:12" outlineLevel="2">
      <c r="B706" s="40">
        <f t="shared" si="51"/>
        <v>14</v>
      </c>
      <c r="C706" s="41" t="s">
        <v>8</v>
      </c>
      <c r="D706" s="41" t="s">
        <v>128</v>
      </c>
      <c r="E706" s="41">
        <v>25789</v>
      </c>
      <c r="F706" s="41"/>
      <c r="G706" s="41">
        <v>1987</v>
      </c>
      <c r="H706" s="41"/>
      <c r="I706" s="42"/>
      <c r="J706" s="41"/>
      <c r="K706" s="41">
        <v>3</v>
      </c>
      <c r="L706" s="43">
        <v>26227</v>
      </c>
    </row>
    <row r="707" spans="2:12" outlineLevel="2">
      <c r="B707" s="40">
        <f t="shared" si="51"/>
        <v>15</v>
      </c>
      <c r="C707" s="41" t="s">
        <v>8</v>
      </c>
      <c r="D707" s="41" t="s">
        <v>181</v>
      </c>
      <c r="E707" s="41">
        <v>156732</v>
      </c>
      <c r="F707" s="41"/>
      <c r="G707" s="41">
        <v>1988</v>
      </c>
      <c r="H707" s="41"/>
      <c r="I707" s="42"/>
      <c r="J707" s="41"/>
      <c r="K707" s="41">
        <v>12</v>
      </c>
      <c r="L707" s="43">
        <v>31364</v>
      </c>
    </row>
    <row r="708" spans="2:12" outlineLevel="2">
      <c r="B708" s="40">
        <f t="shared" si="51"/>
        <v>16</v>
      </c>
      <c r="C708" s="41" t="s">
        <v>8</v>
      </c>
      <c r="D708" s="41" t="s">
        <v>129</v>
      </c>
      <c r="E708" s="41">
        <v>75137</v>
      </c>
      <c r="F708" s="41"/>
      <c r="G708" s="41">
        <v>1987</v>
      </c>
      <c r="H708" s="41"/>
      <c r="I708" s="42"/>
      <c r="J708" s="41"/>
      <c r="K708" s="41">
        <v>2</v>
      </c>
      <c r="L708" s="43">
        <v>31412</v>
      </c>
    </row>
    <row r="709" spans="2:12" outlineLevel="2">
      <c r="B709" s="40">
        <f t="shared" si="51"/>
        <v>17</v>
      </c>
      <c r="C709" s="41" t="s">
        <v>8</v>
      </c>
      <c r="D709" s="41" t="s">
        <v>130</v>
      </c>
      <c r="E709" s="41">
        <v>181142</v>
      </c>
      <c r="F709" s="41"/>
      <c r="G709" s="41">
        <v>1987</v>
      </c>
      <c r="H709" s="41"/>
      <c r="I709" s="42"/>
      <c r="J709" s="41"/>
      <c r="K709" s="41">
        <v>11</v>
      </c>
      <c r="L709" s="43">
        <v>31397</v>
      </c>
    </row>
    <row r="710" spans="2:12" outlineLevel="2">
      <c r="B710" s="40">
        <f t="shared" si="51"/>
        <v>18</v>
      </c>
      <c r="C710" s="41" t="s">
        <v>8</v>
      </c>
      <c r="D710" s="41" t="s">
        <v>128</v>
      </c>
      <c r="E710" s="41" t="s">
        <v>872</v>
      </c>
      <c r="F710" s="41"/>
      <c r="G710" s="41">
        <v>1987</v>
      </c>
      <c r="H710" s="41"/>
      <c r="I710" s="42"/>
      <c r="J710" s="41"/>
      <c r="K710" s="41">
        <v>6</v>
      </c>
      <c r="L710" s="43">
        <v>31430</v>
      </c>
    </row>
    <row r="711" spans="2:12" outlineLevel="2">
      <c r="B711" s="40">
        <f t="shared" si="51"/>
        <v>19</v>
      </c>
      <c r="C711" s="41" t="s">
        <v>8</v>
      </c>
      <c r="D711" s="41" t="s">
        <v>129</v>
      </c>
      <c r="E711" s="41">
        <v>25582</v>
      </c>
      <c r="F711" s="41"/>
      <c r="G711" s="41">
        <v>1987</v>
      </c>
      <c r="H711" s="41"/>
      <c r="I711" s="42"/>
      <c r="J711" s="41"/>
      <c r="K711" s="41">
        <v>9</v>
      </c>
      <c r="L711" s="43">
        <v>31442</v>
      </c>
    </row>
    <row r="712" spans="2:12" outlineLevel="2">
      <c r="B712" s="40">
        <f t="shared" si="51"/>
        <v>20</v>
      </c>
      <c r="C712" s="41" t="s">
        <v>8</v>
      </c>
      <c r="D712" s="41" t="s">
        <v>129</v>
      </c>
      <c r="E712" s="41">
        <v>75105</v>
      </c>
      <c r="F712" s="41"/>
      <c r="G712" s="41">
        <v>1987</v>
      </c>
      <c r="H712" s="41"/>
      <c r="I712" s="42"/>
      <c r="J712" s="41"/>
      <c r="K712" s="41">
        <v>8</v>
      </c>
      <c r="L712" s="43">
        <v>31446</v>
      </c>
    </row>
    <row r="713" spans="2:12" outlineLevel="2">
      <c r="B713" s="40">
        <f t="shared" si="51"/>
        <v>21</v>
      </c>
      <c r="C713" s="41" t="s">
        <v>8</v>
      </c>
      <c r="D713" s="41" t="s">
        <v>181</v>
      </c>
      <c r="E713" s="41">
        <v>156550</v>
      </c>
      <c r="F713" s="41"/>
      <c r="G713" s="41">
        <v>1987</v>
      </c>
      <c r="H713" s="41"/>
      <c r="I713" s="42"/>
      <c r="J713" s="41"/>
      <c r="K713" s="41">
        <v>27</v>
      </c>
      <c r="L713" s="43">
        <v>31378</v>
      </c>
    </row>
    <row r="714" spans="2:12" outlineLevel="2">
      <c r="B714" s="40">
        <f>IF(C714="","",B713+1)</f>
        <v>22</v>
      </c>
      <c r="C714" s="41" t="s">
        <v>8</v>
      </c>
      <c r="D714" s="41" t="s">
        <v>129</v>
      </c>
      <c r="E714" s="41">
        <v>74799</v>
      </c>
      <c r="F714" s="41"/>
      <c r="G714" s="41">
        <v>1987</v>
      </c>
      <c r="H714" s="41"/>
      <c r="I714" s="42"/>
      <c r="J714" s="41"/>
      <c r="K714" s="41">
        <v>4</v>
      </c>
      <c r="L714" s="43">
        <v>32874</v>
      </c>
    </row>
    <row r="715" spans="2:12" outlineLevel="2">
      <c r="B715" s="40">
        <f t="shared" si="51"/>
        <v>23</v>
      </c>
      <c r="C715" s="41" t="s">
        <v>8</v>
      </c>
      <c r="D715" s="41" t="s">
        <v>131</v>
      </c>
      <c r="E715" s="41">
        <v>25814</v>
      </c>
      <c r="F715" s="41"/>
      <c r="G715" s="41">
        <v>1987</v>
      </c>
      <c r="H715" s="41"/>
      <c r="I715" s="42"/>
      <c r="J715" s="41"/>
      <c r="K715" s="41">
        <v>9</v>
      </c>
      <c r="L715" s="43">
        <v>35068</v>
      </c>
    </row>
    <row r="716" spans="2:12" outlineLevel="2">
      <c r="B716" s="40">
        <f t="shared" si="51"/>
        <v>24</v>
      </c>
      <c r="C716" s="41" t="s">
        <v>8</v>
      </c>
      <c r="D716" s="41" t="s">
        <v>127</v>
      </c>
      <c r="E716" s="41">
        <v>26008</v>
      </c>
      <c r="F716" s="41"/>
      <c r="G716" s="41">
        <v>1987</v>
      </c>
      <c r="H716" s="41"/>
      <c r="I716" s="42"/>
      <c r="J716" s="41"/>
      <c r="K716" s="41">
        <v>10</v>
      </c>
      <c r="L716" s="43">
        <v>35060</v>
      </c>
    </row>
    <row r="717" spans="2:12" outlineLevel="2">
      <c r="B717" s="40">
        <f t="shared" si="51"/>
        <v>25</v>
      </c>
      <c r="C717" s="41" t="s">
        <v>8</v>
      </c>
      <c r="D717" s="41" t="s">
        <v>166</v>
      </c>
      <c r="E717" s="41">
        <v>168497</v>
      </c>
      <c r="F717" s="41"/>
      <c r="G717" s="41">
        <v>1988</v>
      </c>
      <c r="H717" s="41"/>
      <c r="I717" s="42"/>
      <c r="J717" s="41"/>
      <c r="K717" s="41">
        <v>16</v>
      </c>
      <c r="L717" s="43">
        <v>34992</v>
      </c>
    </row>
    <row r="718" spans="2:12" outlineLevel="2">
      <c r="B718" s="40">
        <f t="shared" si="51"/>
        <v>26</v>
      </c>
      <c r="C718" s="41" t="s">
        <v>8</v>
      </c>
      <c r="D718" s="41" t="s">
        <v>128</v>
      </c>
      <c r="E718" s="41">
        <v>77502</v>
      </c>
      <c r="F718" s="41"/>
      <c r="G718" s="41">
        <v>1987</v>
      </c>
      <c r="H718" s="41"/>
      <c r="I718" s="42"/>
      <c r="J718" s="41"/>
      <c r="K718" s="41">
        <v>2</v>
      </c>
      <c r="L718" s="43">
        <v>37325</v>
      </c>
    </row>
    <row r="719" spans="2:12" outlineLevel="2">
      <c r="B719" s="40">
        <f t="shared" si="51"/>
        <v>27</v>
      </c>
      <c r="C719" s="41" t="s">
        <v>8</v>
      </c>
      <c r="D719" s="41" t="s">
        <v>181</v>
      </c>
      <c r="E719" s="41" t="s">
        <v>873</v>
      </c>
      <c r="F719" s="41"/>
      <c r="G719" s="41">
        <v>1988</v>
      </c>
      <c r="H719" s="41"/>
      <c r="I719" s="42"/>
      <c r="J719" s="41"/>
      <c r="K719" s="41">
        <v>22</v>
      </c>
      <c r="L719" s="43">
        <v>37342</v>
      </c>
    </row>
    <row r="720" spans="2:12" outlineLevel="2">
      <c r="B720" s="40">
        <f t="shared" si="51"/>
        <v>28</v>
      </c>
      <c r="C720" s="41" t="s">
        <v>8</v>
      </c>
      <c r="D720" s="41" t="s">
        <v>128</v>
      </c>
      <c r="E720" s="41">
        <v>25800</v>
      </c>
      <c r="F720" s="41"/>
      <c r="G720" s="41">
        <v>1987</v>
      </c>
      <c r="H720" s="41"/>
      <c r="I720" s="42"/>
      <c r="J720" s="41"/>
      <c r="K720" s="41">
        <v>2</v>
      </c>
      <c r="L720" s="43">
        <v>37312</v>
      </c>
    </row>
    <row r="721" spans="2:12" outlineLevel="2">
      <c r="B721" s="40">
        <f t="shared" si="51"/>
        <v>29</v>
      </c>
      <c r="C721" s="41" t="s">
        <v>8</v>
      </c>
      <c r="D721" s="41" t="s">
        <v>130</v>
      </c>
      <c r="E721" s="41" t="s">
        <v>874</v>
      </c>
      <c r="F721" s="41"/>
      <c r="G721" s="41">
        <v>1987</v>
      </c>
      <c r="H721" s="41"/>
      <c r="I721" s="42"/>
      <c r="J721" s="41"/>
      <c r="K721" s="41">
        <v>18</v>
      </c>
      <c r="L721" s="43">
        <v>37318</v>
      </c>
    </row>
    <row r="722" spans="2:12" outlineLevel="2">
      <c r="B722" s="40">
        <f t="shared" si="51"/>
        <v>30</v>
      </c>
      <c r="C722" s="41" t="s">
        <v>8</v>
      </c>
      <c r="D722" s="41" t="s">
        <v>129</v>
      </c>
      <c r="E722" s="41">
        <v>29058</v>
      </c>
      <c r="F722" s="41"/>
      <c r="G722" s="41">
        <v>1988</v>
      </c>
      <c r="H722" s="41"/>
      <c r="I722" s="42"/>
      <c r="J722" s="41"/>
      <c r="K722" s="41">
        <v>2</v>
      </c>
      <c r="L722" s="43">
        <v>38548</v>
      </c>
    </row>
    <row r="723" spans="2:12" outlineLevel="2">
      <c r="B723" s="40">
        <f t="shared" si="51"/>
        <v>31</v>
      </c>
      <c r="C723" s="41" t="s">
        <v>8</v>
      </c>
      <c r="D723" s="41" t="s">
        <v>129</v>
      </c>
      <c r="E723" s="41">
        <v>26809</v>
      </c>
      <c r="F723" s="41"/>
      <c r="G723" s="41">
        <v>1987</v>
      </c>
      <c r="H723" s="41"/>
      <c r="I723" s="42"/>
      <c r="J723" s="41"/>
      <c r="K723" s="41">
        <v>28</v>
      </c>
      <c r="L723" s="43">
        <v>38552</v>
      </c>
    </row>
    <row r="724" spans="2:12" outlineLevel="2">
      <c r="B724" s="40">
        <f t="shared" si="51"/>
        <v>32</v>
      </c>
      <c r="C724" s="41" t="s">
        <v>8</v>
      </c>
      <c r="D724" s="41" t="s">
        <v>129</v>
      </c>
      <c r="E724" s="41">
        <v>157768</v>
      </c>
      <c r="F724" s="41"/>
      <c r="G724" s="41">
        <v>1988</v>
      </c>
      <c r="H724" s="41"/>
      <c r="I724" s="42"/>
      <c r="J724" s="41"/>
      <c r="K724" s="41">
        <v>15</v>
      </c>
      <c r="L724" s="43">
        <v>38459</v>
      </c>
    </row>
    <row r="725" spans="2:12" outlineLevel="2">
      <c r="B725" s="40">
        <f t="shared" si="51"/>
        <v>33</v>
      </c>
      <c r="C725" s="41" t="s">
        <v>8</v>
      </c>
      <c r="D725" s="41" t="s">
        <v>129</v>
      </c>
      <c r="E725" s="41" t="s">
        <v>875</v>
      </c>
      <c r="F725" s="41"/>
      <c r="G725" s="41">
        <v>1987</v>
      </c>
      <c r="H725" s="41"/>
      <c r="I725" s="42"/>
      <c r="J725" s="41"/>
      <c r="K725" s="41">
        <v>32</v>
      </c>
      <c r="L725" s="43">
        <v>38494</v>
      </c>
    </row>
    <row r="726" spans="2:12" outlineLevel="2">
      <c r="B726" s="40">
        <f t="shared" si="51"/>
        <v>34</v>
      </c>
      <c r="C726" s="41" t="s">
        <v>8</v>
      </c>
      <c r="D726" s="41" t="s">
        <v>167</v>
      </c>
      <c r="E726" s="41">
        <v>30914</v>
      </c>
      <c r="F726" s="41"/>
      <c r="G726" s="41">
        <v>1988</v>
      </c>
      <c r="H726" s="41"/>
      <c r="I726" s="42"/>
      <c r="J726" s="41"/>
      <c r="K726" s="41">
        <v>22</v>
      </c>
      <c r="L726" s="43">
        <v>38470</v>
      </c>
    </row>
    <row r="727" spans="2:12" outlineLevel="2">
      <c r="B727" s="40">
        <f t="shared" si="51"/>
        <v>35</v>
      </c>
      <c r="C727" s="41" t="s">
        <v>8</v>
      </c>
      <c r="D727" s="41" t="s">
        <v>192</v>
      </c>
      <c r="E727" s="41">
        <v>8046</v>
      </c>
      <c r="F727" s="41"/>
      <c r="G727" s="41">
        <v>1988</v>
      </c>
      <c r="H727" s="41"/>
      <c r="I727" s="42"/>
      <c r="J727" s="41"/>
      <c r="K727" s="41">
        <v>30</v>
      </c>
      <c r="L727" s="43">
        <v>39795</v>
      </c>
    </row>
    <row r="728" spans="2:12" outlineLevel="2">
      <c r="B728" s="40">
        <f t="shared" si="51"/>
        <v>36</v>
      </c>
      <c r="C728" s="41" t="s">
        <v>8</v>
      </c>
      <c r="D728" s="41" t="s">
        <v>129</v>
      </c>
      <c r="E728" s="41">
        <v>74733</v>
      </c>
      <c r="F728" s="41"/>
      <c r="G728" s="41">
        <v>1987</v>
      </c>
      <c r="H728" s="41"/>
      <c r="I728" s="42"/>
      <c r="J728" s="41"/>
      <c r="K728" s="41">
        <v>4</v>
      </c>
      <c r="L728" s="43">
        <v>39852</v>
      </c>
    </row>
    <row r="729" spans="2:12" outlineLevel="2">
      <c r="B729" s="40">
        <f t="shared" si="51"/>
        <v>37</v>
      </c>
      <c r="C729" s="41" t="s">
        <v>8</v>
      </c>
      <c r="D729" s="41" t="s">
        <v>129</v>
      </c>
      <c r="E729" s="41">
        <v>74881</v>
      </c>
      <c r="F729" s="41"/>
      <c r="G729" s="41">
        <v>1987</v>
      </c>
      <c r="H729" s="41"/>
      <c r="I729" s="42"/>
      <c r="J729" s="41"/>
      <c r="K729" s="41">
        <v>23</v>
      </c>
      <c r="L729" s="43">
        <v>40256</v>
      </c>
    </row>
    <row r="730" spans="2:12" outlineLevel="2">
      <c r="B730" s="40">
        <f>IF(C730="","",B729+1)</f>
        <v>38</v>
      </c>
      <c r="C730" s="41" t="s">
        <v>8</v>
      </c>
      <c r="D730" s="41" t="s">
        <v>130</v>
      </c>
      <c r="E730" s="41">
        <v>164926</v>
      </c>
      <c r="F730" s="41"/>
      <c r="G730" s="41">
        <v>1988</v>
      </c>
      <c r="H730" s="41"/>
      <c r="I730" s="42"/>
      <c r="J730" s="41"/>
      <c r="K730" s="41">
        <v>17</v>
      </c>
      <c r="L730" s="43">
        <v>48862</v>
      </c>
    </row>
    <row r="731" spans="2:12" outlineLevel="2">
      <c r="B731" s="40">
        <f t="shared" si="51"/>
        <v>39</v>
      </c>
      <c r="C731" s="41" t="s">
        <v>8</v>
      </c>
      <c r="D731" s="41" t="s">
        <v>129</v>
      </c>
      <c r="E731" s="41">
        <v>29110</v>
      </c>
      <c r="F731" s="41"/>
      <c r="G731" s="41">
        <v>1988</v>
      </c>
      <c r="H731" s="41"/>
      <c r="I731" s="42"/>
      <c r="J731" s="41"/>
      <c r="K731" s="41">
        <v>26</v>
      </c>
      <c r="L731" s="43">
        <v>42315</v>
      </c>
    </row>
    <row r="732" spans="2:12" outlineLevel="2">
      <c r="B732" s="40">
        <f t="shared" si="51"/>
        <v>40</v>
      </c>
      <c r="C732" s="41" t="s">
        <v>8</v>
      </c>
      <c r="D732" s="41" t="s">
        <v>167</v>
      </c>
      <c r="E732" s="41">
        <v>28136</v>
      </c>
      <c r="F732" s="41"/>
      <c r="G732" s="41">
        <v>1988</v>
      </c>
      <c r="H732" s="41"/>
      <c r="I732" s="42"/>
      <c r="J732" s="41"/>
      <c r="K732" s="41">
        <v>13</v>
      </c>
      <c r="L732" s="43">
        <v>43838</v>
      </c>
    </row>
    <row r="733" spans="2:12" outlineLevel="2">
      <c r="B733" s="40">
        <f t="shared" si="51"/>
        <v>41</v>
      </c>
      <c r="C733" s="41" t="s">
        <v>8</v>
      </c>
      <c r="D733" s="41" t="s">
        <v>167</v>
      </c>
      <c r="E733" s="41">
        <v>29552</v>
      </c>
      <c r="F733" s="41"/>
      <c r="G733" s="41">
        <v>1988</v>
      </c>
      <c r="H733" s="41"/>
      <c r="I733" s="42"/>
      <c r="J733" s="41"/>
      <c r="K733" s="41">
        <v>41</v>
      </c>
      <c r="L733" s="43">
        <v>43859</v>
      </c>
    </row>
    <row r="734" spans="2:12" outlineLevel="2">
      <c r="B734" s="40">
        <f t="shared" si="51"/>
        <v>42</v>
      </c>
      <c r="C734" s="41" t="s">
        <v>8</v>
      </c>
      <c r="D734" s="41" t="s">
        <v>129</v>
      </c>
      <c r="E734" s="41">
        <v>28595</v>
      </c>
      <c r="F734" s="41"/>
      <c r="G734" s="41">
        <v>1988</v>
      </c>
      <c r="H734" s="41"/>
      <c r="I734" s="42"/>
      <c r="J734" s="41"/>
      <c r="K734" s="41">
        <v>41</v>
      </c>
      <c r="L734" s="43">
        <v>43807</v>
      </c>
    </row>
    <row r="735" spans="2:12" outlineLevel="2">
      <c r="B735" s="40">
        <f t="shared" si="51"/>
        <v>43</v>
      </c>
      <c r="C735" s="41" t="s">
        <v>8</v>
      </c>
      <c r="D735" s="41" t="s">
        <v>129</v>
      </c>
      <c r="E735" s="41">
        <v>8644818</v>
      </c>
      <c r="F735" s="41"/>
      <c r="G735" s="41">
        <v>1987</v>
      </c>
      <c r="H735" s="41"/>
      <c r="I735" s="42"/>
      <c r="J735" s="41"/>
      <c r="K735" s="41">
        <v>18</v>
      </c>
      <c r="L735" s="43">
        <v>43780</v>
      </c>
    </row>
    <row r="736" spans="2:12" outlineLevel="2">
      <c r="B736" s="40">
        <f t="shared" si="51"/>
        <v>44</v>
      </c>
      <c r="C736" s="41" t="s">
        <v>8</v>
      </c>
      <c r="D736" s="41" t="s">
        <v>129</v>
      </c>
      <c r="E736" s="41">
        <v>27810</v>
      </c>
      <c r="F736" s="41"/>
      <c r="G736" s="41">
        <v>1987</v>
      </c>
      <c r="H736" s="41"/>
      <c r="I736" s="42"/>
      <c r="J736" s="41"/>
      <c r="K736" s="41">
        <v>15</v>
      </c>
      <c r="L736" s="43">
        <v>44428</v>
      </c>
    </row>
    <row r="737" spans="2:12" outlineLevel="2">
      <c r="B737" s="40">
        <f t="shared" si="51"/>
        <v>45</v>
      </c>
      <c r="C737" s="41" t="s">
        <v>8</v>
      </c>
      <c r="D737" s="41" t="s">
        <v>129</v>
      </c>
      <c r="E737" s="41">
        <v>13850</v>
      </c>
      <c r="F737" s="41"/>
      <c r="G737" s="41">
        <v>1987</v>
      </c>
      <c r="H737" s="41"/>
      <c r="I737" s="42"/>
      <c r="J737" s="41"/>
      <c r="K737" s="41">
        <v>6</v>
      </c>
      <c r="L737" s="43">
        <v>45748</v>
      </c>
    </row>
    <row r="738" spans="2:12" outlineLevel="2">
      <c r="B738" s="40">
        <f t="shared" si="51"/>
        <v>46</v>
      </c>
      <c r="C738" s="41" t="s">
        <v>8</v>
      </c>
      <c r="D738" s="41" t="s">
        <v>181</v>
      </c>
      <c r="E738" s="41">
        <v>82160</v>
      </c>
      <c r="F738" s="41"/>
      <c r="G738" s="41">
        <v>1988</v>
      </c>
      <c r="H738" s="41"/>
      <c r="I738" s="42"/>
      <c r="J738" s="41"/>
      <c r="K738" s="41">
        <v>6</v>
      </c>
      <c r="L738" s="43">
        <v>48550</v>
      </c>
    </row>
    <row r="739" spans="2:12" outlineLevel="2">
      <c r="B739" s="40">
        <f t="shared" si="51"/>
        <v>47</v>
      </c>
      <c r="C739" s="41" t="s">
        <v>8</v>
      </c>
      <c r="D739" s="41" t="s">
        <v>129</v>
      </c>
      <c r="E739" s="41">
        <v>26814</v>
      </c>
      <c r="F739" s="41"/>
      <c r="G739" s="41">
        <v>1987</v>
      </c>
      <c r="H739" s="41"/>
      <c r="I739" s="42"/>
      <c r="J739" s="41"/>
      <c r="K739" s="41">
        <v>7</v>
      </c>
      <c r="L739" s="43">
        <v>48541</v>
      </c>
    </row>
    <row r="740" spans="2:12" outlineLevel="2">
      <c r="B740" s="40">
        <f t="shared" si="51"/>
        <v>48</v>
      </c>
      <c r="C740" s="41" t="s">
        <v>8</v>
      </c>
      <c r="D740" s="41" t="s">
        <v>131</v>
      </c>
      <c r="E740" s="41">
        <v>87030</v>
      </c>
      <c r="F740" s="41"/>
      <c r="G740" s="41">
        <v>1988</v>
      </c>
      <c r="H740" s="41"/>
      <c r="I740" s="42"/>
      <c r="J740" s="41"/>
      <c r="K740" s="41">
        <v>2</v>
      </c>
      <c r="L740" s="43">
        <v>48564</v>
      </c>
    </row>
    <row r="741" spans="2:12" outlineLevel="2">
      <c r="B741" s="40">
        <f t="shared" si="51"/>
        <v>49</v>
      </c>
      <c r="C741" s="41" t="s">
        <v>8</v>
      </c>
      <c r="D741" s="41" t="s">
        <v>129</v>
      </c>
      <c r="E741" s="41">
        <v>345494</v>
      </c>
      <c r="F741" s="41"/>
      <c r="G741" s="41">
        <v>1988</v>
      </c>
      <c r="H741" s="41"/>
      <c r="I741" s="42"/>
      <c r="J741" s="41"/>
      <c r="K741" s="41">
        <v>14</v>
      </c>
      <c r="L741" s="43">
        <v>59373</v>
      </c>
    </row>
    <row r="742" spans="2:12" outlineLevel="2">
      <c r="B742" s="40">
        <f t="shared" si="51"/>
        <v>50</v>
      </c>
      <c r="C742" s="41" t="s">
        <v>8</v>
      </c>
      <c r="D742" s="41" t="s">
        <v>191</v>
      </c>
      <c r="E742" s="41">
        <v>194097</v>
      </c>
      <c r="F742" s="41"/>
      <c r="G742" s="41">
        <v>1988</v>
      </c>
      <c r="H742" s="41"/>
      <c r="I742" s="42"/>
      <c r="J742" s="41"/>
      <c r="K742" s="41">
        <v>29</v>
      </c>
      <c r="L742" s="43">
        <v>60851</v>
      </c>
    </row>
    <row r="743" spans="2:12" outlineLevel="2">
      <c r="B743" s="40">
        <f t="shared" si="51"/>
        <v>51</v>
      </c>
      <c r="C743" s="41" t="s">
        <v>8</v>
      </c>
      <c r="D743" s="41" t="s">
        <v>129</v>
      </c>
      <c r="E743" s="41">
        <v>21444</v>
      </c>
      <c r="F743" s="41"/>
      <c r="G743" s="41">
        <v>1987</v>
      </c>
      <c r="H743" s="41"/>
      <c r="I743" s="42"/>
      <c r="J743" s="41"/>
      <c r="K743" s="41">
        <v>15</v>
      </c>
      <c r="L743" s="43">
        <v>60894</v>
      </c>
    </row>
    <row r="744" spans="2:12" outlineLevel="2">
      <c r="B744" s="40">
        <f t="shared" si="51"/>
        <v>52</v>
      </c>
      <c r="C744" s="41" t="s">
        <v>8</v>
      </c>
      <c r="D744" s="41" t="s">
        <v>129</v>
      </c>
      <c r="E744" s="41">
        <v>24535</v>
      </c>
      <c r="F744" s="41"/>
      <c r="G744" s="41">
        <v>1987</v>
      </c>
      <c r="H744" s="41"/>
      <c r="I744" s="42"/>
      <c r="J744" s="41"/>
      <c r="K744" s="41">
        <v>12</v>
      </c>
      <c r="L744" s="43">
        <v>60896</v>
      </c>
    </row>
    <row r="745" spans="2:12" outlineLevel="2">
      <c r="B745" s="40">
        <f t="shared" si="51"/>
        <v>53</v>
      </c>
      <c r="C745" s="41" t="s">
        <v>8</v>
      </c>
      <c r="D745" s="41" t="s">
        <v>129</v>
      </c>
      <c r="E745" s="41">
        <v>29625</v>
      </c>
      <c r="F745" s="41"/>
      <c r="G745" s="41">
        <v>1988</v>
      </c>
      <c r="H745" s="41"/>
      <c r="I745" s="42"/>
      <c r="J745" s="41"/>
      <c r="K745" s="41">
        <v>17</v>
      </c>
      <c r="L745" s="43">
        <v>60899</v>
      </c>
    </row>
    <row r="746" spans="2:12" outlineLevel="2">
      <c r="B746" s="40">
        <f t="shared" si="51"/>
        <v>54</v>
      </c>
      <c r="C746" s="41" t="s">
        <v>8</v>
      </c>
      <c r="D746" s="41" t="s">
        <v>129</v>
      </c>
      <c r="E746" s="41">
        <v>196737</v>
      </c>
      <c r="F746" s="41"/>
      <c r="G746" s="41">
        <v>1988</v>
      </c>
      <c r="H746" s="41"/>
      <c r="I746" s="42"/>
      <c r="J746" s="41"/>
      <c r="K746" s="41">
        <v>13</v>
      </c>
      <c r="L746" s="43">
        <v>60903</v>
      </c>
    </row>
    <row r="747" spans="2:12" outlineLevel="2">
      <c r="B747" s="40">
        <f>IF(C747="","",B746+1)</f>
        <v>55</v>
      </c>
      <c r="C747" s="41" t="s">
        <v>8</v>
      </c>
      <c r="D747" s="41" t="s">
        <v>129</v>
      </c>
      <c r="E747" s="41">
        <v>1190132</v>
      </c>
      <c r="F747" s="41"/>
      <c r="G747" s="41">
        <v>1988</v>
      </c>
      <c r="H747" s="41"/>
      <c r="I747" s="42"/>
      <c r="J747" s="41"/>
      <c r="K747" s="41">
        <v>18</v>
      </c>
      <c r="L747" s="43">
        <v>60906</v>
      </c>
    </row>
    <row r="748" spans="2:12" outlineLevel="2">
      <c r="B748" s="40">
        <f t="shared" si="51"/>
        <v>56</v>
      </c>
      <c r="C748" s="41" t="s">
        <v>8</v>
      </c>
      <c r="D748" s="41" t="s">
        <v>128</v>
      </c>
      <c r="E748" s="41" t="s">
        <v>876</v>
      </c>
      <c r="F748" s="41"/>
      <c r="G748" s="41">
        <v>1987</v>
      </c>
      <c r="H748" s="41"/>
      <c r="I748" s="42"/>
      <c r="J748" s="41"/>
      <c r="K748" s="41">
        <v>2</v>
      </c>
      <c r="L748" s="43">
        <v>63440</v>
      </c>
    </row>
    <row r="749" spans="2:12" outlineLevel="2">
      <c r="B749" s="40">
        <f t="shared" si="51"/>
        <v>57</v>
      </c>
      <c r="C749" s="41" t="s">
        <v>8</v>
      </c>
      <c r="D749" s="41" t="s">
        <v>181</v>
      </c>
      <c r="E749" s="41">
        <v>226641</v>
      </c>
      <c r="F749" s="41"/>
      <c r="G749" s="41">
        <v>1987</v>
      </c>
      <c r="H749" s="41"/>
      <c r="I749" s="42"/>
      <c r="J749" s="41"/>
      <c r="K749" s="41">
        <v>2</v>
      </c>
      <c r="L749" s="43">
        <v>63470</v>
      </c>
    </row>
    <row r="750" spans="2:12" outlineLevel="2">
      <c r="B750" s="40">
        <f t="shared" si="51"/>
        <v>58</v>
      </c>
      <c r="C750" s="41" t="s">
        <v>8</v>
      </c>
      <c r="D750" s="41" t="s">
        <v>129</v>
      </c>
      <c r="E750" s="41">
        <v>7300076</v>
      </c>
      <c r="F750" s="41"/>
      <c r="G750" s="41">
        <v>1987</v>
      </c>
      <c r="H750" s="41"/>
      <c r="I750" s="42"/>
      <c r="J750" s="41"/>
      <c r="K750" s="41">
        <v>32</v>
      </c>
      <c r="L750" s="43">
        <v>63471</v>
      </c>
    </row>
    <row r="751" spans="2:12" outlineLevel="2">
      <c r="B751" s="40">
        <f t="shared" si="51"/>
        <v>59</v>
      </c>
      <c r="C751" s="41" t="s">
        <v>8</v>
      </c>
      <c r="D751" s="41" t="s">
        <v>129</v>
      </c>
      <c r="E751" s="41">
        <v>883091</v>
      </c>
      <c r="F751" s="41"/>
      <c r="G751" s="41">
        <v>1988</v>
      </c>
      <c r="H751" s="41"/>
      <c r="I751" s="42"/>
      <c r="J751" s="41"/>
      <c r="K751" s="41">
        <v>10</v>
      </c>
      <c r="L751" s="43">
        <v>63483</v>
      </c>
    </row>
    <row r="752" spans="2:12" outlineLevel="2">
      <c r="B752" s="40">
        <f t="shared" si="51"/>
        <v>60</v>
      </c>
      <c r="C752" s="41" t="s">
        <v>8</v>
      </c>
      <c r="D752" s="41" t="s">
        <v>129</v>
      </c>
      <c r="E752" s="41">
        <v>153694</v>
      </c>
      <c r="F752" s="41"/>
      <c r="G752" s="41">
        <v>1987</v>
      </c>
      <c r="H752" s="41"/>
      <c r="I752" s="42"/>
      <c r="J752" s="41"/>
      <c r="K752" s="41">
        <v>17</v>
      </c>
      <c r="L752" s="43">
        <v>63509</v>
      </c>
    </row>
    <row r="753" spans="2:12" outlineLevel="2">
      <c r="B753" s="40">
        <f t="shared" si="51"/>
        <v>61</v>
      </c>
      <c r="C753" s="41" t="s">
        <v>8</v>
      </c>
      <c r="D753" s="41" t="s">
        <v>877</v>
      </c>
      <c r="E753" s="41">
        <v>80350</v>
      </c>
      <c r="F753" s="41"/>
      <c r="G753" s="41">
        <v>1988</v>
      </c>
      <c r="H753" s="41"/>
      <c r="I753" s="42"/>
      <c r="J753" s="41"/>
      <c r="K753" s="41">
        <v>15</v>
      </c>
      <c r="L753" s="43">
        <v>67111</v>
      </c>
    </row>
    <row r="754" spans="2:12" outlineLevel="2">
      <c r="B754" s="40">
        <f t="shared" si="51"/>
        <v>62</v>
      </c>
      <c r="C754" s="41" t="s">
        <v>8</v>
      </c>
      <c r="D754" s="41" t="s">
        <v>877</v>
      </c>
      <c r="E754" s="41" t="s">
        <v>878</v>
      </c>
      <c r="F754" s="41"/>
      <c r="G754" s="41">
        <v>1987</v>
      </c>
      <c r="H754" s="41"/>
      <c r="I754" s="42"/>
      <c r="J754" s="41"/>
      <c r="K754" s="41">
        <v>5</v>
      </c>
      <c r="L754" s="43">
        <v>67108</v>
      </c>
    </row>
    <row r="755" spans="2:12" outlineLevel="2">
      <c r="B755" s="40">
        <f t="shared" si="51"/>
        <v>63</v>
      </c>
      <c r="C755" s="41" t="s">
        <v>8</v>
      </c>
      <c r="D755" s="41" t="s">
        <v>871</v>
      </c>
      <c r="E755" s="41">
        <v>24715</v>
      </c>
      <c r="F755" s="41"/>
      <c r="G755" s="41">
        <v>1987</v>
      </c>
      <c r="H755" s="41"/>
      <c r="I755" s="42"/>
      <c r="J755" s="41"/>
      <c r="K755" s="41">
        <v>3</v>
      </c>
      <c r="L755" s="43">
        <v>67000</v>
      </c>
    </row>
    <row r="756" spans="2:12" outlineLevel="2">
      <c r="B756" s="40">
        <f t="shared" si="51"/>
        <v>64</v>
      </c>
      <c r="C756" s="41" t="s">
        <v>8</v>
      </c>
      <c r="D756" s="41" t="s">
        <v>879</v>
      </c>
      <c r="E756" s="41">
        <v>26005</v>
      </c>
      <c r="F756" s="41"/>
      <c r="G756" s="41">
        <v>1987</v>
      </c>
      <c r="H756" s="41"/>
      <c r="I756" s="42"/>
      <c r="J756" s="41"/>
      <c r="K756" s="41">
        <v>35</v>
      </c>
      <c r="L756" s="43">
        <v>66994</v>
      </c>
    </row>
    <row r="757" spans="2:12" outlineLevel="2">
      <c r="B757" s="40">
        <f t="shared" si="51"/>
        <v>65</v>
      </c>
      <c r="C757" s="41" t="s">
        <v>8</v>
      </c>
      <c r="D757" s="41" t="s">
        <v>880</v>
      </c>
      <c r="E757" s="41">
        <v>168484</v>
      </c>
      <c r="F757" s="41"/>
      <c r="G757" s="41">
        <v>1988</v>
      </c>
      <c r="H757" s="41"/>
      <c r="I757" s="42"/>
      <c r="J757" s="41"/>
      <c r="K757" s="41">
        <v>11</v>
      </c>
      <c r="L757" s="43">
        <v>67581</v>
      </c>
    </row>
    <row r="758" spans="2:12" outlineLevel="2">
      <c r="B758" s="40">
        <f t="shared" si="51"/>
        <v>66</v>
      </c>
      <c r="C758" s="41" t="s">
        <v>8</v>
      </c>
      <c r="D758" s="41" t="s">
        <v>877</v>
      </c>
      <c r="E758" s="41">
        <v>23606</v>
      </c>
      <c r="F758" s="41"/>
      <c r="G758" s="41">
        <v>1987</v>
      </c>
      <c r="H758" s="41"/>
      <c r="I758" s="42"/>
      <c r="J758" s="41"/>
      <c r="K758" s="41">
        <v>2</v>
      </c>
      <c r="L758" s="43">
        <v>45128</v>
      </c>
    </row>
    <row r="759" spans="2:12" outlineLevel="2">
      <c r="B759" s="40">
        <f t="shared" ref="B759:B764" si="52">IF(C759="","",B758+1)</f>
        <v>67</v>
      </c>
      <c r="C759" s="41" t="s">
        <v>8</v>
      </c>
      <c r="D759" s="41" t="s">
        <v>877</v>
      </c>
      <c r="E759" s="41">
        <v>31912</v>
      </c>
      <c r="F759" s="41"/>
      <c r="G759" s="41">
        <v>1988</v>
      </c>
      <c r="H759" s="41"/>
      <c r="I759" s="42"/>
      <c r="J759" s="41"/>
      <c r="K759" s="41">
        <v>6</v>
      </c>
      <c r="L759" s="43">
        <v>45128</v>
      </c>
    </row>
    <row r="760" spans="2:12" outlineLevel="2">
      <c r="B760" s="40">
        <f t="shared" si="52"/>
        <v>68</v>
      </c>
      <c r="C760" s="41" t="s">
        <v>8</v>
      </c>
      <c r="D760" s="41" t="s">
        <v>877</v>
      </c>
      <c r="E760" s="41">
        <v>26152</v>
      </c>
      <c r="F760" s="41"/>
      <c r="G760" s="41">
        <v>1987</v>
      </c>
      <c r="H760" s="41"/>
      <c r="I760" s="42"/>
      <c r="J760" s="41"/>
      <c r="K760" s="41">
        <v>3</v>
      </c>
      <c r="L760" s="43">
        <v>45128</v>
      </c>
    </row>
    <row r="761" spans="2:12" outlineLevel="2">
      <c r="B761" s="40">
        <f t="shared" si="52"/>
        <v>69</v>
      </c>
      <c r="C761" s="41" t="s">
        <v>8</v>
      </c>
      <c r="D761" s="41" t="s">
        <v>877</v>
      </c>
      <c r="E761" s="41">
        <v>29349</v>
      </c>
      <c r="F761" s="41"/>
      <c r="G761" s="41">
        <v>1988</v>
      </c>
      <c r="H761" s="41"/>
      <c r="I761" s="42"/>
      <c r="J761" s="41"/>
      <c r="K761" s="41">
        <v>49</v>
      </c>
      <c r="L761" s="43">
        <v>74046</v>
      </c>
    </row>
    <row r="762" spans="2:12" outlineLevel="2">
      <c r="B762" s="40">
        <f t="shared" si="52"/>
        <v>70</v>
      </c>
      <c r="C762" s="41" t="s">
        <v>8</v>
      </c>
      <c r="D762" s="41" t="s">
        <v>881</v>
      </c>
      <c r="E762" s="41">
        <v>19727</v>
      </c>
      <c r="F762" s="41"/>
      <c r="G762" s="41">
        <v>1987</v>
      </c>
      <c r="H762" s="41"/>
      <c r="I762" s="42"/>
      <c r="J762" s="41"/>
      <c r="K762" s="41">
        <v>49</v>
      </c>
      <c r="L762" s="43">
        <v>74040</v>
      </c>
    </row>
    <row r="763" spans="2:12" outlineLevel="2">
      <c r="B763" s="40">
        <f t="shared" si="52"/>
        <v>71</v>
      </c>
      <c r="C763" s="41" t="s">
        <v>8</v>
      </c>
      <c r="D763" s="41" t="s">
        <v>882</v>
      </c>
      <c r="E763" s="41">
        <v>2598</v>
      </c>
      <c r="F763" s="41"/>
      <c r="G763" s="41">
        <v>1987</v>
      </c>
      <c r="H763" s="41"/>
      <c r="I763" s="42"/>
      <c r="J763" s="41"/>
      <c r="K763" s="41">
        <v>39</v>
      </c>
      <c r="L763" s="43">
        <v>76205</v>
      </c>
    </row>
    <row r="764" spans="2:12" outlineLevel="2">
      <c r="B764" s="40">
        <f t="shared" si="52"/>
        <v>72</v>
      </c>
      <c r="C764" s="41" t="s">
        <v>8</v>
      </c>
      <c r="D764" s="41" t="s">
        <v>883</v>
      </c>
      <c r="E764" s="41">
        <v>74669</v>
      </c>
      <c r="F764" s="41"/>
      <c r="G764" s="41">
        <v>1987</v>
      </c>
      <c r="H764" s="41"/>
      <c r="I764" s="42"/>
      <c r="J764" s="41"/>
      <c r="K764" s="41">
        <v>5</v>
      </c>
      <c r="L764" s="43">
        <v>76186</v>
      </c>
    </row>
    <row r="765" spans="2:12" outlineLevel="2">
      <c r="B765" s="40">
        <f>IF(C765="","",B764+1)</f>
        <v>73</v>
      </c>
      <c r="C765" s="41" t="s">
        <v>8</v>
      </c>
      <c r="D765" s="41" t="s">
        <v>877</v>
      </c>
      <c r="E765" s="41">
        <v>17408</v>
      </c>
      <c r="F765" s="41"/>
      <c r="G765" s="41">
        <v>1987</v>
      </c>
      <c r="H765" s="41"/>
      <c r="I765" s="42"/>
      <c r="J765" s="41"/>
      <c r="K765" s="41">
        <v>44</v>
      </c>
      <c r="L765" s="43">
        <v>76175</v>
      </c>
    </row>
    <row r="766" spans="2:12" outlineLevel="2">
      <c r="B766" s="40">
        <f t="shared" ref="B766:B786" si="53">IF(C766="","",B765+1)</f>
        <v>74</v>
      </c>
      <c r="C766" s="41" t="s">
        <v>8</v>
      </c>
      <c r="D766" s="41" t="s">
        <v>877</v>
      </c>
      <c r="E766" s="41">
        <v>74680</v>
      </c>
      <c r="F766" s="41"/>
      <c r="G766" s="41">
        <v>1987</v>
      </c>
      <c r="H766" s="41"/>
      <c r="I766" s="42"/>
      <c r="J766" s="41"/>
      <c r="K766" s="41">
        <v>5</v>
      </c>
      <c r="L766" s="43">
        <v>76164</v>
      </c>
    </row>
    <row r="767" spans="2:12" outlineLevel="2">
      <c r="B767" s="40">
        <f t="shared" si="53"/>
        <v>75</v>
      </c>
      <c r="C767" s="41" t="s">
        <v>8</v>
      </c>
      <c r="D767" s="41" t="s">
        <v>884</v>
      </c>
      <c r="E767" s="41">
        <v>3600</v>
      </c>
      <c r="F767" s="41"/>
      <c r="G767" s="41">
        <v>1988</v>
      </c>
      <c r="H767" s="41"/>
      <c r="I767" s="42"/>
      <c r="J767" s="41"/>
      <c r="K767" s="41">
        <v>2</v>
      </c>
      <c r="L767" s="43">
        <v>78692</v>
      </c>
    </row>
    <row r="768" spans="2:12" outlineLevel="2">
      <c r="B768" s="40">
        <f t="shared" si="53"/>
        <v>76</v>
      </c>
      <c r="C768" s="41" t="s">
        <v>8</v>
      </c>
      <c r="D768" s="41" t="s">
        <v>883</v>
      </c>
      <c r="E768" s="41">
        <v>168481</v>
      </c>
      <c r="F768" s="41"/>
      <c r="G768" s="41">
        <v>1988</v>
      </c>
      <c r="H768" s="41"/>
      <c r="I768" s="42"/>
      <c r="J768" s="41"/>
      <c r="K768" s="41">
        <v>42</v>
      </c>
      <c r="L768" s="43">
        <v>78689</v>
      </c>
    </row>
    <row r="769" spans="2:12" outlineLevel="2">
      <c r="B769" s="40">
        <f t="shared" si="53"/>
        <v>77</v>
      </c>
      <c r="C769" s="41" t="s">
        <v>8</v>
      </c>
      <c r="D769" s="41" t="s">
        <v>877</v>
      </c>
      <c r="E769" s="41">
        <v>27404</v>
      </c>
      <c r="F769" s="41"/>
      <c r="G769" s="41">
        <v>1987</v>
      </c>
      <c r="H769" s="41"/>
      <c r="I769" s="42"/>
      <c r="J769" s="41"/>
      <c r="K769" s="41">
        <v>20</v>
      </c>
      <c r="L769" s="43">
        <v>78685</v>
      </c>
    </row>
    <row r="770" spans="2:12" outlineLevel="2">
      <c r="B770" s="40">
        <f t="shared" si="53"/>
        <v>78</v>
      </c>
      <c r="C770" s="41" t="s">
        <v>8</v>
      </c>
      <c r="D770" s="41" t="s">
        <v>885</v>
      </c>
      <c r="E770" s="41" t="s">
        <v>886</v>
      </c>
      <c r="F770" s="41"/>
      <c r="G770" s="41">
        <v>1987</v>
      </c>
      <c r="H770" s="41"/>
      <c r="I770" s="42"/>
      <c r="J770" s="41"/>
      <c r="K770" s="41">
        <v>31</v>
      </c>
      <c r="L770" s="43">
        <v>78636</v>
      </c>
    </row>
    <row r="771" spans="2:12" outlineLevel="2">
      <c r="B771" s="40">
        <f t="shared" si="53"/>
        <v>79</v>
      </c>
      <c r="C771" s="41" t="s">
        <v>8</v>
      </c>
      <c r="D771" s="41" t="s">
        <v>885</v>
      </c>
      <c r="E771" s="41" t="s">
        <v>887</v>
      </c>
      <c r="F771" s="41"/>
      <c r="G771" s="41">
        <v>1987</v>
      </c>
      <c r="H771" s="41"/>
      <c r="I771" s="42"/>
      <c r="J771" s="41"/>
      <c r="K771" s="41">
        <v>3</v>
      </c>
      <c r="L771" s="43">
        <v>78632</v>
      </c>
    </row>
    <row r="772" spans="2:12" outlineLevel="2">
      <c r="B772" s="40">
        <f t="shared" si="53"/>
        <v>80</v>
      </c>
      <c r="C772" s="41" t="s">
        <v>8</v>
      </c>
      <c r="D772" s="41" t="s">
        <v>877</v>
      </c>
      <c r="E772" s="41">
        <v>27417</v>
      </c>
      <c r="F772" s="41"/>
      <c r="G772" s="41">
        <v>1987</v>
      </c>
      <c r="H772" s="41"/>
      <c r="I772" s="42"/>
      <c r="J772" s="41"/>
      <c r="K772" s="41">
        <v>15</v>
      </c>
      <c r="L772" s="43">
        <v>79774</v>
      </c>
    </row>
    <row r="773" spans="2:12" outlineLevel="2">
      <c r="B773" s="40">
        <f t="shared" si="53"/>
        <v>81</v>
      </c>
      <c r="C773" s="41" t="s">
        <v>8</v>
      </c>
      <c r="D773" s="41" t="s">
        <v>888</v>
      </c>
      <c r="E773" s="41">
        <v>2905</v>
      </c>
      <c r="F773" s="41"/>
      <c r="G773" s="41">
        <v>1987</v>
      </c>
      <c r="H773" s="41"/>
      <c r="I773" s="42"/>
      <c r="J773" s="41"/>
      <c r="K773" s="41">
        <v>22</v>
      </c>
      <c r="L773" s="43">
        <v>79768</v>
      </c>
    </row>
    <row r="774" spans="2:12" outlineLevel="2">
      <c r="B774" s="40">
        <f t="shared" si="53"/>
        <v>82</v>
      </c>
      <c r="C774" s="41" t="s">
        <v>8</v>
      </c>
      <c r="D774" s="41" t="s">
        <v>871</v>
      </c>
      <c r="E774" s="41">
        <v>19604</v>
      </c>
      <c r="F774" s="41"/>
      <c r="G774" s="41">
        <v>1987</v>
      </c>
      <c r="H774" s="41"/>
      <c r="I774" s="42"/>
      <c r="J774" s="41"/>
      <c r="K774" s="41">
        <v>30</v>
      </c>
      <c r="L774" s="43">
        <v>83020</v>
      </c>
    </row>
    <row r="775" spans="2:12" outlineLevel="2">
      <c r="B775" s="40">
        <f t="shared" si="53"/>
        <v>83</v>
      </c>
      <c r="C775" s="41" t="s">
        <v>8</v>
      </c>
      <c r="D775" s="41" t="s">
        <v>877</v>
      </c>
      <c r="E775" s="41">
        <v>13826</v>
      </c>
      <c r="F775" s="41"/>
      <c r="G775" s="41">
        <v>1987</v>
      </c>
      <c r="H775" s="41"/>
      <c r="I775" s="42"/>
      <c r="J775" s="41"/>
      <c r="K775" s="41">
        <v>2</v>
      </c>
      <c r="L775" s="43">
        <v>82996</v>
      </c>
    </row>
    <row r="776" spans="2:12" outlineLevel="2">
      <c r="B776" s="40">
        <f t="shared" si="53"/>
        <v>84</v>
      </c>
      <c r="C776" s="41" t="s">
        <v>8</v>
      </c>
      <c r="D776" s="41" t="s">
        <v>879</v>
      </c>
      <c r="E776" s="41">
        <v>139557</v>
      </c>
      <c r="F776" s="41"/>
      <c r="G776" s="41">
        <v>1987</v>
      </c>
      <c r="H776" s="41"/>
      <c r="I776" s="42"/>
      <c r="J776" s="41"/>
      <c r="K776" s="41">
        <v>14</v>
      </c>
      <c r="L776" s="43">
        <v>85089</v>
      </c>
    </row>
    <row r="777" spans="2:12" outlineLevel="2">
      <c r="B777" s="40">
        <f t="shared" si="53"/>
        <v>85</v>
      </c>
      <c r="C777" s="41" t="s">
        <v>8</v>
      </c>
      <c r="D777" s="41" t="s">
        <v>877</v>
      </c>
      <c r="E777" s="41">
        <v>31762</v>
      </c>
      <c r="F777" s="41"/>
      <c r="G777" s="41">
        <v>1988</v>
      </c>
      <c r="H777" s="41"/>
      <c r="I777" s="42"/>
      <c r="J777" s="41"/>
      <c r="K777" s="41">
        <v>29</v>
      </c>
      <c r="L777" s="43">
        <v>85084</v>
      </c>
    </row>
    <row r="778" spans="2:12" outlineLevel="2">
      <c r="B778" s="40">
        <f t="shared" si="53"/>
        <v>86</v>
      </c>
      <c r="C778" s="41" t="s">
        <v>8</v>
      </c>
      <c r="D778" s="41" t="s">
        <v>877</v>
      </c>
      <c r="E778" s="41">
        <v>29337</v>
      </c>
      <c r="F778" s="41"/>
      <c r="G778" s="41">
        <v>1988</v>
      </c>
      <c r="H778" s="41"/>
      <c r="I778" s="42"/>
      <c r="J778" s="41"/>
      <c r="K778" s="41">
        <v>8</v>
      </c>
      <c r="L778" s="43">
        <v>85078</v>
      </c>
    </row>
    <row r="779" spans="2:12" outlineLevel="2">
      <c r="B779" s="40">
        <f t="shared" si="53"/>
        <v>87</v>
      </c>
      <c r="C779" s="41" t="s">
        <v>8</v>
      </c>
      <c r="D779" s="41" t="s">
        <v>883</v>
      </c>
      <c r="E779" s="41">
        <v>16988</v>
      </c>
      <c r="F779" s="41"/>
      <c r="G779" s="41">
        <v>1987</v>
      </c>
      <c r="H779" s="41"/>
      <c r="I779" s="42"/>
      <c r="J779" s="41"/>
      <c r="K779" s="41">
        <v>15</v>
      </c>
      <c r="L779" s="43">
        <v>87664</v>
      </c>
    </row>
    <row r="780" spans="2:12" outlineLevel="2">
      <c r="B780" s="40">
        <f t="shared" si="53"/>
        <v>88</v>
      </c>
      <c r="C780" s="41" t="s">
        <v>8</v>
      </c>
      <c r="D780" s="41" t="s">
        <v>877</v>
      </c>
      <c r="E780" s="41">
        <v>27235</v>
      </c>
      <c r="F780" s="41"/>
      <c r="G780" s="41">
        <v>1987</v>
      </c>
      <c r="H780" s="41"/>
      <c r="I780" s="42"/>
      <c r="J780" s="41"/>
      <c r="K780" s="41">
        <v>22</v>
      </c>
      <c r="L780" s="43">
        <v>87501</v>
      </c>
    </row>
    <row r="781" spans="2:12" outlineLevel="2">
      <c r="B781" s="40">
        <f t="shared" si="53"/>
        <v>89</v>
      </c>
      <c r="C781" s="41" t="s">
        <v>8</v>
      </c>
      <c r="D781" s="41" t="s">
        <v>877</v>
      </c>
      <c r="E781" s="41">
        <v>31637</v>
      </c>
      <c r="F781" s="41"/>
      <c r="G781" s="41">
        <v>1988</v>
      </c>
      <c r="H781" s="41"/>
      <c r="I781" s="42"/>
      <c r="J781" s="41"/>
      <c r="K781" s="41">
        <v>2</v>
      </c>
      <c r="L781" s="43">
        <v>87493</v>
      </c>
    </row>
    <row r="782" spans="2:12" outlineLevel="2">
      <c r="B782" s="40">
        <f t="shared" si="53"/>
        <v>90</v>
      </c>
      <c r="C782" s="41" t="s">
        <v>8</v>
      </c>
      <c r="D782" s="41" t="s">
        <v>877</v>
      </c>
      <c r="E782" s="41">
        <v>31640</v>
      </c>
      <c r="F782" s="41"/>
      <c r="G782" s="41">
        <v>1988</v>
      </c>
      <c r="H782" s="41"/>
      <c r="I782" s="42"/>
      <c r="J782" s="41"/>
      <c r="K782" s="41">
        <v>9</v>
      </c>
      <c r="L782" s="43">
        <v>88604</v>
      </c>
    </row>
    <row r="783" spans="2:12" outlineLevel="2">
      <c r="B783" s="40">
        <f t="shared" si="53"/>
        <v>91</v>
      </c>
      <c r="C783" s="41" t="s">
        <v>8</v>
      </c>
      <c r="D783" s="41" t="s">
        <v>877</v>
      </c>
      <c r="E783" s="41">
        <v>31941</v>
      </c>
      <c r="F783" s="41"/>
      <c r="G783" s="41">
        <v>1988</v>
      </c>
      <c r="H783" s="41"/>
      <c r="I783" s="42"/>
      <c r="J783" s="41"/>
      <c r="K783" s="41">
        <v>19</v>
      </c>
      <c r="L783" s="43">
        <v>88597</v>
      </c>
    </row>
    <row r="784" spans="2:12" outlineLevel="2">
      <c r="B784" s="40">
        <f t="shared" si="53"/>
        <v>92</v>
      </c>
      <c r="C784" s="41" t="s">
        <v>8</v>
      </c>
      <c r="D784" s="41" t="s">
        <v>877</v>
      </c>
      <c r="E784" s="41">
        <v>31633</v>
      </c>
      <c r="F784" s="41"/>
      <c r="G784" s="41">
        <v>1988</v>
      </c>
      <c r="H784" s="41"/>
      <c r="I784" s="42"/>
      <c r="J784" s="41"/>
      <c r="K784" s="41">
        <v>45</v>
      </c>
      <c r="L784" s="43">
        <v>88589</v>
      </c>
    </row>
    <row r="785" spans="2:12" outlineLevel="2">
      <c r="B785" s="40">
        <f>IF(C785="","",B784+1)</f>
        <v>93</v>
      </c>
      <c r="C785" s="41" t="s">
        <v>8</v>
      </c>
      <c r="D785" s="41" t="s">
        <v>889</v>
      </c>
      <c r="E785" s="41">
        <v>3148</v>
      </c>
      <c r="F785" s="41"/>
      <c r="G785" s="41">
        <v>1988</v>
      </c>
      <c r="H785" s="41"/>
      <c r="I785" s="42"/>
      <c r="J785" s="41"/>
      <c r="K785" s="41">
        <v>30</v>
      </c>
      <c r="L785" s="43">
        <v>88583</v>
      </c>
    </row>
    <row r="786" spans="2:12" outlineLevel="2">
      <c r="B786" s="40">
        <f t="shared" si="53"/>
        <v>94</v>
      </c>
      <c r="C786" s="41" t="s">
        <v>8</v>
      </c>
      <c r="D786" s="41" t="s">
        <v>883</v>
      </c>
      <c r="E786" s="41">
        <v>23765</v>
      </c>
      <c r="F786" s="41"/>
      <c r="G786" s="41">
        <v>1987</v>
      </c>
      <c r="H786" s="41"/>
      <c r="I786" s="42"/>
      <c r="J786" s="41"/>
      <c r="K786" s="41">
        <v>44</v>
      </c>
      <c r="L786" s="43">
        <v>90453</v>
      </c>
    </row>
    <row r="787" spans="2:12" outlineLevel="2">
      <c r="B787" s="40">
        <f>IF(C787="","",B786+1)</f>
        <v>95</v>
      </c>
      <c r="C787" s="41" t="s">
        <v>8</v>
      </c>
      <c r="D787" s="41" t="s">
        <v>877</v>
      </c>
      <c r="E787" s="41">
        <v>75144</v>
      </c>
      <c r="F787" s="41"/>
      <c r="G787" s="41">
        <v>1987</v>
      </c>
      <c r="H787" s="41"/>
      <c r="I787" s="42"/>
      <c r="J787" s="41"/>
      <c r="K787" s="41">
        <v>15</v>
      </c>
      <c r="L787" s="43">
        <v>90394</v>
      </c>
    </row>
    <row r="788" spans="2:12" outlineLevel="2">
      <c r="B788" s="40">
        <f t="shared" ref="B788:B800" si="54">IF(C788="","",B787+1)</f>
        <v>96</v>
      </c>
      <c r="C788" s="41" t="s">
        <v>8</v>
      </c>
      <c r="D788" s="41" t="s">
        <v>871</v>
      </c>
      <c r="E788" s="41">
        <v>26884</v>
      </c>
      <c r="F788" s="41"/>
      <c r="G788" s="41">
        <v>1987</v>
      </c>
      <c r="H788" s="41"/>
      <c r="I788" s="42"/>
      <c r="J788" s="41"/>
      <c r="K788" s="41">
        <v>36</v>
      </c>
      <c r="L788" s="43">
        <v>90371</v>
      </c>
    </row>
    <row r="789" spans="2:12" outlineLevel="2">
      <c r="B789" s="40">
        <f t="shared" si="54"/>
        <v>97</v>
      </c>
      <c r="C789" s="41" t="s">
        <v>8</v>
      </c>
      <c r="D789" s="41" t="s">
        <v>877</v>
      </c>
      <c r="E789" s="41">
        <v>28169</v>
      </c>
      <c r="F789" s="41"/>
      <c r="G789" s="41">
        <v>1988</v>
      </c>
      <c r="H789" s="41"/>
      <c r="I789" s="42"/>
      <c r="J789" s="41"/>
      <c r="K789" s="41">
        <v>7</v>
      </c>
      <c r="L789" s="43">
        <v>90355</v>
      </c>
    </row>
    <row r="790" spans="2:12" outlineLevel="2">
      <c r="B790" s="40">
        <f t="shared" si="54"/>
        <v>98</v>
      </c>
      <c r="C790" s="41" t="s">
        <v>8</v>
      </c>
      <c r="D790" s="41" t="s">
        <v>890</v>
      </c>
      <c r="E790" s="41">
        <v>117852</v>
      </c>
      <c r="F790" s="41"/>
      <c r="G790" s="41">
        <v>1988</v>
      </c>
      <c r="H790" s="41"/>
      <c r="I790" s="42"/>
      <c r="J790" s="41"/>
      <c r="K790" s="41">
        <v>10</v>
      </c>
      <c r="L790" s="43">
        <v>91140</v>
      </c>
    </row>
    <row r="791" spans="2:12" outlineLevel="2">
      <c r="B791" s="40">
        <f t="shared" si="54"/>
        <v>99</v>
      </c>
      <c r="C791" s="41" t="s">
        <v>8</v>
      </c>
      <c r="D791" s="41" t="s">
        <v>871</v>
      </c>
      <c r="E791" s="41" t="s">
        <v>891</v>
      </c>
      <c r="F791" s="41"/>
      <c r="G791" s="41">
        <v>1988</v>
      </c>
      <c r="H791" s="41"/>
      <c r="I791" s="42"/>
      <c r="J791" s="41"/>
      <c r="K791" s="41">
        <v>4</v>
      </c>
      <c r="L791" s="43">
        <v>91139</v>
      </c>
    </row>
    <row r="792" spans="2:12" outlineLevel="2">
      <c r="B792" s="40">
        <f t="shared" si="54"/>
        <v>100</v>
      </c>
      <c r="C792" s="41" t="s">
        <v>8</v>
      </c>
      <c r="D792" s="41" t="s">
        <v>877</v>
      </c>
      <c r="E792" s="41">
        <v>82151</v>
      </c>
      <c r="F792" s="41"/>
      <c r="G792" s="41">
        <v>1988</v>
      </c>
      <c r="H792" s="41"/>
      <c r="I792" s="42"/>
      <c r="J792" s="41"/>
      <c r="K792" s="41">
        <v>2</v>
      </c>
      <c r="L792" s="43">
        <v>90975</v>
      </c>
    </row>
    <row r="793" spans="2:12" outlineLevel="2">
      <c r="B793" s="40">
        <f t="shared" si="54"/>
        <v>101</v>
      </c>
      <c r="C793" s="41" t="s">
        <v>8</v>
      </c>
      <c r="D793" s="41" t="s">
        <v>877</v>
      </c>
      <c r="E793" s="41">
        <v>2286</v>
      </c>
      <c r="F793" s="41"/>
      <c r="G793" s="41">
        <v>1987</v>
      </c>
      <c r="H793" s="41"/>
      <c r="I793" s="42"/>
      <c r="J793" s="41"/>
      <c r="K793" s="41">
        <v>259</v>
      </c>
      <c r="L793" s="43">
        <v>90970</v>
      </c>
    </row>
    <row r="794" spans="2:12" outlineLevel="2">
      <c r="B794" s="40">
        <f t="shared" si="54"/>
        <v>102</v>
      </c>
      <c r="C794" s="41" t="s">
        <v>8</v>
      </c>
      <c r="D794" s="41" t="s">
        <v>871</v>
      </c>
      <c r="E794" s="41">
        <v>25798</v>
      </c>
      <c r="F794" s="41"/>
      <c r="G794" s="41">
        <v>1987</v>
      </c>
      <c r="H794" s="41"/>
      <c r="I794" s="42"/>
      <c r="J794" s="41"/>
      <c r="K794" s="41">
        <v>7</v>
      </c>
      <c r="L794" s="43">
        <v>90966</v>
      </c>
    </row>
    <row r="795" spans="2:12" outlineLevel="2">
      <c r="B795" s="40">
        <f t="shared" si="54"/>
        <v>103</v>
      </c>
      <c r="C795" s="41" t="s">
        <v>8</v>
      </c>
      <c r="D795" s="41" t="s">
        <v>877</v>
      </c>
      <c r="E795" s="41">
        <v>31659</v>
      </c>
      <c r="F795" s="41"/>
      <c r="G795" s="41">
        <v>1988</v>
      </c>
      <c r="H795" s="41"/>
      <c r="I795" s="42"/>
      <c r="J795" s="41"/>
      <c r="K795" s="41">
        <v>19</v>
      </c>
      <c r="L795" s="43">
        <v>92530</v>
      </c>
    </row>
    <row r="796" spans="2:12" outlineLevel="2">
      <c r="B796" s="40">
        <f t="shared" si="54"/>
        <v>104</v>
      </c>
      <c r="C796" s="41" t="s">
        <v>8</v>
      </c>
      <c r="D796" s="41" t="s">
        <v>877</v>
      </c>
      <c r="E796" s="41">
        <v>29312</v>
      </c>
      <c r="F796" s="41"/>
      <c r="G796" s="41">
        <v>1988</v>
      </c>
      <c r="H796" s="41"/>
      <c r="I796" s="42"/>
      <c r="J796" s="41"/>
      <c r="K796" s="41">
        <v>23</v>
      </c>
      <c r="L796" s="43">
        <v>92526</v>
      </c>
    </row>
    <row r="797" spans="2:12" outlineLevel="2">
      <c r="B797" s="40">
        <f t="shared" si="54"/>
        <v>105</v>
      </c>
      <c r="C797" s="41" t="s">
        <v>8</v>
      </c>
      <c r="D797" s="41" t="s">
        <v>885</v>
      </c>
      <c r="E797" s="41">
        <v>21261</v>
      </c>
      <c r="F797" s="41"/>
      <c r="G797" s="41">
        <v>1987</v>
      </c>
      <c r="H797" s="41"/>
      <c r="I797" s="42"/>
      <c r="J797" s="41"/>
      <c r="K797" s="41">
        <v>45</v>
      </c>
      <c r="L797" s="43">
        <v>92501</v>
      </c>
    </row>
    <row r="798" spans="2:12" outlineLevel="2">
      <c r="B798" s="40">
        <f t="shared" si="54"/>
        <v>106</v>
      </c>
      <c r="C798" s="41" t="s">
        <v>8</v>
      </c>
      <c r="D798" s="41" t="s">
        <v>888</v>
      </c>
      <c r="E798" s="41">
        <v>167987</v>
      </c>
      <c r="F798" s="41"/>
      <c r="G798" s="41">
        <v>1988</v>
      </c>
      <c r="H798" s="41"/>
      <c r="I798" s="42"/>
      <c r="J798" s="41"/>
      <c r="K798" s="41">
        <v>24</v>
      </c>
      <c r="L798" s="43">
        <v>93257</v>
      </c>
    </row>
    <row r="799" spans="2:12" outlineLevel="2">
      <c r="B799" s="40">
        <f t="shared" si="54"/>
        <v>107</v>
      </c>
      <c r="C799" s="41" t="s">
        <v>8</v>
      </c>
      <c r="D799" s="41" t="s">
        <v>871</v>
      </c>
      <c r="E799" s="41">
        <v>77503</v>
      </c>
      <c r="F799" s="41"/>
      <c r="G799" s="41">
        <v>1987</v>
      </c>
      <c r="H799" s="41"/>
      <c r="I799" s="42"/>
      <c r="J799" s="41"/>
      <c r="K799" s="41">
        <v>2</v>
      </c>
      <c r="L799" s="43">
        <v>93236</v>
      </c>
    </row>
    <row r="800" spans="2:12" outlineLevel="2">
      <c r="B800" s="40">
        <f t="shared" si="54"/>
        <v>108</v>
      </c>
      <c r="C800" s="41" t="s">
        <v>8</v>
      </c>
      <c r="D800" s="41" t="s">
        <v>892</v>
      </c>
      <c r="E800" s="41">
        <v>27116</v>
      </c>
      <c r="F800" s="41"/>
      <c r="G800" s="41">
        <v>1987</v>
      </c>
      <c r="H800" s="41"/>
      <c r="I800" s="42"/>
      <c r="J800" s="41"/>
      <c r="K800" s="41">
        <v>8</v>
      </c>
      <c r="L800" s="43">
        <v>93216</v>
      </c>
    </row>
    <row r="801" spans="2:12" outlineLevel="2">
      <c r="B801" s="40">
        <f>IF(C801="","",B800+1)</f>
        <v>109</v>
      </c>
      <c r="C801" s="41" t="s">
        <v>8</v>
      </c>
      <c r="D801" s="41" t="s">
        <v>885</v>
      </c>
      <c r="E801" s="41">
        <v>76159</v>
      </c>
      <c r="F801" s="41"/>
      <c r="G801" s="41">
        <v>1987</v>
      </c>
      <c r="H801" s="41"/>
      <c r="I801" s="42"/>
      <c r="J801" s="41"/>
      <c r="K801" s="41">
        <v>6</v>
      </c>
      <c r="L801" s="43">
        <v>93205</v>
      </c>
    </row>
    <row r="802" spans="2:12" outlineLevel="2">
      <c r="B802" s="40">
        <f t="shared" ref="B802:B812" si="55">IF(C802="","",B801+1)</f>
        <v>110</v>
      </c>
      <c r="C802" s="41" t="s">
        <v>8</v>
      </c>
      <c r="D802" s="41" t="s">
        <v>892</v>
      </c>
      <c r="E802" s="41">
        <v>74806</v>
      </c>
      <c r="F802" s="41"/>
      <c r="G802" s="41">
        <v>1987</v>
      </c>
      <c r="H802" s="41"/>
      <c r="I802" s="42"/>
      <c r="J802" s="41"/>
      <c r="K802" s="41">
        <v>8</v>
      </c>
      <c r="L802" s="43">
        <v>94895</v>
      </c>
    </row>
    <row r="803" spans="2:12" outlineLevel="2">
      <c r="B803" s="40">
        <f t="shared" si="55"/>
        <v>111</v>
      </c>
      <c r="C803" s="41" t="s">
        <v>8</v>
      </c>
      <c r="D803" s="41" t="s">
        <v>877</v>
      </c>
      <c r="E803" s="41">
        <v>78077</v>
      </c>
      <c r="F803" s="41"/>
      <c r="G803" s="41">
        <v>1987</v>
      </c>
      <c r="H803" s="41"/>
      <c r="I803" s="42"/>
      <c r="J803" s="41"/>
      <c r="K803" s="41">
        <v>7</v>
      </c>
      <c r="L803" s="43">
        <v>95903</v>
      </c>
    </row>
    <row r="804" spans="2:12" outlineLevel="2">
      <c r="B804" s="40">
        <f t="shared" si="55"/>
        <v>112</v>
      </c>
      <c r="C804" s="41" t="s">
        <v>8</v>
      </c>
      <c r="D804" s="41" t="s">
        <v>877</v>
      </c>
      <c r="E804" s="41">
        <v>137304</v>
      </c>
      <c r="F804" s="41"/>
      <c r="G804" s="41">
        <v>1987</v>
      </c>
      <c r="H804" s="41"/>
      <c r="I804" s="42"/>
      <c r="J804" s="41"/>
      <c r="K804" s="41">
        <v>36</v>
      </c>
      <c r="L804" s="43">
        <v>97401</v>
      </c>
    </row>
    <row r="805" spans="2:12" outlineLevel="2">
      <c r="B805" s="40">
        <f t="shared" si="55"/>
        <v>113</v>
      </c>
      <c r="C805" s="41" t="s">
        <v>8</v>
      </c>
      <c r="D805" s="41" t="s">
        <v>877</v>
      </c>
      <c r="E805" s="41" t="s">
        <v>893</v>
      </c>
      <c r="F805" s="41"/>
      <c r="G805" s="41">
        <v>1987</v>
      </c>
      <c r="H805" s="41"/>
      <c r="I805" s="42"/>
      <c r="J805" s="41"/>
      <c r="K805" s="41">
        <v>5</v>
      </c>
      <c r="L805" s="43">
        <v>98212</v>
      </c>
    </row>
    <row r="806" spans="2:12" outlineLevel="2">
      <c r="B806" s="40">
        <f t="shared" si="55"/>
        <v>114</v>
      </c>
      <c r="C806" s="41" t="s">
        <v>8</v>
      </c>
      <c r="D806" s="41" t="s">
        <v>894</v>
      </c>
      <c r="E806" s="41">
        <v>2919</v>
      </c>
      <c r="F806" s="41"/>
      <c r="G806" s="41">
        <v>1988</v>
      </c>
      <c r="H806" s="41"/>
      <c r="I806" s="42"/>
      <c r="J806" s="41"/>
      <c r="K806" s="41">
        <v>36</v>
      </c>
      <c r="L806" s="43">
        <v>98202</v>
      </c>
    </row>
    <row r="807" spans="2:12" outlineLevel="2">
      <c r="B807" s="40">
        <f t="shared" si="55"/>
        <v>115</v>
      </c>
      <c r="C807" s="41" t="s">
        <v>8</v>
      </c>
      <c r="D807" s="41" t="s">
        <v>895</v>
      </c>
      <c r="E807" s="41">
        <v>2326</v>
      </c>
      <c r="F807" s="41"/>
      <c r="G807" s="41">
        <v>1987</v>
      </c>
      <c r="H807" s="41"/>
      <c r="I807" s="42"/>
      <c r="J807" s="41"/>
      <c r="K807" s="41">
        <v>47</v>
      </c>
      <c r="L807" s="43">
        <v>101760</v>
      </c>
    </row>
    <row r="808" spans="2:12" outlineLevel="2">
      <c r="B808" s="40">
        <f t="shared" si="55"/>
        <v>116</v>
      </c>
      <c r="C808" s="41" t="s">
        <v>8</v>
      </c>
      <c r="D808" s="41" t="s">
        <v>871</v>
      </c>
      <c r="E808" s="41">
        <v>27193</v>
      </c>
      <c r="F808" s="41"/>
      <c r="G808" s="41">
        <v>1987</v>
      </c>
      <c r="H808" s="41"/>
      <c r="I808" s="42"/>
      <c r="J808" s="41"/>
      <c r="K808" s="41">
        <v>2</v>
      </c>
      <c r="L808" s="43">
        <v>102985</v>
      </c>
    </row>
    <row r="809" spans="2:12" outlineLevel="2">
      <c r="B809" s="40">
        <f t="shared" si="55"/>
        <v>117</v>
      </c>
      <c r="C809" s="41" t="s">
        <v>8</v>
      </c>
      <c r="D809" s="41" t="s">
        <v>877</v>
      </c>
      <c r="E809" s="41">
        <v>29333</v>
      </c>
      <c r="F809" s="41"/>
      <c r="G809" s="41">
        <v>1988</v>
      </c>
      <c r="H809" s="41"/>
      <c r="I809" s="42"/>
      <c r="J809" s="41"/>
      <c r="K809" s="41">
        <v>11</v>
      </c>
      <c r="L809" s="43">
        <v>104812</v>
      </c>
    </row>
    <row r="810" spans="2:12" outlineLevel="2">
      <c r="B810" s="40">
        <f t="shared" si="55"/>
        <v>118</v>
      </c>
      <c r="C810" s="41" t="s">
        <v>8</v>
      </c>
      <c r="D810" s="41" t="s">
        <v>877</v>
      </c>
      <c r="E810" s="41">
        <v>28754</v>
      </c>
      <c r="F810" s="41"/>
      <c r="G810" s="41">
        <v>1988</v>
      </c>
      <c r="H810" s="41"/>
      <c r="I810" s="42"/>
      <c r="J810" s="41"/>
      <c r="K810" s="41">
        <v>4</v>
      </c>
      <c r="L810" s="43">
        <v>104807</v>
      </c>
    </row>
    <row r="811" spans="2:12" outlineLevel="2">
      <c r="B811" s="40">
        <f t="shared" si="55"/>
        <v>119</v>
      </c>
      <c r="C811" s="41" t="s">
        <v>8</v>
      </c>
      <c r="D811" s="41" t="s">
        <v>172</v>
      </c>
      <c r="E811" s="41">
        <v>25813</v>
      </c>
      <c r="F811" s="41"/>
      <c r="G811" s="41">
        <v>1987</v>
      </c>
      <c r="H811" s="41"/>
      <c r="I811" s="42"/>
      <c r="J811" s="41"/>
      <c r="K811" s="41">
        <v>2</v>
      </c>
      <c r="L811" s="43">
        <v>108808</v>
      </c>
    </row>
    <row r="812" spans="2:12" outlineLevel="2">
      <c r="B812" s="40">
        <f t="shared" si="55"/>
        <v>120</v>
      </c>
      <c r="C812" s="41" t="s">
        <v>8</v>
      </c>
      <c r="D812" s="41"/>
      <c r="E812" s="41">
        <v>31396</v>
      </c>
      <c r="F812" s="41"/>
      <c r="G812" s="41">
        <v>1988</v>
      </c>
      <c r="H812" s="41"/>
      <c r="I812" s="42"/>
      <c r="J812" s="41"/>
      <c r="K812" s="41">
        <v>22</v>
      </c>
      <c r="L812" s="43">
        <v>108716</v>
      </c>
    </row>
    <row r="813" spans="2:12" outlineLevel="2">
      <c r="B813" s="40">
        <f>IF(C813="","",B812+1)</f>
        <v>121</v>
      </c>
      <c r="C813" s="41" t="s">
        <v>8</v>
      </c>
      <c r="D813" s="41"/>
      <c r="E813" s="41">
        <v>50779</v>
      </c>
      <c r="F813" s="41"/>
      <c r="G813" s="41">
        <v>1984</v>
      </c>
      <c r="H813" s="41"/>
      <c r="I813" s="42"/>
      <c r="J813" s="41"/>
      <c r="K813" s="41">
        <v>5</v>
      </c>
      <c r="L813" s="43">
        <v>109858</v>
      </c>
    </row>
    <row r="814" spans="2:12" outlineLevel="2">
      <c r="B814" s="40">
        <f t="shared" ref="B814:B830" si="56">IF(C814="","",B813+1)</f>
        <v>122</v>
      </c>
      <c r="C814" s="41" t="s">
        <v>8</v>
      </c>
      <c r="D814" s="41"/>
      <c r="E814" s="41">
        <v>144421</v>
      </c>
      <c r="F814" s="41"/>
      <c r="G814" s="41">
        <v>1984</v>
      </c>
      <c r="H814" s="41"/>
      <c r="I814" s="42"/>
      <c r="J814" s="41"/>
      <c r="K814" s="41">
        <v>30</v>
      </c>
      <c r="L814" s="43">
        <v>109856</v>
      </c>
    </row>
    <row r="815" spans="2:12" outlineLevel="2">
      <c r="B815" s="40">
        <f t="shared" si="56"/>
        <v>123</v>
      </c>
      <c r="C815" s="41" t="s">
        <v>8</v>
      </c>
      <c r="D815" s="41"/>
      <c r="E815" s="41">
        <v>27409</v>
      </c>
      <c r="F815" s="41"/>
      <c r="G815" s="41">
        <v>1987</v>
      </c>
      <c r="H815" s="41"/>
      <c r="I815" s="42"/>
      <c r="J815" s="41"/>
      <c r="K815" s="41">
        <v>11</v>
      </c>
      <c r="L815" s="43">
        <v>109816</v>
      </c>
    </row>
    <row r="816" spans="2:12" outlineLevel="2">
      <c r="B816" s="40">
        <f t="shared" si="56"/>
        <v>124</v>
      </c>
      <c r="C816" s="41" t="s">
        <v>8</v>
      </c>
      <c r="D816" s="41"/>
      <c r="E816" s="41">
        <v>181088</v>
      </c>
      <c r="F816" s="41"/>
      <c r="G816" s="41">
        <v>1977</v>
      </c>
      <c r="H816" s="41"/>
      <c r="I816" s="42"/>
      <c r="J816" s="41"/>
      <c r="K816" s="41">
        <v>5</v>
      </c>
      <c r="L816" s="43">
        <v>111435</v>
      </c>
    </row>
    <row r="817" spans="2:12" outlineLevel="2">
      <c r="B817" s="40">
        <f t="shared" si="56"/>
        <v>125</v>
      </c>
      <c r="C817" s="41" t="s">
        <v>8</v>
      </c>
      <c r="D817" s="41"/>
      <c r="E817" s="41">
        <v>156695</v>
      </c>
      <c r="F817" s="41"/>
      <c r="G817" s="41">
        <v>1984</v>
      </c>
      <c r="H817" s="41"/>
      <c r="I817" s="42"/>
      <c r="J817" s="41"/>
      <c r="K817" s="41">
        <v>5</v>
      </c>
      <c r="L817" s="43">
        <v>111427</v>
      </c>
    </row>
    <row r="818" spans="2:12" outlineLevel="2">
      <c r="B818" s="40">
        <f t="shared" si="56"/>
        <v>126</v>
      </c>
      <c r="C818" s="41" t="s">
        <v>8</v>
      </c>
      <c r="D818" s="41" t="s">
        <v>127</v>
      </c>
      <c r="E818" s="41">
        <v>26902</v>
      </c>
      <c r="F818" s="41"/>
      <c r="G818" s="41">
        <v>1987</v>
      </c>
      <c r="H818" s="41"/>
      <c r="I818" s="42"/>
      <c r="J818" s="41"/>
      <c r="K818" s="41">
        <v>2</v>
      </c>
      <c r="L818" s="43">
        <v>111424</v>
      </c>
    </row>
    <row r="819" spans="2:12" outlineLevel="2">
      <c r="B819" s="40">
        <f t="shared" si="56"/>
        <v>127</v>
      </c>
      <c r="C819" s="41" t="s">
        <v>8</v>
      </c>
      <c r="D819" s="41"/>
      <c r="E819" s="41">
        <v>22947</v>
      </c>
      <c r="F819" s="41"/>
      <c r="G819" s="41">
        <v>1986</v>
      </c>
      <c r="H819" s="41"/>
      <c r="I819" s="42"/>
      <c r="J819" s="41"/>
      <c r="K819" s="41">
        <v>6</v>
      </c>
      <c r="L819" s="43">
        <v>111416</v>
      </c>
    </row>
    <row r="820" spans="2:12" outlineLevel="2">
      <c r="B820" s="40">
        <f t="shared" si="56"/>
        <v>128</v>
      </c>
      <c r="C820" s="41" t="s">
        <v>8</v>
      </c>
      <c r="D820" s="41"/>
      <c r="E820" s="41">
        <v>1452796</v>
      </c>
      <c r="F820" s="41"/>
      <c r="G820" s="41">
        <v>1977</v>
      </c>
      <c r="H820" s="41"/>
      <c r="I820" s="42"/>
      <c r="J820" s="41"/>
      <c r="K820" s="41">
        <v>22</v>
      </c>
      <c r="L820" s="43">
        <v>111400</v>
      </c>
    </row>
    <row r="821" spans="2:12" outlineLevel="2">
      <c r="B821" s="40">
        <f t="shared" si="56"/>
        <v>129</v>
      </c>
      <c r="C821" s="41" t="s">
        <v>8</v>
      </c>
      <c r="D821" s="41"/>
      <c r="E821" s="41" t="s">
        <v>896</v>
      </c>
      <c r="F821" s="41"/>
      <c r="G821" s="41">
        <v>1983</v>
      </c>
      <c r="H821" s="41"/>
      <c r="I821" s="42"/>
      <c r="J821" s="41"/>
      <c r="K821" s="41">
        <v>8</v>
      </c>
      <c r="L821" s="43">
        <v>111384</v>
      </c>
    </row>
    <row r="822" spans="2:12" outlineLevel="2">
      <c r="B822" s="40">
        <f t="shared" si="56"/>
        <v>130</v>
      </c>
      <c r="C822" s="41" t="s">
        <v>8</v>
      </c>
      <c r="D822" s="41"/>
      <c r="E822" s="41">
        <v>670348</v>
      </c>
      <c r="F822" s="41"/>
      <c r="G822" s="41">
        <v>1967</v>
      </c>
      <c r="H822" s="41"/>
      <c r="I822" s="42"/>
      <c r="J822" s="41"/>
      <c r="K822" s="41">
        <v>5</v>
      </c>
      <c r="L822" s="43">
        <v>111381</v>
      </c>
    </row>
    <row r="823" spans="2:12" outlineLevel="2">
      <c r="B823" s="40">
        <f t="shared" si="56"/>
        <v>131</v>
      </c>
      <c r="C823" s="41" t="s">
        <v>8</v>
      </c>
      <c r="D823" s="41"/>
      <c r="E823" s="41" t="s">
        <v>897</v>
      </c>
      <c r="F823" s="41"/>
      <c r="G823" s="41">
        <v>1986</v>
      </c>
      <c r="H823" s="41"/>
      <c r="I823" s="42"/>
      <c r="J823" s="41"/>
      <c r="K823" s="41">
        <v>15</v>
      </c>
      <c r="L823" s="43">
        <v>111375</v>
      </c>
    </row>
    <row r="824" spans="2:12" outlineLevel="2">
      <c r="B824" s="40">
        <f t="shared" si="56"/>
        <v>132</v>
      </c>
      <c r="C824" s="41" t="s">
        <v>8</v>
      </c>
      <c r="D824" s="41" t="s">
        <v>898</v>
      </c>
      <c r="E824" s="41">
        <v>47052</v>
      </c>
      <c r="F824" s="41"/>
      <c r="G824" s="41">
        <v>1986</v>
      </c>
      <c r="H824" s="41"/>
      <c r="I824" s="42"/>
      <c r="J824" s="41"/>
      <c r="K824" s="41">
        <v>7</v>
      </c>
      <c r="L824" s="43">
        <v>110108</v>
      </c>
    </row>
    <row r="825" spans="2:12" outlineLevel="2">
      <c r="B825" s="40">
        <f t="shared" si="56"/>
        <v>133</v>
      </c>
      <c r="C825" s="41" t="s">
        <v>8</v>
      </c>
      <c r="D825" s="41"/>
      <c r="E825" s="41">
        <v>8610002</v>
      </c>
      <c r="F825" s="41"/>
      <c r="G825" s="41">
        <v>1985</v>
      </c>
      <c r="H825" s="41"/>
      <c r="I825" s="42"/>
      <c r="J825" s="41"/>
      <c r="K825" s="41">
        <v>11</v>
      </c>
      <c r="L825" s="43">
        <v>111915</v>
      </c>
    </row>
    <row r="826" spans="2:12" outlineLevel="2">
      <c r="B826" s="40">
        <f t="shared" si="56"/>
        <v>134</v>
      </c>
      <c r="C826" s="41" t="s">
        <v>8</v>
      </c>
      <c r="D826" s="41"/>
      <c r="E826" s="41">
        <v>30217</v>
      </c>
      <c r="F826" s="41"/>
      <c r="G826" s="41">
        <v>1988</v>
      </c>
      <c r="H826" s="41"/>
      <c r="I826" s="42"/>
      <c r="J826" s="41"/>
      <c r="K826" s="41">
        <v>15</v>
      </c>
      <c r="L826" s="43">
        <v>112009</v>
      </c>
    </row>
    <row r="827" spans="2:12" outlineLevel="2">
      <c r="B827" s="40">
        <f t="shared" si="56"/>
        <v>135</v>
      </c>
      <c r="C827" s="41" t="s">
        <v>8</v>
      </c>
      <c r="D827" s="41" t="s">
        <v>139</v>
      </c>
      <c r="E827" s="41">
        <v>32915</v>
      </c>
      <c r="F827" s="41"/>
      <c r="G827" s="41">
        <v>1969</v>
      </c>
      <c r="H827" s="41"/>
      <c r="I827" s="42"/>
      <c r="J827" s="41"/>
      <c r="K827" s="41">
        <v>7</v>
      </c>
      <c r="L827" s="43">
        <v>112008</v>
      </c>
    </row>
    <row r="828" spans="2:12" outlineLevel="2">
      <c r="B828" s="40">
        <f t="shared" si="56"/>
        <v>136</v>
      </c>
      <c r="C828" s="41" t="s">
        <v>8</v>
      </c>
      <c r="D828" s="41"/>
      <c r="E828" s="41">
        <v>28781</v>
      </c>
      <c r="F828" s="41"/>
      <c r="G828" s="41">
        <v>1978</v>
      </c>
      <c r="H828" s="41"/>
      <c r="I828" s="42"/>
      <c r="J828" s="41"/>
      <c r="K828" s="41">
        <v>8</v>
      </c>
      <c r="L828" s="43">
        <v>111986</v>
      </c>
    </row>
    <row r="829" spans="2:12" outlineLevel="2">
      <c r="B829" s="40">
        <f t="shared" si="56"/>
        <v>137</v>
      </c>
      <c r="C829" s="41" t="s">
        <v>8</v>
      </c>
      <c r="D829" s="41"/>
      <c r="E829" s="41">
        <v>65691</v>
      </c>
      <c r="F829" s="41"/>
      <c r="G829" s="41">
        <v>1971</v>
      </c>
      <c r="H829" s="41"/>
      <c r="I829" s="42"/>
      <c r="J829" s="41"/>
      <c r="K829" s="41">
        <v>2</v>
      </c>
      <c r="L829" s="43">
        <v>111974</v>
      </c>
    </row>
    <row r="830" spans="2:12" outlineLevel="2">
      <c r="B830" s="40">
        <f t="shared" si="56"/>
        <v>138</v>
      </c>
      <c r="C830" s="41" t="s">
        <v>8</v>
      </c>
      <c r="D830" s="41"/>
      <c r="E830" s="41">
        <v>157761</v>
      </c>
      <c r="F830" s="41"/>
      <c r="G830" s="41">
        <v>1988</v>
      </c>
      <c r="H830" s="41"/>
      <c r="I830" s="42"/>
      <c r="J830" s="41"/>
      <c r="K830" s="41">
        <v>11</v>
      </c>
      <c r="L830" s="43">
        <v>111966</v>
      </c>
    </row>
    <row r="831" spans="2:12" outlineLevel="2">
      <c r="B831" s="40">
        <f>IF(C831="","",B830+1)</f>
        <v>139</v>
      </c>
      <c r="C831" s="41" t="s">
        <v>8</v>
      </c>
      <c r="D831" s="41"/>
      <c r="E831" s="41" t="s">
        <v>899</v>
      </c>
      <c r="F831" s="41"/>
      <c r="G831" s="41">
        <v>1982</v>
      </c>
      <c r="H831" s="41"/>
      <c r="I831" s="42"/>
      <c r="J831" s="41"/>
      <c r="K831" s="41">
        <v>8</v>
      </c>
      <c r="L831" s="43">
        <v>111943</v>
      </c>
    </row>
    <row r="832" spans="2:12" outlineLevel="2">
      <c r="B832" s="40">
        <f t="shared" ref="B832:B847" si="57">IF(C832="","",B831+1)</f>
        <v>140</v>
      </c>
      <c r="C832" s="41" t="s">
        <v>8</v>
      </c>
      <c r="D832" s="41"/>
      <c r="E832" s="41" t="s">
        <v>900</v>
      </c>
      <c r="F832" s="41"/>
      <c r="G832" s="41">
        <v>1978</v>
      </c>
      <c r="H832" s="41"/>
      <c r="I832" s="42"/>
      <c r="J832" s="41"/>
      <c r="K832" s="41">
        <v>11</v>
      </c>
      <c r="L832" s="43">
        <v>112887</v>
      </c>
    </row>
    <row r="833" spans="2:12" outlineLevel="2">
      <c r="B833" s="40">
        <f t="shared" si="57"/>
        <v>141</v>
      </c>
      <c r="C833" s="41" t="s">
        <v>8</v>
      </c>
      <c r="D833" s="41"/>
      <c r="E833" s="41">
        <v>7258</v>
      </c>
      <c r="F833" s="41"/>
      <c r="G833" s="41">
        <v>1985</v>
      </c>
      <c r="H833" s="41"/>
      <c r="I833" s="42"/>
      <c r="J833" s="41"/>
      <c r="K833" s="41">
        <v>4</v>
      </c>
      <c r="L833" s="43">
        <v>112791</v>
      </c>
    </row>
    <row r="834" spans="2:12" outlineLevel="2">
      <c r="B834" s="40">
        <f t="shared" si="57"/>
        <v>142</v>
      </c>
      <c r="C834" s="41" t="s">
        <v>8</v>
      </c>
      <c r="D834" s="41"/>
      <c r="E834" s="41">
        <v>25918</v>
      </c>
      <c r="F834" s="41"/>
      <c r="G834" s="41">
        <v>1987</v>
      </c>
      <c r="H834" s="41"/>
      <c r="I834" s="42"/>
      <c r="J834" s="41"/>
      <c r="K834" s="41">
        <v>11</v>
      </c>
      <c r="L834" s="43">
        <v>112775</v>
      </c>
    </row>
    <row r="835" spans="2:12" outlineLevel="2">
      <c r="B835" s="40">
        <f t="shared" si="57"/>
        <v>143</v>
      </c>
      <c r="C835" s="41" t="s">
        <v>8</v>
      </c>
      <c r="D835" s="41"/>
      <c r="E835" s="41">
        <v>23721</v>
      </c>
      <c r="F835" s="41"/>
      <c r="G835" s="41">
        <v>1987</v>
      </c>
      <c r="H835" s="41"/>
      <c r="I835" s="42"/>
      <c r="J835" s="41"/>
      <c r="K835" s="41">
        <v>18</v>
      </c>
      <c r="L835" s="43">
        <v>112772</v>
      </c>
    </row>
    <row r="836" spans="2:12" outlineLevel="2">
      <c r="B836" s="40">
        <f t="shared" si="57"/>
        <v>144</v>
      </c>
      <c r="C836" s="41" t="s">
        <v>8</v>
      </c>
      <c r="D836" s="41"/>
      <c r="E836" s="41">
        <v>144589</v>
      </c>
      <c r="F836" s="41"/>
      <c r="G836" s="41">
        <v>1987</v>
      </c>
      <c r="H836" s="41"/>
      <c r="I836" s="42"/>
      <c r="J836" s="41"/>
      <c r="K836" s="41">
        <v>27</v>
      </c>
      <c r="L836" s="43">
        <v>112769</v>
      </c>
    </row>
    <row r="837" spans="2:12" outlineLevel="2">
      <c r="B837" s="40">
        <f t="shared" si="57"/>
        <v>145</v>
      </c>
      <c r="C837" s="41" t="s">
        <v>8</v>
      </c>
      <c r="D837" s="41"/>
      <c r="E837" s="41">
        <v>539383</v>
      </c>
      <c r="F837" s="41"/>
      <c r="G837" s="41">
        <v>1980</v>
      </c>
      <c r="H837" s="41"/>
      <c r="I837" s="42"/>
      <c r="J837" s="41"/>
      <c r="K837" s="41">
        <v>29</v>
      </c>
      <c r="L837" s="43">
        <v>112764</v>
      </c>
    </row>
    <row r="838" spans="2:12" outlineLevel="2">
      <c r="B838" s="40">
        <f t="shared" si="57"/>
        <v>146</v>
      </c>
      <c r="C838" s="41" t="s">
        <v>8</v>
      </c>
      <c r="D838" s="41"/>
      <c r="E838" s="41">
        <v>1452647</v>
      </c>
      <c r="F838" s="41"/>
      <c r="G838" s="41">
        <v>1977</v>
      </c>
      <c r="H838" s="41"/>
      <c r="I838" s="42"/>
      <c r="J838" s="41"/>
      <c r="K838" s="41">
        <v>17</v>
      </c>
      <c r="L838" s="43">
        <v>112757</v>
      </c>
    </row>
    <row r="839" spans="2:12" outlineLevel="2">
      <c r="B839" s="40">
        <f t="shared" si="57"/>
        <v>147</v>
      </c>
      <c r="C839" s="41" t="s">
        <v>8</v>
      </c>
      <c r="D839" s="41"/>
      <c r="E839" s="41">
        <v>146196</v>
      </c>
      <c r="F839" s="41"/>
      <c r="G839" s="41">
        <v>1974</v>
      </c>
      <c r="H839" s="41"/>
      <c r="I839" s="42"/>
      <c r="J839" s="41"/>
      <c r="K839" s="41">
        <v>22</v>
      </c>
      <c r="L839" s="43">
        <v>112746</v>
      </c>
    </row>
    <row r="840" spans="2:12" outlineLevel="2">
      <c r="B840" s="40">
        <f t="shared" si="57"/>
        <v>148</v>
      </c>
      <c r="C840" s="41" t="s">
        <v>8</v>
      </c>
      <c r="D840" s="41"/>
      <c r="E840" s="41">
        <v>47049</v>
      </c>
      <c r="F840" s="41"/>
      <c r="G840" s="41">
        <v>1986</v>
      </c>
      <c r="H840" s="41"/>
      <c r="I840" s="42"/>
      <c r="J840" s="41"/>
      <c r="K840" s="41">
        <v>6</v>
      </c>
      <c r="L840" s="43">
        <v>112736</v>
      </c>
    </row>
    <row r="841" spans="2:12" outlineLevel="2">
      <c r="B841" s="40">
        <f t="shared" si="57"/>
        <v>149</v>
      </c>
      <c r="C841" s="41" t="s">
        <v>8</v>
      </c>
      <c r="D841" s="41" t="s">
        <v>172</v>
      </c>
      <c r="E841" s="41">
        <v>14530</v>
      </c>
      <c r="F841" s="41"/>
      <c r="G841" s="41">
        <v>1977</v>
      </c>
      <c r="H841" s="41"/>
      <c r="I841" s="42"/>
      <c r="J841" s="41"/>
      <c r="K841" s="41">
        <v>48</v>
      </c>
      <c r="L841" s="43">
        <v>7097</v>
      </c>
    </row>
    <row r="842" spans="2:12" outlineLevel="2">
      <c r="B842" s="40">
        <f t="shared" si="57"/>
        <v>150</v>
      </c>
      <c r="C842" s="41" t="s">
        <v>8</v>
      </c>
      <c r="D842" s="41" t="s">
        <v>172</v>
      </c>
      <c r="E842" s="41">
        <v>587139</v>
      </c>
      <c r="F842" s="41"/>
      <c r="G842" s="41">
        <v>1982</v>
      </c>
      <c r="H842" s="41"/>
      <c r="I842" s="42"/>
      <c r="J842" s="41"/>
      <c r="K842" s="41">
        <v>8</v>
      </c>
      <c r="L842" s="43">
        <v>7093</v>
      </c>
    </row>
    <row r="843" spans="2:12" outlineLevel="2">
      <c r="B843" s="40">
        <f t="shared" si="57"/>
        <v>151</v>
      </c>
      <c r="C843" s="41" t="s">
        <v>8</v>
      </c>
      <c r="D843" s="41" t="s">
        <v>172</v>
      </c>
      <c r="E843" s="41">
        <v>7611</v>
      </c>
      <c r="F843" s="41"/>
      <c r="G843" s="41">
        <v>1975</v>
      </c>
      <c r="H843" s="41"/>
      <c r="I843" s="42"/>
      <c r="J843" s="41"/>
      <c r="K843" s="41">
        <v>16</v>
      </c>
      <c r="L843" s="43">
        <v>7041</v>
      </c>
    </row>
    <row r="844" spans="2:12" outlineLevel="2">
      <c r="B844" s="40">
        <f t="shared" si="57"/>
        <v>152</v>
      </c>
      <c r="C844" s="41" t="s">
        <v>8</v>
      </c>
      <c r="D844" s="41" t="s">
        <v>128</v>
      </c>
      <c r="E844" s="41">
        <v>14526</v>
      </c>
      <c r="F844" s="41"/>
      <c r="G844" s="41">
        <v>1977</v>
      </c>
      <c r="H844" s="41"/>
      <c r="I844" s="42"/>
      <c r="J844" s="41"/>
      <c r="K844" s="41">
        <v>30</v>
      </c>
      <c r="L844" s="43">
        <v>7038</v>
      </c>
    </row>
    <row r="845" spans="2:12" outlineLevel="2">
      <c r="B845" s="40">
        <f t="shared" si="57"/>
        <v>153</v>
      </c>
      <c r="C845" s="41" t="s">
        <v>8</v>
      </c>
      <c r="D845" s="41" t="s">
        <v>172</v>
      </c>
      <c r="E845" s="41">
        <v>9525</v>
      </c>
      <c r="F845" s="41"/>
      <c r="G845" s="41">
        <v>1983</v>
      </c>
      <c r="H845" s="41"/>
      <c r="I845" s="42"/>
      <c r="J845" s="41"/>
      <c r="K845" s="41">
        <v>192</v>
      </c>
      <c r="L845" s="43">
        <v>7064</v>
      </c>
    </row>
    <row r="846" spans="2:12" outlineLevel="2">
      <c r="B846" s="40">
        <f t="shared" si="57"/>
        <v>154</v>
      </c>
      <c r="C846" s="41" t="s">
        <v>8</v>
      </c>
      <c r="D846" s="41" t="s">
        <v>172</v>
      </c>
      <c r="E846" s="41">
        <v>5236</v>
      </c>
      <c r="F846" s="41"/>
      <c r="G846" s="41">
        <v>1985</v>
      </c>
      <c r="H846" s="41"/>
      <c r="I846" s="42"/>
      <c r="J846" s="41"/>
      <c r="K846" s="41">
        <v>4</v>
      </c>
      <c r="L846" s="43">
        <v>7052</v>
      </c>
    </row>
    <row r="847" spans="2:12" outlineLevel="2">
      <c r="B847" s="40">
        <f t="shared" si="57"/>
        <v>155</v>
      </c>
      <c r="C847" s="41" t="s">
        <v>8</v>
      </c>
      <c r="D847" s="41" t="s">
        <v>172</v>
      </c>
      <c r="E847" s="41">
        <v>146165</v>
      </c>
      <c r="F847" s="41"/>
      <c r="G847" s="41">
        <v>1974</v>
      </c>
      <c r="H847" s="41"/>
      <c r="I847" s="42"/>
      <c r="J847" s="41"/>
      <c r="K847" s="41">
        <v>3</v>
      </c>
      <c r="L847" s="43">
        <v>7050</v>
      </c>
    </row>
    <row r="848" spans="2:12" outlineLevel="2">
      <c r="B848" s="40">
        <f>IF(C848="","",B847+1)</f>
        <v>156</v>
      </c>
      <c r="C848" s="41" t="s">
        <v>8</v>
      </c>
      <c r="D848" s="41" t="s">
        <v>172</v>
      </c>
      <c r="E848" s="41" t="s">
        <v>901</v>
      </c>
      <c r="F848" s="41"/>
      <c r="G848" s="41">
        <v>1979</v>
      </c>
      <c r="H848" s="41"/>
      <c r="I848" s="42"/>
      <c r="J848" s="41"/>
      <c r="K848" s="41">
        <v>44</v>
      </c>
      <c r="L848" s="43">
        <v>7047</v>
      </c>
    </row>
    <row r="849" spans="2:12" outlineLevel="2">
      <c r="B849" s="40">
        <f t="shared" ref="B849:B863" si="58">IF(C849="","",B848+1)</f>
        <v>157</v>
      </c>
      <c r="C849" s="41" t="s">
        <v>8</v>
      </c>
      <c r="D849" s="41" t="s">
        <v>172</v>
      </c>
      <c r="E849" s="41">
        <v>82164</v>
      </c>
      <c r="F849" s="41"/>
      <c r="G849" s="41">
        <v>1988</v>
      </c>
      <c r="H849" s="41"/>
      <c r="I849" s="42"/>
      <c r="J849" s="41"/>
      <c r="K849" s="41">
        <v>2</v>
      </c>
      <c r="L849" s="43">
        <v>8470</v>
      </c>
    </row>
    <row r="850" spans="2:12" outlineLevel="2">
      <c r="B850" s="40">
        <f t="shared" si="58"/>
        <v>158</v>
      </c>
      <c r="C850" s="41" t="s">
        <v>8</v>
      </c>
      <c r="D850" s="41"/>
      <c r="E850" s="41"/>
      <c r="F850" s="41"/>
      <c r="G850" s="41"/>
      <c r="H850" s="41"/>
      <c r="I850" s="42"/>
      <c r="J850" s="41"/>
      <c r="K850" s="41"/>
      <c r="L850" s="43"/>
    </row>
    <row r="851" spans="2:12" outlineLevel="2">
      <c r="B851" s="40">
        <f t="shared" si="58"/>
        <v>159</v>
      </c>
      <c r="C851" s="41" t="s">
        <v>8</v>
      </c>
      <c r="D851" s="41"/>
      <c r="E851" s="41"/>
      <c r="F851" s="41"/>
      <c r="G851" s="41"/>
      <c r="H851" s="41"/>
      <c r="I851" s="42"/>
      <c r="J851" s="41"/>
      <c r="K851" s="41"/>
      <c r="L851" s="43"/>
    </row>
    <row r="852" spans="2:12" outlineLevel="2">
      <c r="B852" s="40">
        <f t="shared" si="58"/>
        <v>160</v>
      </c>
      <c r="C852" s="41" t="s">
        <v>8</v>
      </c>
      <c r="D852" s="41"/>
      <c r="E852" s="41"/>
      <c r="F852" s="41"/>
      <c r="G852" s="41"/>
      <c r="H852" s="41"/>
      <c r="I852" s="42"/>
      <c r="J852" s="41"/>
      <c r="K852" s="41"/>
      <c r="L852" s="43"/>
    </row>
    <row r="853" spans="2:12" outlineLevel="2">
      <c r="B853" s="40">
        <f t="shared" si="58"/>
        <v>161</v>
      </c>
      <c r="C853" s="41" t="s">
        <v>8</v>
      </c>
      <c r="D853" s="41"/>
      <c r="E853" s="41"/>
      <c r="F853" s="41"/>
      <c r="G853" s="41"/>
      <c r="H853" s="41"/>
      <c r="I853" s="42"/>
      <c r="J853" s="41"/>
      <c r="K853" s="41"/>
      <c r="L853" s="43"/>
    </row>
    <row r="854" spans="2:12" outlineLevel="2">
      <c r="B854" s="40">
        <f t="shared" si="58"/>
        <v>162</v>
      </c>
      <c r="C854" s="41" t="s">
        <v>8</v>
      </c>
      <c r="D854" s="41"/>
      <c r="E854" s="41"/>
      <c r="F854" s="41"/>
      <c r="G854" s="41"/>
      <c r="H854" s="41"/>
      <c r="I854" s="42"/>
      <c r="J854" s="41"/>
      <c r="K854" s="41"/>
      <c r="L854" s="43"/>
    </row>
    <row r="855" spans="2:12" outlineLevel="2">
      <c r="B855" s="40">
        <f t="shared" si="58"/>
        <v>163</v>
      </c>
      <c r="C855" s="41" t="s">
        <v>8</v>
      </c>
      <c r="D855" s="41"/>
      <c r="E855" s="41"/>
      <c r="F855" s="41"/>
      <c r="G855" s="41"/>
      <c r="H855" s="41"/>
      <c r="I855" s="42"/>
      <c r="J855" s="41"/>
      <c r="K855" s="41"/>
      <c r="L855" s="43"/>
    </row>
    <row r="856" spans="2:12" outlineLevel="2">
      <c r="B856" s="40">
        <f t="shared" si="58"/>
        <v>164</v>
      </c>
      <c r="C856" s="41" t="s">
        <v>8</v>
      </c>
      <c r="D856" s="41"/>
      <c r="E856" s="41"/>
      <c r="F856" s="41"/>
      <c r="G856" s="41"/>
      <c r="H856" s="41"/>
      <c r="I856" s="42"/>
      <c r="J856" s="41"/>
      <c r="K856" s="41"/>
      <c r="L856" s="43"/>
    </row>
    <row r="857" spans="2:12" outlineLevel="2">
      <c r="B857" s="40">
        <f t="shared" si="58"/>
        <v>165</v>
      </c>
      <c r="C857" s="41" t="s">
        <v>8</v>
      </c>
      <c r="D857" s="41"/>
      <c r="E857" s="41"/>
      <c r="F857" s="41"/>
      <c r="G857" s="41"/>
      <c r="H857" s="41"/>
      <c r="I857" s="42"/>
      <c r="J857" s="41"/>
      <c r="K857" s="41"/>
      <c r="L857" s="43"/>
    </row>
    <row r="858" spans="2:12" outlineLevel="2">
      <c r="B858" s="40">
        <f t="shared" si="58"/>
        <v>166</v>
      </c>
      <c r="C858" s="41" t="s">
        <v>8</v>
      </c>
      <c r="D858" s="41"/>
      <c r="E858" s="41"/>
      <c r="F858" s="41"/>
      <c r="G858" s="41"/>
      <c r="H858" s="41"/>
      <c r="I858" s="42"/>
      <c r="J858" s="41"/>
      <c r="K858" s="41"/>
      <c r="L858" s="43"/>
    </row>
    <row r="859" spans="2:12" outlineLevel="2">
      <c r="B859" s="40">
        <f t="shared" si="58"/>
        <v>167</v>
      </c>
      <c r="C859" s="41" t="s">
        <v>8</v>
      </c>
      <c r="D859" s="41"/>
      <c r="E859" s="41"/>
      <c r="F859" s="41"/>
      <c r="G859" s="41"/>
      <c r="H859" s="41"/>
      <c r="I859" s="42"/>
      <c r="J859" s="41"/>
      <c r="K859" s="41"/>
      <c r="L859" s="43"/>
    </row>
    <row r="860" spans="2:12" outlineLevel="2">
      <c r="B860" s="40">
        <f t="shared" si="58"/>
        <v>168</v>
      </c>
      <c r="C860" s="41" t="s">
        <v>8</v>
      </c>
      <c r="D860" s="41"/>
      <c r="E860" s="41"/>
      <c r="F860" s="41"/>
      <c r="G860" s="41"/>
      <c r="H860" s="41"/>
      <c r="I860" s="42"/>
      <c r="J860" s="41"/>
      <c r="K860" s="41"/>
      <c r="L860" s="43"/>
    </row>
    <row r="861" spans="2:12" outlineLevel="2">
      <c r="B861" s="40">
        <f t="shared" si="58"/>
        <v>169</v>
      </c>
      <c r="C861" s="41" t="s">
        <v>8</v>
      </c>
      <c r="D861" s="41"/>
      <c r="E861" s="41"/>
      <c r="F861" s="41"/>
      <c r="G861" s="41"/>
      <c r="H861" s="41"/>
      <c r="I861" s="42"/>
      <c r="J861" s="41"/>
      <c r="K861" s="41"/>
      <c r="L861" s="43"/>
    </row>
    <row r="862" spans="2:12" outlineLevel="2">
      <c r="B862" s="40">
        <f t="shared" si="58"/>
        <v>170</v>
      </c>
      <c r="C862" s="41" t="s">
        <v>8</v>
      </c>
      <c r="D862" s="41"/>
      <c r="E862" s="41"/>
      <c r="F862" s="41"/>
      <c r="G862" s="41"/>
      <c r="H862" s="41"/>
      <c r="I862" s="42"/>
      <c r="J862" s="41"/>
      <c r="K862" s="41"/>
      <c r="L862" s="43"/>
    </row>
    <row r="863" spans="2:12" outlineLevel="2">
      <c r="B863" s="40">
        <f t="shared" si="58"/>
        <v>171</v>
      </c>
      <c r="C863" s="41" t="s">
        <v>8</v>
      </c>
      <c r="D863" s="41"/>
      <c r="E863" s="41"/>
      <c r="F863" s="41"/>
      <c r="G863" s="41"/>
      <c r="H863" s="41"/>
      <c r="I863" s="42"/>
      <c r="J863" s="41"/>
      <c r="K863" s="41"/>
      <c r="L863" s="43"/>
    </row>
    <row r="864" spans="2:12" outlineLevel="2">
      <c r="B864" s="40">
        <f>IF(C864="","",B863+1)</f>
        <v>172</v>
      </c>
      <c r="C864" s="41" t="s">
        <v>8</v>
      </c>
      <c r="D864" s="41"/>
      <c r="E864" s="41"/>
      <c r="F864" s="41"/>
      <c r="G864" s="41"/>
      <c r="H864" s="41"/>
      <c r="I864" s="42"/>
      <c r="J864" s="41"/>
      <c r="K864" s="41"/>
      <c r="L864" s="43"/>
    </row>
    <row r="865" spans="2:12" outlineLevel="2">
      <c r="B865" s="40">
        <f t="shared" ref="B865:B874" si="59">IF(C865="","",B864+1)</f>
        <v>173</v>
      </c>
      <c r="C865" s="41" t="s">
        <v>8</v>
      </c>
      <c r="D865" s="41"/>
      <c r="E865" s="41"/>
      <c r="F865" s="41"/>
      <c r="G865" s="41"/>
      <c r="H865" s="41"/>
      <c r="I865" s="42"/>
      <c r="J865" s="41"/>
      <c r="K865" s="41"/>
      <c r="L865" s="43"/>
    </row>
    <row r="866" spans="2:12" outlineLevel="2">
      <c r="B866" s="40">
        <f t="shared" si="59"/>
        <v>174</v>
      </c>
      <c r="C866" s="41" t="s">
        <v>8</v>
      </c>
      <c r="D866" s="41"/>
      <c r="E866" s="41"/>
      <c r="F866" s="41"/>
      <c r="G866" s="41"/>
      <c r="H866" s="41"/>
      <c r="I866" s="42"/>
      <c r="J866" s="41"/>
      <c r="K866" s="41"/>
      <c r="L866" s="43"/>
    </row>
    <row r="867" spans="2:12" outlineLevel="2">
      <c r="B867" s="40">
        <f t="shared" si="59"/>
        <v>175</v>
      </c>
      <c r="C867" s="41" t="s">
        <v>8</v>
      </c>
      <c r="D867" s="41"/>
      <c r="E867" s="41"/>
      <c r="F867" s="41"/>
      <c r="G867" s="41"/>
      <c r="H867" s="41"/>
      <c r="I867" s="42"/>
      <c r="J867" s="41"/>
      <c r="K867" s="41"/>
      <c r="L867" s="43"/>
    </row>
    <row r="868" spans="2:12" outlineLevel="2">
      <c r="B868" s="40">
        <f t="shared" si="59"/>
        <v>176</v>
      </c>
      <c r="C868" s="41" t="s">
        <v>8</v>
      </c>
      <c r="D868" s="41"/>
      <c r="E868" s="41"/>
      <c r="F868" s="41"/>
      <c r="G868" s="41"/>
      <c r="H868" s="41"/>
      <c r="I868" s="42"/>
      <c r="J868" s="41"/>
      <c r="K868" s="41"/>
      <c r="L868" s="43"/>
    </row>
    <row r="869" spans="2:12" outlineLevel="2">
      <c r="B869" s="40">
        <f t="shared" si="59"/>
        <v>177</v>
      </c>
      <c r="C869" s="41" t="s">
        <v>8</v>
      </c>
      <c r="D869" s="41"/>
      <c r="E869" s="41"/>
      <c r="F869" s="41"/>
      <c r="G869" s="41"/>
      <c r="H869" s="41"/>
      <c r="I869" s="42"/>
      <c r="J869" s="41"/>
      <c r="K869" s="41"/>
      <c r="L869" s="43"/>
    </row>
    <row r="870" spans="2:12" outlineLevel="2">
      <c r="B870" s="40">
        <f t="shared" si="59"/>
        <v>178</v>
      </c>
      <c r="C870" s="41" t="s">
        <v>8</v>
      </c>
      <c r="D870" s="41"/>
      <c r="E870" s="41"/>
      <c r="F870" s="41"/>
      <c r="G870" s="41"/>
      <c r="H870" s="41"/>
      <c r="I870" s="42"/>
      <c r="J870" s="41"/>
      <c r="K870" s="41"/>
      <c r="L870" s="43"/>
    </row>
    <row r="871" spans="2:12" outlineLevel="2">
      <c r="B871" s="40">
        <f t="shared" si="59"/>
        <v>179</v>
      </c>
      <c r="C871" s="41" t="s">
        <v>8</v>
      </c>
      <c r="D871" s="41"/>
      <c r="E871" s="41"/>
      <c r="F871" s="41"/>
      <c r="G871" s="41"/>
      <c r="H871" s="41"/>
      <c r="I871" s="42"/>
      <c r="J871" s="41"/>
      <c r="K871" s="41"/>
      <c r="L871" s="43"/>
    </row>
    <row r="872" spans="2:12" outlineLevel="2">
      <c r="B872" s="40">
        <f t="shared" si="59"/>
        <v>180</v>
      </c>
      <c r="C872" s="41" t="s">
        <v>8</v>
      </c>
      <c r="D872" s="41"/>
      <c r="E872" s="41"/>
      <c r="F872" s="41"/>
      <c r="G872" s="41"/>
      <c r="H872" s="41"/>
      <c r="I872" s="42"/>
      <c r="J872" s="41"/>
      <c r="K872" s="41"/>
      <c r="L872" s="43"/>
    </row>
    <row r="873" spans="2:12" outlineLevel="2">
      <c r="B873" s="40">
        <f t="shared" si="59"/>
        <v>181</v>
      </c>
      <c r="C873" s="41" t="s">
        <v>8</v>
      </c>
      <c r="D873" s="41"/>
      <c r="E873" s="41"/>
      <c r="F873" s="41"/>
      <c r="G873" s="41"/>
      <c r="H873" s="41"/>
      <c r="I873" s="42"/>
      <c r="J873" s="41"/>
      <c r="K873" s="41"/>
      <c r="L873" s="43"/>
    </row>
    <row r="874" spans="2:12" outlineLevel="2">
      <c r="B874" s="40">
        <f t="shared" si="59"/>
        <v>182</v>
      </c>
      <c r="C874" s="41" t="s">
        <v>8</v>
      </c>
      <c r="D874" s="41"/>
      <c r="E874" s="41"/>
      <c r="F874" s="41"/>
      <c r="G874" s="41"/>
      <c r="H874" s="41"/>
      <c r="I874" s="42"/>
      <c r="J874" s="41"/>
      <c r="K874" s="41"/>
      <c r="L874" s="43"/>
    </row>
    <row r="875" spans="2:12" outlineLevel="2">
      <c r="B875" s="40">
        <f>IF(C875="","",B874+1)</f>
        <v>183</v>
      </c>
      <c r="C875" s="41" t="s">
        <v>8</v>
      </c>
      <c r="D875" s="41"/>
      <c r="E875" s="41"/>
      <c r="F875" s="41"/>
      <c r="G875" s="41"/>
      <c r="H875" s="41"/>
      <c r="I875" s="42"/>
      <c r="J875" s="41"/>
      <c r="K875" s="41"/>
      <c r="L875" s="43"/>
    </row>
    <row r="876" spans="2:12" outlineLevel="2">
      <c r="B876" s="40">
        <f t="shared" ref="B876:B892" si="60">IF(C876="","",B875+1)</f>
        <v>184</v>
      </c>
      <c r="C876" s="41" t="s">
        <v>8</v>
      </c>
      <c r="D876" s="41"/>
      <c r="E876" s="41"/>
      <c r="F876" s="41"/>
      <c r="G876" s="41"/>
      <c r="H876" s="41"/>
      <c r="I876" s="42"/>
      <c r="J876" s="41"/>
      <c r="K876" s="41"/>
      <c r="L876" s="43"/>
    </row>
    <row r="877" spans="2:12" outlineLevel="2">
      <c r="B877" s="40">
        <f t="shared" si="60"/>
        <v>185</v>
      </c>
      <c r="C877" s="41" t="s">
        <v>8</v>
      </c>
      <c r="D877" s="41"/>
      <c r="E877" s="41"/>
      <c r="F877" s="41"/>
      <c r="G877" s="41"/>
      <c r="H877" s="41"/>
      <c r="I877" s="42"/>
      <c r="J877" s="41"/>
      <c r="K877" s="41"/>
      <c r="L877" s="43"/>
    </row>
    <row r="878" spans="2:12" outlineLevel="2">
      <c r="B878" s="40">
        <f t="shared" si="60"/>
        <v>186</v>
      </c>
      <c r="C878" s="41" t="s">
        <v>8</v>
      </c>
      <c r="D878" s="41"/>
      <c r="E878" s="41"/>
      <c r="F878" s="41"/>
      <c r="G878" s="41"/>
      <c r="H878" s="41"/>
      <c r="I878" s="42"/>
      <c r="J878" s="41"/>
      <c r="K878" s="41"/>
      <c r="L878" s="43"/>
    </row>
    <row r="879" spans="2:12" outlineLevel="2">
      <c r="B879" s="40">
        <f t="shared" si="60"/>
        <v>187</v>
      </c>
      <c r="C879" s="41" t="s">
        <v>8</v>
      </c>
      <c r="D879" s="41"/>
      <c r="E879" s="41"/>
      <c r="F879" s="41"/>
      <c r="G879" s="41"/>
      <c r="H879" s="41"/>
      <c r="I879" s="42"/>
      <c r="J879" s="41"/>
      <c r="K879" s="41"/>
      <c r="L879" s="43"/>
    </row>
    <row r="880" spans="2:12" outlineLevel="2">
      <c r="B880" s="40">
        <f t="shared" si="60"/>
        <v>188</v>
      </c>
      <c r="C880" s="41" t="s">
        <v>8</v>
      </c>
      <c r="D880" s="41"/>
      <c r="E880" s="41"/>
      <c r="F880" s="41"/>
      <c r="G880" s="41"/>
      <c r="H880" s="41"/>
      <c r="I880" s="42"/>
      <c r="J880" s="41"/>
      <c r="K880" s="41"/>
      <c r="L880" s="43"/>
    </row>
    <row r="881" spans="2:12" outlineLevel="2">
      <c r="B881" s="40">
        <f t="shared" si="60"/>
        <v>189</v>
      </c>
      <c r="C881" s="41" t="s">
        <v>8</v>
      </c>
      <c r="D881" s="41"/>
      <c r="E881" s="41"/>
      <c r="F881" s="41"/>
      <c r="G881" s="41"/>
      <c r="H881" s="41"/>
      <c r="I881" s="42"/>
      <c r="J881" s="41"/>
      <c r="K881" s="41"/>
      <c r="L881" s="43"/>
    </row>
    <row r="882" spans="2:12" outlineLevel="2">
      <c r="B882" s="40">
        <f t="shared" si="60"/>
        <v>190</v>
      </c>
      <c r="C882" s="41" t="s">
        <v>8</v>
      </c>
      <c r="D882" s="41"/>
      <c r="E882" s="41"/>
      <c r="F882" s="41"/>
      <c r="G882" s="41"/>
      <c r="H882" s="41"/>
      <c r="I882" s="42"/>
      <c r="J882" s="41"/>
      <c r="K882" s="41"/>
      <c r="L882" s="43"/>
    </row>
    <row r="883" spans="2:12" outlineLevel="2">
      <c r="B883" s="40">
        <f t="shared" si="60"/>
        <v>191</v>
      </c>
      <c r="C883" s="41" t="s">
        <v>8</v>
      </c>
      <c r="D883" s="41"/>
      <c r="E883" s="41"/>
      <c r="F883" s="41"/>
      <c r="G883" s="41"/>
      <c r="H883" s="41"/>
      <c r="I883" s="42"/>
      <c r="J883" s="41"/>
      <c r="K883" s="41"/>
      <c r="L883" s="43"/>
    </row>
    <row r="884" spans="2:12" outlineLevel="2">
      <c r="B884" s="40">
        <f t="shared" si="60"/>
        <v>192</v>
      </c>
      <c r="C884" s="41" t="s">
        <v>8</v>
      </c>
      <c r="D884" s="41"/>
      <c r="E884" s="41"/>
      <c r="F884" s="41"/>
      <c r="G884" s="41"/>
      <c r="H884" s="41"/>
      <c r="I884" s="42"/>
      <c r="J884" s="41"/>
      <c r="K884" s="41"/>
      <c r="L884" s="43"/>
    </row>
    <row r="885" spans="2:12" outlineLevel="2">
      <c r="B885" s="40">
        <f t="shared" si="60"/>
        <v>193</v>
      </c>
      <c r="C885" s="41" t="s">
        <v>8</v>
      </c>
      <c r="D885" s="41"/>
      <c r="E885" s="41"/>
      <c r="F885" s="41"/>
      <c r="G885" s="41"/>
      <c r="H885" s="41"/>
      <c r="I885" s="42"/>
      <c r="J885" s="41"/>
      <c r="K885" s="41"/>
      <c r="L885" s="43"/>
    </row>
    <row r="886" spans="2:12" outlineLevel="2">
      <c r="B886" s="40">
        <f t="shared" si="60"/>
        <v>194</v>
      </c>
      <c r="C886" s="41" t="s">
        <v>8</v>
      </c>
      <c r="D886" s="41"/>
      <c r="E886" s="41"/>
      <c r="F886" s="41"/>
      <c r="G886" s="41"/>
      <c r="H886" s="41"/>
      <c r="I886" s="42"/>
      <c r="J886" s="41"/>
      <c r="K886" s="41"/>
      <c r="L886" s="43"/>
    </row>
    <row r="887" spans="2:12" outlineLevel="2">
      <c r="B887" s="40">
        <f t="shared" si="60"/>
        <v>195</v>
      </c>
      <c r="C887" s="41" t="s">
        <v>8</v>
      </c>
      <c r="D887" s="41"/>
      <c r="E887" s="41"/>
      <c r="F887" s="41"/>
      <c r="G887" s="41"/>
      <c r="H887" s="41"/>
      <c r="I887" s="42"/>
      <c r="J887" s="41"/>
      <c r="K887" s="41"/>
      <c r="L887" s="43"/>
    </row>
    <row r="888" spans="2:12" outlineLevel="2">
      <c r="B888" s="40">
        <f t="shared" si="60"/>
        <v>196</v>
      </c>
      <c r="C888" s="41" t="s">
        <v>8</v>
      </c>
      <c r="D888" s="41"/>
      <c r="E888" s="41"/>
      <c r="F888" s="41"/>
      <c r="G888" s="41"/>
      <c r="H888" s="41"/>
      <c r="I888" s="42"/>
      <c r="J888" s="41"/>
      <c r="K888" s="41"/>
      <c r="L888" s="43"/>
    </row>
    <row r="889" spans="2:12" outlineLevel="2">
      <c r="B889" s="40">
        <f t="shared" si="60"/>
        <v>197</v>
      </c>
      <c r="C889" s="41" t="s">
        <v>8</v>
      </c>
      <c r="D889" s="41"/>
      <c r="E889" s="41"/>
      <c r="F889" s="41"/>
      <c r="G889" s="41"/>
      <c r="H889" s="41"/>
      <c r="I889" s="42"/>
      <c r="J889" s="41"/>
      <c r="K889" s="41"/>
      <c r="L889" s="43"/>
    </row>
    <row r="890" spans="2:12" outlineLevel="2">
      <c r="B890" s="40">
        <f t="shared" si="60"/>
        <v>198</v>
      </c>
      <c r="C890" s="41" t="s">
        <v>8</v>
      </c>
      <c r="D890" s="41"/>
      <c r="E890" s="41"/>
      <c r="F890" s="41"/>
      <c r="G890" s="41"/>
      <c r="H890" s="41"/>
      <c r="I890" s="42"/>
      <c r="J890" s="41"/>
      <c r="K890" s="41"/>
      <c r="L890" s="43"/>
    </row>
    <row r="891" spans="2:12" outlineLevel="2">
      <c r="B891" s="40">
        <f t="shared" si="60"/>
        <v>199</v>
      </c>
      <c r="C891" s="41" t="s">
        <v>8</v>
      </c>
      <c r="D891" s="41"/>
      <c r="E891" s="41"/>
      <c r="F891" s="41"/>
      <c r="G891" s="41"/>
      <c r="H891" s="41"/>
      <c r="I891" s="42"/>
      <c r="J891" s="41"/>
      <c r="K891" s="41"/>
      <c r="L891" s="43"/>
    </row>
    <row r="892" spans="2:12" outlineLevel="2">
      <c r="B892" s="40">
        <f t="shared" si="60"/>
        <v>200</v>
      </c>
      <c r="C892" s="41" t="s">
        <v>8</v>
      </c>
      <c r="D892" s="41"/>
      <c r="E892" s="41"/>
      <c r="F892" s="41"/>
      <c r="G892" s="41"/>
      <c r="H892" s="41"/>
      <c r="I892" s="42"/>
      <c r="J892" s="41"/>
      <c r="K892" s="41"/>
      <c r="L892" s="43"/>
    </row>
    <row r="893" spans="2:12" outlineLevel="2">
      <c r="B893" s="40">
        <f>IF(C893="","",B892+1)</f>
        <v>201</v>
      </c>
      <c r="C893" s="41" t="s">
        <v>8</v>
      </c>
      <c r="D893" s="41"/>
      <c r="E893" s="41"/>
      <c r="F893" s="41"/>
      <c r="G893" s="41"/>
      <c r="H893" s="41"/>
      <c r="I893" s="42"/>
      <c r="J893" s="41"/>
      <c r="K893" s="41"/>
      <c r="L893" s="43"/>
    </row>
    <row r="894" spans="2:12" outlineLevel="2">
      <c r="B894" s="40">
        <f t="shared" ref="B894:B904" si="61">IF(C894="","",B893+1)</f>
        <v>202</v>
      </c>
      <c r="C894" s="41" t="s">
        <v>8</v>
      </c>
      <c r="D894" s="41"/>
      <c r="E894" s="41"/>
      <c r="F894" s="41"/>
      <c r="G894" s="41"/>
      <c r="H894" s="41"/>
      <c r="I894" s="42"/>
      <c r="J894" s="41"/>
      <c r="K894" s="41"/>
      <c r="L894" s="43"/>
    </row>
    <row r="895" spans="2:12" outlineLevel="2">
      <c r="B895" s="40">
        <f t="shared" si="61"/>
        <v>203</v>
      </c>
      <c r="C895" s="41" t="s">
        <v>8</v>
      </c>
      <c r="D895" s="41"/>
      <c r="E895" s="41"/>
      <c r="F895" s="41"/>
      <c r="G895" s="41"/>
      <c r="H895" s="41"/>
      <c r="I895" s="42"/>
      <c r="J895" s="41"/>
      <c r="K895" s="41"/>
      <c r="L895" s="43"/>
    </row>
    <row r="896" spans="2:12" outlineLevel="2">
      <c r="B896" s="40">
        <f t="shared" si="61"/>
        <v>204</v>
      </c>
      <c r="C896" s="41" t="s">
        <v>8</v>
      </c>
      <c r="D896" s="41"/>
      <c r="E896" s="41"/>
      <c r="F896" s="41"/>
      <c r="G896" s="41"/>
      <c r="H896" s="41"/>
      <c r="I896" s="42"/>
      <c r="J896" s="41"/>
      <c r="K896" s="41"/>
      <c r="L896" s="43"/>
    </row>
    <row r="897" spans="2:12" outlineLevel="2">
      <c r="B897" s="40">
        <f t="shared" si="61"/>
        <v>205</v>
      </c>
      <c r="C897" s="41" t="s">
        <v>8</v>
      </c>
      <c r="D897" s="41"/>
      <c r="E897" s="41"/>
      <c r="F897" s="41"/>
      <c r="G897" s="41"/>
      <c r="H897" s="41"/>
      <c r="I897" s="42"/>
      <c r="J897" s="41"/>
      <c r="K897" s="41"/>
      <c r="L897" s="43"/>
    </row>
    <row r="898" spans="2:12" outlineLevel="2">
      <c r="B898" s="40">
        <f t="shared" si="61"/>
        <v>206</v>
      </c>
      <c r="C898" s="41" t="s">
        <v>8</v>
      </c>
      <c r="D898" s="41"/>
      <c r="E898" s="41"/>
      <c r="F898" s="41"/>
      <c r="G898" s="41"/>
      <c r="H898" s="41"/>
      <c r="I898" s="42"/>
      <c r="J898" s="41"/>
      <c r="K898" s="41"/>
      <c r="L898" s="43"/>
    </row>
    <row r="899" spans="2:12" outlineLevel="2">
      <c r="B899" s="40">
        <f t="shared" si="61"/>
        <v>207</v>
      </c>
      <c r="C899" s="41" t="s">
        <v>8</v>
      </c>
      <c r="D899" s="41"/>
      <c r="E899" s="41"/>
      <c r="F899" s="41"/>
      <c r="G899" s="41"/>
      <c r="H899" s="41"/>
      <c r="I899" s="42"/>
      <c r="J899" s="41"/>
      <c r="K899" s="41"/>
      <c r="L899" s="43"/>
    </row>
    <row r="900" spans="2:12" outlineLevel="2">
      <c r="B900" s="40">
        <f t="shared" si="61"/>
        <v>208</v>
      </c>
      <c r="C900" s="41" t="s">
        <v>8</v>
      </c>
      <c r="D900" s="41"/>
      <c r="E900" s="41"/>
      <c r="F900" s="41"/>
      <c r="G900" s="41"/>
      <c r="H900" s="41"/>
      <c r="I900" s="42"/>
      <c r="J900" s="41"/>
      <c r="K900" s="41"/>
      <c r="L900" s="43"/>
    </row>
    <row r="901" spans="2:12" outlineLevel="2">
      <c r="B901" s="40">
        <f t="shared" si="61"/>
        <v>209</v>
      </c>
      <c r="C901" s="41" t="s">
        <v>8</v>
      </c>
      <c r="D901" s="41"/>
      <c r="E901" s="41"/>
      <c r="F901" s="41"/>
      <c r="G901" s="41"/>
      <c r="H901" s="41"/>
      <c r="I901" s="42"/>
      <c r="J901" s="41"/>
      <c r="K901" s="41"/>
      <c r="L901" s="43"/>
    </row>
    <row r="902" spans="2:12" outlineLevel="2">
      <c r="B902" s="40">
        <f t="shared" si="61"/>
        <v>210</v>
      </c>
      <c r="C902" s="41" t="s">
        <v>8</v>
      </c>
      <c r="D902" s="41"/>
      <c r="E902" s="41"/>
      <c r="F902" s="41"/>
      <c r="G902" s="41"/>
      <c r="H902" s="41"/>
      <c r="I902" s="42"/>
      <c r="J902" s="41"/>
      <c r="K902" s="41"/>
      <c r="L902" s="43"/>
    </row>
    <row r="903" spans="2:12" outlineLevel="2">
      <c r="B903" s="40">
        <f t="shared" si="61"/>
        <v>211</v>
      </c>
      <c r="C903" s="41" t="s">
        <v>8</v>
      </c>
      <c r="D903" s="41"/>
      <c r="E903" s="41"/>
      <c r="F903" s="41"/>
      <c r="G903" s="41"/>
      <c r="H903" s="41"/>
      <c r="I903" s="42"/>
      <c r="J903" s="41"/>
      <c r="K903" s="41"/>
      <c r="L903" s="43"/>
    </row>
    <row r="904" spans="2:12" outlineLevel="2">
      <c r="B904" s="40">
        <f t="shared" si="61"/>
        <v>212</v>
      </c>
      <c r="C904" s="41" t="s">
        <v>8</v>
      </c>
      <c r="D904" s="41"/>
      <c r="E904" s="41"/>
      <c r="F904" s="41"/>
      <c r="G904" s="41"/>
      <c r="H904" s="41"/>
      <c r="I904" s="42"/>
      <c r="J904" s="41"/>
      <c r="K904" s="41"/>
      <c r="L904" s="43"/>
    </row>
    <row r="905" spans="2:12" outlineLevel="2">
      <c r="B905" s="40">
        <f>IF(C905="","",B904+1)</f>
        <v>213</v>
      </c>
      <c r="C905" s="41" t="s">
        <v>8</v>
      </c>
      <c r="D905" s="41"/>
      <c r="E905" s="41"/>
      <c r="F905" s="41"/>
      <c r="G905" s="41"/>
      <c r="H905" s="41"/>
      <c r="I905" s="42"/>
      <c r="J905" s="41"/>
      <c r="K905" s="41"/>
      <c r="L905" s="43"/>
    </row>
    <row r="906" spans="2:12" outlineLevel="2">
      <c r="B906" s="40">
        <f t="shared" ref="B906:B912" si="62">IF(C906="","",B905+1)</f>
        <v>214</v>
      </c>
      <c r="C906" s="41" t="s">
        <v>8</v>
      </c>
      <c r="D906" s="41"/>
      <c r="E906" s="41"/>
      <c r="F906" s="41"/>
      <c r="G906" s="41"/>
      <c r="H906" s="41"/>
      <c r="I906" s="42"/>
      <c r="J906" s="41"/>
      <c r="K906" s="41"/>
      <c r="L906" s="43"/>
    </row>
    <row r="907" spans="2:12" outlineLevel="2">
      <c r="B907" s="40">
        <f t="shared" si="62"/>
        <v>215</v>
      </c>
      <c r="C907" s="41" t="s">
        <v>8</v>
      </c>
      <c r="D907" s="41"/>
      <c r="E907" s="41"/>
      <c r="F907" s="41"/>
      <c r="G907" s="41"/>
      <c r="H907" s="41"/>
      <c r="I907" s="42"/>
      <c r="J907" s="41"/>
      <c r="K907" s="41"/>
      <c r="L907" s="43"/>
    </row>
    <row r="908" spans="2:12" outlineLevel="2">
      <c r="B908" s="40">
        <f t="shared" si="62"/>
        <v>216</v>
      </c>
      <c r="C908" s="41" t="s">
        <v>8</v>
      </c>
      <c r="D908" s="41"/>
      <c r="E908" s="41"/>
      <c r="F908" s="41"/>
      <c r="G908" s="41"/>
      <c r="H908" s="41"/>
      <c r="I908" s="42"/>
      <c r="J908" s="41"/>
      <c r="K908" s="41"/>
      <c r="L908" s="43"/>
    </row>
    <row r="909" spans="2:12" outlineLevel="2">
      <c r="B909" s="40">
        <f t="shared" si="62"/>
        <v>217</v>
      </c>
      <c r="C909" s="41" t="s">
        <v>8</v>
      </c>
      <c r="D909" s="41"/>
      <c r="E909" s="41"/>
      <c r="F909" s="41"/>
      <c r="G909" s="41"/>
      <c r="H909" s="41"/>
      <c r="I909" s="42"/>
      <c r="J909" s="41"/>
      <c r="K909" s="41"/>
      <c r="L909" s="43"/>
    </row>
    <row r="910" spans="2:12" outlineLevel="2">
      <c r="B910" s="40">
        <f t="shared" si="62"/>
        <v>218</v>
      </c>
      <c r="C910" s="41" t="s">
        <v>8</v>
      </c>
      <c r="D910" s="41"/>
      <c r="E910" s="41"/>
      <c r="F910" s="41"/>
      <c r="G910" s="41"/>
      <c r="H910" s="41"/>
      <c r="I910" s="42"/>
      <c r="J910" s="41"/>
      <c r="K910" s="41"/>
      <c r="L910" s="43"/>
    </row>
    <row r="911" spans="2:12" outlineLevel="2">
      <c r="B911" s="40">
        <f t="shared" si="62"/>
        <v>219</v>
      </c>
      <c r="C911" s="41" t="s">
        <v>8</v>
      </c>
      <c r="D911" s="41"/>
      <c r="E911" s="41"/>
      <c r="F911" s="41"/>
      <c r="G911" s="41"/>
      <c r="H911" s="41"/>
      <c r="I911" s="42"/>
      <c r="J911" s="41"/>
      <c r="K911" s="41"/>
      <c r="L911" s="43"/>
    </row>
    <row r="912" spans="2:12" outlineLevel="2">
      <c r="B912" s="40">
        <f t="shared" si="62"/>
        <v>220</v>
      </c>
      <c r="C912" s="41" t="s">
        <v>8</v>
      </c>
      <c r="D912" s="41"/>
      <c r="E912" s="41"/>
      <c r="F912" s="41"/>
      <c r="G912" s="41"/>
      <c r="H912" s="41"/>
      <c r="I912" s="42"/>
      <c r="J912" s="41"/>
      <c r="K912" s="41"/>
      <c r="L912" s="43"/>
    </row>
    <row r="913" spans="2:12" outlineLevel="2">
      <c r="B913" s="40">
        <f>IF(C913="","",B912+1)</f>
        <v>221</v>
      </c>
      <c r="C913" s="41" t="s">
        <v>8</v>
      </c>
      <c r="D913" s="41"/>
      <c r="E913" s="41"/>
      <c r="F913" s="41"/>
      <c r="G913" s="41"/>
      <c r="H913" s="41"/>
      <c r="I913" s="42"/>
      <c r="J913" s="41"/>
      <c r="K913" s="41"/>
      <c r="L913" s="43"/>
    </row>
    <row r="914" spans="2:12" outlineLevel="2">
      <c r="B914" s="40">
        <f t="shared" ref="B914:B920" si="63">IF(C914="","",B913+1)</f>
        <v>222</v>
      </c>
      <c r="C914" s="41" t="s">
        <v>8</v>
      </c>
      <c r="D914" s="41"/>
      <c r="E914" s="41"/>
      <c r="F914" s="41"/>
      <c r="G914" s="41"/>
      <c r="H914" s="41"/>
      <c r="I914" s="42"/>
      <c r="J914" s="41"/>
      <c r="K914" s="41"/>
      <c r="L914" s="43"/>
    </row>
    <row r="915" spans="2:12" outlineLevel="2">
      <c r="B915" s="40">
        <f t="shared" si="63"/>
        <v>223</v>
      </c>
      <c r="C915" s="41" t="s">
        <v>8</v>
      </c>
      <c r="D915" s="41"/>
      <c r="E915" s="41"/>
      <c r="F915" s="41"/>
      <c r="G915" s="41"/>
      <c r="H915" s="41"/>
      <c r="I915" s="42"/>
      <c r="J915" s="41"/>
      <c r="K915" s="41"/>
      <c r="L915" s="43"/>
    </row>
    <row r="916" spans="2:12" outlineLevel="2">
      <c r="B916" s="40">
        <f t="shared" si="63"/>
        <v>224</v>
      </c>
      <c r="C916" s="41" t="s">
        <v>8</v>
      </c>
      <c r="D916" s="41"/>
      <c r="E916" s="41"/>
      <c r="F916" s="41"/>
      <c r="G916" s="41"/>
      <c r="H916" s="41"/>
      <c r="I916" s="42"/>
      <c r="J916" s="41"/>
      <c r="K916" s="41"/>
      <c r="L916" s="43"/>
    </row>
    <row r="917" spans="2:12" outlineLevel="2">
      <c r="B917" s="40">
        <f t="shared" si="63"/>
        <v>225</v>
      </c>
      <c r="C917" s="41" t="s">
        <v>8</v>
      </c>
      <c r="D917" s="41"/>
      <c r="E917" s="41"/>
      <c r="F917" s="41"/>
      <c r="G917" s="41"/>
      <c r="H917" s="41"/>
      <c r="I917" s="42"/>
      <c r="J917" s="41"/>
      <c r="K917" s="41"/>
      <c r="L917" s="43"/>
    </row>
    <row r="918" spans="2:12" outlineLevel="2">
      <c r="B918" s="40">
        <f t="shared" si="63"/>
        <v>226</v>
      </c>
      <c r="C918" s="41" t="s">
        <v>8</v>
      </c>
      <c r="D918" s="41"/>
      <c r="E918" s="41"/>
      <c r="F918" s="41"/>
      <c r="G918" s="41"/>
      <c r="H918" s="41"/>
      <c r="I918" s="42"/>
      <c r="J918" s="41"/>
      <c r="K918" s="41"/>
      <c r="L918" s="43"/>
    </row>
    <row r="919" spans="2:12" outlineLevel="2">
      <c r="B919" s="40">
        <f t="shared" si="63"/>
        <v>227</v>
      </c>
      <c r="C919" s="41" t="s">
        <v>8</v>
      </c>
      <c r="D919" s="41"/>
      <c r="E919" s="41"/>
      <c r="F919" s="41"/>
      <c r="G919" s="41"/>
      <c r="H919" s="41"/>
      <c r="I919" s="42"/>
      <c r="J919" s="41"/>
      <c r="K919" s="41"/>
      <c r="L919" s="43"/>
    </row>
    <row r="920" spans="2:12" outlineLevel="2">
      <c r="B920" s="40">
        <f t="shared" si="63"/>
        <v>228</v>
      </c>
      <c r="C920" s="41" t="s">
        <v>8</v>
      </c>
      <c r="D920" s="41"/>
      <c r="E920" s="41"/>
      <c r="F920" s="41"/>
      <c r="G920" s="41"/>
      <c r="H920" s="41"/>
      <c r="I920" s="42"/>
      <c r="J920" s="41"/>
      <c r="K920" s="41"/>
      <c r="L920" s="43"/>
    </row>
    <row r="921" spans="2:12" outlineLevel="1">
      <c r="B921" s="59" t="s">
        <v>195</v>
      </c>
      <c r="C921" s="41">
        <f>SUBTOTAL(3,C693:C920)</f>
        <v>228</v>
      </c>
      <c r="D921" s="41"/>
      <c r="E921" s="41"/>
      <c r="F921" s="41"/>
      <c r="G921" s="41"/>
      <c r="H921" s="41"/>
      <c r="I921" s="42"/>
      <c r="J921" s="41"/>
      <c r="K921" s="41"/>
      <c r="L921" s="43"/>
    </row>
    <row r="922" spans="2:12" outlineLevel="2">
      <c r="B922" s="40">
        <f>IF(C922="","",ROW(A1))</f>
        <v>1</v>
      </c>
      <c r="C922" s="41" t="s">
        <v>9</v>
      </c>
      <c r="D922" s="41" t="s">
        <v>128</v>
      </c>
      <c r="E922" s="41">
        <v>900629</v>
      </c>
      <c r="F922" s="41"/>
      <c r="G922" s="41"/>
      <c r="H922" s="41"/>
      <c r="I922" s="42"/>
      <c r="J922" s="41"/>
      <c r="K922" s="42"/>
      <c r="L922" s="41"/>
    </row>
    <row r="923" spans="2:12" outlineLevel="2">
      <c r="B923" s="40">
        <f>IF(C923="","",B922+1)</f>
        <v>2</v>
      </c>
      <c r="C923" s="41" t="s">
        <v>9</v>
      </c>
      <c r="D923" s="41" t="s">
        <v>167</v>
      </c>
      <c r="E923" s="41">
        <v>102084</v>
      </c>
      <c r="F923" s="41"/>
      <c r="G923" s="41"/>
      <c r="H923" s="41"/>
      <c r="I923" s="42"/>
      <c r="J923" s="41"/>
      <c r="K923" s="42"/>
      <c r="L923" s="41"/>
    </row>
    <row r="924" spans="2:12" outlineLevel="2">
      <c r="B924" s="40">
        <f t="shared" ref="B924:B987" si="64">IF(C924="","",B923+1)</f>
        <v>3</v>
      </c>
      <c r="C924" s="41" t="s">
        <v>9</v>
      </c>
      <c r="D924" s="41" t="s">
        <v>130</v>
      </c>
      <c r="E924" s="41">
        <v>13869</v>
      </c>
      <c r="F924" s="41"/>
      <c r="G924" s="41"/>
      <c r="H924" s="41"/>
      <c r="I924" s="42"/>
      <c r="J924" s="41"/>
      <c r="K924" s="42"/>
      <c r="L924" s="41"/>
    </row>
    <row r="925" spans="2:12" outlineLevel="2">
      <c r="B925" s="40">
        <f t="shared" si="64"/>
        <v>4</v>
      </c>
      <c r="C925" s="41" t="s">
        <v>9</v>
      </c>
      <c r="D925" s="41" t="s">
        <v>191</v>
      </c>
      <c r="E925" s="41">
        <v>35674</v>
      </c>
      <c r="F925" s="41"/>
      <c r="G925" s="41"/>
      <c r="H925" s="41"/>
      <c r="I925" s="42"/>
      <c r="J925" s="41"/>
      <c r="K925" s="42"/>
      <c r="L925" s="41"/>
    </row>
    <row r="926" spans="2:12" outlineLevel="2">
      <c r="B926" s="40">
        <f t="shared" si="64"/>
        <v>5</v>
      </c>
      <c r="C926" s="41" t="s">
        <v>9</v>
      </c>
      <c r="D926" s="41" t="s">
        <v>129</v>
      </c>
      <c r="E926" s="41">
        <v>32917</v>
      </c>
      <c r="F926" s="41"/>
      <c r="G926" s="41"/>
      <c r="H926" s="41"/>
      <c r="I926" s="42"/>
      <c r="J926" s="41"/>
      <c r="K926" s="42"/>
      <c r="L926" s="41"/>
    </row>
    <row r="927" spans="2:12" outlineLevel="2">
      <c r="B927" s="40">
        <f t="shared" si="64"/>
        <v>6</v>
      </c>
      <c r="C927" s="41" t="s">
        <v>9</v>
      </c>
      <c r="D927" s="41" t="s">
        <v>191</v>
      </c>
      <c r="E927" s="41">
        <v>154792</v>
      </c>
      <c r="F927" s="41"/>
      <c r="G927" s="41"/>
      <c r="H927" s="41"/>
      <c r="I927" s="42"/>
      <c r="J927" s="41"/>
      <c r="K927" s="42"/>
      <c r="L927" s="41"/>
    </row>
    <row r="928" spans="2:12" outlineLevel="2">
      <c r="B928" s="40">
        <f t="shared" si="64"/>
        <v>7</v>
      </c>
      <c r="C928" s="41" t="s">
        <v>9</v>
      </c>
      <c r="D928" s="41" t="s">
        <v>129</v>
      </c>
      <c r="E928" s="41">
        <v>146157</v>
      </c>
      <c r="F928" s="41"/>
      <c r="G928" s="41"/>
      <c r="H928" s="41"/>
      <c r="I928" s="42"/>
      <c r="J928" s="41"/>
      <c r="K928" s="42"/>
      <c r="L928" s="41"/>
    </row>
    <row r="929" spans="2:12" outlineLevel="2">
      <c r="B929" s="40">
        <f t="shared" si="64"/>
        <v>8</v>
      </c>
      <c r="C929" s="41" t="s">
        <v>9</v>
      </c>
      <c r="D929" s="41" t="e">
        <v>#N/A</v>
      </c>
      <c r="E929" s="41" t="s">
        <v>902</v>
      </c>
      <c r="F929" s="41"/>
      <c r="G929" s="41"/>
      <c r="H929" s="41"/>
      <c r="I929" s="42"/>
      <c r="J929" s="41"/>
      <c r="K929" s="42"/>
      <c r="L929" s="41"/>
    </row>
    <row r="930" spans="2:12" outlineLevel="2">
      <c r="B930" s="40">
        <f t="shared" si="64"/>
        <v>9</v>
      </c>
      <c r="C930" s="41" t="s">
        <v>9</v>
      </c>
      <c r="D930" s="41" t="e">
        <v>#N/A</v>
      </c>
      <c r="E930" s="41">
        <v>120376</v>
      </c>
      <c r="F930" s="41"/>
      <c r="G930" s="41"/>
      <c r="H930" s="41"/>
      <c r="I930" s="42"/>
      <c r="J930" s="41"/>
      <c r="K930" s="42"/>
      <c r="L930" s="41"/>
    </row>
    <row r="931" spans="2:12" outlineLevel="2">
      <c r="B931" s="40">
        <f t="shared" si="64"/>
        <v>10</v>
      </c>
      <c r="C931" s="41" t="s">
        <v>9</v>
      </c>
      <c r="D931" s="41" t="s">
        <v>167</v>
      </c>
      <c r="E931" s="41">
        <v>116272</v>
      </c>
      <c r="F931" s="41"/>
      <c r="G931" s="41"/>
      <c r="H931" s="41"/>
      <c r="I931" s="42"/>
      <c r="J931" s="41"/>
      <c r="K931" s="42"/>
      <c r="L931" s="41"/>
    </row>
    <row r="932" spans="2:12" outlineLevel="2">
      <c r="B932" s="40">
        <f t="shared" si="64"/>
        <v>11</v>
      </c>
      <c r="C932" s="41" t="s">
        <v>9</v>
      </c>
      <c r="D932" s="41" t="s">
        <v>191</v>
      </c>
      <c r="E932" s="41">
        <v>77835</v>
      </c>
      <c r="F932" s="41"/>
      <c r="G932" s="41"/>
      <c r="H932" s="41"/>
      <c r="I932" s="42"/>
      <c r="J932" s="41"/>
      <c r="K932" s="42"/>
      <c r="L932" s="41"/>
    </row>
    <row r="933" spans="2:12" outlineLevel="2">
      <c r="B933" s="40">
        <f t="shared" si="64"/>
        <v>12</v>
      </c>
      <c r="C933" s="41" t="s">
        <v>9</v>
      </c>
      <c r="D933" s="41" t="s">
        <v>131</v>
      </c>
      <c r="E933" s="41">
        <v>27678</v>
      </c>
      <c r="F933" s="41"/>
      <c r="G933" s="41"/>
      <c r="H933" s="41"/>
      <c r="I933" s="42"/>
      <c r="J933" s="41"/>
      <c r="K933" s="42"/>
      <c r="L933" s="41"/>
    </row>
    <row r="934" spans="2:12" outlineLevel="2">
      <c r="B934" s="40">
        <f t="shared" si="64"/>
        <v>13</v>
      </c>
      <c r="C934" s="41" t="s">
        <v>9</v>
      </c>
      <c r="D934" s="41" t="s">
        <v>130</v>
      </c>
      <c r="E934" s="41">
        <v>1713</v>
      </c>
      <c r="F934" s="41"/>
      <c r="G934" s="41"/>
      <c r="H934" s="41"/>
      <c r="I934" s="42"/>
      <c r="J934" s="41"/>
      <c r="K934" s="42"/>
      <c r="L934" s="41"/>
    </row>
    <row r="935" spans="2:12" outlineLevel="2">
      <c r="B935" s="40">
        <f t="shared" si="64"/>
        <v>14</v>
      </c>
      <c r="C935" s="41" t="s">
        <v>9</v>
      </c>
      <c r="D935" s="41" t="s">
        <v>191</v>
      </c>
      <c r="E935" s="41">
        <v>47805</v>
      </c>
      <c r="F935" s="41"/>
      <c r="G935" s="41"/>
      <c r="H935" s="41"/>
      <c r="I935" s="42"/>
      <c r="J935" s="41"/>
      <c r="K935" s="42"/>
      <c r="L935" s="41"/>
    </row>
    <row r="936" spans="2:12" outlineLevel="2">
      <c r="B936" s="40">
        <f t="shared" si="64"/>
        <v>15</v>
      </c>
      <c r="C936" s="41" t="s">
        <v>9</v>
      </c>
      <c r="D936" s="41" t="s">
        <v>130</v>
      </c>
      <c r="E936" s="41">
        <v>36041</v>
      </c>
      <c r="F936" s="41"/>
      <c r="G936" s="41"/>
      <c r="H936" s="41"/>
      <c r="I936" s="42"/>
      <c r="J936" s="41"/>
      <c r="K936" s="42"/>
      <c r="L936" s="41"/>
    </row>
    <row r="937" spans="2:12" outlineLevel="2">
      <c r="B937" s="40">
        <f t="shared" si="64"/>
        <v>16</v>
      </c>
      <c r="C937" s="41" t="s">
        <v>9</v>
      </c>
      <c r="D937" s="41" t="s">
        <v>191</v>
      </c>
      <c r="E937" s="41">
        <v>52324</v>
      </c>
      <c r="F937" s="41"/>
      <c r="G937" s="41"/>
      <c r="H937" s="41"/>
      <c r="I937" s="42"/>
      <c r="J937" s="41"/>
      <c r="K937" s="42"/>
      <c r="L937" s="41"/>
    </row>
    <row r="938" spans="2:12" outlineLevel="2">
      <c r="B938" s="40">
        <f t="shared" si="64"/>
        <v>17</v>
      </c>
      <c r="C938" s="41" t="s">
        <v>9</v>
      </c>
      <c r="D938" s="41" t="s">
        <v>129</v>
      </c>
      <c r="E938" s="41">
        <v>288010</v>
      </c>
      <c r="F938" s="41"/>
      <c r="G938" s="41"/>
      <c r="H938" s="41"/>
      <c r="I938" s="42"/>
      <c r="J938" s="41"/>
      <c r="K938" s="42"/>
      <c r="L938" s="41"/>
    </row>
    <row r="939" spans="2:12" outlineLevel="2">
      <c r="B939" s="40">
        <f t="shared" si="64"/>
        <v>18</v>
      </c>
      <c r="C939" s="41" t="s">
        <v>9</v>
      </c>
      <c r="D939" s="41" t="s">
        <v>130</v>
      </c>
      <c r="E939" s="41">
        <v>75927</v>
      </c>
      <c r="F939" s="41"/>
      <c r="G939" s="41"/>
      <c r="H939" s="41"/>
      <c r="I939" s="42"/>
      <c r="J939" s="41"/>
      <c r="K939" s="42"/>
      <c r="L939" s="41"/>
    </row>
    <row r="940" spans="2:12" outlineLevel="2">
      <c r="B940" s="40">
        <f t="shared" si="64"/>
        <v>19</v>
      </c>
      <c r="C940" s="41" t="s">
        <v>9</v>
      </c>
      <c r="D940" s="41" t="s">
        <v>130</v>
      </c>
      <c r="E940" s="41">
        <v>21341</v>
      </c>
      <c r="F940" s="41"/>
      <c r="G940" s="41"/>
      <c r="H940" s="41"/>
      <c r="I940" s="42"/>
      <c r="J940" s="41"/>
      <c r="K940" s="42"/>
      <c r="L940" s="41"/>
    </row>
    <row r="941" spans="2:12" outlineLevel="2">
      <c r="B941" s="40">
        <f t="shared" si="64"/>
        <v>20</v>
      </c>
      <c r="C941" s="41" t="s">
        <v>9</v>
      </c>
      <c r="D941" s="41" t="s">
        <v>191</v>
      </c>
      <c r="E941" s="41">
        <v>365308</v>
      </c>
      <c r="F941" s="41"/>
      <c r="G941" s="41"/>
      <c r="H941" s="41"/>
      <c r="I941" s="42"/>
      <c r="J941" s="41"/>
      <c r="K941" s="42"/>
      <c r="L941" s="41"/>
    </row>
    <row r="942" spans="2:12" outlineLevel="2">
      <c r="B942" s="40">
        <f t="shared" si="64"/>
        <v>21</v>
      </c>
      <c r="C942" s="41" t="s">
        <v>9</v>
      </c>
      <c r="D942" s="41" t="s">
        <v>167</v>
      </c>
      <c r="E942" s="41">
        <v>1713</v>
      </c>
      <c r="F942" s="41"/>
      <c r="G942" s="41"/>
      <c r="H942" s="41"/>
      <c r="I942" s="42"/>
      <c r="J942" s="41"/>
      <c r="K942" s="42"/>
      <c r="L942" s="41"/>
    </row>
    <row r="943" spans="2:12" outlineLevel="2">
      <c r="B943" s="40">
        <f t="shared" si="64"/>
        <v>22</v>
      </c>
      <c r="C943" s="41" t="s">
        <v>9</v>
      </c>
      <c r="D943" s="41" t="s">
        <v>130</v>
      </c>
      <c r="E943" s="41">
        <v>96391</v>
      </c>
      <c r="F943" s="41"/>
      <c r="G943" s="41"/>
      <c r="H943" s="41"/>
      <c r="I943" s="42"/>
      <c r="J943" s="41"/>
      <c r="K943" s="42"/>
      <c r="L943" s="41"/>
    </row>
    <row r="944" spans="2:12" outlineLevel="2">
      <c r="B944" s="40">
        <f t="shared" si="64"/>
        <v>23</v>
      </c>
      <c r="C944" s="41" t="s">
        <v>9</v>
      </c>
      <c r="D944" s="41" t="s">
        <v>191</v>
      </c>
      <c r="E944" s="41">
        <v>169887</v>
      </c>
      <c r="F944" s="41"/>
      <c r="G944" s="41"/>
      <c r="H944" s="41"/>
      <c r="I944" s="42"/>
      <c r="J944" s="41"/>
      <c r="K944" s="42"/>
      <c r="L944" s="41"/>
    </row>
    <row r="945" spans="2:12" outlineLevel="2">
      <c r="B945" s="40">
        <f>IF(C945="","",B944+1)</f>
        <v>24</v>
      </c>
      <c r="C945" s="41" t="s">
        <v>9</v>
      </c>
      <c r="D945" s="41" t="s">
        <v>191</v>
      </c>
      <c r="E945" s="41">
        <v>9165089</v>
      </c>
      <c r="F945" s="41"/>
      <c r="G945" s="41"/>
      <c r="H945" s="41"/>
      <c r="I945" s="42"/>
      <c r="J945" s="41"/>
      <c r="K945" s="42"/>
      <c r="L945" s="41"/>
    </row>
    <row r="946" spans="2:12" outlineLevel="2">
      <c r="B946" s="40">
        <f t="shared" si="64"/>
        <v>25</v>
      </c>
      <c r="C946" s="41" t="s">
        <v>9</v>
      </c>
      <c r="D946" s="41" t="s">
        <v>129</v>
      </c>
      <c r="E946" s="41">
        <v>14334</v>
      </c>
      <c r="F946" s="41"/>
      <c r="G946" s="41"/>
      <c r="H946" s="41"/>
      <c r="I946" s="42"/>
      <c r="J946" s="41"/>
      <c r="K946" s="42"/>
      <c r="L946" s="41"/>
    </row>
    <row r="947" spans="2:12" outlineLevel="2">
      <c r="B947" s="40">
        <f t="shared" si="64"/>
        <v>26</v>
      </c>
      <c r="C947" s="41" t="s">
        <v>9</v>
      </c>
      <c r="D947" s="41" t="s">
        <v>129</v>
      </c>
      <c r="E947" s="41">
        <v>32800</v>
      </c>
      <c r="F947" s="41"/>
      <c r="G947" s="41"/>
      <c r="H947" s="41"/>
      <c r="I947" s="42"/>
      <c r="J947" s="41"/>
      <c r="K947" s="42"/>
      <c r="L947" s="41"/>
    </row>
    <row r="948" spans="2:12" outlineLevel="2">
      <c r="B948" s="40">
        <f t="shared" si="64"/>
        <v>27</v>
      </c>
      <c r="C948" s="41" t="s">
        <v>9</v>
      </c>
      <c r="D948" s="41" t="s">
        <v>191</v>
      </c>
      <c r="E948" s="41">
        <v>168302</v>
      </c>
      <c r="F948" s="41"/>
      <c r="G948" s="41"/>
      <c r="H948" s="41"/>
      <c r="I948" s="42"/>
      <c r="J948" s="41"/>
      <c r="K948" s="42"/>
      <c r="L948" s="41"/>
    </row>
    <row r="949" spans="2:12" outlineLevel="2">
      <c r="B949" s="40">
        <f t="shared" si="64"/>
        <v>28</v>
      </c>
      <c r="C949" s="41" t="s">
        <v>9</v>
      </c>
      <c r="D949" s="41" t="s">
        <v>181</v>
      </c>
      <c r="E949" s="41">
        <v>9165089</v>
      </c>
      <c r="F949" s="41"/>
      <c r="G949" s="41"/>
      <c r="H949" s="41"/>
      <c r="I949" s="42"/>
      <c r="J949" s="41"/>
      <c r="K949" s="42"/>
      <c r="L949" s="41"/>
    </row>
    <row r="950" spans="2:12" outlineLevel="2">
      <c r="B950" s="40">
        <f t="shared" si="64"/>
        <v>29</v>
      </c>
      <c r="C950" s="41" t="s">
        <v>9</v>
      </c>
      <c r="D950" s="41" t="s">
        <v>167</v>
      </c>
      <c r="E950" s="41">
        <v>10607</v>
      </c>
      <c r="F950" s="41"/>
      <c r="G950" s="41"/>
      <c r="H950" s="41"/>
      <c r="I950" s="42"/>
      <c r="J950" s="41"/>
      <c r="K950" s="42"/>
      <c r="L950" s="41"/>
    </row>
    <row r="951" spans="2:12" outlineLevel="2">
      <c r="B951" s="40">
        <f t="shared" si="64"/>
        <v>30</v>
      </c>
      <c r="C951" s="41" t="s">
        <v>9</v>
      </c>
      <c r="D951" s="41" t="s">
        <v>903</v>
      </c>
      <c r="E951" s="41">
        <v>505470</v>
      </c>
      <c r="F951" s="41"/>
      <c r="G951" s="41"/>
      <c r="H951" s="41"/>
      <c r="I951" s="42"/>
      <c r="J951" s="41"/>
      <c r="K951" s="42"/>
      <c r="L951" s="41"/>
    </row>
    <row r="952" spans="2:12" outlineLevel="2">
      <c r="B952" s="40">
        <f t="shared" si="64"/>
        <v>31</v>
      </c>
      <c r="C952" s="41" t="s">
        <v>9</v>
      </c>
      <c r="D952" s="41" t="s">
        <v>167</v>
      </c>
      <c r="E952" s="41">
        <v>365373</v>
      </c>
      <c r="F952" s="41"/>
      <c r="G952" s="41"/>
      <c r="H952" s="41"/>
      <c r="I952" s="42"/>
      <c r="J952" s="41"/>
      <c r="K952" s="42"/>
      <c r="L952" s="41"/>
    </row>
    <row r="953" spans="2:12" outlineLevel="2">
      <c r="B953" s="40">
        <f t="shared" si="64"/>
        <v>32</v>
      </c>
      <c r="C953" s="41" t="s">
        <v>9</v>
      </c>
      <c r="D953" s="41" t="s">
        <v>167</v>
      </c>
      <c r="E953" s="41">
        <v>190967</v>
      </c>
      <c r="F953" s="41"/>
      <c r="G953" s="41"/>
      <c r="H953" s="41"/>
      <c r="I953" s="42"/>
      <c r="J953" s="41"/>
      <c r="K953" s="42"/>
      <c r="L953" s="41"/>
    </row>
    <row r="954" spans="2:12" outlineLevel="2">
      <c r="B954" s="40">
        <f t="shared" si="64"/>
        <v>33</v>
      </c>
      <c r="C954" s="41" t="s">
        <v>9</v>
      </c>
      <c r="D954" s="41" t="s">
        <v>191</v>
      </c>
      <c r="E954" s="41">
        <v>192308</v>
      </c>
      <c r="F954" s="41"/>
      <c r="G954" s="41"/>
      <c r="H954" s="41"/>
      <c r="I954" s="42"/>
      <c r="J954" s="41"/>
      <c r="K954" s="42"/>
      <c r="L954" s="41"/>
    </row>
    <row r="955" spans="2:12" outlineLevel="2">
      <c r="B955" s="40">
        <f t="shared" si="64"/>
        <v>34</v>
      </c>
      <c r="C955" s="41" t="s">
        <v>9</v>
      </c>
      <c r="D955" s="41" t="s">
        <v>130</v>
      </c>
      <c r="E955" s="41">
        <v>116016</v>
      </c>
      <c r="F955" s="41"/>
      <c r="G955" s="41"/>
      <c r="H955" s="41"/>
      <c r="I955" s="42"/>
      <c r="J955" s="41"/>
      <c r="K955" s="42"/>
      <c r="L955" s="41"/>
    </row>
    <row r="956" spans="2:12" outlineLevel="2">
      <c r="B956" s="40">
        <f t="shared" si="64"/>
        <v>35</v>
      </c>
      <c r="C956" s="41" t="s">
        <v>9</v>
      </c>
      <c r="D956" s="41" t="s">
        <v>167</v>
      </c>
      <c r="E956" s="41">
        <v>365373</v>
      </c>
      <c r="F956" s="41"/>
      <c r="G956" s="41"/>
      <c r="H956" s="41"/>
      <c r="I956" s="42"/>
      <c r="J956" s="41"/>
      <c r="K956" s="42"/>
      <c r="L956" s="41"/>
    </row>
    <row r="957" spans="2:12" outlineLevel="2">
      <c r="B957" s="40">
        <f t="shared" si="64"/>
        <v>36</v>
      </c>
      <c r="C957" s="41" t="s">
        <v>9</v>
      </c>
      <c r="D957" s="41" t="s">
        <v>167</v>
      </c>
      <c r="E957" s="41">
        <v>190967</v>
      </c>
      <c r="F957" s="41"/>
      <c r="G957" s="41"/>
      <c r="H957" s="41"/>
      <c r="I957" s="42"/>
      <c r="J957" s="41"/>
      <c r="K957" s="42"/>
      <c r="L957" s="41"/>
    </row>
    <row r="958" spans="2:12" outlineLevel="2">
      <c r="B958" s="40">
        <f t="shared" si="64"/>
        <v>37</v>
      </c>
      <c r="C958" s="41" t="s">
        <v>9</v>
      </c>
      <c r="D958" s="41" t="s">
        <v>903</v>
      </c>
      <c r="E958" s="41">
        <v>505470</v>
      </c>
      <c r="F958" s="41"/>
      <c r="G958" s="41"/>
      <c r="H958" s="41"/>
      <c r="I958" s="42"/>
      <c r="J958" s="41"/>
      <c r="K958" s="42"/>
      <c r="L958" s="41"/>
    </row>
    <row r="959" spans="2:12" outlineLevel="2">
      <c r="B959" s="40">
        <f t="shared" si="64"/>
        <v>38</v>
      </c>
      <c r="C959" s="41" t="s">
        <v>9</v>
      </c>
      <c r="D959" s="41" t="s">
        <v>191</v>
      </c>
      <c r="E959" s="41">
        <v>163434</v>
      </c>
      <c r="F959" s="41"/>
      <c r="G959" s="41"/>
      <c r="H959" s="41"/>
      <c r="I959" s="42"/>
      <c r="J959" s="41"/>
      <c r="K959" s="42"/>
      <c r="L959" s="41"/>
    </row>
    <row r="960" spans="2:12" outlineLevel="2">
      <c r="B960" s="40">
        <f>IF(C960="","",B959+1)</f>
        <v>39</v>
      </c>
      <c r="C960" s="41" t="s">
        <v>9</v>
      </c>
      <c r="D960" s="41" t="s">
        <v>181</v>
      </c>
      <c r="E960" s="41">
        <v>43398</v>
      </c>
      <c r="F960" s="41"/>
      <c r="G960" s="41"/>
      <c r="H960" s="41"/>
      <c r="I960" s="42"/>
      <c r="J960" s="41"/>
      <c r="K960" s="42"/>
      <c r="L960" s="41"/>
    </row>
    <row r="961" spans="2:12" outlineLevel="2">
      <c r="B961" s="40">
        <f t="shared" si="64"/>
        <v>40</v>
      </c>
      <c r="C961" s="41" t="s">
        <v>9</v>
      </c>
      <c r="D961" s="41" t="s">
        <v>191</v>
      </c>
      <c r="E961" s="41">
        <v>83100</v>
      </c>
      <c r="F961" s="41"/>
      <c r="G961" s="41"/>
      <c r="H961" s="41"/>
      <c r="I961" s="42"/>
      <c r="J961" s="41"/>
      <c r="K961" s="42"/>
      <c r="L961" s="41"/>
    </row>
    <row r="962" spans="2:12" outlineLevel="2">
      <c r="B962" s="40">
        <f t="shared" si="64"/>
        <v>41</v>
      </c>
      <c r="C962" s="41" t="s">
        <v>9</v>
      </c>
      <c r="D962" s="41" t="e">
        <v>#N/A</v>
      </c>
      <c r="E962" s="41">
        <v>36799</v>
      </c>
      <c r="F962" s="41"/>
      <c r="G962" s="41"/>
      <c r="H962" s="41"/>
      <c r="I962" s="42"/>
      <c r="J962" s="41"/>
      <c r="K962" s="42"/>
      <c r="L962" s="41"/>
    </row>
    <row r="963" spans="2:12" outlineLevel="2">
      <c r="B963" s="40">
        <f t="shared" si="64"/>
        <v>42</v>
      </c>
      <c r="C963" s="41" t="s">
        <v>9</v>
      </c>
      <c r="D963" s="41" t="s">
        <v>129</v>
      </c>
      <c r="E963" s="41">
        <v>85445</v>
      </c>
      <c r="F963" s="41"/>
      <c r="G963" s="41"/>
      <c r="H963" s="41"/>
      <c r="I963" s="42"/>
      <c r="J963" s="41"/>
      <c r="K963" s="42"/>
      <c r="L963" s="41"/>
    </row>
    <row r="964" spans="2:12" outlineLevel="2">
      <c r="B964" s="40">
        <f t="shared" si="64"/>
        <v>43</v>
      </c>
      <c r="C964" s="41" t="s">
        <v>9</v>
      </c>
      <c r="D964" s="41" t="e">
        <v>#N/A</v>
      </c>
      <c r="E964" s="41">
        <v>5370</v>
      </c>
      <c r="F964" s="41"/>
      <c r="G964" s="41"/>
      <c r="H964" s="41"/>
      <c r="I964" s="42"/>
      <c r="J964" s="41"/>
      <c r="K964" s="42"/>
      <c r="L964" s="41"/>
    </row>
    <row r="965" spans="2:12" outlineLevel="2">
      <c r="B965" s="40">
        <f t="shared" si="64"/>
        <v>44</v>
      </c>
      <c r="C965" s="41" t="s">
        <v>9</v>
      </c>
      <c r="D965" s="41" t="s">
        <v>191</v>
      </c>
      <c r="E965" s="41">
        <v>83100</v>
      </c>
      <c r="F965" s="41"/>
      <c r="G965" s="41"/>
      <c r="H965" s="41"/>
      <c r="I965" s="42"/>
      <c r="J965" s="41"/>
      <c r="K965" s="42"/>
      <c r="L965" s="41"/>
    </row>
    <row r="966" spans="2:12" outlineLevel="2">
      <c r="B966" s="40">
        <f t="shared" si="64"/>
        <v>45</v>
      </c>
      <c r="C966" s="41" t="s">
        <v>9</v>
      </c>
      <c r="D966" s="41" t="s">
        <v>191</v>
      </c>
      <c r="E966" s="41">
        <v>47805</v>
      </c>
      <c r="F966" s="41"/>
      <c r="G966" s="41"/>
      <c r="H966" s="41"/>
      <c r="I966" s="42"/>
      <c r="J966" s="41"/>
      <c r="K966" s="42"/>
      <c r="L966" s="41"/>
    </row>
    <row r="967" spans="2:12" outlineLevel="2">
      <c r="B967" s="40">
        <f t="shared" si="64"/>
        <v>46</v>
      </c>
      <c r="C967" s="41" t="s">
        <v>9</v>
      </c>
      <c r="D967" s="41" t="s">
        <v>173</v>
      </c>
      <c r="E967" s="41">
        <v>122384</v>
      </c>
      <c r="F967" s="41"/>
      <c r="G967" s="41"/>
      <c r="H967" s="41"/>
      <c r="I967" s="42"/>
      <c r="J967" s="41"/>
      <c r="K967" s="42"/>
      <c r="L967" s="41"/>
    </row>
    <row r="968" spans="2:12" outlineLevel="2">
      <c r="B968" s="40">
        <f t="shared" si="64"/>
        <v>47</v>
      </c>
      <c r="C968" s="41" t="s">
        <v>9</v>
      </c>
      <c r="D968" s="41" t="s">
        <v>130</v>
      </c>
      <c r="E968" s="41">
        <v>196931</v>
      </c>
      <c r="F968" s="41"/>
      <c r="G968" s="41"/>
      <c r="H968" s="41"/>
      <c r="I968" s="42"/>
      <c r="J968" s="41"/>
      <c r="K968" s="42"/>
      <c r="L968" s="41"/>
    </row>
    <row r="969" spans="2:12" outlineLevel="2">
      <c r="B969" s="40">
        <f t="shared" si="64"/>
        <v>48</v>
      </c>
      <c r="C969" s="41" t="s">
        <v>9</v>
      </c>
      <c r="D969" s="41" t="s">
        <v>129</v>
      </c>
      <c r="E969" s="41">
        <v>113840</v>
      </c>
      <c r="F969" s="41"/>
      <c r="G969" s="41"/>
      <c r="H969" s="41"/>
      <c r="I969" s="42"/>
      <c r="J969" s="41"/>
      <c r="K969" s="42"/>
      <c r="L969" s="41"/>
    </row>
    <row r="970" spans="2:12" outlineLevel="2">
      <c r="B970" s="40">
        <f t="shared" si="64"/>
        <v>49</v>
      </c>
      <c r="C970" s="41" t="s">
        <v>9</v>
      </c>
      <c r="D970" s="41" t="s">
        <v>191</v>
      </c>
      <c r="E970" s="41">
        <v>17268</v>
      </c>
      <c r="F970" s="41"/>
      <c r="G970" s="41"/>
      <c r="H970" s="41"/>
      <c r="I970" s="42"/>
      <c r="J970" s="41"/>
      <c r="K970" s="42"/>
      <c r="L970" s="41"/>
    </row>
    <row r="971" spans="2:12" outlineLevel="2">
      <c r="B971" s="40">
        <f t="shared" si="64"/>
        <v>50</v>
      </c>
      <c r="C971" s="41" t="s">
        <v>9</v>
      </c>
      <c r="D971" s="41" t="s">
        <v>173</v>
      </c>
      <c r="E971" s="41">
        <v>315826</v>
      </c>
      <c r="F971" s="41"/>
      <c r="G971" s="41"/>
      <c r="H971" s="41"/>
      <c r="I971" s="42"/>
      <c r="J971" s="41"/>
      <c r="K971" s="42"/>
      <c r="L971" s="41"/>
    </row>
    <row r="972" spans="2:12" outlineLevel="2">
      <c r="B972" s="40">
        <f t="shared" si="64"/>
        <v>51</v>
      </c>
      <c r="C972" s="41" t="s">
        <v>9</v>
      </c>
      <c r="D972" s="41" t="s">
        <v>181</v>
      </c>
      <c r="E972" s="41">
        <v>246422</v>
      </c>
      <c r="F972" s="41"/>
      <c r="G972" s="41"/>
      <c r="H972" s="41"/>
      <c r="I972" s="42"/>
      <c r="J972" s="41"/>
      <c r="K972" s="42"/>
      <c r="L972" s="41"/>
    </row>
    <row r="973" spans="2:12" outlineLevel="2">
      <c r="B973" s="40">
        <f t="shared" si="64"/>
        <v>52</v>
      </c>
      <c r="C973" s="41" t="s">
        <v>9</v>
      </c>
      <c r="D973" s="41" t="s">
        <v>130</v>
      </c>
      <c r="E973" s="41">
        <v>15314632</v>
      </c>
      <c r="F973" s="41"/>
      <c r="G973" s="41"/>
      <c r="H973" s="41"/>
      <c r="I973" s="42"/>
      <c r="J973" s="41"/>
      <c r="K973" s="42"/>
      <c r="L973" s="41"/>
    </row>
    <row r="974" spans="2:12" outlineLevel="2">
      <c r="B974" s="40">
        <f t="shared" si="64"/>
        <v>53</v>
      </c>
      <c r="C974" s="41" t="s">
        <v>9</v>
      </c>
      <c r="D974" s="41" t="s">
        <v>191</v>
      </c>
      <c r="E974" s="41">
        <v>117891</v>
      </c>
      <c r="F974" s="41"/>
      <c r="G974" s="41"/>
      <c r="H974" s="41"/>
      <c r="I974" s="42"/>
      <c r="J974" s="41"/>
      <c r="K974" s="42"/>
      <c r="L974" s="41"/>
    </row>
    <row r="975" spans="2:12" outlineLevel="2">
      <c r="B975" s="40">
        <f t="shared" si="64"/>
        <v>54</v>
      </c>
      <c r="C975" s="41" t="s">
        <v>9</v>
      </c>
      <c r="D975" s="41" t="s">
        <v>129</v>
      </c>
      <c r="E975" s="41">
        <v>411075</v>
      </c>
      <c r="F975" s="41"/>
      <c r="G975" s="41"/>
      <c r="H975" s="41"/>
      <c r="I975" s="42"/>
      <c r="J975" s="41"/>
      <c r="K975" s="42"/>
      <c r="L975" s="41"/>
    </row>
    <row r="976" spans="2:12" outlineLevel="2">
      <c r="B976" s="40">
        <f t="shared" si="64"/>
        <v>55</v>
      </c>
      <c r="C976" s="41" t="s">
        <v>9</v>
      </c>
      <c r="D976" s="41" t="s">
        <v>129</v>
      </c>
      <c r="E976" s="41">
        <v>197117</v>
      </c>
      <c r="F976" s="41"/>
      <c r="G976" s="41"/>
      <c r="H976" s="41"/>
      <c r="I976" s="42"/>
      <c r="J976" s="41"/>
      <c r="K976" s="42"/>
      <c r="L976" s="41"/>
    </row>
    <row r="977" spans="2:12" outlineLevel="2">
      <c r="B977" s="40">
        <f t="shared" si="64"/>
        <v>56</v>
      </c>
      <c r="C977" s="41" t="s">
        <v>9</v>
      </c>
      <c r="D977" s="41" t="s">
        <v>129</v>
      </c>
      <c r="E977" s="41">
        <v>903558</v>
      </c>
      <c r="F977" s="41"/>
      <c r="G977" s="41"/>
      <c r="H977" s="41"/>
      <c r="I977" s="42"/>
      <c r="J977" s="41"/>
      <c r="K977" s="42"/>
      <c r="L977" s="41"/>
    </row>
    <row r="978" spans="2:12" outlineLevel="2">
      <c r="B978" s="40">
        <f t="shared" si="64"/>
        <v>57</v>
      </c>
      <c r="C978" s="41" t="s">
        <v>9</v>
      </c>
      <c r="D978" s="41" t="s">
        <v>131</v>
      </c>
      <c r="E978" s="41">
        <v>7327</v>
      </c>
      <c r="F978" s="41"/>
      <c r="G978" s="41"/>
      <c r="H978" s="41"/>
      <c r="I978" s="42"/>
      <c r="J978" s="41"/>
      <c r="K978" s="42"/>
      <c r="L978" s="41"/>
    </row>
    <row r="979" spans="2:12" outlineLevel="2">
      <c r="B979" s="40">
        <f>IF(C979="","",B978+1)</f>
        <v>58</v>
      </c>
      <c r="C979" s="41" t="s">
        <v>9</v>
      </c>
      <c r="D979" s="41" t="s">
        <v>181</v>
      </c>
      <c r="E979" s="41">
        <v>1199388</v>
      </c>
      <c r="F979" s="41"/>
      <c r="G979" s="41"/>
      <c r="H979" s="41"/>
      <c r="I979" s="42"/>
      <c r="J979" s="41"/>
      <c r="K979" s="42"/>
      <c r="L979" s="41"/>
    </row>
    <row r="980" spans="2:12" outlineLevel="2">
      <c r="B980" s="40">
        <f t="shared" si="64"/>
        <v>59</v>
      </c>
      <c r="C980" s="41" t="s">
        <v>9</v>
      </c>
      <c r="D980" s="41" t="s">
        <v>129</v>
      </c>
      <c r="E980" s="41">
        <v>988164</v>
      </c>
      <c r="F980" s="41"/>
      <c r="G980" s="41"/>
      <c r="H980" s="41"/>
      <c r="I980" s="42"/>
      <c r="J980" s="41"/>
      <c r="K980" s="42"/>
      <c r="L980" s="41"/>
    </row>
    <row r="981" spans="2:12" outlineLevel="2">
      <c r="B981" s="40">
        <f t="shared" si="64"/>
        <v>60</v>
      </c>
      <c r="C981" s="41" t="s">
        <v>9</v>
      </c>
      <c r="D981" s="41" t="s">
        <v>167</v>
      </c>
      <c r="E981" s="41">
        <v>425593</v>
      </c>
      <c r="F981" s="41"/>
      <c r="G981" s="41"/>
      <c r="H981" s="41"/>
      <c r="I981" s="42"/>
      <c r="J981" s="41"/>
      <c r="K981" s="42"/>
      <c r="L981" s="41"/>
    </row>
    <row r="982" spans="2:12" outlineLevel="2">
      <c r="B982" s="40">
        <f t="shared" si="64"/>
        <v>61</v>
      </c>
      <c r="C982" s="41" t="s">
        <v>9</v>
      </c>
      <c r="D982" s="41" t="s">
        <v>191</v>
      </c>
      <c r="E982" s="41">
        <v>266277</v>
      </c>
      <c r="F982" s="41"/>
      <c r="G982" s="41"/>
      <c r="H982" s="41"/>
      <c r="I982" s="42"/>
      <c r="J982" s="41"/>
      <c r="K982" s="42"/>
      <c r="L982" s="41"/>
    </row>
    <row r="983" spans="2:12" outlineLevel="2">
      <c r="B983" s="40">
        <f t="shared" si="64"/>
        <v>62</v>
      </c>
      <c r="C983" s="41" t="s">
        <v>9</v>
      </c>
      <c r="D983" s="41" t="s">
        <v>166</v>
      </c>
      <c r="E983" s="41">
        <v>30661</v>
      </c>
      <c r="F983" s="41"/>
      <c r="G983" s="41"/>
      <c r="H983" s="41"/>
      <c r="I983" s="42"/>
      <c r="J983" s="41"/>
      <c r="K983" s="42"/>
      <c r="L983" s="41"/>
    </row>
    <row r="984" spans="2:12" outlineLevel="2">
      <c r="B984" s="40">
        <f t="shared" si="64"/>
        <v>63</v>
      </c>
      <c r="C984" s="41" t="s">
        <v>9</v>
      </c>
      <c r="D984" s="41" t="s">
        <v>191</v>
      </c>
      <c r="E984" s="41">
        <v>82853</v>
      </c>
      <c r="F984" s="41"/>
      <c r="G984" s="41"/>
      <c r="H984" s="41"/>
      <c r="I984" s="42"/>
      <c r="J984" s="41"/>
      <c r="K984" s="42"/>
      <c r="L984" s="41"/>
    </row>
    <row r="985" spans="2:12" outlineLevel="2">
      <c r="B985" s="40">
        <f t="shared" si="64"/>
        <v>64</v>
      </c>
      <c r="C985" s="41" t="s">
        <v>9</v>
      </c>
      <c r="D985" s="41" t="s">
        <v>883</v>
      </c>
      <c r="E985" s="41">
        <v>24521</v>
      </c>
      <c r="F985" s="41"/>
      <c r="G985" s="41"/>
      <c r="H985" s="41"/>
      <c r="I985" s="42"/>
      <c r="J985" s="41"/>
      <c r="K985" s="42"/>
      <c r="L985" s="41"/>
    </row>
    <row r="986" spans="2:12" outlineLevel="2">
      <c r="B986" s="40">
        <f t="shared" si="64"/>
        <v>65</v>
      </c>
      <c r="C986" s="41" t="s">
        <v>9</v>
      </c>
      <c r="D986" s="41" t="s">
        <v>904</v>
      </c>
      <c r="E986" s="41">
        <v>425593</v>
      </c>
      <c r="F986" s="41"/>
      <c r="G986" s="41"/>
      <c r="H986" s="41"/>
      <c r="I986" s="42"/>
      <c r="J986" s="41"/>
      <c r="K986" s="42"/>
      <c r="L986" s="41"/>
    </row>
    <row r="987" spans="2:12" outlineLevel="2">
      <c r="B987" s="40">
        <f t="shared" si="64"/>
        <v>66</v>
      </c>
      <c r="C987" s="41" t="s">
        <v>9</v>
      </c>
      <c r="D987" s="41" t="s">
        <v>877</v>
      </c>
      <c r="E987" s="41">
        <v>116528</v>
      </c>
      <c r="F987" s="41"/>
      <c r="G987" s="41"/>
      <c r="H987" s="41"/>
      <c r="I987" s="42"/>
      <c r="J987" s="41"/>
      <c r="K987" s="42"/>
      <c r="L987" s="41"/>
    </row>
    <row r="988" spans="2:12" outlineLevel="2">
      <c r="B988" s="40">
        <f t="shared" ref="B988:B990" si="65">IF(C988="","",B987+1)</f>
        <v>67</v>
      </c>
      <c r="C988" s="41" t="s">
        <v>9</v>
      </c>
      <c r="D988" s="41" t="s">
        <v>881</v>
      </c>
      <c r="E988" s="41">
        <v>14011</v>
      </c>
      <c r="F988" s="41"/>
      <c r="G988" s="41"/>
      <c r="H988" s="41"/>
      <c r="I988" s="42"/>
      <c r="J988" s="41"/>
      <c r="K988" s="42"/>
      <c r="L988" s="41"/>
    </row>
    <row r="989" spans="2:12" outlineLevel="2">
      <c r="B989" s="40">
        <f t="shared" si="65"/>
        <v>68</v>
      </c>
      <c r="C989" s="41" t="s">
        <v>9</v>
      </c>
      <c r="D989" s="41" t="s">
        <v>877</v>
      </c>
      <c r="E989" s="41">
        <v>94560</v>
      </c>
      <c r="F989" s="41"/>
      <c r="G989" s="41"/>
      <c r="H989" s="41"/>
      <c r="I989" s="42"/>
      <c r="J989" s="41"/>
      <c r="K989" s="42"/>
      <c r="L989" s="41"/>
    </row>
    <row r="990" spans="2:12" outlineLevel="2">
      <c r="B990" s="40">
        <f t="shared" si="65"/>
        <v>69</v>
      </c>
      <c r="C990" s="41" t="s">
        <v>9</v>
      </c>
      <c r="D990" s="41" t="s">
        <v>890</v>
      </c>
      <c r="E990" s="41">
        <v>192308</v>
      </c>
      <c r="F990" s="41"/>
      <c r="G990" s="41"/>
      <c r="H990" s="41"/>
      <c r="I990" s="42"/>
      <c r="J990" s="41"/>
      <c r="K990" s="42"/>
      <c r="L990" s="41"/>
    </row>
    <row r="991" spans="2:12" outlineLevel="2">
      <c r="B991" s="40">
        <f>IF(C991="","",B990+1)</f>
        <v>70</v>
      </c>
      <c r="C991" s="41" t="s">
        <v>9</v>
      </c>
      <c r="D991" s="41" t="s">
        <v>890</v>
      </c>
      <c r="E991" s="41">
        <v>291913</v>
      </c>
      <c r="F991" s="41"/>
      <c r="G991" s="41"/>
      <c r="H991" s="41"/>
      <c r="I991" s="42"/>
      <c r="J991" s="41"/>
      <c r="K991" s="42"/>
      <c r="L991" s="41"/>
    </row>
    <row r="992" spans="2:12" outlineLevel="2">
      <c r="B992" s="40">
        <f t="shared" ref="B992:B1010" si="66">IF(C992="","",B991+1)</f>
        <v>71</v>
      </c>
      <c r="C992" s="41" t="s">
        <v>9</v>
      </c>
      <c r="D992" s="41" t="s">
        <v>871</v>
      </c>
      <c r="E992" s="41">
        <v>82853</v>
      </c>
      <c r="F992" s="41"/>
      <c r="G992" s="41"/>
      <c r="H992" s="41"/>
      <c r="I992" s="42"/>
      <c r="J992" s="41"/>
      <c r="K992" s="42"/>
      <c r="L992" s="41"/>
    </row>
    <row r="993" spans="2:12" outlineLevel="2">
      <c r="B993" s="40">
        <f t="shared" si="66"/>
        <v>72</v>
      </c>
      <c r="C993" s="41" t="s">
        <v>9</v>
      </c>
      <c r="D993" s="41" t="s">
        <v>871</v>
      </c>
      <c r="E993" s="41">
        <v>82854</v>
      </c>
      <c r="F993" s="41"/>
      <c r="G993" s="41"/>
      <c r="H993" s="41"/>
      <c r="I993" s="42"/>
      <c r="J993" s="41"/>
      <c r="K993" s="42"/>
      <c r="L993" s="41"/>
    </row>
    <row r="994" spans="2:12" outlineLevel="2">
      <c r="B994" s="40">
        <f t="shared" si="66"/>
        <v>73</v>
      </c>
      <c r="C994" s="41" t="s">
        <v>9</v>
      </c>
      <c r="D994" s="41" t="s">
        <v>888</v>
      </c>
      <c r="E994" s="41">
        <v>136292</v>
      </c>
      <c r="F994" s="41"/>
      <c r="G994" s="41"/>
      <c r="H994" s="41"/>
      <c r="I994" s="42"/>
      <c r="J994" s="41"/>
      <c r="K994" s="42"/>
      <c r="L994" s="41"/>
    </row>
    <row r="995" spans="2:12" outlineLevel="2">
      <c r="B995" s="40">
        <f t="shared" si="66"/>
        <v>74</v>
      </c>
      <c r="C995" s="41" t="s">
        <v>9</v>
      </c>
      <c r="D995" s="41" t="s">
        <v>889</v>
      </c>
      <c r="E995" s="41">
        <v>157394</v>
      </c>
      <c r="F995" s="41"/>
      <c r="G995" s="41"/>
      <c r="H995" s="41"/>
      <c r="I995" s="42"/>
      <c r="J995" s="41"/>
      <c r="K995" s="42"/>
      <c r="L995" s="41"/>
    </row>
    <row r="996" spans="2:12" outlineLevel="2">
      <c r="B996" s="40">
        <f t="shared" si="66"/>
        <v>75</v>
      </c>
      <c r="C996" s="41" t="s">
        <v>9</v>
      </c>
      <c r="D996" s="41" t="s">
        <v>871</v>
      </c>
      <c r="E996" s="41">
        <v>24051</v>
      </c>
      <c r="F996" s="41"/>
      <c r="G996" s="41"/>
      <c r="H996" s="41"/>
      <c r="I996" s="42"/>
      <c r="J996" s="41"/>
      <c r="K996" s="42"/>
      <c r="L996" s="41"/>
    </row>
    <row r="997" spans="2:12" outlineLevel="2">
      <c r="B997" s="40">
        <f t="shared" si="66"/>
        <v>76</v>
      </c>
      <c r="C997" s="41" t="s">
        <v>9</v>
      </c>
      <c r="D997" s="41" t="s">
        <v>877</v>
      </c>
      <c r="E997" s="41">
        <v>135694</v>
      </c>
      <c r="F997" s="41"/>
      <c r="G997" s="41"/>
      <c r="H997" s="41"/>
      <c r="I997" s="42"/>
      <c r="J997" s="41"/>
      <c r="K997" s="42"/>
      <c r="L997" s="41"/>
    </row>
    <row r="998" spans="2:12" outlineLevel="2">
      <c r="B998" s="40">
        <f t="shared" si="66"/>
        <v>77</v>
      </c>
      <c r="C998" s="41" t="s">
        <v>9</v>
      </c>
      <c r="D998" s="41" t="s">
        <v>883</v>
      </c>
      <c r="E998" s="41">
        <v>307484</v>
      </c>
      <c r="F998" s="41"/>
      <c r="G998" s="41"/>
      <c r="H998" s="41"/>
      <c r="I998" s="42"/>
      <c r="J998" s="41"/>
      <c r="K998" s="42"/>
      <c r="L998" s="41"/>
    </row>
    <row r="999" spans="2:12" outlineLevel="2">
      <c r="B999" s="40">
        <f t="shared" si="66"/>
        <v>78</v>
      </c>
      <c r="C999" s="41" t="s">
        <v>9</v>
      </c>
      <c r="D999" s="41" t="s">
        <v>877</v>
      </c>
      <c r="E999" s="41">
        <v>82549</v>
      </c>
      <c r="F999" s="41"/>
      <c r="G999" s="41"/>
      <c r="H999" s="41"/>
      <c r="I999" s="42"/>
      <c r="J999" s="41"/>
      <c r="K999" s="42"/>
      <c r="L999" s="41"/>
    </row>
    <row r="1000" spans="2:12" outlineLevel="2">
      <c r="B1000" s="40">
        <f t="shared" si="66"/>
        <v>79</v>
      </c>
      <c r="C1000" s="41" t="s">
        <v>9</v>
      </c>
      <c r="D1000" s="41" t="s">
        <v>904</v>
      </c>
      <c r="E1000" s="41">
        <v>68529</v>
      </c>
      <c r="F1000" s="41"/>
      <c r="G1000" s="41"/>
      <c r="H1000" s="41"/>
      <c r="I1000" s="42"/>
      <c r="J1000" s="41"/>
      <c r="K1000" s="42"/>
      <c r="L1000" s="41"/>
    </row>
    <row r="1001" spans="2:12" outlineLevel="2">
      <c r="B1001" s="40">
        <f t="shared" si="66"/>
        <v>80</v>
      </c>
      <c r="C1001" s="41" t="s">
        <v>9</v>
      </c>
      <c r="D1001" s="41" t="s">
        <v>890</v>
      </c>
      <c r="E1001" s="41">
        <v>75927</v>
      </c>
      <c r="F1001" s="41"/>
      <c r="G1001" s="41"/>
      <c r="H1001" s="41"/>
      <c r="I1001" s="42"/>
      <c r="J1001" s="41"/>
      <c r="K1001" s="42"/>
      <c r="L1001" s="41"/>
    </row>
    <row r="1002" spans="2:12" outlineLevel="2">
      <c r="B1002" s="40">
        <f t="shared" si="66"/>
        <v>81</v>
      </c>
      <c r="C1002" s="41" t="s">
        <v>9</v>
      </c>
      <c r="D1002" s="41" t="s">
        <v>890</v>
      </c>
      <c r="E1002" s="41">
        <v>432245</v>
      </c>
      <c r="F1002" s="41"/>
      <c r="G1002" s="41"/>
      <c r="H1002" s="41"/>
      <c r="I1002" s="42"/>
      <c r="J1002" s="41"/>
      <c r="K1002" s="42"/>
      <c r="L1002" s="41"/>
    </row>
    <row r="1003" spans="2:12" outlineLevel="2">
      <c r="B1003" s="40">
        <f t="shared" si="66"/>
        <v>82</v>
      </c>
      <c r="C1003" s="41" t="s">
        <v>9</v>
      </c>
      <c r="D1003" s="41" t="s">
        <v>871</v>
      </c>
      <c r="E1003" s="41">
        <v>111350</v>
      </c>
      <c r="F1003" s="41"/>
      <c r="G1003" s="41"/>
      <c r="H1003" s="41"/>
      <c r="I1003" s="42"/>
      <c r="J1003" s="41"/>
      <c r="K1003" s="42"/>
      <c r="L1003" s="41"/>
    </row>
    <row r="1004" spans="2:12" outlineLevel="2">
      <c r="B1004" s="40">
        <f t="shared" si="66"/>
        <v>83</v>
      </c>
      <c r="C1004" s="41" t="s">
        <v>9</v>
      </c>
      <c r="D1004" s="41" t="s">
        <v>888</v>
      </c>
      <c r="E1004" s="41">
        <v>153250</v>
      </c>
      <c r="F1004" s="41"/>
      <c r="G1004" s="41"/>
      <c r="H1004" s="41"/>
      <c r="I1004" s="42"/>
      <c r="J1004" s="41"/>
      <c r="K1004" s="42"/>
      <c r="L1004" s="41"/>
    </row>
    <row r="1005" spans="2:12" outlineLevel="2">
      <c r="B1005" s="40">
        <f t="shared" si="66"/>
        <v>84</v>
      </c>
      <c r="C1005" s="41" t="s">
        <v>9</v>
      </c>
      <c r="D1005" s="41" t="s">
        <v>888</v>
      </c>
      <c r="E1005" s="41">
        <v>153250</v>
      </c>
      <c r="F1005" s="41"/>
      <c r="G1005" s="41"/>
      <c r="H1005" s="41"/>
      <c r="I1005" s="42"/>
      <c r="J1005" s="41"/>
      <c r="K1005" s="42"/>
      <c r="L1005" s="41"/>
    </row>
    <row r="1006" spans="2:12" outlineLevel="2">
      <c r="B1006" s="40">
        <f t="shared" si="66"/>
        <v>85</v>
      </c>
      <c r="C1006" s="41" t="s">
        <v>9</v>
      </c>
      <c r="D1006" s="41" t="s">
        <v>885</v>
      </c>
      <c r="E1006" s="41">
        <v>19069</v>
      </c>
      <c r="F1006" s="41"/>
      <c r="G1006" s="41"/>
      <c r="H1006" s="41"/>
      <c r="I1006" s="42"/>
      <c r="J1006" s="41"/>
      <c r="K1006" s="42"/>
      <c r="L1006" s="41"/>
    </row>
    <row r="1007" spans="2:12" outlineLevel="2">
      <c r="B1007" s="40">
        <f t="shared" si="66"/>
        <v>86</v>
      </c>
      <c r="C1007" s="41" t="s">
        <v>9</v>
      </c>
      <c r="D1007" s="41" t="s">
        <v>871</v>
      </c>
      <c r="E1007" s="41">
        <v>202617</v>
      </c>
      <c r="F1007" s="41"/>
      <c r="G1007" s="41"/>
      <c r="H1007" s="41"/>
      <c r="I1007" s="42"/>
      <c r="J1007" s="41"/>
      <c r="K1007" s="42"/>
      <c r="L1007" s="41"/>
    </row>
    <row r="1008" spans="2:12" outlineLevel="2">
      <c r="B1008" s="40">
        <f t="shared" si="66"/>
        <v>87</v>
      </c>
      <c r="C1008" s="41" t="s">
        <v>9</v>
      </c>
      <c r="D1008" s="41" t="s">
        <v>890</v>
      </c>
      <c r="E1008" s="41">
        <v>428910</v>
      </c>
      <c r="F1008" s="41"/>
      <c r="G1008" s="41"/>
      <c r="H1008" s="41"/>
      <c r="I1008" s="42"/>
      <c r="J1008" s="41"/>
      <c r="K1008" s="42"/>
      <c r="L1008" s="41"/>
    </row>
    <row r="1009" spans="2:12" outlineLevel="2">
      <c r="B1009" s="40">
        <f t="shared" si="66"/>
        <v>88</v>
      </c>
      <c r="C1009" s="41" t="s">
        <v>9</v>
      </c>
      <c r="D1009" s="41" t="s">
        <v>890</v>
      </c>
      <c r="E1009" s="41">
        <v>154897</v>
      </c>
      <c r="F1009" s="41"/>
      <c r="G1009" s="41"/>
      <c r="H1009" s="41"/>
      <c r="I1009" s="42"/>
      <c r="J1009" s="41"/>
      <c r="K1009" s="42"/>
      <c r="L1009" s="41"/>
    </row>
    <row r="1010" spans="2:12" outlineLevel="2">
      <c r="B1010" s="40">
        <f t="shared" si="66"/>
        <v>89</v>
      </c>
      <c r="C1010" s="41" t="s">
        <v>9</v>
      </c>
      <c r="D1010" s="41" t="s">
        <v>871</v>
      </c>
      <c r="E1010" s="41">
        <v>88930</v>
      </c>
      <c r="F1010" s="41"/>
      <c r="G1010" s="41"/>
      <c r="H1010" s="41"/>
      <c r="I1010" s="42"/>
      <c r="J1010" s="41"/>
      <c r="K1010" s="42"/>
      <c r="L1010" s="41"/>
    </row>
    <row r="1011" spans="2:12" outlineLevel="2">
      <c r="B1011" s="40">
        <f>IF(C1011="","",B1010+1)</f>
        <v>90</v>
      </c>
      <c r="C1011" s="41" t="s">
        <v>9</v>
      </c>
      <c r="D1011" s="41" t="s">
        <v>881</v>
      </c>
      <c r="E1011" s="41">
        <v>1005139</v>
      </c>
      <c r="F1011" s="41"/>
      <c r="G1011" s="41"/>
      <c r="H1011" s="41"/>
      <c r="I1011" s="42"/>
      <c r="J1011" s="41"/>
      <c r="K1011" s="42"/>
      <c r="L1011" s="41"/>
    </row>
    <row r="1012" spans="2:12" outlineLevel="2">
      <c r="B1012" s="40">
        <f t="shared" ref="B1012:B1032" si="67">IF(C1012="","",B1011+1)</f>
        <v>91</v>
      </c>
      <c r="C1012" s="41" t="s">
        <v>9</v>
      </c>
      <c r="D1012" s="41" t="s">
        <v>890</v>
      </c>
      <c r="E1012" s="41">
        <v>77774</v>
      </c>
      <c r="F1012" s="41"/>
      <c r="G1012" s="41"/>
      <c r="H1012" s="41"/>
      <c r="I1012" s="42"/>
      <c r="J1012" s="41"/>
      <c r="K1012" s="42"/>
      <c r="L1012" s="41"/>
    </row>
    <row r="1013" spans="2:12" outlineLevel="2">
      <c r="B1013" s="40">
        <f t="shared" si="67"/>
        <v>92</v>
      </c>
      <c r="C1013" s="41" t="s">
        <v>9</v>
      </c>
      <c r="D1013" s="41" t="s">
        <v>877</v>
      </c>
      <c r="E1013" s="41">
        <v>154897</v>
      </c>
      <c r="F1013" s="41"/>
      <c r="G1013" s="41"/>
      <c r="H1013" s="41"/>
      <c r="I1013" s="42"/>
      <c r="J1013" s="41"/>
      <c r="K1013" s="42"/>
      <c r="L1013" s="41"/>
    </row>
    <row r="1014" spans="2:12" outlineLevel="2">
      <c r="B1014" s="40">
        <f t="shared" si="67"/>
        <v>93</v>
      </c>
      <c r="C1014" s="41" t="s">
        <v>9</v>
      </c>
      <c r="D1014" s="41" t="s">
        <v>890</v>
      </c>
      <c r="E1014" s="41">
        <v>153721</v>
      </c>
      <c r="F1014" s="41"/>
      <c r="G1014" s="41"/>
      <c r="H1014" s="41"/>
      <c r="I1014" s="42"/>
      <c r="J1014" s="41"/>
      <c r="K1014" s="42"/>
      <c r="L1014" s="41"/>
    </row>
    <row r="1015" spans="2:12" outlineLevel="2">
      <c r="B1015" s="40">
        <f t="shared" si="67"/>
        <v>94</v>
      </c>
      <c r="C1015" s="41" t="s">
        <v>9</v>
      </c>
      <c r="D1015" s="41" t="s">
        <v>883</v>
      </c>
      <c r="E1015" s="41">
        <v>307484</v>
      </c>
      <c r="F1015" s="41"/>
      <c r="G1015" s="41"/>
      <c r="H1015" s="41"/>
      <c r="I1015" s="42"/>
      <c r="J1015" s="41"/>
      <c r="K1015" s="42"/>
      <c r="L1015" s="41"/>
    </row>
    <row r="1016" spans="2:12" outlineLevel="2">
      <c r="B1016" s="40">
        <f t="shared" si="67"/>
        <v>95</v>
      </c>
      <c r="C1016" s="41" t="s">
        <v>9</v>
      </c>
      <c r="D1016" s="41" t="s">
        <v>877</v>
      </c>
      <c r="E1016" s="41">
        <v>82549</v>
      </c>
      <c r="F1016" s="41"/>
      <c r="G1016" s="41"/>
      <c r="H1016" s="41"/>
      <c r="I1016" s="42"/>
      <c r="J1016" s="41"/>
      <c r="K1016" s="42"/>
      <c r="L1016" s="41"/>
    </row>
    <row r="1017" spans="2:12" outlineLevel="2">
      <c r="B1017" s="40">
        <f t="shared" si="67"/>
        <v>96</v>
      </c>
      <c r="C1017" s="41" t="s">
        <v>9</v>
      </c>
      <c r="D1017" s="41" t="s">
        <v>905</v>
      </c>
      <c r="E1017" s="41">
        <v>83611</v>
      </c>
      <c r="F1017" s="41"/>
      <c r="G1017" s="41"/>
      <c r="H1017" s="41"/>
      <c r="I1017" s="42"/>
      <c r="J1017" s="41"/>
      <c r="K1017" s="42"/>
      <c r="L1017" s="41"/>
    </row>
    <row r="1018" spans="2:12" outlineLevel="2">
      <c r="B1018" s="40">
        <f t="shared" si="67"/>
        <v>97</v>
      </c>
      <c r="C1018" s="41" t="s">
        <v>9</v>
      </c>
      <c r="D1018" s="41" t="s">
        <v>888</v>
      </c>
      <c r="E1018" s="41">
        <v>136292</v>
      </c>
      <c r="F1018" s="41"/>
      <c r="G1018" s="41"/>
      <c r="H1018" s="41"/>
      <c r="I1018" s="42"/>
      <c r="J1018" s="41"/>
      <c r="K1018" s="42"/>
      <c r="L1018" s="41"/>
    </row>
    <row r="1019" spans="2:12" outlineLevel="2">
      <c r="B1019" s="40">
        <f t="shared" si="67"/>
        <v>98</v>
      </c>
      <c r="C1019" s="41" t="s">
        <v>9</v>
      </c>
      <c r="D1019" s="41" t="s">
        <v>885</v>
      </c>
      <c r="E1019" s="41">
        <v>942979</v>
      </c>
      <c r="F1019" s="41"/>
      <c r="G1019" s="41"/>
      <c r="H1019" s="41"/>
      <c r="I1019" s="42"/>
      <c r="J1019" s="41"/>
      <c r="K1019" s="42"/>
      <c r="L1019" s="41"/>
    </row>
    <row r="1020" spans="2:12" outlineLevel="2">
      <c r="B1020" s="40">
        <f t="shared" si="67"/>
        <v>99</v>
      </c>
      <c r="C1020" s="41" t="s">
        <v>9</v>
      </c>
      <c r="D1020" s="41" t="s">
        <v>890</v>
      </c>
      <c r="E1020" s="41">
        <v>10589</v>
      </c>
      <c r="F1020" s="41"/>
      <c r="G1020" s="41"/>
      <c r="H1020" s="41"/>
      <c r="I1020" s="42"/>
      <c r="J1020" s="41"/>
      <c r="K1020" s="42"/>
      <c r="L1020" s="41"/>
    </row>
    <row r="1021" spans="2:12" outlineLevel="2">
      <c r="B1021" s="40">
        <f t="shared" si="67"/>
        <v>100</v>
      </c>
      <c r="C1021" s="41" t="s">
        <v>9</v>
      </c>
      <c r="D1021" s="41" t="s">
        <v>877</v>
      </c>
      <c r="E1021" s="41">
        <v>135694</v>
      </c>
      <c r="F1021" s="41"/>
      <c r="G1021" s="41"/>
      <c r="H1021" s="41"/>
      <c r="I1021" s="42"/>
      <c r="J1021" s="41"/>
      <c r="K1021" s="42"/>
      <c r="L1021" s="41"/>
    </row>
    <row r="1022" spans="2:12" outlineLevel="2">
      <c r="B1022" s="40">
        <f t="shared" si="67"/>
        <v>101</v>
      </c>
      <c r="C1022" s="41" t="s">
        <v>9</v>
      </c>
      <c r="D1022" s="41" t="s">
        <v>890</v>
      </c>
      <c r="E1022" s="41">
        <v>7797</v>
      </c>
      <c r="F1022" s="41"/>
      <c r="G1022" s="41"/>
      <c r="H1022" s="41"/>
      <c r="I1022" s="42"/>
      <c r="J1022" s="41"/>
      <c r="K1022" s="42"/>
      <c r="L1022" s="41"/>
    </row>
    <row r="1023" spans="2:12" outlineLevel="2">
      <c r="B1023" s="40">
        <f t="shared" si="67"/>
        <v>102</v>
      </c>
      <c r="C1023" s="41" t="s">
        <v>9</v>
      </c>
      <c r="D1023" s="41" t="s">
        <v>906</v>
      </c>
      <c r="E1023" s="41">
        <v>198492</v>
      </c>
      <c r="F1023" s="41"/>
      <c r="G1023" s="41"/>
      <c r="H1023" s="41"/>
      <c r="I1023" s="42"/>
      <c r="J1023" s="41"/>
      <c r="K1023" s="42"/>
      <c r="L1023" s="41"/>
    </row>
    <row r="1024" spans="2:12" outlineLevel="2">
      <c r="B1024" s="40">
        <f t="shared" si="67"/>
        <v>103</v>
      </c>
      <c r="C1024" s="41" t="s">
        <v>9</v>
      </c>
      <c r="D1024" s="41" t="s">
        <v>167</v>
      </c>
      <c r="E1024" s="41">
        <v>77920</v>
      </c>
      <c r="F1024" s="41"/>
      <c r="G1024" s="41"/>
      <c r="H1024" s="41"/>
      <c r="I1024" s="42"/>
      <c r="J1024" s="41"/>
      <c r="K1024" s="42"/>
      <c r="L1024" s="41"/>
    </row>
    <row r="1025" spans="2:12" outlineLevel="2">
      <c r="B1025" s="40">
        <f t="shared" si="67"/>
        <v>104</v>
      </c>
      <c r="C1025" s="41" t="s">
        <v>9</v>
      </c>
      <c r="D1025" s="41" t="s">
        <v>167</v>
      </c>
      <c r="E1025" s="41">
        <v>382512</v>
      </c>
      <c r="F1025" s="41"/>
      <c r="G1025" s="41"/>
      <c r="H1025" s="41"/>
      <c r="I1025" s="42"/>
      <c r="J1025" s="41"/>
      <c r="K1025" s="42"/>
      <c r="L1025" s="41"/>
    </row>
    <row r="1026" spans="2:12" outlineLevel="2">
      <c r="B1026" s="40">
        <f t="shared" si="67"/>
        <v>105</v>
      </c>
      <c r="C1026" s="41" t="s">
        <v>9</v>
      </c>
      <c r="D1026" s="41" t="s">
        <v>167</v>
      </c>
      <c r="E1026" s="41">
        <v>453247</v>
      </c>
      <c r="F1026" s="41"/>
      <c r="G1026" s="41"/>
      <c r="H1026" s="41"/>
      <c r="I1026" s="42"/>
      <c r="J1026" s="41"/>
      <c r="K1026" s="42"/>
      <c r="L1026" s="41"/>
    </row>
    <row r="1027" spans="2:12" outlineLevel="2">
      <c r="B1027" s="40">
        <f t="shared" si="67"/>
        <v>106</v>
      </c>
      <c r="C1027" s="41" t="s">
        <v>9</v>
      </c>
      <c r="D1027" s="41" t="s">
        <v>130</v>
      </c>
      <c r="E1027" s="41">
        <v>15310133</v>
      </c>
      <c r="F1027" s="41"/>
      <c r="G1027" s="41"/>
      <c r="H1027" s="41"/>
      <c r="I1027" s="42"/>
      <c r="J1027" s="41"/>
      <c r="K1027" s="42"/>
      <c r="L1027" s="41"/>
    </row>
    <row r="1028" spans="2:12" outlineLevel="2">
      <c r="B1028" s="40">
        <f t="shared" si="67"/>
        <v>107</v>
      </c>
      <c r="C1028" s="41" t="s">
        <v>9</v>
      </c>
      <c r="D1028" s="41" t="s">
        <v>167</v>
      </c>
      <c r="E1028" s="41">
        <v>419575</v>
      </c>
      <c r="F1028" s="41"/>
      <c r="G1028" s="41"/>
      <c r="H1028" s="41"/>
      <c r="I1028" s="42"/>
      <c r="J1028" s="41"/>
      <c r="K1028" s="42"/>
      <c r="L1028" s="41"/>
    </row>
    <row r="1029" spans="2:12" outlineLevel="2">
      <c r="B1029" s="40">
        <f t="shared" si="67"/>
        <v>108</v>
      </c>
      <c r="C1029" s="41" t="s">
        <v>9</v>
      </c>
      <c r="D1029" s="41" t="s">
        <v>181</v>
      </c>
      <c r="E1029" s="41">
        <v>220860</v>
      </c>
      <c r="F1029" s="41"/>
      <c r="G1029" s="41"/>
      <c r="H1029" s="41"/>
      <c r="I1029" s="42"/>
      <c r="J1029" s="41"/>
      <c r="K1029" s="42"/>
      <c r="L1029" s="41"/>
    </row>
    <row r="1030" spans="2:12" outlineLevel="2">
      <c r="B1030" s="40">
        <f t="shared" si="67"/>
        <v>109</v>
      </c>
      <c r="C1030" s="41" t="s">
        <v>9</v>
      </c>
      <c r="D1030" s="41" t="s">
        <v>181</v>
      </c>
      <c r="E1030" s="41">
        <v>758154</v>
      </c>
      <c r="F1030" s="41"/>
      <c r="G1030" s="41"/>
      <c r="H1030" s="41"/>
      <c r="I1030" s="42"/>
      <c r="J1030" s="41"/>
      <c r="K1030" s="42"/>
      <c r="L1030" s="41"/>
    </row>
    <row r="1031" spans="2:12" outlineLevel="2">
      <c r="B1031" s="40">
        <f t="shared" si="67"/>
        <v>110</v>
      </c>
      <c r="C1031" s="41" t="s">
        <v>9</v>
      </c>
      <c r="D1031" s="41" t="s">
        <v>181</v>
      </c>
      <c r="E1031" s="41">
        <v>840999</v>
      </c>
      <c r="F1031" s="41"/>
      <c r="G1031" s="41"/>
      <c r="H1031" s="41"/>
      <c r="I1031" s="42"/>
      <c r="J1031" s="41"/>
      <c r="K1031" s="42"/>
      <c r="L1031" s="41"/>
    </row>
    <row r="1032" spans="2:12" outlineLevel="2">
      <c r="B1032" s="40">
        <f t="shared" si="67"/>
        <v>111</v>
      </c>
      <c r="C1032" s="41" t="s">
        <v>9</v>
      </c>
      <c r="D1032" s="41" t="s">
        <v>181</v>
      </c>
      <c r="E1032" s="41">
        <v>790437</v>
      </c>
      <c r="F1032" s="41"/>
      <c r="G1032" s="41"/>
      <c r="H1032" s="41"/>
      <c r="I1032" s="42"/>
      <c r="J1032" s="41"/>
      <c r="K1032" s="42"/>
      <c r="L1032" s="41"/>
    </row>
    <row r="1033" spans="2:12" outlineLevel="2">
      <c r="B1033" s="40">
        <f>IF(C1033="","",B1032+1)</f>
        <v>112</v>
      </c>
      <c r="C1033" s="41" t="s">
        <v>9</v>
      </c>
      <c r="D1033" s="41" t="s">
        <v>129</v>
      </c>
      <c r="E1033" s="41">
        <v>279639</v>
      </c>
      <c r="F1033" s="41"/>
      <c r="G1033" s="41"/>
      <c r="H1033" s="41"/>
      <c r="I1033" s="42"/>
      <c r="J1033" s="41"/>
      <c r="K1033" s="42"/>
      <c r="L1033" s="41"/>
    </row>
    <row r="1034" spans="2:12" outlineLevel="2">
      <c r="B1034" s="40">
        <f>IF(C1034="","",B1033+1)</f>
        <v>113</v>
      </c>
      <c r="C1034" s="41" t="s">
        <v>9</v>
      </c>
      <c r="D1034" s="41" t="s">
        <v>129</v>
      </c>
      <c r="E1034" s="41">
        <v>82477</v>
      </c>
      <c r="F1034" s="41"/>
      <c r="G1034" s="41"/>
      <c r="H1034" s="41"/>
      <c r="I1034" s="42"/>
      <c r="J1034" s="41"/>
      <c r="K1034" s="42"/>
      <c r="L1034" s="41"/>
    </row>
    <row r="1035" spans="2:12" outlineLevel="2">
      <c r="B1035" s="40">
        <f t="shared" ref="B1035:B1044" si="68">IF(C1035="","",B1034+1)</f>
        <v>114</v>
      </c>
      <c r="C1035" s="41" t="s">
        <v>9</v>
      </c>
      <c r="D1035" s="41" t="s">
        <v>181</v>
      </c>
      <c r="E1035" s="41">
        <v>812925</v>
      </c>
      <c r="F1035" s="41"/>
      <c r="G1035" s="41"/>
      <c r="H1035" s="41"/>
      <c r="I1035" s="42"/>
      <c r="J1035" s="41"/>
      <c r="K1035" s="42"/>
      <c r="L1035" s="41"/>
    </row>
    <row r="1036" spans="2:12" outlineLevel="2">
      <c r="B1036" s="40">
        <f t="shared" si="68"/>
        <v>115</v>
      </c>
      <c r="C1036" s="41" t="s">
        <v>9</v>
      </c>
      <c r="D1036" s="41" t="s">
        <v>167</v>
      </c>
      <c r="E1036" s="41">
        <v>216372</v>
      </c>
      <c r="F1036" s="41"/>
      <c r="G1036" s="41"/>
      <c r="H1036" s="41"/>
      <c r="I1036" s="42"/>
      <c r="J1036" s="41"/>
      <c r="K1036" s="42"/>
      <c r="L1036" s="41"/>
    </row>
    <row r="1037" spans="2:12" outlineLevel="2">
      <c r="B1037" s="40">
        <f t="shared" si="68"/>
        <v>116</v>
      </c>
      <c r="C1037" s="41" t="s">
        <v>9</v>
      </c>
      <c r="D1037" s="41" t="s">
        <v>128</v>
      </c>
      <c r="E1037" s="41">
        <v>122171</v>
      </c>
      <c r="F1037" s="41"/>
      <c r="G1037" s="41"/>
      <c r="H1037" s="41"/>
      <c r="I1037" s="42"/>
      <c r="J1037" s="41"/>
      <c r="K1037" s="42"/>
      <c r="L1037" s="41"/>
    </row>
    <row r="1038" spans="2:12" outlineLevel="2">
      <c r="B1038" s="40">
        <f t="shared" si="68"/>
        <v>117</v>
      </c>
      <c r="C1038" s="41" t="s">
        <v>9</v>
      </c>
      <c r="D1038" s="41" t="s">
        <v>128</v>
      </c>
      <c r="E1038" s="41">
        <v>115497</v>
      </c>
      <c r="F1038" s="41"/>
      <c r="G1038" s="41"/>
      <c r="H1038" s="41"/>
      <c r="I1038" s="42"/>
      <c r="J1038" s="41"/>
      <c r="K1038" s="42"/>
      <c r="L1038" s="41"/>
    </row>
    <row r="1039" spans="2:12" outlineLevel="2">
      <c r="B1039" s="40">
        <f t="shared" si="68"/>
        <v>118</v>
      </c>
      <c r="C1039" s="41" t="s">
        <v>9</v>
      </c>
      <c r="D1039" s="41" t="s">
        <v>130</v>
      </c>
      <c r="E1039" s="41">
        <v>247624</v>
      </c>
      <c r="F1039" s="41"/>
      <c r="G1039" s="41"/>
      <c r="H1039" s="41"/>
      <c r="I1039" s="42"/>
      <c r="J1039" s="41"/>
      <c r="K1039" s="42"/>
      <c r="L1039" s="41"/>
    </row>
    <row r="1040" spans="2:12" outlineLevel="2">
      <c r="B1040" s="40">
        <f t="shared" si="68"/>
        <v>119</v>
      </c>
      <c r="C1040" s="41" t="s">
        <v>9</v>
      </c>
      <c r="D1040" s="41" t="s">
        <v>130</v>
      </c>
      <c r="E1040" s="41">
        <v>108923</v>
      </c>
      <c r="F1040" s="41"/>
      <c r="G1040" s="41"/>
      <c r="H1040" s="41"/>
      <c r="I1040" s="42"/>
      <c r="J1040" s="41"/>
      <c r="K1040" s="42"/>
      <c r="L1040" s="41"/>
    </row>
    <row r="1041" spans="2:12" outlineLevel="2">
      <c r="B1041" s="40">
        <f t="shared" si="68"/>
        <v>120</v>
      </c>
      <c r="C1041" s="41" t="s">
        <v>9</v>
      </c>
      <c r="D1041" s="41" t="s">
        <v>129</v>
      </c>
      <c r="E1041" s="41">
        <v>82522</v>
      </c>
      <c r="F1041" s="41"/>
      <c r="G1041" s="41"/>
      <c r="H1041" s="41"/>
      <c r="I1041" s="42"/>
      <c r="J1041" s="41"/>
      <c r="K1041" s="42"/>
      <c r="L1041" s="41"/>
    </row>
    <row r="1042" spans="2:12" outlineLevel="2">
      <c r="B1042" s="40">
        <f t="shared" si="68"/>
        <v>121</v>
      </c>
      <c r="C1042" s="41" t="s">
        <v>9</v>
      </c>
      <c r="D1042" s="41" t="s">
        <v>167</v>
      </c>
      <c r="E1042" s="41">
        <v>315781</v>
      </c>
      <c r="F1042" s="41"/>
      <c r="G1042" s="41"/>
      <c r="H1042" s="41"/>
      <c r="I1042" s="42"/>
      <c r="J1042" s="41"/>
      <c r="K1042" s="42"/>
      <c r="L1042" s="41"/>
    </row>
    <row r="1043" spans="2:12" outlineLevel="2">
      <c r="B1043" s="40">
        <f t="shared" si="68"/>
        <v>122</v>
      </c>
      <c r="C1043" s="41" t="s">
        <v>9</v>
      </c>
      <c r="D1043" s="41" t="s">
        <v>167</v>
      </c>
      <c r="E1043" s="41">
        <v>311332</v>
      </c>
      <c r="F1043" s="41"/>
      <c r="G1043" s="41"/>
      <c r="H1043" s="41"/>
      <c r="I1043" s="42"/>
      <c r="J1043" s="41"/>
      <c r="K1043" s="42"/>
      <c r="L1043" s="41"/>
    </row>
    <row r="1044" spans="2:12" outlineLevel="2">
      <c r="B1044" s="40">
        <f t="shared" si="68"/>
        <v>123</v>
      </c>
      <c r="C1044" s="41" t="s">
        <v>9</v>
      </c>
      <c r="D1044" s="41" t="s">
        <v>167</v>
      </c>
      <c r="E1044" s="41">
        <v>411053</v>
      </c>
      <c r="F1044" s="41"/>
      <c r="G1044" s="41"/>
      <c r="H1044" s="41"/>
      <c r="I1044" s="42"/>
      <c r="J1044" s="41"/>
      <c r="K1044" s="42"/>
      <c r="L1044" s="41"/>
    </row>
    <row r="1045" spans="2:12" outlineLevel="2">
      <c r="B1045" s="40">
        <f>IF(C1045="","",B1044+1)</f>
        <v>124</v>
      </c>
      <c r="C1045" s="41" t="s">
        <v>9</v>
      </c>
      <c r="D1045" s="41" t="s">
        <v>167</v>
      </c>
      <c r="E1045" s="41">
        <v>83417</v>
      </c>
      <c r="F1045" s="41"/>
      <c r="G1045" s="41"/>
      <c r="H1045" s="41"/>
      <c r="I1045" s="42"/>
      <c r="J1045" s="41"/>
      <c r="K1045" s="42"/>
      <c r="L1045" s="41"/>
    </row>
    <row r="1046" spans="2:12" outlineLevel="2">
      <c r="B1046" s="40">
        <f t="shared" ref="B1046:B1072" si="69">IF(C1046="","",B1045+1)</f>
        <v>125</v>
      </c>
      <c r="C1046" s="41" t="s">
        <v>9</v>
      </c>
      <c r="D1046" s="41" t="s">
        <v>129</v>
      </c>
      <c r="E1046" s="41">
        <v>86714</v>
      </c>
      <c r="F1046" s="41"/>
      <c r="G1046" s="41"/>
      <c r="H1046" s="41"/>
      <c r="I1046" s="42"/>
      <c r="J1046" s="41"/>
      <c r="K1046" s="42"/>
      <c r="L1046" s="41"/>
    </row>
    <row r="1047" spans="2:12" outlineLevel="2">
      <c r="B1047" s="40">
        <f t="shared" si="69"/>
        <v>126</v>
      </c>
      <c r="C1047" s="41" t="s">
        <v>9</v>
      </c>
      <c r="D1047" s="41" t="s">
        <v>167</v>
      </c>
      <c r="E1047" s="41">
        <v>315775</v>
      </c>
      <c r="F1047" s="41"/>
      <c r="G1047" s="41"/>
      <c r="H1047" s="41"/>
      <c r="I1047" s="42"/>
      <c r="J1047" s="41"/>
      <c r="K1047" s="42"/>
      <c r="L1047" s="41"/>
    </row>
    <row r="1048" spans="2:12" outlineLevel="2">
      <c r="B1048" s="40">
        <f t="shared" si="69"/>
        <v>127</v>
      </c>
      <c r="C1048" s="41" t="s">
        <v>9</v>
      </c>
      <c r="D1048" s="41" t="s">
        <v>128</v>
      </c>
      <c r="E1048" s="41">
        <v>724181</v>
      </c>
      <c r="F1048" s="41"/>
      <c r="G1048" s="41"/>
      <c r="H1048" s="41"/>
      <c r="I1048" s="42"/>
      <c r="J1048" s="41"/>
      <c r="K1048" s="42"/>
      <c r="L1048" s="41"/>
    </row>
    <row r="1049" spans="2:12" outlineLevel="2">
      <c r="B1049" s="40">
        <f t="shared" si="69"/>
        <v>128</v>
      </c>
      <c r="C1049" s="41" t="s">
        <v>9</v>
      </c>
      <c r="D1049" s="41" t="s">
        <v>128</v>
      </c>
      <c r="E1049" s="41">
        <v>24626</v>
      </c>
      <c r="F1049" s="41"/>
      <c r="G1049" s="41"/>
      <c r="H1049" s="41"/>
      <c r="I1049" s="42"/>
      <c r="J1049" s="41"/>
      <c r="K1049" s="42"/>
      <c r="L1049" s="41"/>
    </row>
    <row r="1050" spans="2:12" outlineLevel="2">
      <c r="B1050" s="40">
        <f t="shared" si="69"/>
        <v>129</v>
      </c>
      <c r="C1050" s="41" t="s">
        <v>9</v>
      </c>
      <c r="D1050" s="41" t="s">
        <v>128</v>
      </c>
      <c r="E1050" s="41">
        <v>15310108</v>
      </c>
      <c r="F1050" s="41"/>
      <c r="G1050" s="41"/>
      <c r="H1050" s="41"/>
      <c r="I1050" s="42"/>
      <c r="J1050" s="41"/>
      <c r="K1050" s="42"/>
      <c r="L1050" s="41"/>
    </row>
    <row r="1051" spans="2:12" outlineLevel="2">
      <c r="B1051" s="40">
        <f t="shared" si="69"/>
        <v>130</v>
      </c>
      <c r="C1051" s="41" t="s">
        <v>9</v>
      </c>
      <c r="D1051" s="41" t="s">
        <v>128</v>
      </c>
      <c r="E1051" s="41">
        <v>15310107</v>
      </c>
      <c r="F1051" s="41"/>
      <c r="G1051" s="41"/>
      <c r="H1051" s="41"/>
      <c r="I1051" s="42"/>
      <c r="J1051" s="41"/>
      <c r="K1051" s="42"/>
      <c r="L1051" s="41"/>
    </row>
    <row r="1052" spans="2:12" outlineLevel="2">
      <c r="B1052" s="40">
        <f t="shared" si="69"/>
        <v>131</v>
      </c>
      <c r="C1052" s="41" t="s">
        <v>9</v>
      </c>
      <c r="D1052" s="41" t="s">
        <v>129</v>
      </c>
      <c r="E1052" s="41">
        <v>13383</v>
      </c>
      <c r="F1052" s="41"/>
      <c r="G1052" s="41"/>
      <c r="H1052" s="41"/>
      <c r="I1052" s="42"/>
      <c r="J1052" s="41"/>
      <c r="K1052" s="42"/>
      <c r="L1052" s="41"/>
    </row>
    <row r="1053" spans="2:12" outlineLevel="2">
      <c r="B1053" s="40">
        <f t="shared" si="69"/>
        <v>132</v>
      </c>
      <c r="C1053" s="41" t="s">
        <v>9</v>
      </c>
      <c r="D1053" s="41" t="s">
        <v>903</v>
      </c>
      <c r="E1053" s="41">
        <v>18126095</v>
      </c>
      <c r="F1053" s="41"/>
      <c r="G1053" s="41"/>
      <c r="H1053" s="41"/>
      <c r="I1053" s="42"/>
      <c r="J1053" s="41"/>
      <c r="K1053" s="42"/>
      <c r="L1053" s="41"/>
    </row>
    <row r="1054" spans="2:12" outlineLevel="2">
      <c r="B1054" s="40">
        <f t="shared" si="69"/>
        <v>133</v>
      </c>
      <c r="C1054" s="41" t="s">
        <v>9</v>
      </c>
      <c r="D1054" s="41" t="s">
        <v>131</v>
      </c>
      <c r="E1054" s="41">
        <v>105700</v>
      </c>
      <c r="F1054" s="41"/>
      <c r="G1054" s="41"/>
      <c r="H1054" s="41"/>
      <c r="I1054" s="42"/>
      <c r="J1054" s="41"/>
      <c r="K1054" s="42"/>
      <c r="L1054" s="41"/>
    </row>
    <row r="1055" spans="2:12" outlineLevel="2">
      <c r="B1055" s="40">
        <f t="shared" si="69"/>
        <v>134</v>
      </c>
      <c r="C1055" s="41" t="s">
        <v>9</v>
      </c>
      <c r="D1055" s="41" t="s">
        <v>131</v>
      </c>
      <c r="E1055" s="41">
        <v>151414</v>
      </c>
      <c r="F1055" s="41"/>
      <c r="G1055" s="41"/>
      <c r="H1055" s="41"/>
      <c r="I1055" s="42"/>
      <c r="J1055" s="41"/>
      <c r="K1055" s="42"/>
      <c r="L1055" s="41"/>
    </row>
    <row r="1056" spans="2:12" outlineLevel="2">
      <c r="B1056" s="40">
        <f t="shared" si="69"/>
        <v>135</v>
      </c>
      <c r="C1056" s="41" t="s">
        <v>9</v>
      </c>
      <c r="D1056" s="41" t="s">
        <v>130</v>
      </c>
      <c r="E1056" s="41">
        <v>177392</v>
      </c>
      <c r="F1056" s="41"/>
      <c r="G1056" s="41"/>
      <c r="H1056" s="41"/>
      <c r="I1056" s="42"/>
      <c r="J1056" s="41"/>
      <c r="K1056" s="42"/>
      <c r="L1056" s="41"/>
    </row>
    <row r="1057" spans="2:12" outlineLevel="2">
      <c r="B1057" s="40">
        <f t="shared" si="69"/>
        <v>136</v>
      </c>
      <c r="C1057" s="41" t="s">
        <v>9</v>
      </c>
      <c r="D1057" s="41" t="s">
        <v>128</v>
      </c>
      <c r="E1057" s="41">
        <v>189406</v>
      </c>
      <c r="F1057" s="41"/>
      <c r="G1057" s="41"/>
      <c r="H1057" s="41"/>
      <c r="I1057" s="42"/>
      <c r="J1057" s="41"/>
      <c r="K1057" s="42"/>
      <c r="L1057" s="41"/>
    </row>
    <row r="1058" spans="2:12" outlineLevel="2">
      <c r="B1058" s="40">
        <f t="shared" si="69"/>
        <v>137</v>
      </c>
      <c r="C1058" s="41" t="s">
        <v>9</v>
      </c>
      <c r="D1058" s="41" t="s">
        <v>128</v>
      </c>
      <c r="E1058" s="41">
        <v>154962</v>
      </c>
      <c r="F1058" s="41"/>
      <c r="G1058" s="41"/>
      <c r="H1058" s="41"/>
      <c r="I1058" s="42"/>
      <c r="J1058" s="41"/>
      <c r="K1058" s="42"/>
      <c r="L1058" s="41"/>
    </row>
    <row r="1059" spans="2:12" outlineLevel="2">
      <c r="B1059" s="40">
        <f t="shared" si="69"/>
        <v>138</v>
      </c>
      <c r="C1059" s="41" t="s">
        <v>9</v>
      </c>
      <c r="D1059" s="41" t="s">
        <v>128</v>
      </c>
      <c r="E1059" s="41">
        <v>670301</v>
      </c>
      <c r="F1059" s="41"/>
      <c r="G1059" s="41"/>
      <c r="H1059" s="41"/>
      <c r="I1059" s="42"/>
      <c r="J1059" s="41"/>
      <c r="K1059" s="42"/>
      <c r="L1059" s="41"/>
    </row>
    <row r="1060" spans="2:12" outlineLevel="2">
      <c r="B1060" s="40">
        <f t="shared" si="69"/>
        <v>139</v>
      </c>
      <c r="C1060" s="41" t="s">
        <v>9</v>
      </c>
      <c r="D1060" s="41" t="s">
        <v>130</v>
      </c>
      <c r="E1060" s="41">
        <v>9788762</v>
      </c>
      <c r="F1060" s="41"/>
      <c r="G1060" s="41"/>
      <c r="H1060" s="41"/>
      <c r="I1060" s="42"/>
      <c r="J1060" s="41"/>
      <c r="K1060" s="42"/>
      <c r="L1060" s="41"/>
    </row>
    <row r="1061" spans="2:12" outlineLevel="2">
      <c r="B1061" s="40">
        <f t="shared" si="69"/>
        <v>140</v>
      </c>
      <c r="C1061" s="41" t="s">
        <v>9</v>
      </c>
      <c r="D1061" s="41" t="s">
        <v>130</v>
      </c>
      <c r="E1061" s="41">
        <v>186803</v>
      </c>
      <c r="F1061" s="41"/>
      <c r="G1061" s="41"/>
      <c r="H1061" s="41"/>
      <c r="I1061" s="42"/>
      <c r="J1061" s="41"/>
      <c r="K1061" s="42"/>
      <c r="L1061" s="41"/>
    </row>
    <row r="1062" spans="2:12" outlineLevel="2">
      <c r="B1062" s="40">
        <f t="shared" si="69"/>
        <v>141</v>
      </c>
      <c r="C1062" s="41" t="s">
        <v>9</v>
      </c>
      <c r="D1062" s="41" t="s">
        <v>166</v>
      </c>
      <c r="E1062" s="41">
        <v>167802</v>
      </c>
      <c r="F1062" s="41"/>
      <c r="G1062" s="41"/>
      <c r="H1062" s="41"/>
      <c r="I1062" s="42"/>
      <c r="J1062" s="41"/>
      <c r="K1062" s="42"/>
      <c r="L1062" s="41"/>
    </row>
    <row r="1063" spans="2:12" outlineLevel="2">
      <c r="B1063" s="40">
        <f t="shared" si="69"/>
        <v>142</v>
      </c>
      <c r="C1063" s="41" t="s">
        <v>9</v>
      </c>
      <c r="D1063" s="41" t="s">
        <v>166</v>
      </c>
      <c r="E1063" s="41">
        <v>202636</v>
      </c>
      <c r="F1063" s="41"/>
      <c r="G1063" s="41"/>
      <c r="H1063" s="41"/>
      <c r="I1063" s="42"/>
      <c r="J1063" s="41"/>
      <c r="K1063" s="42"/>
      <c r="L1063" s="41"/>
    </row>
    <row r="1064" spans="2:12" outlineLevel="2">
      <c r="B1064" s="40">
        <f t="shared" si="69"/>
        <v>143</v>
      </c>
      <c r="C1064" s="41" t="s">
        <v>9</v>
      </c>
      <c r="D1064" s="41" t="s">
        <v>129</v>
      </c>
      <c r="E1064" s="41">
        <v>163536</v>
      </c>
      <c r="F1064" s="41"/>
      <c r="G1064" s="41"/>
      <c r="H1064" s="41"/>
      <c r="I1064" s="42"/>
      <c r="J1064" s="41"/>
      <c r="K1064" s="42"/>
      <c r="L1064" s="41"/>
    </row>
    <row r="1065" spans="2:12" outlineLevel="2">
      <c r="B1065" s="40">
        <f t="shared" si="69"/>
        <v>144</v>
      </c>
      <c r="C1065" s="41" t="s">
        <v>9</v>
      </c>
      <c r="D1065" s="41" t="s">
        <v>130</v>
      </c>
      <c r="E1065" s="41">
        <v>121678</v>
      </c>
      <c r="F1065" s="41"/>
      <c r="G1065" s="41"/>
      <c r="H1065" s="41"/>
      <c r="I1065" s="42"/>
      <c r="J1065" s="41"/>
      <c r="K1065" s="42"/>
      <c r="L1065" s="41"/>
    </row>
    <row r="1066" spans="2:12" outlineLevel="2">
      <c r="B1066" s="40">
        <f t="shared" si="69"/>
        <v>145</v>
      </c>
      <c r="C1066" s="41" t="s">
        <v>9</v>
      </c>
      <c r="D1066" s="41" t="s">
        <v>128</v>
      </c>
      <c r="E1066" s="41">
        <v>9164312</v>
      </c>
      <c r="F1066" s="41"/>
      <c r="G1066" s="41"/>
      <c r="H1066" s="41"/>
      <c r="I1066" s="42"/>
      <c r="J1066" s="41"/>
      <c r="K1066" s="42"/>
      <c r="L1066" s="41"/>
    </row>
    <row r="1067" spans="2:12" outlineLevel="2">
      <c r="B1067" s="40">
        <f>IF(C1067="","",B1066+1)</f>
        <v>146</v>
      </c>
      <c r="C1067" s="41" t="s">
        <v>9</v>
      </c>
      <c r="D1067" s="41" t="s">
        <v>131</v>
      </c>
      <c r="E1067" s="41">
        <v>164109</v>
      </c>
      <c r="F1067" s="41"/>
      <c r="G1067" s="41"/>
      <c r="H1067" s="41"/>
      <c r="I1067" s="42"/>
      <c r="J1067" s="41"/>
      <c r="K1067" s="42"/>
      <c r="L1067" s="41"/>
    </row>
    <row r="1068" spans="2:12" outlineLevel="2">
      <c r="B1068" s="40">
        <f t="shared" si="69"/>
        <v>147</v>
      </c>
      <c r="C1068" s="41" t="s">
        <v>9</v>
      </c>
      <c r="D1068" s="41" t="s">
        <v>129</v>
      </c>
      <c r="E1068" s="41">
        <v>280683</v>
      </c>
      <c r="F1068" s="41"/>
      <c r="G1068" s="41"/>
      <c r="H1068" s="41"/>
      <c r="I1068" s="42"/>
      <c r="J1068" s="41"/>
      <c r="K1068" s="42"/>
      <c r="L1068" s="41"/>
    </row>
    <row r="1069" spans="2:12" outlineLevel="2">
      <c r="B1069" s="40">
        <f t="shared" si="69"/>
        <v>148</v>
      </c>
      <c r="C1069" s="41" t="s">
        <v>9</v>
      </c>
      <c r="D1069" s="41" t="s">
        <v>191</v>
      </c>
      <c r="E1069" s="41">
        <v>672563</v>
      </c>
      <c r="F1069" s="41"/>
      <c r="G1069" s="41"/>
      <c r="H1069" s="41"/>
      <c r="I1069" s="42"/>
      <c r="J1069" s="41"/>
      <c r="K1069" s="42"/>
      <c r="L1069" s="41"/>
    </row>
    <row r="1070" spans="2:12" outlineLevel="2">
      <c r="B1070" s="40">
        <f t="shared" si="69"/>
        <v>149</v>
      </c>
      <c r="C1070" s="41" t="s">
        <v>9</v>
      </c>
      <c r="D1070" s="41" t="s">
        <v>129</v>
      </c>
      <c r="E1070" s="41">
        <v>11255</v>
      </c>
      <c r="F1070" s="41"/>
      <c r="G1070" s="41"/>
      <c r="H1070" s="41"/>
      <c r="I1070" s="42"/>
      <c r="J1070" s="41"/>
      <c r="K1070" s="42"/>
      <c r="L1070" s="41"/>
    </row>
    <row r="1071" spans="2:12" outlineLevel="2">
      <c r="B1071" s="40">
        <f t="shared" si="69"/>
        <v>150</v>
      </c>
      <c r="C1071" s="41" t="s">
        <v>9</v>
      </c>
      <c r="D1071" s="41" t="s">
        <v>191</v>
      </c>
      <c r="E1071" s="41">
        <v>691737</v>
      </c>
      <c r="F1071" s="41"/>
      <c r="G1071" s="41"/>
      <c r="H1071" s="41"/>
      <c r="I1071" s="42"/>
      <c r="J1071" s="41"/>
      <c r="K1071" s="42"/>
      <c r="L1071" s="41"/>
    </row>
    <row r="1072" spans="2:12" outlineLevel="2">
      <c r="B1072" s="40">
        <f t="shared" si="69"/>
        <v>151</v>
      </c>
      <c r="C1072" s="41" t="s">
        <v>9</v>
      </c>
      <c r="D1072" s="41" t="s">
        <v>191</v>
      </c>
      <c r="E1072" s="41">
        <v>291928</v>
      </c>
      <c r="F1072" s="41"/>
      <c r="G1072" s="41"/>
      <c r="H1072" s="41"/>
      <c r="I1072" s="42"/>
      <c r="J1072" s="41"/>
      <c r="K1072" s="42"/>
      <c r="L1072" s="41"/>
    </row>
    <row r="1073" spans="2:12" outlineLevel="2">
      <c r="B1073" s="40">
        <f>IF(C1073="","",B1072+1)</f>
        <v>152</v>
      </c>
      <c r="C1073" s="41" t="s">
        <v>9</v>
      </c>
      <c r="D1073" s="41" t="s">
        <v>128</v>
      </c>
      <c r="E1073" s="41">
        <v>1452616</v>
      </c>
      <c r="F1073" s="41"/>
      <c r="G1073" s="41"/>
      <c r="H1073" s="41"/>
      <c r="I1073" s="42"/>
      <c r="J1073" s="41"/>
      <c r="K1073" s="42"/>
      <c r="L1073" s="41"/>
    </row>
    <row r="1074" spans="2:12" outlineLevel="2">
      <c r="B1074" s="40">
        <f t="shared" ref="B1074:B1100" si="70">IF(C1074="","",B1073+1)</f>
        <v>153</v>
      </c>
      <c r="C1074" s="41" t="s">
        <v>9</v>
      </c>
      <c r="D1074" s="41" t="s">
        <v>191</v>
      </c>
      <c r="E1074" s="41">
        <v>75234</v>
      </c>
      <c r="F1074" s="41"/>
      <c r="G1074" s="41"/>
      <c r="H1074" s="41"/>
      <c r="I1074" s="42"/>
      <c r="J1074" s="41"/>
      <c r="K1074" s="42"/>
      <c r="L1074" s="41"/>
    </row>
    <row r="1075" spans="2:12" outlineLevel="2">
      <c r="B1075" s="40">
        <f t="shared" si="70"/>
        <v>154</v>
      </c>
      <c r="C1075" s="41" t="s">
        <v>9</v>
      </c>
      <c r="D1075" s="41" t="s">
        <v>131</v>
      </c>
      <c r="E1075" s="41">
        <v>151514</v>
      </c>
      <c r="F1075" s="41"/>
      <c r="G1075" s="41"/>
      <c r="H1075" s="41"/>
      <c r="I1075" s="42"/>
      <c r="J1075" s="41"/>
      <c r="K1075" s="42"/>
      <c r="L1075" s="41"/>
    </row>
    <row r="1076" spans="2:12" outlineLevel="2">
      <c r="B1076" s="40">
        <f t="shared" si="70"/>
        <v>155</v>
      </c>
      <c r="C1076" s="41" t="s">
        <v>9</v>
      </c>
      <c r="D1076" s="41" t="s">
        <v>191</v>
      </c>
      <c r="E1076" s="41">
        <v>78140</v>
      </c>
      <c r="F1076" s="41"/>
      <c r="G1076" s="41"/>
      <c r="H1076" s="41"/>
      <c r="I1076" s="42"/>
      <c r="J1076" s="41"/>
      <c r="K1076" s="42"/>
      <c r="L1076" s="41"/>
    </row>
    <row r="1077" spans="2:12" outlineLevel="2">
      <c r="B1077" s="40">
        <f t="shared" si="70"/>
        <v>156</v>
      </c>
      <c r="C1077" s="41" t="s">
        <v>9</v>
      </c>
      <c r="D1077" s="41" t="s">
        <v>191</v>
      </c>
      <c r="E1077" s="41">
        <v>88361</v>
      </c>
      <c r="F1077" s="41"/>
      <c r="G1077" s="41"/>
      <c r="H1077" s="41"/>
      <c r="I1077" s="42"/>
      <c r="J1077" s="41"/>
      <c r="K1077" s="42"/>
      <c r="L1077" s="41"/>
    </row>
    <row r="1078" spans="2:12" outlineLevel="2">
      <c r="B1078" s="40">
        <f t="shared" si="70"/>
        <v>157</v>
      </c>
      <c r="C1078" s="41" t="s">
        <v>9</v>
      </c>
      <c r="D1078" s="41" t="s">
        <v>191</v>
      </c>
      <c r="E1078" s="41">
        <v>156755</v>
      </c>
      <c r="F1078" s="41"/>
      <c r="G1078" s="41"/>
      <c r="H1078" s="41"/>
      <c r="I1078" s="42"/>
      <c r="J1078" s="41"/>
      <c r="K1078" s="42"/>
      <c r="L1078" s="41"/>
    </row>
    <row r="1079" spans="2:12" outlineLevel="2">
      <c r="B1079" s="40">
        <f t="shared" si="70"/>
        <v>158</v>
      </c>
      <c r="C1079" s="41" t="s">
        <v>9</v>
      </c>
      <c r="D1079" s="41" t="s">
        <v>167</v>
      </c>
      <c r="E1079" s="41">
        <v>35542</v>
      </c>
      <c r="F1079" s="41"/>
      <c r="G1079" s="41"/>
      <c r="H1079" s="41"/>
      <c r="I1079" s="42"/>
      <c r="J1079" s="41"/>
      <c r="K1079" s="42"/>
      <c r="L1079" s="41"/>
    </row>
    <row r="1080" spans="2:12" outlineLevel="2">
      <c r="B1080" s="40">
        <f t="shared" si="70"/>
        <v>159</v>
      </c>
      <c r="C1080" s="41" t="s">
        <v>9</v>
      </c>
      <c r="D1080" s="41" t="s">
        <v>167</v>
      </c>
      <c r="E1080" s="41" t="s">
        <v>907</v>
      </c>
      <c r="F1080" s="41"/>
      <c r="G1080" s="41"/>
      <c r="H1080" s="41"/>
      <c r="I1080" s="42"/>
      <c r="J1080" s="41"/>
      <c r="K1080" s="42"/>
      <c r="L1080" s="41"/>
    </row>
    <row r="1081" spans="2:12" outlineLevel="2">
      <c r="B1081" s="40">
        <f t="shared" si="70"/>
        <v>160</v>
      </c>
      <c r="C1081" s="41" t="s">
        <v>9</v>
      </c>
      <c r="D1081" s="41" t="s">
        <v>167</v>
      </c>
      <c r="E1081" s="41">
        <v>153187</v>
      </c>
      <c r="F1081" s="41"/>
      <c r="G1081" s="41"/>
      <c r="H1081" s="41"/>
      <c r="I1081" s="42"/>
      <c r="J1081" s="41"/>
      <c r="K1081" s="42"/>
      <c r="L1081" s="41"/>
    </row>
    <row r="1082" spans="2:12" outlineLevel="2">
      <c r="B1082" s="40">
        <f t="shared" si="70"/>
        <v>161</v>
      </c>
      <c r="C1082" s="41" t="s">
        <v>9</v>
      </c>
      <c r="D1082" s="41" t="s">
        <v>167</v>
      </c>
      <c r="E1082" s="41">
        <v>70381</v>
      </c>
      <c r="F1082" s="41"/>
      <c r="G1082" s="41"/>
      <c r="H1082" s="41"/>
      <c r="I1082" s="42"/>
      <c r="J1082" s="41"/>
      <c r="K1082" s="42"/>
      <c r="L1082" s="41"/>
    </row>
    <row r="1083" spans="2:12" outlineLevel="2">
      <c r="B1083" s="40">
        <f t="shared" si="70"/>
        <v>162</v>
      </c>
      <c r="C1083" s="41" t="s">
        <v>9</v>
      </c>
      <c r="D1083" s="41" t="s">
        <v>191</v>
      </c>
      <c r="E1083" s="41">
        <v>810522</v>
      </c>
      <c r="F1083" s="41"/>
      <c r="G1083" s="41"/>
      <c r="H1083" s="41"/>
      <c r="I1083" s="42"/>
      <c r="J1083" s="41"/>
      <c r="K1083" s="42"/>
      <c r="L1083" s="41"/>
    </row>
    <row r="1084" spans="2:12" outlineLevel="2">
      <c r="B1084" s="40">
        <f t="shared" si="70"/>
        <v>163</v>
      </c>
      <c r="C1084" s="41" t="s">
        <v>9</v>
      </c>
      <c r="D1084" s="41" t="s">
        <v>191</v>
      </c>
      <c r="E1084" s="41">
        <v>354604</v>
      </c>
      <c r="F1084" s="41"/>
      <c r="G1084" s="41"/>
      <c r="H1084" s="41"/>
      <c r="I1084" s="42"/>
      <c r="J1084" s="41"/>
      <c r="K1084" s="42"/>
      <c r="L1084" s="41"/>
    </row>
    <row r="1085" spans="2:12" outlineLevel="2">
      <c r="B1085" s="40">
        <f t="shared" si="70"/>
        <v>164</v>
      </c>
      <c r="C1085" s="41" t="s">
        <v>9</v>
      </c>
      <c r="D1085" s="41" t="s">
        <v>129</v>
      </c>
      <c r="E1085" s="41">
        <v>174759</v>
      </c>
      <c r="F1085" s="41"/>
      <c r="G1085" s="41"/>
      <c r="H1085" s="41"/>
      <c r="I1085" s="42"/>
      <c r="J1085" s="41"/>
      <c r="K1085" s="42"/>
      <c r="L1085" s="41"/>
    </row>
    <row r="1086" spans="2:12" outlineLevel="2">
      <c r="B1086" s="40">
        <f t="shared" si="70"/>
        <v>165</v>
      </c>
      <c r="C1086" s="41" t="s">
        <v>9</v>
      </c>
      <c r="D1086" s="41" t="s">
        <v>128</v>
      </c>
      <c r="E1086" s="41">
        <v>186784</v>
      </c>
      <c r="F1086" s="41"/>
      <c r="G1086" s="41"/>
      <c r="H1086" s="41"/>
      <c r="I1086" s="42"/>
      <c r="J1086" s="41"/>
      <c r="K1086" s="42"/>
      <c r="L1086" s="41"/>
    </row>
    <row r="1087" spans="2:12" outlineLevel="2">
      <c r="B1087" s="40">
        <f t="shared" si="70"/>
        <v>166</v>
      </c>
      <c r="C1087" s="41" t="s">
        <v>9</v>
      </c>
      <c r="D1087" s="41" t="s">
        <v>128</v>
      </c>
      <c r="E1087" s="41">
        <v>77486</v>
      </c>
      <c r="F1087" s="41"/>
      <c r="G1087" s="41"/>
      <c r="H1087" s="41"/>
      <c r="I1087" s="42"/>
      <c r="J1087" s="41"/>
      <c r="K1087" s="42"/>
      <c r="L1087" s="41"/>
    </row>
    <row r="1088" spans="2:12" outlineLevel="2">
      <c r="B1088" s="40">
        <f t="shared" si="70"/>
        <v>167</v>
      </c>
      <c r="C1088" s="41" t="s">
        <v>9</v>
      </c>
      <c r="D1088" s="41" t="s">
        <v>191</v>
      </c>
      <c r="E1088" s="41">
        <v>812833</v>
      </c>
      <c r="F1088" s="41"/>
      <c r="G1088" s="41"/>
      <c r="H1088" s="41"/>
      <c r="I1088" s="42"/>
      <c r="J1088" s="41"/>
      <c r="K1088" s="42"/>
      <c r="L1088" s="41"/>
    </row>
    <row r="1089" spans="2:12" outlineLevel="2">
      <c r="B1089" s="40">
        <f t="shared" si="70"/>
        <v>168</v>
      </c>
      <c r="C1089" s="41" t="s">
        <v>9</v>
      </c>
      <c r="D1089" s="41" t="s">
        <v>130</v>
      </c>
      <c r="E1089" s="41">
        <v>165447</v>
      </c>
      <c r="F1089" s="41"/>
      <c r="G1089" s="41"/>
      <c r="H1089" s="41"/>
      <c r="I1089" s="42"/>
      <c r="J1089" s="41"/>
      <c r="K1089" s="42"/>
      <c r="L1089" s="41"/>
    </row>
    <row r="1090" spans="2:12" outlineLevel="2">
      <c r="B1090" s="40">
        <f t="shared" si="70"/>
        <v>169</v>
      </c>
      <c r="C1090" s="41" t="s">
        <v>9</v>
      </c>
      <c r="D1090" s="41" t="s">
        <v>129</v>
      </c>
      <c r="E1090" s="41">
        <v>21426</v>
      </c>
      <c r="F1090" s="41"/>
      <c r="G1090" s="41"/>
      <c r="H1090" s="41"/>
      <c r="I1090" s="42"/>
      <c r="J1090" s="41"/>
      <c r="K1090" s="42"/>
      <c r="L1090" s="41"/>
    </row>
    <row r="1091" spans="2:12" outlineLevel="2">
      <c r="B1091" s="40">
        <f t="shared" si="70"/>
        <v>170</v>
      </c>
      <c r="C1091" s="41" t="s">
        <v>9</v>
      </c>
      <c r="D1091" s="41" t="s">
        <v>129</v>
      </c>
      <c r="E1091" s="41">
        <v>102728</v>
      </c>
      <c r="F1091" s="41"/>
      <c r="G1091" s="41"/>
      <c r="H1091" s="41"/>
      <c r="I1091" s="42"/>
      <c r="J1091" s="41"/>
      <c r="K1091" s="42"/>
      <c r="L1091" s="41"/>
    </row>
    <row r="1092" spans="2:12" outlineLevel="2">
      <c r="B1092" s="40">
        <f t="shared" si="70"/>
        <v>171</v>
      </c>
      <c r="C1092" s="41" t="s">
        <v>9</v>
      </c>
      <c r="D1092" s="41" t="s">
        <v>130</v>
      </c>
      <c r="E1092" s="41">
        <v>17728</v>
      </c>
      <c r="F1092" s="41"/>
      <c r="G1092" s="41"/>
      <c r="H1092" s="41"/>
      <c r="I1092" s="42"/>
      <c r="J1092" s="41"/>
      <c r="K1092" s="42"/>
      <c r="L1092" s="41"/>
    </row>
    <row r="1093" spans="2:12" outlineLevel="2">
      <c r="B1093" s="40">
        <f t="shared" si="70"/>
        <v>172</v>
      </c>
      <c r="C1093" s="41" t="s">
        <v>9</v>
      </c>
      <c r="D1093" s="41" t="s">
        <v>127</v>
      </c>
      <c r="E1093" s="41">
        <v>33342</v>
      </c>
      <c r="F1093" s="41"/>
      <c r="G1093" s="41"/>
      <c r="H1093" s="41"/>
      <c r="I1093" s="42"/>
      <c r="J1093" s="41"/>
      <c r="K1093" s="42"/>
      <c r="L1093" s="41"/>
    </row>
    <row r="1094" spans="2:12" outlineLevel="2">
      <c r="B1094" s="40">
        <f t="shared" si="70"/>
        <v>173</v>
      </c>
      <c r="C1094" s="41" t="s">
        <v>9</v>
      </c>
      <c r="D1094" s="41" t="s">
        <v>167</v>
      </c>
      <c r="E1094" s="41">
        <v>129438</v>
      </c>
      <c r="F1094" s="41"/>
      <c r="G1094" s="41"/>
      <c r="H1094" s="41"/>
      <c r="I1094" s="42"/>
      <c r="J1094" s="41"/>
      <c r="K1094" s="42"/>
      <c r="L1094" s="41"/>
    </row>
    <row r="1095" spans="2:12" outlineLevel="2">
      <c r="B1095" s="40">
        <f>IF(C1095="","",B1094+1)</f>
        <v>174</v>
      </c>
      <c r="C1095" s="41" t="s">
        <v>9</v>
      </c>
      <c r="D1095" s="41" t="s">
        <v>129</v>
      </c>
      <c r="E1095" s="41">
        <v>144501</v>
      </c>
      <c r="F1095" s="41"/>
      <c r="G1095" s="41"/>
      <c r="H1095" s="41"/>
      <c r="I1095" s="42"/>
      <c r="J1095" s="41"/>
      <c r="K1095" s="42"/>
      <c r="L1095" s="41"/>
    </row>
    <row r="1096" spans="2:12" outlineLevel="2">
      <c r="B1096" s="40">
        <f t="shared" si="70"/>
        <v>175</v>
      </c>
      <c r="C1096" s="41" t="s">
        <v>9</v>
      </c>
      <c r="D1096" s="41" t="s">
        <v>131</v>
      </c>
      <c r="E1096" s="41">
        <v>152435</v>
      </c>
      <c r="F1096" s="41"/>
      <c r="G1096" s="41"/>
      <c r="H1096" s="41"/>
      <c r="I1096" s="42"/>
      <c r="J1096" s="41"/>
      <c r="K1096" s="42"/>
      <c r="L1096" s="41"/>
    </row>
    <row r="1097" spans="2:12" outlineLevel="2">
      <c r="B1097" s="40">
        <f t="shared" si="70"/>
        <v>176</v>
      </c>
      <c r="C1097" s="41" t="s">
        <v>9</v>
      </c>
      <c r="D1097" s="41" t="s">
        <v>127</v>
      </c>
      <c r="E1097" s="41">
        <v>194335</v>
      </c>
      <c r="F1097" s="41"/>
      <c r="G1097" s="41"/>
      <c r="H1097" s="41"/>
      <c r="I1097" s="42"/>
      <c r="J1097" s="41"/>
      <c r="K1097" s="42"/>
      <c r="L1097" s="41"/>
    </row>
    <row r="1098" spans="2:12" outlineLevel="2">
      <c r="B1098" s="40">
        <f t="shared" si="70"/>
        <v>177</v>
      </c>
      <c r="C1098" s="41" t="s">
        <v>9</v>
      </c>
      <c r="D1098" s="41" t="s">
        <v>191</v>
      </c>
      <c r="E1098" s="41">
        <v>382172</v>
      </c>
      <c r="F1098" s="41"/>
      <c r="G1098" s="41"/>
      <c r="H1098" s="41"/>
      <c r="I1098" s="42"/>
      <c r="J1098" s="41"/>
      <c r="K1098" s="42"/>
      <c r="L1098" s="41"/>
    </row>
    <row r="1099" spans="2:12" outlineLevel="2">
      <c r="B1099" s="40">
        <f t="shared" si="70"/>
        <v>178</v>
      </c>
      <c r="C1099" s="41" t="s">
        <v>9</v>
      </c>
      <c r="D1099" s="41" t="s">
        <v>130</v>
      </c>
      <c r="E1099" s="41">
        <v>13875</v>
      </c>
      <c r="F1099" s="41"/>
      <c r="G1099" s="41"/>
      <c r="H1099" s="41"/>
      <c r="I1099" s="42"/>
      <c r="J1099" s="41"/>
      <c r="K1099" s="42"/>
      <c r="L1099" s="41"/>
    </row>
    <row r="1100" spans="2:12" outlineLevel="2">
      <c r="B1100" s="40">
        <f t="shared" si="70"/>
        <v>179</v>
      </c>
      <c r="C1100" s="41" t="s">
        <v>9</v>
      </c>
      <c r="D1100" s="41" t="s">
        <v>191</v>
      </c>
      <c r="E1100" s="41">
        <v>159083</v>
      </c>
      <c r="F1100" s="41"/>
      <c r="G1100" s="41"/>
      <c r="H1100" s="41"/>
      <c r="I1100" s="42"/>
      <c r="J1100" s="41"/>
      <c r="K1100" s="42"/>
      <c r="L1100" s="41"/>
    </row>
    <row r="1101" spans="2:12" outlineLevel="2">
      <c r="B1101" s="40">
        <f>IF(C1101="","",B1100+1)</f>
        <v>180</v>
      </c>
      <c r="C1101" s="41" t="s">
        <v>9</v>
      </c>
      <c r="D1101" s="41" t="s">
        <v>191</v>
      </c>
      <c r="E1101" s="41">
        <v>307831</v>
      </c>
      <c r="F1101" s="41"/>
      <c r="G1101" s="41"/>
      <c r="H1101" s="41"/>
      <c r="I1101" s="42"/>
      <c r="J1101" s="41"/>
      <c r="K1101" s="42"/>
      <c r="L1101" s="41"/>
    </row>
    <row r="1102" spans="2:12" outlineLevel="2">
      <c r="B1102" s="40">
        <f t="shared" ref="B1102:B1128" si="71">IF(C1102="","",B1101+1)</f>
        <v>181</v>
      </c>
      <c r="C1102" s="41" t="s">
        <v>9</v>
      </c>
      <c r="D1102" s="41" t="s">
        <v>129</v>
      </c>
      <c r="E1102" s="41" t="s">
        <v>908</v>
      </c>
      <c r="F1102" s="41"/>
      <c r="G1102" s="41"/>
      <c r="H1102" s="41"/>
      <c r="I1102" s="42"/>
      <c r="J1102" s="41"/>
      <c r="K1102" s="42"/>
      <c r="L1102" s="41"/>
    </row>
    <row r="1103" spans="2:12" outlineLevel="2">
      <c r="B1103" s="40">
        <f t="shared" si="71"/>
        <v>182</v>
      </c>
      <c r="C1103" s="41" t="s">
        <v>9</v>
      </c>
      <c r="D1103" s="41" t="s">
        <v>191</v>
      </c>
      <c r="E1103" s="41">
        <v>159169</v>
      </c>
      <c r="F1103" s="41"/>
      <c r="G1103" s="41"/>
      <c r="H1103" s="41"/>
      <c r="I1103" s="42"/>
      <c r="J1103" s="41"/>
      <c r="K1103" s="42"/>
      <c r="L1103" s="41"/>
    </row>
    <row r="1104" spans="2:12" outlineLevel="2">
      <c r="B1104" s="40">
        <f t="shared" si="71"/>
        <v>183</v>
      </c>
      <c r="C1104" s="41" t="s">
        <v>9</v>
      </c>
      <c r="D1104" s="41" t="s">
        <v>191</v>
      </c>
      <c r="E1104" s="41">
        <v>223650</v>
      </c>
      <c r="F1104" s="41"/>
      <c r="G1104" s="41"/>
      <c r="H1104" s="41"/>
      <c r="I1104" s="42"/>
      <c r="J1104" s="41"/>
      <c r="K1104" s="42"/>
      <c r="L1104" s="41"/>
    </row>
    <row r="1105" spans="2:12" outlineLevel="2">
      <c r="B1105" s="40">
        <f t="shared" si="71"/>
        <v>184</v>
      </c>
      <c r="C1105" s="41" t="s">
        <v>9</v>
      </c>
      <c r="D1105" s="41" t="s">
        <v>191</v>
      </c>
      <c r="E1105" s="41">
        <v>82996</v>
      </c>
      <c r="F1105" s="41"/>
      <c r="G1105" s="41"/>
      <c r="H1105" s="41"/>
      <c r="I1105" s="42"/>
      <c r="J1105" s="41"/>
      <c r="K1105" s="42"/>
      <c r="L1105" s="41"/>
    </row>
    <row r="1106" spans="2:12" outlineLevel="2">
      <c r="B1106" s="40">
        <f t="shared" si="71"/>
        <v>185</v>
      </c>
      <c r="C1106" s="41" t="s">
        <v>9</v>
      </c>
      <c r="D1106" s="41" t="s">
        <v>191</v>
      </c>
      <c r="E1106" s="41">
        <v>154852</v>
      </c>
      <c r="F1106" s="41"/>
      <c r="G1106" s="41"/>
      <c r="H1106" s="41"/>
      <c r="I1106" s="42"/>
      <c r="J1106" s="41"/>
      <c r="K1106" s="42"/>
      <c r="L1106" s="41"/>
    </row>
    <row r="1107" spans="2:12" outlineLevel="2">
      <c r="B1107" s="40">
        <f t="shared" si="71"/>
        <v>186</v>
      </c>
      <c r="C1107" s="41" t="s">
        <v>9</v>
      </c>
      <c r="D1107" s="41" t="s">
        <v>191</v>
      </c>
      <c r="E1107" s="41">
        <v>159091</v>
      </c>
      <c r="F1107" s="41"/>
      <c r="G1107" s="41"/>
      <c r="H1107" s="41"/>
      <c r="I1107" s="42"/>
      <c r="J1107" s="41"/>
      <c r="K1107" s="42"/>
      <c r="L1107" s="41"/>
    </row>
    <row r="1108" spans="2:12" outlineLevel="2">
      <c r="B1108" s="40">
        <f t="shared" si="71"/>
        <v>187</v>
      </c>
      <c r="C1108" s="41" t="s">
        <v>9</v>
      </c>
      <c r="D1108" s="41" t="s">
        <v>191</v>
      </c>
      <c r="E1108" s="41">
        <v>1073195</v>
      </c>
      <c r="F1108" s="41"/>
      <c r="G1108" s="41"/>
      <c r="H1108" s="41"/>
      <c r="I1108" s="42"/>
      <c r="J1108" s="41"/>
      <c r="K1108" s="42"/>
      <c r="L1108" s="41"/>
    </row>
    <row r="1109" spans="2:12" outlineLevel="2">
      <c r="B1109" s="40">
        <f t="shared" si="71"/>
        <v>188</v>
      </c>
      <c r="C1109" s="41" t="s">
        <v>9</v>
      </c>
      <c r="D1109" s="41" t="s">
        <v>191</v>
      </c>
      <c r="E1109" s="41">
        <v>260931</v>
      </c>
      <c r="F1109" s="41"/>
      <c r="G1109" s="41"/>
      <c r="H1109" s="41"/>
      <c r="I1109" s="42"/>
      <c r="J1109" s="41"/>
      <c r="K1109" s="42"/>
      <c r="L1109" s="41"/>
    </row>
    <row r="1110" spans="2:12" outlineLevel="2">
      <c r="B1110" s="40">
        <f t="shared" si="71"/>
        <v>189</v>
      </c>
      <c r="C1110" s="41" t="s">
        <v>9</v>
      </c>
      <c r="D1110" s="41" t="s">
        <v>128</v>
      </c>
      <c r="E1110" s="41">
        <v>146121</v>
      </c>
      <c r="F1110" s="41"/>
      <c r="G1110" s="41"/>
      <c r="H1110" s="41"/>
      <c r="I1110" s="42"/>
      <c r="J1110" s="41"/>
      <c r="K1110" s="42"/>
      <c r="L1110" s="41"/>
    </row>
    <row r="1111" spans="2:12" outlineLevel="2">
      <c r="B1111" s="40">
        <f t="shared" si="71"/>
        <v>190</v>
      </c>
      <c r="C1111" s="41" t="s">
        <v>9</v>
      </c>
      <c r="D1111" s="41" t="s">
        <v>129</v>
      </c>
      <c r="E1111" s="41" t="s">
        <v>909</v>
      </c>
      <c r="F1111" s="41"/>
      <c r="G1111" s="41"/>
      <c r="H1111" s="41"/>
      <c r="I1111" s="42"/>
      <c r="J1111" s="41"/>
      <c r="K1111" s="42"/>
      <c r="L1111" s="41"/>
    </row>
    <row r="1112" spans="2:12" outlineLevel="2">
      <c r="B1112" s="40">
        <f t="shared" si="71"/>
        <v>191</v>
      </c>
      <c r="C1112" s="41" t="s">
        <v>9</v>
      </c>
      <c r="D1112" s="41" t="s">
        <v>191</v>
      </c>
      <c r="E1112" s="41">
        <v>883135</v>
      </c>
      <c r="F1112" s="41"/>
      <c r="G1112" s="41"/>
      <c r="H1112" s="41"/>
      <c r="I1112" s="42"/>
      <c r="J1112" s="41"/>
      <c r="K1112" s="42"/>
      <c r="L1112" s="41"/>
    </row>
    <row r="1113" spans="2:12" outlineLevel="2">
      <c r="B1113" s="40">
        <f t="shared" si="71"/>
        <v>192</v>
      </c>
      <c r="C1113" s="41" t="s">
        <v>9</v>
      </c>
      <c r="D1113" s="41" t="s">
        <v>129</v>
      </c>
      <c r="E1113" s="41">
        <v>29629</v>
      </c>
      <c r="F1113" s="41"/>
      <c r="G1113" s="41"/>
      <c r="H1113" s="41"/>
      <c r="I1113" s="42"/>
      <c r="J1113" s="41"/>
      <c r="K1113" s="42"/>
      <c r="L1113" s="41"/>
    </row>
    <row r="1114" spans="2:12" outlineLevel="2">
      <c r="B1114" s="40">
        <f t="shared" si="71"/>
        <v>193</v>
      </c>
      <c r="C1114" s="41" t="s">
        <v>9</v>
      </c>
      <c r="D1114" s="41" t="s">
        <v>129</v>
      </c>
      <c r="E1114" s="41">
        <v>77680</v>
      </c>
      <c r="F1114" s="41"/>
      <c r="G1114" s="41"/>
      <c r="H1114" s="41"/>
      <c r="I1114" s="42"/>
      <c r="J1114" s="41"/>
      <c r="K1114" s="42"/>
      <c r="L1114" s="41"/>
    </row>
    <row r="1115" spans="2:12" outlineLevel="2">
      <c r="B1115" s="40">
        <f t="shared" si="71"/>
        <v>194</v>
      </c>
      <c r="C1115" s="41" t="s">
        <v>9</v>
      </c>
      <c r="D1115" s="41" t="s">
        <v>129</v>
      </c>
      <c r="E1115" s="41">
        <v>169119</v>
      </c>
      <c r="F1115" s="41"/>
      <c r="G1115" s="41"/>
      <c r="H1115" s="41"/>
      <c r="I1115" s="42"/>
      <c r="J1115" s="41"/>
      <c r="K1115" s="42"/>
      <c r="L1115" s="41"/>
    </row>
    <row r="1116" spans="2:12" outlineLevel="2">
      <c r="B1116" s="40">
        <f t="shared" si="71"/>
        <v>195</v>
      </c>
      <c r="C1116" s="41" t="s">
        <v>9</v>
      </c>
      <c r="D1116" s="41" t="s">
        <v>131</v>
      </c>
      <c r="E1116" s="41">
        <v>87024</v>
      </c>
      <c r="F1116" s="41"/>
      <c r="G1116" s="41"/>
      <c r="H1116" s="41"/>
      <c r="I1116" s="42"/>
      <c r="J1116" s="41"/>
      <c r="K1116" s="42"/>
      <c r="L1116" s="41"/>
    </row>
    <row r="1117" spans="2:12" outlineLevel="2">
      <c r="B1117" s="40">
        <f t="shared" si="71"/>
        <v>196</v>
      </c>
      <c r="C1117" s="41" t="s">
        <v>9</v>
      </c>
      <c r="D1117" s="41" t="s">
        <v>129</v>
      </c>
      <c r="E1117" s="41">
        <v>145901</v>
      </c>
      <c r="F1117" s="41"/>
      <c r="G1117" s="41"/>
      <c r="H1117" s="41"/>
      <c r="I1117" s="42"/>
      <c r="J1117" s="41"/>
      <c r="K1117" s="42"/>
      <c r="L1117" s="41"/>
    </row>
    <row r="1118" spans="2:12" outlineLevel="2">
      <c r="B1118" s="40">
        <f t="shared" si="71"/>
        <v>197</v>
      </c>
      <c r="C1118" s="41" t="s">
        <v>9</v>
      </c>
      <c r="D1118" s="41" t="s">
        <v>129</v>
      </c>
      <c r="E1118" s="41">
        <v>56673</v>
      </c>
      <c r="F1118" s="41"/>
      <c r="G1118" s="41"/>
      <c r="H1118" s="41"/>
      <c r="I1118" s="42"/>
      <c r="J1118" s="41"/>
      <c r="K1118" s="42"/>
      <c r="L1118" s="41"/>
    </row>
    <row r="1119" spans="2:12" outlineLevel="2">
      <c r="B1119" s="40">
        <f t="shared" si="71"/>
        <v>198</v>
      </c>
      <c r="C1119" s="41" t="s">
        <v>9</v>
      </c>
      <c r="D1119" s="41" t="s">
        <v>181</v>
      </c>
      <c r="E1119" s="41">
        <v>48583</v>
      </c>
      <c r="F1119" s="41"/>
      <c r="G1119" s="41"/>
      <c r="H1119" s="41"/>
      <c r="I1119" s="42"/>
      <c r="J1119" s="41"/>
      <c r="K1119" s="42"/>
      <c r="L1119" s="41"/>
    </row>
    <row r="1120" spans="2:12" outlineLevel="2">
      <c r="B1120" s="40">
        <f t="shared" si="71"/>
        <v>199</v>
      </c>
      <c r="C1120" s="41" t="s">
        <v>9</v>
      </c>
      <c r="D1120" s="41" t="s">
        <v>191</v>
      </c>
      <c r="E1120" s="41">
        <v>952151</v>
      </c>
      <c r="F1120" s="41"/>
      <c r="G1120" s="41"/>
      <c r="H1120" s="41"/>
      <c r="I1120" s="42"/>
      <c r="J1120" s="41"/>
      <c r="K1120" s="42"/>
      <c r="L1120" s="41"/>
    </row>
    <row r="1121" spans="2:12" outlineLevel="2">
      <c r="B1121" s="40">
        <f t="shared" si="71"/>
        <v>200</v>
      </c>
      <c r="C1121" s="41" t="s">
        <v>9</v>
      </c>
      <c r="D1121" s="41" t="s">
        <v>129</v>
      </c>
      <c r="E1121" s="41">
        <v>26295</v>
      </c>
      <c r="F1121" s="41"/>
      <c r="G1121" s="41"/>
      <c r="H1121" s="41"/>
      <c r="I1121" s="42"/>
      <c r="J1121" s="41"/>
      <c r="K1121" s="42"/>
      <c r="L1121" s="41"/>
    </row>
    <row r="1122" spans="2:12" outlineLevel="2">
      <c r="B1122" s="40">
        <f t="shared" si="71"/>
        <v>201</v>
      </c>
      <c r="C1122" s="41" t="s">
        <v>9</v>
      </c>
      <c r="D1122" s="41" t="s">
        <v>129</v>
      </c>
      <c r="E1122" s="41">
        <v>20754</v>
      </c>
      <c r="F1122" s="41"/>
      <c r="G1122" s="41"/>
      <c r="H1122" s="41"/>
      <c r="I1122" s="42"/>
      <c r="J1122" s="41"/>
      <c r="K1122" s="42"/>
      <c r="L1122" s="41"/>
    </row>
    <row r="1123" spans="2:12" outlineLevel="2">
      <c r="B1123" s="40">
        <f>IF(C1123="","",B1122+1)</f>
        <v>202</v>
      </c>
      <c r="C1123" s="41" t="s">
        <v>9</v>
      </c>
      <c r="D1123" s="41" t="s">
        <v>191</v>
      </c>
      <c r="E1123" s="41">
        <v>285224</v>
      </c>
      <c r="F1123" s="41"/>
      <c r="G1123" s="41"/>
      <c r="H1123" s="41"/>
      <c r="I1123" s="42"/>
      <c r="J1123" s="41"/>
      <c r="K1123" s="42"/>
      <c r="L1123" s="41"/>
    </row>
    <row r="1124" spans="2:12" outlineLevel="2">
      <c r="B1124" s="40">
        <f t="shared" si="71"/>
        <v>203</v>
      </c>
      <c r="C1124" s="41" t="s">
        <v>9</v>
      </c>
      <c r="D1124" s="41" t="s">
        <v>129</v>
      </c>
      <c r="E1124" s="41">
        <v>44832</v>
      </c>
      <c r="F1124" s="41"/>
      <c r="G1124" s="41"/>
      <c r="H1124" s="41"/>
      <c r="I1124" s="42"/>
      <c r="J1124" s="41"/>
      <c r="K1124" s="42"/>
      <c r="L1124" s="41"/>
    </row>
    <row r="1125" spans="2:12" outlineLevel="2">
      <c r="B1125" s="40">
        <f t="shared" si="71"/>
        <v>204</v>
      </c>
      <c r="C1125" s="41" t="s">
        <v>9</v>
      </c>
      <c r="D1125" s="41" t="s">
        <v>129</v>
      </c>
      <c r="E1125" s="41">
        <v>23737</v>
      </c>
      <c r="F1125" s="41"/>
      <c r="G1125" s="41"/>
      <c r="H1125" s="41"/>
      <c r="I1125" s="42"/>
      <c r="J1125" s="41"/>
      <c r="K1125" s="42"/>
      <c r="L1125" s="41"/>
    </row>
    <row r="1126" spans="2:12" outlineLevel="2">
      <c r="B1126" s="40">
        <f t="shared" si="71"/>
        <v>205</v>
      </c>
      <c r="C1126" s="41" t="s">
        <v>9</v>
      </c>
      <c r="D1126" s="41" t="s">
        <v>181</v>
      </c>
      <c r="E1126" s="41">
        <v>68772</v>
      </c>
      <c r="F1126" s="41"/>
      <c r="G1126" s="41"/>
      <c r="H1126" s="41"/>
      <c r="I1126" s="42"/>
      <c r="J1126" s="41"/>
      <c r="K1126" s="42"/>
      <c r="L1126" s="41"/>
    </row>
    <row r="1127" spans="2:12" outlineLevel="2">
      <c r="B1127" s="40">
        <f t="shared" si="71"/>
        <v>206</v>
      </c>
      <c r="C1127" s="41" t="s">
        <v>9</v>
      </c>
      <c r="D1127" s="41" t="s">
        <v>181</v>
      </c>
      <c r="E1127" s="41">
        <v>273920</v>
      </c>
      <c r="F1127" s="41"/>
      <c r="G1127" s="41"/>
      <c r="H1127" s="41"/>
      <c r="I1127" s="42"/>
      <c r="J1127" s="41"/>
      <c r="K1127" s="42"/>
      <c r="L1127" s="41"/>
    </row>
    <row r="1128" spans="2:12" outlineLevel="2">
      <c r="B1128" s="40">
        <f t="shared" si="71"/>
        <v>207</v>
      </c>
      <c r="C1128" s="41" t="s">
        <v>9</v>
      </c>
      <c r="D1128" s="41" t="s">
        <v>130</v>
      </c>
      <c r="E1128" s="41">
        <v>249300</v>
      </c>
      <c r="F1128" s="41"/>
      <c r="G1128" s="41"/>
      <c r="H1128" s="41"/>
      <c r="I1128" s="42"/>
      <c r="J1128" s="41"/>
      <c r="K1128" s="42"/>
      <c r="L1128" s="41"/>
    </row>
    <row r="1129" spans="2:12" outlineLevel="2">
      <c r="B1129" s="40">
        <f>IF(C1129="","",B1128+1)</f>
        <v>208</v>
      </c>
      <c r="C1129" s="41" t="s">
        <v>9</v>
      </c>
      <c r="D1129" s="41" t="s">
        <v>166</v>
      </c>
      <c r="E1129" s="41" t="s">
        <v>910</v>
      </c>
      <c r="F1129" s="41"/>
      <c r="G1129" s="41"/>
      <c r="H1129" s="41"/>
      <c r="I1129" s="42"/>
      <c r="J1129" s="41"/>
      <c r="K1129" s="42"/>
      <c r="L1129" s="41"/>
    </row>
    <row r="1130" spans="2:12" outlineLevel="2">
      <c r="B1130" s="40">
        <f t="shared" ref="B1130:B1149" si="72">IF(C1130="","",B1129+1)</f>
        <v>209</v>
      </c>
      <c r="C1130" s="41" t="s">
        <v>9</v>
      </c>
      <c r="D1130" s="41" t="s">
        <v>128</v>
      </c>
      <c r="E1130" s="41">
        <v>40860</v>
      </c>
      <c r="F1130" s="41"/>
      <c r="G1130" s="41"/>
      <c r="H1130" s="41"/>
      <c r="I1130" s="42"/>
      <c r="J1130" s="41"/>
      <c r="K1130" s="42"/>
      <c r="L1130" s="41"/>
    </row>
    <row r="1131" spans="2:12" outlineLevel="2">
      <c r="B1131" s="40">
        <f t="shared" si="72"/>
        <v>210</v>
      </c>
      <c r="C1131" s="41" t="s">
        <v>9</v>
      </c>
      <c r="D1131" s="41" t="s">
        <v>181</v>
      </c>
      <c r="E1131" s="41">
        <v>156544</v>
      </c>
      <c r="F1131" s="41"/>
      <c r="G1131" s="41"/>
      <c r="H1131" s="41"/>
      <c r="I1131" s="42"/>
      <c r="J1131" s="41"/>
      <c r="K1131" s="42"/>
      <c r="L1131" s="41"/>
    </row>
    <row r="1132" spans="2:12" outlineLevel="2">
      <c r="B1132" s="40">
        <f t="shared" si="72"/>
        <v>211</v>
      </c>
      <c r="C1132" s="41" t="s">
        <v>9</v>
      </c>
      <c r="D1132" s="41" t="s">
        <v>127</v>
      </c>
      <c r="E1132" s="41">
        <v>9572</v>
      </c>
      <c r="F1132" s="41"/>
      <c r="G1132" s="41"/>
      <c r="H1132" s="41"/>
      <c r="I1132" s="42"/>
      <c r="J1132" s="41"/>
      <c r="K1132" s="42"/>
      <c r="L1132" s="41"/>
    </row>
    <row r="1133" spans="2:12" outlineLevel="2">
      <c r="B1133" s="40">
        <f t="shared" si="72"/>
        <v>212</v>
      </c>
      <c r="C1133" s="41" t="s">
        <v>9</v>
      </c>
      <c r="D1133" s="41" t="s">
        <v>128</v>
      </c>
      <c r="E1133" s="41">
        <v>45965</v>
      </c>
      <c r="F1133" s="41"/>
      <c r="G1133" s="41"/>
      <c r="H1133" s="41"/>
      <c r="I1133" s="42"/>
      <c r="J1133" s="41"/>
      <c r="K1133" s="42"/>
      <c r="L1133" s="41"/>
    </row>
    <row r="1134" spans="2:12" outlineLevel="2">
      <c r="B1134" s="40">
        <f t="shared" si="72"/>
        <v>213</v>
      </c>
      <c r="C1134" s="41" t="s">
        <v>9</v>
      </c>
      <c r="D1134" s="41" t="s">
        <v>181</v>
      </c>
      <c r="E1134" s="41">
        <v>17440</v>
      </c>
      <c r="F1134" s="41"/>
      <c r="G1134" s="41"/>
      <c r="H1134" s="41"/>
      <c r="I1134" s="42"/>
      <c r="J1134" s="41"/>
      <c r="K1134" s="42"/>
      <c r="L1134" s="41"/>
    </row>
    <row r="1135" spans="2:12" outlineLevel="2">
      <c r="B1135" s="40">
        <f t="shared" si="72"/>
        <v>214</v>
      </c>
      <c r="C1135" s="41" t="s">
        <v>9</v>
      </c>
      <c r="D1135" s="41" t="s">
        <v>129</v>
      </c>
      <c r="E1135" s="41" t="s">
        <v>911</v>
      </c>
      <c r="F1135" s="41"/>
      <c r="G1135" s="41"/>
      <c r="H1135" s="41"/>
      <c r="I1135" s="42"/>
      <c r="J1135" s="41"/>
      <c r="K1135" s="42"/>
      <c r="L1135" s="41"/>
    </row>
    <row r="1136" spans="2:12" outlineLevel="2">
      <c r="B1136" s="40">
        <f t="shared" si="72"/>
        <v>215</v>
      </c>
      <c r="C1136" s="41" t="s">
        <v>9</v>
      </c>
      <c r="D1136" s="41" t="s">
        <v>129</v>
      </c>
      <c r="E1136" s="41">
        <v>91667</v>
      </c>
      <c r="F1136" s="41"/>
      <c r="G1136" s="41"/>
      <c r="H1136" s="41"/>
      <c r="I1136" s="42"/>
      <c r="J1136" s="41"/>
      <c r="K1136" s="42"/>
      <c r="L1136" s="41"/>
    </row>
    <row r="1137" spans="2:12" outlineLevel="2">
      <c r="B1137" s="40">
        <f t="shared" si="72"/>
        <v>216</v>
      </c>
      <c r="C1137" s="41" t="s">
        <v>9</v>
      </c>
      <c r="D1137" s="41" t="s">
        <v>129</v>
      </c>
      <c r="E1137" s="41">
        <v>13559</v>
      </c>
      <c r="F1137" s="41"/>
      <c r="G1137" s="41"/>
      <c r="H1137" s="41"/>
      <c r="I1137" s="42"/>
      <c r="J1137" s="41"/>
      <c r="K1137" s="42"/>
      <c r="L1137" s="41"/>
    </row>
    <row r="1138" spans="2:12" outlineLevel="2">
      <c r="B1138" s="40">
        <f t="shared" si="72"/>
        <v>217</v>
      </c>
      <c r="C1138" s="41" t="s">
        <v>9</v>
      </c>
      <c r="D1138" s="41" t="s">
        <v>129</v>
      </c>
      <c r="E1138" s="41">
        <v>52068</v>
      </c>
      <c r="F1138" s="41"/>
      <c r="G1138" s="41"/>
      <c r="H1138" s="41"/>
      <c r="I1138" s="42"/>
      <c r="J1138" s="41"/>
      <c r="K1138" s="42"/>
      <c r="L1138" s="41"/>
    </row>
    <row r="1139" spans="2:12" outlineLevel="2">
      <c r="B1139" s="40">
        <f t="shared" si="72"/>
        <v>218</v>
      </c>
      <c r="C1139" s="41" t="s">
        <v>9</v>
      </c>
      <c r="D1139" s="41" t="s">
        <v>181</v>
      </c>
      <c r="E1139" s="41">
        <v>187466</v>
      </c>
      <c r="F1139" s="41"/>
      <c r="G1139" s="41"/>
      <c r="H1139" s="41"/>
      <c r="I1139" s="42"/>
      <c r="J1139" s="41"/>
      <c r="K1139" s="42"/>
      <c r="L1139" s="41"/>
    </row>
    <row r="1140" spans="2:12" outlineLevel="2">
      <c r="B1140" s="40">
        <f t="shared" si="72"/>
        <v>219</v>
      </c>
      <c r="C1140" s="41" t="s">
        <v>9</v>
      </c>
      <c r="D1140" s="41" t="s">
        <v>130</v>
      </c>
      <c r="E1140" s="41" t="s">
        <v>912</v>
      </c>
      <c r="F1140" s="41"/>
      <c r="G1140" s="41"/>
      <c r="H1140" s="41"/>
      <c r="I1140" s="42"/>
      <c r="J1140" s="41"/>
      <c r="K1140" s="42"/>
      <c r="L1140" s="41"/>
    </row>
    <row r="1141" spans="2:12" outlineLevel="2">
      <c r="B1141" s="40">
        <f t="shared" si="72"/>
        <v>220</v>
      </c>
      <c r="C1141" s="41" t="s">
        <v>9</v>
      </c>
      <c r="D1141" s="41" t="s">
        <v>130</v>
      </c>
      <c r="E1141" s="41" t="s">
        <v>913</v>
      </c>
      <c r="F1141" s="41"/>
      <c r="G1141" s="41"/>
      <c r="H1141" s="41"/>
      <c r="I1141" s="42"/>
      <c r="J1141" s="41"/>
      <c r="K1141" s="42"/>
      <c r="L1141" s="41"/>
    </row>
    <row r="1142" spans="2:12" outlineLevel="2">
      <c r="B1142" s="40">
        <f t="shared" si="72"/>
        <v>221</v>
      </c>
      <c r="C1142" s="41" t="s">
        <v>9</v>
      </c>
      <c r="D1142" s="41" t="s">
        <v>128</v>
      </c>
      <c r="E1142" s="41">
        <v>129148</v>
      </c>
      <c r="F1142" s="41"/>
      <c r="G1142" s="41"/>
      <c r="H1142" s="41"/>
      <c r="I1142" s="42"/>
      <c r="J1142" s="41"/>
      <c r="K1142" s="42"/>
      <c r="L1142" s="41"/>
    </row>
    <row r="1143" spans="2:12" outlineLevel="2">
      <c r="B1143" s="40">
        <f t="shared" si="72"/>
        <v>222</v>
      </c>
      <c r="C1143" s="41" t="s">
        <v>9</v>
      </c>
      <c r="D1143" s="41" t="s">
        <v>127</v>
      </c>
      <c r="E1143" s="41">
        <v>25717</v>
      </c>
      <c r="F1143" s="41"/>
      <c r="G1143" s="41"/>
      <c r="H1143" s="41"/>
      <c r="I1143" s="42"/>
      <c r="J1143" s="41"/>
      <c r="K1143" s="42"/>
      <c r="L1143" s="41"/>
    </row>
    <row r="1144" spans="2:12" outlineLevel="2">
      <c r="B1144" s="40">
        <f t="shared" si="72"/>
        <v>223</v>
      </c>
      <c r="C1144" s="41" t="s">
        <v>9</v>
      </c>
      <c r="D1144" s="41" t="s">
        <v>127</v>
      </c>
      <c r="E1144" s="41">
        <v>159869</v>
      </c>
      <c r="F1144" s="41"/>
      <c r="G1144" s="41"/>
      <c r="H1144" s="41"/>
      <c r="I1144" s="42"/>
      <c r="J1144" s="41"/>
      <c r="K1144" s="42"/>
      <c r="L1144" s="41"/>
    </row>
    <row r="1145" spans="2:12" outlineLevel="2">
      <c r="B1145" s="40">
        <f t="shared" si="72"/>
        <v>224</v>
      </c>
      <c r="C1145" s="41" t="s">
        <v>9</v>
      </c>
      <c r="D1145" s="41" t="s">
        <v>130</v>
      </c>
      <c r="E1145" s="41">
        <v>161275</v>
      </c>
      <c r="F1145" s="41"/>
      <c r="G1145" s="41"/>
      <c r="H1145" s="41"/>
      <c r="I1145" s="42"/>
      <c r="J1145" s="41"/>
      <c r="K1145" s="42"/>
      <c r="L1145" s="41"/>
    </row>
    <row r="1146" spans="2:12" outlineLevel="2">
      <c r="B1146" s="40">
        <f t="shared" si="72"/>
        <v>225</v>
      </c>
      <c r="C1146" s="41" t="s">
        <v>9</v>
      </c>
      <c r="D1146" s="41" t="s">
        <v>130</v>
      </c>
      <c r="E1146" s="41" t="s">
        <v>914</v>
      </c>
      <c r="F1146" s="41"/>
      <c r="G1146" s="41"/>
      <c r="H1146" s="41"/>
      <c r="I1146" s="42"/>
      <c r="J1146" s="41"/>
      <c r="K1146" s="42"/>
      <c r="L1146" s="41"/>
    </row>
    <row r="1147" spans="2:12" outlineLevel="2">
      <c r="B1147" s="40">
        <f t="shared" si="72"/>
        <v>226</v>
      </c>
      <c r="C1147" s="41" t="s">
        <v>9</v>
      </c>
      <c r="D1147" s="41" t="s">
        <v>167</v>
      </c>
      <c r="E1147" s="41">
        <v>28762</v>
      </c>
      <c r="F1147" s="41"/>
      <c r="G1147" s="41"/>
      <c r="H1147" s="41"/>
      <c r="I1147" s="42"/>
      <c r="J1147" s="41"/>
      <c r="K1147" s="42"/>
      <c r="L1147" s="41"/>
    </row>
    <row r="1148" spans="2:12" outlineLevel="2">
      <c r="B1148" s="40">
        <f t="shared" si="72"/>
        <v>227</v>
      </c>
      <c r="C1148" s="41" t="s">
        <v>9</v>
      </c>
      <c r="D1148" s="41" t="s">
        <v>131</v>
      </c>
      <c r="E1148" s="41">
        <v>16623</v>
      </c>
      <c r="F1148" s="41"/>
      <c r="G1148" s="41"/>
      <c r="H1148" s="41"/>
      <c r="I1148" s="42"/>
      <c r="J1148" s="41"/>
      <c r="K1148" s="42"/>
      <c r="L1148" s="41"/>
    </row>
    <row r="1149" spans="2:12" outlineLevel="2">
      <c r="B1149" s="40">
        <f t="shared" si="72"/>
        <v>228</v>
      </c>
      <c r="C1149" s="41" t="s">
        <v>9</v>
      </c>
      <c r="D1149" s="41" t="s">
        <v>129</v>
      </c>
      <c r="E1149" s="41">
        <v>1708913</v>
      </c>
      <c r="F1149" s="41"/>
      <c r="G1149" s="41"/>
      <c r="H1149" s="41"/>
      <c r="I1149" s="42"/>
      <c r="J1149" s="41"/>
      <c r="K1149" s="42"/>
      <c r="L1149" s="41"/>
    </row>
    <row r="1150" spans="2:12" outlineLevel="1">
      <c r="B1150" s="59" t="s">
        <v>195</v>
      </c>
      <c r="C1150" s="41">
        <f>SUBTOTAL(3,C922:C1149)</f>
        <v>228</v>
      </c>
      <c r="D1150" s="41"/>
      <c r="E1150" s="41"/>
      <c r="F1150" s="41"/>
      <c r="G1150" s="41"/>
      <c r="H1150" s="41"/>
      <c r="I1150" s="42"/>
      <c r="J1150" s="41"/>
      <c r="K1150" s="41"/>
      <c r="L1150" s="43"/>
    </row>
    <row r="1151" spans="2:12" outlineLevel="2">
      <c r="B1151" s="40">
        <f>IF(C1151="","",ROW(A1))</f>
        <v>1</v>
      </c>
      <c r="C1151" s="41" t="s">
        <v>175</v>
      </c>
      <c r="D1151" s="41" t="s">
        <v>181</v>
      </c>
      <c r="E1151" s="41">
        <v>890334</v>
      </c>
      <c r="F1151" s="41"/>
      <c r="G1151" s="41"/>
      <c r="H1151" s="41"/>
      <c r="I1151" s="42"/>
      <c r="J1151" s="41"/>
      <c r="K1151" s="41">
        <v>39</v>
      </c>
      <c r="L1151" s="43">
        <v>36264</v>
      </c>
    </row>
    <row r="1152" spans="2:12" outlineLevel="2">
      <c r="B1152" s="40">
        <f>IF(C1152="","",B1151+1)</f>
        <v>2</v>
      </c>
      <c r="C1152" s="41" t="s">
        <v>175</v>
      </c>
      <c r="D1152" s="41" t="s">
        <v>167</v>
      </c>
      <c r="E1152" s="41">
        <v>1199388</v>
      </c>
      <c r="F1152" s="41"/>
      <c r="G1152" s="41"/>
      <c r="H1152" s="41"/>
      <c r="I1152" s="42"/>
      <c r="J1152" s="41"/>
      <c r="K1152" s="41">
        <v>40</v>
      </c>
      <c r="L1152" s="43">
        <v>23486</v>
      </c>
    </row>
    <row r="1153" spans="2:12" outlineLevel="2">
      <c r="B1153" s="40">
        <f t="shared" ref="B1153:B1216" si="73">IF(C1153="","",B1152+1)</f>
        <v>3</v>
      </c>
      <c r="C1153" s="41" t="s">
        <v>175</v>
      </c>
      <c r="D1153" s="41" t="s">
        <v>167</v>
      </c>
      <c r="E1153" s="41">
        <v>82445</v>
      </c>
      <c r="F1153" s="41"/>
      <c r="G1153" s="41"/>
      <c r="H1153" s="41"/>
      <c r="I1153" s="42"/>
      <c r="J1153" s="41"/>
      <c r="K1153" s="41">
        <v>19</v>
      </c>
      <c r="L1153" s="43">
        <v>34102</v>
      </c>
    </row>
    <row r="1154" spans="2:12" outlineLevel="2">
      <c r="B1154" s="40">
        <f t="shared" si="73"/>
        <v>4</v>
      </c>
      <c r="C1154" s="41" t="s">
        <v>175</v>
      </c>
      <c r="D1154" s="41" t="s">
        <v>128</v>
      </c>
      <c r="E1154" s="41">
        <v>1043387447</v>
      </c>
      <c r="F1154" s="41"/>
      <c r="G1154" s="41"/>
      <c r="H1154" s="41"/>
      <c r="I1154" s="42"/>
      <c r="J1154" s="41"/>
      <c r="K1154" s="41">
        <v>44</v>
      </c>
      <c r="L1154" s="43">
        <v>23852</v>
      </c>
    </row>
    <row r="1155" spans="2:12" outlineLevel="2">
      <c r="B1155" s="40">
        <f t="shared" si="73"/>
        <v>5</v>
      </c>
      <c r="C1155" s="41" t="s">
        <v>175</v>
      </c>
      <c r="D1155" s="41" t="s">
        <v>128</v>
      </c>
      <c r="E1155" s="41">
        <v>1254550</v>
      </c>
      <c r="F1155" s="41"/>
      <c r="G1155" s="41"/>
      <c r="H1155" s="41"/>
      <c r="I1155" s="42"/>
      <c r="J1155" s="41"/>
      <c r="K1155" s="41">
        <v>10</v>
      </c>
      <c r="L1155" s="43">
        <v>39298</v>
      </c>
    </row>
    <row r="1156" spans="2:12" outlineLevel="2">
      <c r="B1156" s="40">
        <f t="shared" si="73"/>
        <v>6</v>
      </c>
      <c r="C1156" s="41" t="s">
        <v>175</v>
      </c>
      <c r="D1156" s="41" t="s">
        <v>129</v>
      </c>
      <c r="E1156" s="41">
        <v>912013</v>
      </c>
      <c r="F1156" s="41"/>
      <c r="G1156" s="41"/>
      <c r="H1156" s="41"/>
      <c r="I1156" s="42"/>
      <c r="J1156" s="41"/>
      <c r="K1156" s="41">
        <v>6</v>
      </c>
      <c r="L1156" s="43">
        <v>25747</v>
      </c>
    </row>
    <row r="1157" spans="2:12" outlineLevel="2">
      <c r="B1157" s="40">
        <f t="shared" si="73"/>
        <v>7</v>
      </c>
      <c r="C1157" s="41" t="s">
        <v>175</v>
      </c>
      <c r="D1157" s="41" t="s">
        <v>129</v>
      </c>
      <c r="E1157" s="41">
        <v>806500</v>
      </c>
      <c r="F1157" s="41"/>
      <c r="G1157" s="41"/>
      <c r="H1157" s="41"/>
      <c r="I1157" s="42"/>
      <c r="J1157" s="41"/>
      <c r="K1157" s="41">
        <v>49</v>
      </c>
      <c r="L1157" s="43">
        <v>36319</v>
      </c>
    </row>
    <row r="1158" spans="2:12" outlineLevel="2">
      <c r="B1158" s="40">
        <f t="shared" si="73"/>
        <v>8</v>
      </c>
      <c r="C1158" s="41" t="s">
        <v>175</v>
      </c>
      <c r="D1158" s="41" t="s">
        <v>128</v>
      </c>
      <c r="E1158" s="41">
        <v>1088781</v>
      </c>
      <c r="F1158" s="41"/>
      <c r="G1158" s="41"/>
      <c r="H1158" s="41"/>
      <c r="I1158" s="42"/>
      <c r="J1158" s="41"/>
      <c r="K1158" s="41">
        <v>2</v>
      </c>
      <c r="L1158" s="43">
        <v>25723</v>
      </c>
    </row>
    <row r="1159" spans="2:12" outlineLevel="2">
      <c r="B1159" s="40">
        <f t="shared" si="73"/>
        <v>9</v>
      </c>
      <c r="C1159" s="41" t="s">
        <v>175</v>
      </c>
      <c r="D1159" s="41" t="s">
        <v>166</v>
      </c>
      <c r="E1159" s="41">
        <v>226061</v>
      </c>
      <c r="F1159" s="41"/>
      <c r="G1159" s="41"/>
      <c r="H1159" s="41"/>
      <c r="I1159" s="42"/>
      <c r="J1159" s="41"/>
      <c r="K1159" s="41">
        <v>27</v>
      </c>
      <c r="L1159" s="43">
        <v>39311</v>
      </c>
    </row>
    <row r="1160" spans="2:12" outlineLevel="2">
      <c r="B1160" s="40">
        <f t="shared" si="73"/>
        <v>10</v>
      </c>
      <c r="C1160" s="41" t="s">
        <v>175</v>
      </c>
      <c r="D1160" s="41" t="s">
        <v>131</v>
      </c>
      <c r="E1160" s="41">
        <v>245898</v>
      </c>
      <c r="F1160" s="41"/>
      <c r="G1160" s="41"/>
      <c r="H1160" s="41"/>
      <c r="I1160" s="42"/>
      <c r="J1160" s="41"/>
      <c r="K1160" s="41">
        <v>22</v>
      </c>
      <c r="L1160" s="43">
        <v>39310</v>
      </c>
    </row>
    <row r="1161" spans="2:12" outlineLevel="2">
      <c r="B1161" s="40">
        <f t="shared" si="73"/>
        <v>11</v>
      </c>
      <c r="C1161" s="41" t="s">
        <v>175</v>
      </c>
      <c r="D1161" s="41" t="s">
        <v>167</v>
      </c>
      <c r="E1161" s="41">
        <v>1341518</v>
      </c>
      <c r="F1161" s="41"/>
      <c r="G1161" s="41"/>
      <c r="H1161" s="41"/>
      <c r="I1161" s="42"/>
      <c r="J1161" s="41"/>
      <c r="K1161" s="41">
        <v>12</v>
      </c>
      <c r="L1161" s="43">
        <v>31352</v>
      </c>
    </row>
    <row r="1162" spans="2:12" outlineLevel="2">
      <c r="B1162" s="40">
        <f t="shared" si="73"/>
        <v>12</v>
      </c>
      <c r="C1162" s="41" t="s">
        <v>175</v>
      </c>
      <c r="D1162" s="41" t="s">
        <v>167</v>
      </c>
      <c r="E1162" s="41">
        <v>1347404</v>
      </c>
      <c r="F1162" s="41"/>
      <c r="G1162" s="41"/>
      <c r="H1162" s="41"/>
      <c r="I1162" s="42"/>
      <c r="J1162" s="41"/>
      <c r="K1162" s="41">
        <v>12</v>
      </c>
      <c r="L1162" s="43">
        <v>32254</v>
      </c>
    </row>
    <row r="1163" spans="2:12" outlineLevel="2">
      <c r="B1163" s="40">
        <f t="shared" si="73"/>
        <v>13</v>
      </c>
      <c r="C1163" s="41" t="s">
        <v>175</v>
      </c>
      <c r="D1163" s="41" t="s">
        <v>191</v>
      </c>
      <c r="E1163" s="41">
        <v>900629</v>
      </c>
      <c r="F1163" s="41"/>
      <c r="G1163" s="41"/>
      <c r="H1163" s="41"/>
      <c r="I1163" s="42"/>
      <c r="J1163" s="41"/>
      <c r="K1163" s="41">
        <v>37</v>
      </c>
      <c r="L1163" s="43">
        <v>23853</v>
      </c>
    </row>
    <row r="1164" spans="2:12" outlineLevel="2">
      <c r="B1164" s="40">
        <f t="shared" si="73"/>
        <v>14</v>
      </c>
      <c r="C1164" s="41" t="s">
        <v>175</v>
      </c>
      <c r="D1164" s="41" t="s">
        <v>181</v>
      </c>
      <c r="E1164" s="41">
        <v>890334</v>
      </c>
      <c r="F1164" s="41"/>
      <c r="G1164" s="41"/>
      <c r="H1164" s="41"/>
      <c r="I1164" s="42"/>
      <c r="J1164" s="41"/>
      <c r="K1164" s="41">
        <v>6</v>
      </c>
      <c r="L1164" s="43">
        <v>23432</v>
      </c>
    </row>
    <row r="1165" spans="2:12" outlineLevel="2">
      <c r="B1165" s="40">
        <f t="shared" si="73"/>
        <v>15</v>
      </c>
      <c r="C1165" s="41" t="s">
        <v>175</v>
      </c>
      <c r="D1165" s="41" t="s">
        <v>128</v>
      </c>
      <c r="E1165" s="41">
        <v>872118</v>
      </c>
      <c r="F1165" s="41"/>
      <c r="G1165" s="41"/>
      <c r="H1165" s="41"/>
      <c r="I1165" s="42"/>
      <c r="J1165" s="41"/>
      <c r="K1165" s="41">
        <v>25</v>
      </c>
      <c r="L1165" s="43">
        <v>43877</v>
      </c>
    </row>
    <row r="1166" spans="2:12" outlineLevel="2">
      <c r="B1166" s="40">
        <f t="shared" si="73"/>
        <v>16</v>
      </c>
      <c r="C1166" s="41" t="s">
        <v>175</v>
      </c>
      <c r="D1166" s="41" t="s">
        <v>129</v>
      </c>
      <c r="E1166" s="41">
        <v>1173908</v>
      </c>
      <c r="F1166" s="41"/>
      <c r="G1166" s="41"/>
      <c r="H1166" s="41"/>
      <c r="I1166" s="42"/>
      <c r="J1166" s="41"/>
      <c r="K1166" s="41">
        <v>29</v>
      </c>
      <c r="L1166" s="43">
        <v>43865</v>
      </c>
    </row>
    <row r="1167" spans="2:12" outlineLevel="2">
      <c r="B1167" s="40">
        <f t="shared" si="73"/>
        <v>17</v>
      </c>
      <c r="C1167" s="41" t="s">
        <v>175</v>
      </c>
      <c r="D1167" s="41" t="s">
        <v>129</v>
      </c>
      <c r="E1167" s="41">
        <v>806500</v>
      </c>
      <c r="F1167" s="41"/>
      <c r="G1167" s="41"/>
      <c r="H1167" s="41"/>
      <c r="I1167" s="42"/>
      <c r="J1167" s="41"/>
      <c r="K1167" s="41">
        <v>25</v>
      </c>
      <c r="L1167" s="43">
        <v>25740</v>
      </c>
    </row>
    <row r="1168" spans="2:12" outlineLevel="2">
      <c r="B1168" s="40">
        <f t="shared" si="73"/>
        <v>18</v>
      </c>
      <c r="C1168" s="41" t="s">
        <v>175</v>
      </c>
      <c r="D1168" s="41" t="s">
        <v>130</v>
      </c>
      <c r="E1168" s="41">
        <v>7327</v>
      </c>
      <c r="F1168" s="41"/>
      <c r="G1168" s="41"/>
      <c r="H1168" s="41"/>
      <c r="I1168" s="42"/>
      <c r="J1168" s="41"/>
      <c r="K1168" s="41">
        <v>32</v>
      </c>
      <c r="L1168" s="43">
        <v>37175</v>
      </c>
    </row>
    <row r="1169" spans="2:12" outlineLevel="2">
      <c r="B1169" s="40">
        <f t="shared" si="73"/>
        <v>19</v>
      </c>
      <c r="C1169" s="41" t="s">
        <v>175</v>
      </c>
      <c r="D1169" s="41" t="s">
        <v>130</v>
      </c>
      <c r="E1169" s="41">
        <v>942979</v>
      </c>
      <c r="F1169" s="41"/>
      <c r="G1169" s="41"/>
      <c r="H1169" s="41"/>
      <c r="I1169" s="42"/>
      <c r="J1169" s="41"/>
      <c r="K1169" s="41">
        <v>6</v>
      </c>
      <c r="L1169" s="43">
        <v>39263</v>
      </c>
    </row>
    <row r="1170" spans="2:12" outlineLevel="2">
      <c r="B1170" s="40">
        <f t="shared" si="73"/>
        <v>20</v>
      </c>
      <c r="C1170" s="41" t="s">
        <v>175</v>
      </c>
      <c r="D1170" s="41" t="s">
        <v>128</v>
      </c>
      <c r="E1170" s="41">
        <v>1254550</v>
      </c>
      <c r="F1170" s="41"/>
      <c r="G1170" s="41"/>
      <c r="H1170" s="41"/>
      <c r="I1170" s="42"/>
      <c r="J1170" s="41"/>
      <c r="K1170" s="41">
        <v>20</v>
      </c>
      <c r="L1170" s="43">
        <v>23805</v>
      </c>
    </row>
    <row r="1171" spans="2:12" outlineLevel="2">
      <c r="B1171" s="40">
        <f t="shared" si="73"/>
        <v>21</v>
      </c>
      <c r="C1171" s="41" t="s">
        <v>175</v>
      </c>
      <c r="D1171" s="41" t="s">
        <v>128</v>
      </c>
      <c r="E1171" s="41">
        <v>309441</v>
      </c>
      <c r="F1171" s="41"/>
      <c r="G1171" s="41"/>
      <c r="H1171" s="41"/>
      <c r="I1171" s="42"/>
      <c r="J1171" s="41"/>
      <c r="K1171" s="41">
        <v>8</v>
      </c>
      <c r="L1171" s="43">
        <v>39289</v>
      </c>
    </row>
    <row r="1172" spans="2:12" outlineLevel="2">
      <c r="B1172" s="40">
        <f t="shared" si="73"/>
        <v>22</v>
      </c>
      <c r="C1172" s="41" t="s">
        <v>175</v>
      </c>
      <c r="D1172" s="41" t="s">
        <v>128</v>
      </c>
      <c r="E1172" s="41">
        <v>115100</v>
      </c>
      <c r="F1172" s="41"/>
      <c r="G1172" s="41"/>
      <c r="H1172" s="41"/>
      <c r="I1172" s="42"/>
      <c r="J1172" s="41"/>
      <c r="K1172" s="41">
        <v>12</v>
      </c>
      <c r="L1172" s="43">
        <v>39299</v>
      </c>
    </row>
    <row r="1173" spans="2:12" outlineLevel="2">
      <c r="B1173" s="40">
        <f t="shared" si="73"/>
        <v>23</v>
      </c>
      <c r="C1173" s="41" t="s">
        <v>175</v>
      </c>
      <c r="D1173" s="41" t="s">
        <v>131</v>
      </c>
      <c r="E1173" s="41">
        <v>988164</v>
      </c>
      <c r="F1173" s="41"/>
      <c r="G1173" s="41"/>
      <c r="H1173" s="41"/>
      <c r="I1173" s="42"/>
      <c r="J1173" s="41"/>
      <c r="K1173" s="41">
        <v>8</v>
      </c>
      <c r="L1173" s="43">
        <v>39308</v>
      </c>
    </row>
    <row r="1174" spans="2:12" outlineLevel="2">
      <c r="B1174" s="40">
        <f t="shared" si="73"/>
        <v>24</v>
      </c>
      <c r="C1174" s="41" t="s">
        <v>175</v>
      </c>
      <c r="D1174" s="41" t="s">
        <v>130</v>
      </c>
      <c r="E1174" s="41">
        <v>116016</v>
      </c>
      <c r="F1174" s="41"/>
      <c r="G1174" s="41"/>
      <c r="H1174" s="41"/>
      <c r="I1174" s="42"/>
      <c r="J1174" s="41"/>
      <c r="K1174" s="41">
        <v>9</v>
      </c>
      <c r="L1174" s="43">
        <v>39286</v>
      </c>
    </row>
    <row r="1175" spans="2:12" outlineLevel="2">
      <c r="B1175" s="40">
        <f t="shared" si="73"/>
        <v>25</v>
      </c>
      <c r="C1175" s="41" t="s">
        <v>175</v>
      </c>
      <c r="D1175" s="41" t="s">
        <v>131</v>
      </c>
      <c r="E1175" s="41">
        <v>245898</v>
      </c>
      <c r="F1175" s="41"/>
      <c r="G1175" s="41"/>
      <c r="H1175" s="41"/>
      <c r="I1175" s="42"/>
      <c r="J1175" s="41"/>
      <c r="K1175" s="41">
        <v>7</v>
      </c>
      <c r="L1175" s="43">
        <v>28002</v>
      </c>
    </row>
    <row r="1176" spans="2:12" outlineLevel="2">
      <c r="B1176" s="40">
        <f t="shared" si="73"/>
        <v>26</v>
      </c>
      <c r="C1176" s="41" t="s">
        <v>175</v>
      </c>
      <c r="D1176" s="41" t="s">
        <v>166</v>
      </c>
      <c r="E1176" s="41">
        <v>226061</v>
      </c>
      <c r="F1176" s="41"/>
      <c r="G1176" s="41"/>
      <c r="H1176" s="41"/>
      <c r="I1176" s="42"/>
      <c r="J1176" s="41"/>
      <c r="K1176" s="41">
        <v>2</v>
      </c>
      <c r="L1176" s="43">
        <v>25755</v>
      </c>
    </row>
    <row r="1177" spans="2:12" outlineLevel="2">
      <c r="B1177" s="40">
        <f t="shared" si="73"/>
        <v>27</v>
      </c>
      <c r="C1177" s="41" t="s">
        <v>175</v>
      </c>
      <c r="D1177" s="41" t="s">
        <v>181</v>
      </c>
      <c r="E1177" s="41">
        <v>903558</v>
      </c>
      <c r="F1177" s="41"/>
      <c r="G1177" s="41"/>
      <c r="H1177" s="41"/>
      <c r="I1177" s="42"/>
      <c r="J1177" s="41"/>
      <c r="K1177" s="41">
        <v>11</v>
      </c>
      <c r="L1177" s="43">
        <v>42415</v>
      </c>
    </row>
    <row r="1178" spans="2:12" outlineLevel="2">
      <c r="B1178" s="40">
        <f t="shared" si="73"/>
        <v>28</v>
      </c>
      <c r="C1178" s="41" t="s">
        <v>175</v>
      </c>
      <c r="D1178" s="41" t="s">
        <v>130</v>
      </c>
      <c r="E1178" s="41">
        <v>422002</v>
      </c>
      <c r="F1178" s="41"/>
      <c r="G1178" s="41"/>
      <c r="H1178" s="41"/>
      <c r="I1178" s="42"/>
      <c r="J1178" s="41"/>
      <c r="K1178" s="41">
        <v>2</v>
      </c>
      <c r="L1178" s="43">
        <v>42399</v>
      </c>
    </row>
    <row r="1179" spans="2:12" outlineLevel="2">
      <c r="B1179" s="40">
        <f t="shared" si="73"/>
        <v>29</v>
      </c>
      <c r="C1179" s="41" t="s">
        <v>175</v>
      </c>
      <c r="D1179" s="41" t="s">
        <v>166</v>
      </c>
      <c r="E1179" s="41">
        <v>247666</v>
      </c>
      <c r="F1179" s="41"/>
      <c r="G1179" s="41"/>
      <c r="H1179" s="41"/>
      <c r="I1179" s="42"/>
      <c r="J1179" s="41"/>
      <c r="K1179" s="41">
        <v>14</v>
      </c>
      <c r="L1179" s="43">
        <v>43874</v>
      </c>
    </row>
    <row r="1180" spans="2:12" outlineLevel="2">
      <c r="B1180" s="40">
        <f t="shared" si="73"/>
        <v>30</v>
      </c>
      <c r="C1180" s="41" t="s">
        <v>175</v>
      </c>
      <c r="D1180" s="41" t="s">
        <v>128</v>
      </c>
      <c r="E1180" s="41">
        <v>872118</v>
      </c>
      <c r="F1180" s="41"/>
      <c r="G1180" s="41"/>
      <c r="H1180" s="41"/>
      <c r="I1180" s="42"/>
      <c r="J1180" s="41"/>
      <c r="K1180" s="41">
        <v>2</v>
      </c>
      <c r="L1180" s="43">
        <v>36291</v>
      </c>
    </row>
    <row r="1181" spans="2:12" outlineLevel="2">
      <c r="B1181" s="40">
        <f t="shared" si="73"/>
        <v>31</v>
      </c>
      <c r="C1181" s="41" t="s">
        <v>175</v>
      </c>
      <c r="D1181" s="41" t="s">
        <v>129</v>
      </c>
      <c r="E1181" s="41">
        <v>1173908</v>
      </c>
      <c r="F1181" s="41"/>
      <c r="G1181" s="41"/>
      <c r="H1181" s="41"/>
      <c r="I1181" s="42"/>
      <c r="J1181" s="41"/>
      <c r="K1181" s="41">
        <v>2</v>
      </c>
      <c r="L1181" s="43">
        <v>36269</v>
      </c>
    </row>
    <row r="1182" spans="2:12" outlineLevel="2">
      <c r="B1182" s="40">
        <f t="shared" si="73"/>
        <v>32</v>
      </c>
      <c r="C1182" s="41" t="s">
        <v>175</v>
      </c>
      <c r="D1182" s="41" t="s">
        <v>129</v>
      </c>
      <c r="E1182" s="41">
        <v>411075</v>
      </c>
      <c r="F1182" s="41"/>
      <c r="G1182" s="41"/>
      <c r="H1182" s="41"/>
      <c r="I1182" s="42"/>
      <c r="J1182" s="41"/>
      <c r="K1182" s="41">
        <v>42</v>
      </c>
      <c r="L1182" s="43">
        <v>45930</v>
      </c>
    </row>
    <row r="1183" spans="2:12" outlineLevel="2">
      <c r="B1183" s="40">
        <f t="shared" si="73"/>
        <v>33</v>
      </c>
      <c r="C1183" s="41" t="s">
        <v>175</v>
      </c>
      <c r="D1183" s="41" t="s">
        <v>129</v>
      </c>
      <c r="E1183" s="41">
        <v>315826</v>
      </c>
      <c r="F1183" s="41"/>
      <c r="G1183" s="41"/>
      <c r="H1183" s="41"/>
      <c r="I1183" s="42"/>
      <c r="J1183" s="41"/>
      <c r="K1183" s="41">
        <v>31</v>
      </c>
      <c r="L1183" s="43">
        <v>45926</v>
      </c>
    </row>
    <row r="1184" spans="2:12" outlineLevel="2">
      <c r="B1184" s="40">
        <f t="shared" si="73"/>
        <v>34</v>
      </c>
      <c r="C1184" s="41" t="s">
        <v>175</v>
      </c>
      <c r="D1184" s="41" t="s">
        <v>129</v>
      </c>
      <c r="E1184" s="41">
        <v>197117</v>
      </c>
      <c r="F1184" s="41"/>
      <c r="G1184" s="41"/>
      <c r="H1184" s="41"/>
      <c r="I1184" s="42"/>
      <c r="J1184" s="41"/>
      <c r="K1184" s="41">
        <v>13</v>
      </c>
      <c r="L1184" s="43">
        <v>45927</v>
      </c>
    </row>
    <row r="1185" spans="2:12" outlineLevel="2">
      <c r="B1185" s="40">
        <f t="shared" si="73"/>
        <v>35</v>
      </c>
      <c r="C1185" s="41" t="s">
        <v>175</v>
      </c>
      <c r="D1185" s="41" t="s">
        <v>885</v>
      </c>
      <c r="E1185" s="41">
        <v>422002</v>
      </c>
      <c r="F1185" s="41"/>
      <c r="G1185" s="41"/>
      <c r="H1185" s="41"/>
      <c r="I1185" s="42"/>
      <c r="J1185" s="41"/>
      <c r="K1185" s="41">
        <v>2</v>
      </c>
      <c r="L1185" s="43">
        <v>45128</v>
      </c>
    </row>
    <row r="1186" spans="2:12" outlineLevel="2">
      <c r="B1186" s="40">
        <f t="shared" si="73"/>
        <v>36</v>
      </c>
      <c r="C1186" s="41" t="s">
        <v>175</v>
      </c>
      <c r="D1186" s="41" t="s">
        <v>871</v>
      </c>
      <c r="E1186" s="41">
        <v>115100</v>
      </c>
      <c r="F1186" s="41"/>
      <c r="G1186" s="41"/>
      <c r="H1186" s="41"/>
      <c r="I1186" s="42"/>
      <c r="J1186" s="41"/>
      <c r="K1186" s="41">
        <v>2</v>
      </c>
      <c r="L1186" s="43">
        <v>45128</v>
      </c>
    </row>
    <row r="1187" spans="2:12" outlineLevel="2">
      <c r="B1187" s="40">
        <f t="shared" si="73"/>
        <v>37</v>
      </c>
      <c r="C1187" s="41" t="s">
        <v>175</v>
      </c>
      <c r="D1187" s="41" t="s">
        <v>883</v>
      </c>
      <c r="E1187" s="41">
        <v>159227</v>
      </c>
      <c r="F1187" s="41"/>
      <c r="G1187" s="41"/>
      <c r="H1187" s="41"/>
      <c r="I1187" s="42"/>
      <c r="J1187" s="41"/>
      <c r="K1187" s="41">
        <v>11</v>
      </c>
      <c r="L1187" s="43">
        <v>45128</v>
      </c>
    </row>
    <row r="1188" spans="2:12" outlineLevel="2">
      <c r="B1188" s="40">
        <f t="shared" si="73"/>
        <v>38</v>
      </c>
      <c r="C1188" s="41" t="s">
        <v>175</v>
      </c>
      <c r="D1188" s="41" t="s">
        <v>130</v>
      </c>
      <c r="E1188" s="41">
        <v>74812</v>
      </c>
      <c r="F1188" s="41"/>
      <c r="G1188" s="41"/>
      <c r="H1188" s="41"/>
      <c r="I1188" s="42"/>
      <c r="J1188" s="41"/>
      <c r="K1188" s="41">
        <v>9</v>
      </c>
      <c r="L1188" s="43">
        <v>23447</v>
      </c>
    </row>
    <row r="1189" spans="2:12" outlineLevel="2">
      <c r="B1189" s="40">
        <f t="shared" si="73"/>
        <v>39</v>
      </c>
      <c r="C1189" s="41" t="s">
        <v>175</v>
      </c>
      <c r="D1189" s="41" t="s">
        <v>129</v>
      </c>
      <c r="E1189" s="41">
        <v>1119520</v>
      </c>
      <c r="F1189" s="41"/>
      <c r="G1189" s="41"/>
      <c r="H1189" s="41"/>
      <c r="I1189" s="42"/>
      <c r="J1189" s="41"/>
      <c r="K1189" s="41">
        <v>7</v>
      </c>
      <c r="L1189" s="43">
        <v>23500</v>
      </c>
    </row>
    <row r="1190" spans="2:12" outlineLevel="2">
      <c r="B1190" s="40">
        <f t="shared" si="73"/>
        <v>40</v>
      </c>
      <c r="C1190" s="41" t="s">
        <v>175</v>
      </c>
      <c r="D1190" s="41" t="s">
        <v>129</v>
      </c>
      <c r="E1190" s="41">
        <v>1160378</v>
      </c>
      <c r="F1190" s="41"/>
      <c r="G1190" s="41"/>
      <c r="H1190" s="41"/>
      <c r="I1190" s="42"/>
      <c r="J1190" s="41"/>
      <c r="K1190" s="41">
        <v>2</v>
      </c>
      <c r="L1190" s="43">
        <v>23507</v>
      </c>
    </row>
    <row r="1191" spans="2:12" outlineLevel="2">
      <c r="B1191" s="40">
        <f t="shared" si="73"/>
        <v>41</v>
      </c>
      <c r="C1191" s="41" t="s">
        <v>175</v>
      </c>
      <c r="D1191" s="41" t="s">
        <v>167</v>
      </c>
      <c r="E1191" s="41">
        <v>1310797</v>
      </c>
      <c r="F1191" s="41"/>
      <c r="G1191" s="41"/>
      <c r="H1191" s="41"/>
      <c r="I1191" s="42"/>
      <c r="J1191" s="41"/>
      <c r="K1191" s="41">
        <v>6</v>
      </c>
      <c r="L1191" s="43">
        <v>23499</v>
      </c>
    </row>
    <row r="1192" spans="2:12" outlineLevel="2">
      <c r="B1192" s="40">
        <f t="shared" si="73"/>
        <v>42</v>
      </c>
      <c r="C1192" s="41" t="s">
        <v>175</v>
      </c>
      <c r="D1192" s="41" t="s">
        <v>128</v>
      </c>
      <c r="E1192" s="41">
        <v>249294</v>
      </c>
      <c r="F1192" s="41"/>
      <c r="G1192" s="41"/>
      <c r="H1192" s="41"/>
      <c r="I1192" s="42"/>
      <c r="J1192" s="41"/>
      <c r="K1192" s="41">
        <v>4</v>
      </c>
      <c r="L1192" s="43">
        <v>23431</v>
      </c>
    </row>
    <row r="1193" spans="2:12" outlineLevel="2">
      <c r="B1193" s="40">
        <f t="shared" si="73"/>
        <v>43</v>
      </c>
      <c r="C1193" s="41" t="s">
        <v>175</v>
      </c>
      <c r="D1193" s="41" t="s">
        <v>129</v>
      </c>
      <c r="E1193" s="41">
        <v>1297498</v>
      </c>
      <c r="F1193" s="41"/>
      <c r="G1193" s="41"/>
      <c r="H1193" s="41"/>
      <c r="I1193" s="42"/>
      <c r="J1193" s="41"/>
      <c r="K1193" s="41">
        <v>4</v>
      </c>
      <c r="L1193" s="43">
        <v>23505</v>
      </c>
    </row>
    <row r="1194" spans="2:12" outlineLevel="2">
      <c r="B1194" s="40">
        <f t="shared" si="73"/>
        <v>44</v>
      </c>
      <c r="C1194" s="41" t="s">
        <v>175</v>
      </c>
      <c r="D1194" s="41" t="s">
        <v>129</v>
      </c>
      <c r="E1194" s="41">
        <v>1016775</v>
      </c>
      <c r="F1194" s="41"/>
      <c r="G1194" s="41"/>
      <c r="H1194" s="41"/>
      <c r="I1194" s="42"/>
      <c r="J1194" s="41"/>
      <c r="K1194" s="41">
        <v>22</v>
      </c>
      <c r="L1194" s="43">
        <v>23506</v>
      </c>
    </row>
    <row r="1195" spans="2:12" outlineLevel="2">
      <c r="B1195" s="40">
        <f t="shared" si="73"/>
        <v>45</v>
      </c>
      <c r="C1195" s="41" t="s">
        <v>175</v>
      </c>
      <c r="D1195" s="41" t="s">
        <v>130</v>
      </c>
      <c r="E1195" s="41">
        <v>1047759598</v>
      </c>
      <c r="F1195" s="41"/>
      <c r="G1195" s="41"/>
      <c r="H1195" s="41"/>
      <c r="I1195" s="42"/>
      <c r="J1195" s="41"/>
      <c r="K1195" s="41">
        <v>11</v>
      </c>
      <c r="L1195" s="43">
        <v>23475</v>
      </c>
    </row>
    <row r="1196" spans="2:12" outlineLevel="2">
      <c r="B1196" s="40">
        <f t="shared" si="73"/>
        <v>46</v>
      </c>
      <c r="C1196" s="41" t="s">
        <v>175</v>
      </c>
      <c r="D1196" s="41" t="s">
        <v>130</v>
      </c>
      <c r="E1196" s="41">
        <v>247625</v>
      </c>
      <c r="F1196" s="41"/>
      <c r="G1196" s="41"/>
      <c r="H1196" s="41"/>
      <c r="I1196" s="42"/>
      <c r="J1196" s="41"/>
      <c r="K1196" s="41">
        <v>5</v>
      </c>
      <c r="L1196" s="43">
        <v>23481</v>
      </c>
    </row>
    <row r="1197" spans="2:12" outlineLevel="2">
      <c r="B1197" s="40">
        <f t="shared" si="73"/>
        <v>47</v>
      </c>
      <c r="C1197" s="41" t="s">
        <v>175</v>
      </c>
      <c r="D1197" s="41" t="s">
        <v>129</v>
      </c>
      <c r="E1197" s="41">
        <v>432251</v>
      </c>
      <c r="F1197" s="41"/>
      <c r="G1197" s="41"/>
      <c r="H1197" s="41"/>
      <c r="I1197" s="42"/>
      <c r="J1197" s="41"/>
      <c r="K1197" s="41">
        <v>38</v>
      </c>
      <c r="L1197" s="43">
        <v>23455</v>
      </c>
    </row>
    <row r="1198" spans="2:12" outlineLevel="2">
      <c r="B1198" s="40">
        <f t="shared" si="73"/>
        <v>48</v>
      </c>
      <c r="C1198" s="41" t="s">
        <v>175</v>
      </c>
      <c r="D1198" s="41" t="s">
        <v>167</v>
      </c>
      <c r="E1198" s="41">
        <v>362128</v>
      </c>
      <c r="F1198" s="41"/>
      <c r="G1198" s="41"/>
      <c r="H1198" s="41"/>
      <c r="I1198" s="42"/>
      <c r="J1198" s="41"/>
      <c r="K1198" s="41">
        <v>18</v>
      </c>
      <c r="L1198" s="43">
        <v>23497</v>
      </c>
    </row>
    <row r="1199" spans="2:12" outlineLevel="2">
      <c r="B1199" s="40">
        <f t="shared" si="73"/>
        <v>49</v>
      </c>
      <c r="C1199" s="41" t="s">
        <v>175</v>
      </c>
      <c r="D1199" s="41" t="s">
        <v>181</v>
      </c>
      <c r="E1199" s="41">
        <v>1363192</v>
      </c>
      <c r="F1199" s="41"/>
      <c r="G1199" s="41"/>
      <c r="H1199" s="41"/>
      <c r="I1199" s="42"/>
      <c r="J1199" s="41"/>
      <c r="K1199" s="41">
        <v>34</v>
      </c>
      <c r="L1199" s="43">
        <v>23518</v>
      </c>
    </row>
    <row r="1200" spans="2:12" outlineLevel="2">
      <c r="B1200" s="40">
        <f t="shared" si="73"/>
        <v>50</v>
      </c>
      <c r="C1200" s="41" t="s">
        <v>175</v>
      </c>
      <c r="D1200" s="41" t="s">
        <v>128</v>
      </c>
      <c r="E1200" s="41">
        <v>848682</v>
      </c>
      <c r="F1200" s="41"/>
      <c r="G1200" s="41"/>
      <c r="H1200" s="41"/>
      <c r="I1200" s="42"/>
      <c r="J1200" s="41"/>
      <c r="K1200" s="41">
        <v>2</v>
      </c>
      <c r="L1200" s="43">
        <v>23458</v>
      </c>
    </row>
    <row r="1201" spans="2:12" outlineLevel="2">
      <c r="B1201" s="40">
        <f t="shared" si="73"/>
        <v>51</v>
      </c>
      <c r="C1201" s="41" t="s">
        <v>175</v>
      </c>
      <c r="D1201" s="41" t="s">
        <v>181</v>
      </c>
      <c r="E1201" s="41">
        <v>905477</v>
      </c>
      <c r="F1201" s="41"/>
      <c r="G1201" s="41"/>
      <c r="H1201" s="41"/>
      <c r="I1201" s="42"/>
      <c r="J1201" s="41"/>
      <c r="K1201" s="41">
        <v>14</v>
      </c>
      <c r="L1201" s="43">
        <v>23509</v>
      </c>
    </row>
    <row r="1202" spans="2:12" outlineLevel="2">
      <c r="B1202" s="40">
        <f t="shared" si="73"/>
        <v>52</v>
      </c>
      <c r="C1202" s="41" t="s">
        <v>175</v>
      </c>
      <c r="D1202" s="41" t="s">
        <v>167</v>
      </c>
      <c r="E1202" s="41">
        <v>1138812</v>
      </c>
      <c r="F1202" s="41"/>
      <c r="G1202" s="41"/>
      <c r="H1202" s="41"/>
      <c r="I1202" s="42"/>
      <c r="J1202" s="41"/>
      <c r="K1202" s="41">
        <v>10</v>
      </c>
      <c r="L1202" s="43">
        <v>23491</v>
      </c>
    </row>
    <row r="1203" spans="2:12" outlineLevel="2">
      <c r="B1203" s="40">
        <f t="shared" si="73"/>
        <v>53</v>
      </c>
      <c r="C1203" s="41" t="s">
        <v>175</v>
      </c>
      <c r="D1203" s="41" t="s">
        <v>130</v>
      </c>
      <c r="E1203" s="41">
        <v>221414</v>
      </c>
      <c r="F1203" s="41"/>
      <c r="G1203" s="41"/>
      <c r="H1203" s="41"/>
      <c r="I1203" s="42"/>
      <c r="J1203" s="41"/>
      <c r="K1203" s="41">
        <v>15</v>
      </c>
      <c r="L1203" s="43">
        <v>23442</v>
      </c>
    </row>
    <row r="1204" spans="2:12" outlineLevel="2">
      <c r="B1204" s="40">
        <f t="shared" si="73"/>
        <v>54</v>
      </c>
      <c r="C1204" s="41" t="s">
        <v>175</v>
      </c>
      <c r="D1204" s="41" t="s">
        <v>130</v>
      </c>
      <c r="E1204" s="41">
        <v>214839</v>
      </c>
      <c r="F1204" s="41"/>
      <c r="G1204" s="41"/>
      <c r="H1204" s="41"/>
      <c r="I1204" s="42"/>
      <c r="J1204" s="41"/>
      <c r="K1204" s="41">
        <v>5</v>
      </c>
      <c r="L1204" s="43">
        <v>23446</v>
      </c>
    </row>
    <row r="1205" spans="2:12" outlineLevel="2">
      <c r="B1205" s="40">
        <f t="shared" si="73"/>
        <v>55</v>
      </c>
      <c r="C1205" s="41" t="s">
        <v>175</v>
      </c>
      <c r="D1205" s="41" t="s">
        <v>130</v>
      </c>
      <c r="E1205" s="41">
        <v>1037106</v>
      </c>
      <c r="F1205" s="41"/>
      <c r="G1205" s="41"/>
      <c r="H1205" s="41"/>
      <c r="I1205" s="42"/>
      <c r="J1205" s="41"/>
      <c r="K1205" s="41">
        <v>4</v>
      </c>
      <c r="L1205" s="43">
        <v>23476</v>
      </c>
    </row>
    <row r="1206" spans="2:12" outlineLevel="2">
      <c r="B1206" s="40">
        <f t="shared" si="73"/>
        <v>56</v>
      </c>
      <c r="C1206" s="41" t="s">
        <v>175</v>
      </c>
      <c r="D1206" s="41" t="s">
        <v>130</v>
      </c>
      <c r="E1206" s="41">
        <v>96527</v>
      </c>
      <c r="F1206" s="41"/>
      <c r="G1206" s="41"/>
      <c r="H1206" s="41"/>
      <c r="I1206" s="42"/>
      <c r="J1206" s="41"/>
      <c r="K1206" s="41">
        <v>19</v>
      </c>
      <c r="L1206" s="43">
        <v>23460</v>
      </c>
    </row>
    <row r="1207" spans="2:12" outlineLevel="2">
      <c r="B1207" s="40">
        <f t="shared" si="73"/>
        <v>57</v>
      </c>
      <c r="C1207" s="41" t="s">
        <v>175</v>
      </c>
      <c r="D1207" s="41" t="s">
        <v>128</v>
      </c>
      <c r="E1207" s="41">
        <v>1201366</v>
      </c>
      <c r="F1207" s="41"/>
      <c r="G1207" s="41"/>
      <c r="H1207" s="41"/>
      <c r="I1207" s="42"/>
      <c r="J1207" s="41"/>
      <c r="K1207" s="41">
        <v>3</v>
      </c>
      <c r="L1207" s="43">
        <v>23514</v>
      </c>
    </row>
    <row r="1208" spans="2:12" outlineLevel="2">
      <c r="B1208" s="40">
        <f t="shared" si="73"/>
        <v>58</v>
      </c>
      <c r="C1208" s="41" t="s">
        <v>175</v>
      </c>
      <c r="D1208" s="41" t="s">
        <v>181</v>
      </c>
      <c r="E1208" s="41">
        <v>379495</v>
      </c>
      <c r="F1208" s="41"/>
      <c r="G1208" s="41"/>
      <c r="H1208" s="41"/>
      <c r="I1208" s="42"/>
      <c r="J1208" s="41"/>
      <c r="K1208" s="41">
        <v>8</v>
      </c>
      <c r="L1208" s="43">
        <v>23508</v>
      </c>
    </row>
    <row r="1209" spans="2:12" outlineLevel="2">
      <c r="B1209" s="40">
        <f t="shared" si="73"/>
        <v>59</v>
      </c>
      <c r="C1209" s="41" t="s">
        <v>175</v>
      </c>
      <c r="D1209" s="41" t="s">
        <v>181</v>
      </c>
      <c r="E1209" s="41">
        <v>878178</v>
      </c>
      <c r="F1209" s="41"/>
      <c r="G1209" s="41"/>
      <c r="H1209" s="41"/>
      <c r="I1209" s="42"/>
      <c r="J1209" s="41"/>
      <c r="K1209" s="41">
        <v>27</v>
      </c>
      <c r="L1209" s="43">
        <v>23511</v>
      </c>
    </row>
    <row r="1210" spans="2:12" outlineLevel="2">
      <c r="B1210" s="40">
        <f t="shared" si="73"/>
        <v>60</v>
      </c>
      <c r="C1210" s="41" t="s">
        <v>175</v>
      </c>
      <c r="D1210" s="41" t="s">
        <v>181</v>
      </c>
      <c r="E1210" s="41">
        <v>1160397</v>
      </c>
      <c r="F1210" s="41"/>
      <c r="G1210" s="41"/>
      <c r="H1210" s="41"/>
      <c r="I1210" s="42"/>
      <c r="J1210" s="41"/>
      <c r="K1210" s="41">
        <v>18</v>
      </c>
      <c r="L1210" s="43">
        <v>23513</v>
      </c>
    </row>
    <row r="1211" spans="2:12" outlineLevel="2">
      <c r="B1211" s="40">
        <f t="shared" si="73"/>
        <v>61</v>
      </c>
      <c r="C1211" s="41" t="s">
        <v>175</v>
      </c>
      <c r="D1211" s="41" t="s">
        <v>129</v>
      </c>
      <c r="E1211" s="41">
        <v>1067914</v>
      </c>
      <c r="F1211" s="41"/>
      <c r="G1211" s="41"/>
      <c r="H1211" s="41"/>
      <c r="I1211" s="42"/>
      <c r="J1211" s="41"/>
      <c r="K1211" s="41">
        <v>38</v>
      </c>
      <c r="L1211" s="43">
        <v>23493</v>
      </c>
    </row>
    <row r="1212" spans="2:12" outlineLevel="2">
      <c r="B1212" s="40">
        <f t="shared" si="73"/>
        <v>62</v>
      </c>
      <c r="C1212" s="41" t="s">
        <v>175</v>
      </c>
      <c r="D1212" s="41" t="s">
        <v>129</v>
      </c>
      <c r="E1212" s="41">
        <v>812651</v>
      </c>
      <c r="F1212" s="41"/>
      <c r="G1212" s="41"/>
      <c r="H1212" s="41"/>
      <c r="I1212" s="42"/>
      <c r="J1212" s="41"/>
      <c r="K1212" s="41">
        <v>21</v>
      </c>
      <c r="L1212" s="43">
        <v>23468</v>
      </c>
    </row>
    <row r="1213" spans="2:12" outlineLevel="2">
      <c r="B1213" s="40">
        <f t="shared" si="73"/>
        <v>63</v>
      </c>
      <c r="C1213" s="41" t="s">
        <v>175</v>
      </c>
      <c r="D1213" s="41" t="s">
        <v>129</v>
      </c>
      <c r="E1213" s="41">
        <v>823279</v>
      </c>
      <c r="F1213" s="41"/>
      <c r="G1213" s="41"/>
      <c r="H1213" s="41"/>
      <c r="I1213" s="42"/>
      <c r="J1213" s="41"/>
      <c r="K1213" s="41">
        <v>7</v>
      </c>
      <c r="L1213" s="43">
        <v>23457</v>
      </c>
    </row>
    <row r="1214" spans="2:12" outlineLevel="2">
      <c r="B1214" s="40">
        <f t="shared" si="73"/>
        <v>64</v>
      </c>
      <c r="C1214" s="41" t="s">
        <v>175</v>
      </c>
      <c r="D1214" s="41" t="s">
        <v>129</v>
      </c>
      <c r="E1214" s="41">
        <v>284647</v>
      </c>
      <c r="F1214" s="41"/>
      <c r="G1214" s="41"/>
      <c r="H1214" s="41"/>
      <c r="I1214" s="42"/>
      <c r="J1214" s="41"/>
      <c r="K1214" s="41">
        <v>2</v>
      </c>
      <c r="L1214" s="43">
        <v>23451</v>
      </c>
    </row>
    <row r="1215" spans="2:12" outlineLevel="2">
      <c r="B1215" s="40">
        <f t="shared" si="73"/>
        <v>65</v>
      </c>
      <c r="C1215" s="41" t="s">
        <v>175</v>
      </c>
      <c r="D1215" s="41" t="s">
        <v>181</v>
      </c>
      <c r="E1215" s="41">
        <v>1152144</v>
      </c>
      <c r="F1215" s="41"/>
      <c r="G1215" s="41"/>
      <c r="H1215" s="41"/>
      <c r="I1215" s="42"/>
      <c r="J1215" s="41"/>
      <c r="K1215" s="41">
        <v>13</v>
      </c>
      <c r="L1215" s="43">
        <v>23512</v>
      </c>
    </row>
    <row r="1216" spans="2:12" outlineLevel="2">
      <c r="B1216" s="40">
        <f t="shared" si="73"/>
        <v>66</v>
      </c>
      <c r="C1216" s="41" t="s">
        <v>175</v>
      </c>
      <c r="D1216" s="41" t="s">
        <v>129</v>
      </c>
      <c r="E1216" s="41">
        <v>1076608</v>
      </c>
      <c r="F1216" s="41"/>
      <c r="G1216" s="41"/>
      <c r="H1216" s="41"/>
      <c r="I1216" s="42"/>
      <c r="J1216" s="41"/>
      <c r="K1216" s="41">
        <v>25</v>
      </c>
      <c r="L1216" s="43">
        <v>23489</v>
      </c>
    </row>
    <row r="1217" spans="2:12" outlineLevel="2">
      <c r="B1217" s="40">
        <f t="shared" ref="B1217:B1277" si="74">IF(C1217="","",B1216+1)</f>
        <v>67</v>
      </c>
      <c r="C1217" s="41" t="s">
        <v>175</v>
      </c>
      <c r="D1217" s="41" t="s">
        <v>129</v>
      </c>
      <c r="E1217" s="41">
        <v>950868</v>
      </c>
      <c r="F1217" s="41"/>
      <c r="G1217" s="41"/>
      <c r="H1217" s="41"/>
      <c r="I1217" s="42"/>
      <c r="J1217" s="41"/>
      <c r="K1217" s="41">
        <v>21</v>
      </c>
      <c r="L1217" s="43">
        <v>23490</v>
      </c>
    </row>
    <row r="1218" spans="2:12" outlineLevel="2">
      <c r="B1218" s="40">
        <f t="shared" si="74"/>
        <v>68</v>
      </c>
      <c r="C1218" s="41" t="s">
        <v>175</v>
      </c>
      <c r="D1218" s="41" t="s">
        <v>129</v>
      </c>
      <c r="E1218" s="41">
        <v>1044878</v>
      </c>
      <c r="F1218" s="41"/>
      <c r="G1218" s="41"/>
      <c r="H1218" s="41"/>
      <c r="I1218" s="42"/>
      <c r="J1218" s="41"/>
      <c r="K1218" s="41">
        <v>13</v>
      </c>
      <c r="L1218" s="43">
        <v>23494</v>
      </c>
    </row>
    <row r="1219" spans="2:12" outlineLevel="2">
      <c r="B1219" s="40">
        <f t="shared" si="74"/>
        <v>69</v>
      </c>
      <c r="C1219" s="41" t="s">
        <v>175</v>
      </c>
      <c r="D1219" s="41" t="s">
        <v>129</v>
      </c>
      <c r="E1219" s="41">
        <v>889960</v>
      </c>
      <c r="F1219" s="41"/>
      <c r="G1219" s="41"/>
      <c r="H1219" s="41"/>
      <c r="I1219" s="42"/>
      <c r="J1219" s="41"/>
      <c r="K1219" s="41">
        <v>9</v>
      </c>
      <c r="L1219" s="43">
        <v>23502</v>
      </c>
    </row>
    <row r="1220" spans="2:12" outlineLevel="2">
      <c r="B1220" s="40">
        <f t="shared" si="74"/>
        <v>70</v>
      </c>
      <c r="C1220" s="41" t="s">
        <v>175</v>
      </c>
      <c r="D1220" s="41" t="s">
        <v>129</v>
      </c>
      <c r="E1220" s="41">
        <v>1156968</v>
      </c>
      <c r="F1220" s="41"/>
      <c r="G1220" s="41"/>
      <c r="H1220" s="41"/>
      <c r="I1220" s="42"/>
      <c r="J1220" s="41"/>
      <c r="K1220" s="41">
        <v>10</v>
      </c>
      <c r="L1220" s="43">
        <v>23503</v>
      </c>
    </row>
    <row r="1221" spans="2:12" outlineLevel="2">
      <c r="B1221" s="40">
        <f t="shared" si="74"/>
        <v>71</v>
      </c>
      <c r="C1221" s="41" t="s">
        <v>175</v>
      </c>
      <c r="D1221" s="41" t="s">
        <v>181</v>
      </c>
      <c r="E1221" s="41">
        <v>1160088</v>
      </c>
      <c r="F1221" s="41"/>
      <c r="G1221" s="41"/>
      <c r="H1221" s="41"/>
      <c r="I1221" s="42"/>
      <c r="J1221" s="41"/>
      <c r="K1221" s="41">
        <v>5</v>
      </c>
      <c r="L1221" s="43">
        <v>23510</v>
      </c>
    </row>
    <row r="1222" spans="2:12" outlineLevel="2">
      <c r="B1222" s="40">
        <f t="shared" si="74"/>
        <v>72</v>
      </c>
      <c r="C1222" s="41" t="s">
        <v>175</v>
      </c>
      <c r="D1222" s="41" t="s">
        <v>167</v>
      </c>
      <c r="E1222" s="41">
        <v>439692</v>
      </c>
      <c r="F1222" s="41"/>
      <c r="G1222" s="41"/>
      <c r="H1222" s="41"/>
      <c r="I1222" s="42"/>
      <c r="J1222" s="41"/>
      <c r="K1222" s="41">
        <v>18</v>
      </c>
      <c r="L1222" s="43">
        <v>23496</v>
      </c>
    </row>
    <row r="1223" spans="2:12" outlineLevel="2">
      <c r="B1223" s="40">
        <f t="shared" si="74"/>
        <v>73</v>
      </c>
      <c r="C1223" s="41" t="s">
        <v>175</v>
      </c>
      <c r="D1223" s="41" t="s">
        <v>167</v>
      </c>
      <c r="E1223" s="41">
        <v>961649</v>
      </c>
      <c r="F1223" s="41"/>
      <c r="G1223" s="41"/>
      <c r="H1223" s="41"/>
      <c r="I1223" s="42"/>
      <c r="J1223" s="41"/>
      <c r="K1223" s="41">
        <v>27</v>
      </c>
      <c r="L1223" s="43">
        <v>23487</v>
      </c>
    </row>
    <row r="1224" spans="2:12" outlineLevel="2">
      <c r="B1224" s="40">
        <f t="shared" si="74"/>
        <v>74</v>
      </c>
      <c r="C1224" s="41" t="s">
        <v>175</v>
      </c>
      <c r="D1224" s="41" t="s">
        <v>167</v>
      </c>
      <c r="E1224" s="41">
        <v>439208</v>
      </c>
      <c r="F1224" s="41"/>
      <c r="G1224" s="41"/>
      <c r="H1224" s="41"/>
      <c r="I1224" s="42"/>
      <c r="J1224" s="41"/>
      <c r="K1224" s="41">
        <v>15</v>
      </c>
      <c r="L1224" s="43">
        <v>23495</v>
      </c>
    </row>
    <row r="1225" spans="2:12" outlineLevel="2">
      <c r="B1225" s="40">
        <f t="shared" si="74"/>
        <v>75</v>
      </c>
      <c r="C1225" s="41" t="s">
        <v>175</v>
      </c>
      <c r="D1225" s="41" t="s">
        <v>128</v>
      </c>
      <c r="E1225" s="41">
        <v>1043387454</v>
      </c>
      <c r="F1225" s="41"/>
      <c r="G1225" s="41"/>
      <c r="H1225" s="41"/>
      <c r="I1225" s="42"/>
      <c r="J1225" s="41"/>
      <c r="K1225" s="41">
        <v>9</v>
      </c>
      <c r="L1225" s="43">
        <v>23473</v>
      </c>
    </row>
    <row r="1226" spans="2:12" outlineLevel="2">
      <c r="B1226" s="40">
        <f t="shared" si="74"/>
        <v>76</v>
      </c>
      <c r="C1226" s="41" t="s">
        <v>175</v>
      </c>
      <c r="D1226" s="41" t="s">
        <v>128</v>
      </c>
      <c r="E1226" s="41">
        <v>254189</v>
      </c>
      <c r="F1226" s="41"/>
      <c r="G1226" s="41"/>
      <c r="H1226" s="41"/>
      <c r="I1226" s="42"/>
      <c r="J1226" s="41"/>
      <c r="K1226" s="41">
        <v>40</v>
      </c>
      <c r="L1226" s="43">
        <v>23515</v>
      </c>
    </row>
    <row r="1227" spans="2:12" outlineLevel="2">
      <c r="B1227" s="40">
        <f t="shared" si="74"/>
        <v>77</v>
      </c>
      <c r="C1227" s="41" t="s">
        <v>175</v>
      </c>
      <c r="D1227" s="41" t="s">
        <v>128</v>
      </c>
      <c r="E1227" s="41">
        <v>1047366810</v>
      </c>
      <c r="F1227" s="41"/>
      <c r="G1227" s="41"/>
      <c r="H1227" s="41"/>
      <c r="I1227" s="42"/>
      <c r="J1227" s="41"/>
      <c r="K1227" s="41">
        <v>27</v>
      </c>
      <c r="L1227" s="43">
        <v>23516</v>
      </c>
    </row>
    <row r="1228" spans="2:12" outlineLevel="2">
      <c r="B1228" s="40">
        <f t="shared" si="74"/>
        <v>78</v>
      </c>
      <c r="C1228" s="41" t="s">
        <v>175</v>
      </c>
      <c r="D1228" s="41" t="s">
        <v>128</v>
      </c>
      <c r="E1228" s="41">
        <v>1043377140</v>
      </c>
      <c r="F1228" s="41"/>
      <c r="G1228" s="41"/>
      <c r="H1228" s="41"/>
      <c r="I1228" s="42"/>
      <c r="J1228" s="41"/>
      <c r="K1228" s="41">
        <v>5</v>
      </c>
      <c r="L1228" s="43">
        <v>23517</v>
      </c>
    </row>
    <row r="1229" spans="2:12" outlineLevel="2">
      <c r="B1229" s="40">
        <f t="shared" si="74"/>
        <v>79</v>
      </c>
      <c r="C1229" s="41" t="s">
        <v>175</v>
      </c>
      <c r="D1229" s="41" t="s">
        <v>128</v>
      </c>
      <c r="E1229" s="41">
        <v>1053526102</v>
      </c>
      <c r="F1229" s="41"/>
      <c r="G1229" s="41"/>
      <c r="H1229" s="41"/>
      <c r="I1229" s="42"/>
      <c r="J1229" s="41"/>
      <c r="K1229" s="41">
        <v>10</v>
      </c>
      <c r="L1229" s="43">
        <v>23474</v>
      </c>
    </row>
    <row r="1230" spans="2:12" outlineLevel="2">
      <c r="B1230" s="40">
        <f t="shared" si="74"/>
        <v>80</v>
      </c>
      <c r="C1230" s="41" t="s">
        <v>175</v>
      </c>
      <c r="D1230" s="41" t="s">
        <v>130</v>
      </c>
      <c r="E1230" s="41">
        <v>827137</v>
      </c>
      <c r="F1230" s="41"/>
      <c r="G1230" s="41"/>
      <c r="H1230" s="41"/>
      <c r="I1230" s="42"/>
      <c r="J1230" s="41"/>
      <c r="K1230" s="41">
        <v>7</v>
      </c>
      <c r="L1230" s="43">
        <v>23441</v>
      </c>
    </row>
    <row r="1231" spans="2:12" outlineLevel="2">
      <c r="B1231" s="40">
        <f t="shared" si="74"/>
        <v>81</v>
      </c>
      <c r="C1231" s="41" t="s">
        <v>175</v>
      </c>
      <c r="D1231" s="41" t="s">
        <v>130</v>
      </c>
      <c r="E1231" s="41">
        <v>120396</v>
      </c>
      <c r="F1231" s="41"/>
      <c r="G1231" s="41"/>
      <c r="H1231" s="41"/>
      <c r="I1231" s="42"/>
      <c r="J1231" s="41"/>
      <c r="K1231" s="41">
        <v>16</v>
      </c>
      <c r="L1231" s="43">
        <v>23440</v>
      </c>
    </row>
    <row r="1232" spans="2:12" outlineLevel="2">
      <c r="B1232" s="40">
        <f t="shared" si="74"/>
        <v>82</v>
      </c>
      <c r="C1232" s="41" t="s">
        <v>175</v>
      </c>
      <c r="D1232" s="41" t="s">
        <v>130</v>
      </c>
      <c r="E1232" s="41">
        <v>1043387436</v>
      </c>
      <c r="F1232" s="41"/>
      <c r="G1232" s="41"/>
      <c r="H1232" s="41"/>
      <c r="I1232" s="42"/>
      <c r="J1232" s="41"/>
      <c r="K1232" s="41">
        <v>13</v>
      </c>
      <c r="L1232" s="43">
        <v>23483</v>
      </c>
    </row>
    <row r="1233" spans="2:12" outlineLevel="2">
      <c r="B1233" s="40">
        <f t="shared" si="74"/>
        <v>83</v>
      </c>
      <c r="C1233" s="41" t="s">
        <v>175</v>
      </c>
      <c r="D1233" s="41" t="s">
        <v>130</v>
      </c>
      <c r="E1233" s="41">
        <v>249313</v>
      </c>
      <c r="F1233" s="41"/>
      <c r="G1233" s="41"/>
      <c r="H1233" s="41"/>
      <c r="I1233" s="42"/>
      <c r="J1233" s="41"/>
      <c r="K1233" s="41">
        <v>2</v>
      </c>
      <c r="L1233" s="43">
        <v>23478</v>
      </c>
    </row>
    <row r="1234" spans="2:12" outlineLevel="2">
      <c r="B1234" s="40">
        <f t="shared" si="74"/>
        <v>84</v>
      </c>
      <c r="C1234" s="41" t="s">
        <v>175</v>
      </c>
      <c r="D1234" s="41" t="s">
        <v>130</v>
      </c>
      <c r="E1234" s="41">
        <v>231576</v>
      </c>
      <c r="F1234" s="41"/>
      <c r="G1234" s="41"/>
      <c r="H1234" s="41"/>
      <c r="I1234" s="42"/>
      <c r="J1234" s="41"/>
      <c r="K1234" s="41">
        <v>8</v>
      </c>
      <c r="L1234" s="43">
        <v>23472</v>
      </c>
    </row>
    <row r="1235" spans="2:12" outlineLevel="2">
      <c r="B1235" s="40">
        <f t="shared" si="74"/>
        <v>85</v>
      </c>
      <c r="C1235" s="41" t="s">
        <v>175</v>
      </c>
      <c r="D1235" s="41" t="s">
        <v>130</v>
      </c>
      <c r="E1235" s="41">
        <v>1067901</v>
      </c>
      <c r="F1235" s="41"/>
      <c r="G1235" s="41"/>
      <c r="H1235" s="41"/>
      <c r="I1235" s="42"/>
      <c r="J1235" s="41"/>
      <c r="K1235" s="41">
        <v>22</v>
      </c>
      <c r="L1235" s="43">
        <v>23477</v>
      </c>
    </row>
    <row r="1236" spans="2:12" outlineLevel="2">
      <c r="B1236" s="40">
        <f t="shared" si="74"/>
        <v>86</v>
      </c>
      <c r="C1236" s="41" t="s">
        <v>175</v>
      </c>
      <c r="D1236" s="41" t="s">
        <v>130</v>
      </c>
      <c r="E1236" s="41">
        <v>960742</v>
      </c>
      <c r="F1236" s="41"/>
      <c r="G1236" s="41"/>
      <c r="H1236" s="41"/>
      <c r="I1236" s="42"/>
      <c r="J1236" s="41"/>
      <c r="K1236" s="41">
        <v>27</v>
      </c>
      <c r="L1236" s="43">
        <v>23482</v>
      </c>
    </row>
    <row r="1237" spans="2:12" outlineLevel="2">
      <c r="B1237" s="40">
        <f t="shared" si="74"/>
        <v>87</v>
      </c>
      <c r="C1237" s="41" t="s">
        <v>175</v>
      </c>
      <c r="D1237" s="41" t="s">
        <v>130</v>
      </c>
      <c r="E1237" s="41">
        <v>242100</v>
      </c>
      <c r="F1237" s="41"/>
      <c r="G1237" s="41"/>
      <c r="H1237" s="41"/>
      <c r="I1237" s="42"/>
      <c r="J1237" s="41"/>
      <c r="K1237" s="41">
        <v>14</v>
      </c>
      <c r="L1237" s="43">
        <v>23480</v>
      </c>
    </row>
    <row r="1238" spans="2:12" outlineLevel="2">
      <c r="B1238" s="40">
        <f t="shared" si="74"/>
        <v>88</v>
      </c>
      <c r="C1238" s="41" t="s">
        <v>175</v>
      </c>
      <c r="D1238" s="41" t="s">
        <v>130</v>
      </c>
      <c r="E1238" s="41">
        <v>231578</v>
      </c>
      <c r="F1238" s="41"/>
      <c r="G1238" s="41"/>
      <c r="H1238" s="41"/>
      <c r="I1238" s="42"/>
      <c r="J1238" s="41"/>
      <c r="K1238" s="41">
        <v>8</v>
      </c>
      <c r="L1238" s="43">
        <v>23479</v>
      </c>
    </row>
    <row r="1239" spans="2:12" outlineLevel="2">
      <c r="B1239" s="40">
        <f t="shared" si="74"/>
        <v>89</v>
      </c>
      <c r="C1239" s="41" t="s">
        <v>175</v>
      </c>
      <c r="D1239" s="41" t="s">
        <v>130</v>
      </c>
      <c r="E1239" s="41">
        <v>960741</v>
      </c>
      <c r="F1239" s="41"/>
      <c r="G1239" s="41"/>
      <c r="H1239" s="41"/>
      <c r="I1239" s="42"/>
      <c r="J1239" s="41"/>
      <c r="K1239" s="41">
        <v>18</v>
      </c>
      <c r="L1239" s="43">
        <v>23484</v>
      </c>
    </row>
    <row r="1240" spans="2:12" outlineLevel="2">
      <c r="B1240" s="40">
        <f t="shared" si="74"/>
        <v>90</v>
      </c>
      <c r="C1240" s="41" t="s">
        <v>175</v>
      </c>
      <c r="D1240" s="41" t="s">
        <v>129</v>
      </c>
      <c r="E1240" s="41">
        <v>790244</v>
      </c>
      <c r="F1240" s="41"/>
      <c r="G1240" s="41"/>
      <c r="H1240" s="41"/>
      <c r="I1240" s="42"/>
      <c r="J1240" s="41"/>
      <c r="K1240" s="41">
        <v>8</v>
      </c>
      <c r="L1240" s="43">
        <v>23453</v>
      </c>
    </row>
    <row r="1241" spans="2:12" outlineLevel="2">
      <c r="B1241" s="40">
        <f t="shared" si="74"/>
        <v>91</v>
      </c>
      <c r="C1241" s="41" t="s">
        <v>175</v>
      </c>
      <c r="D1241" s="41" t="s">
        <v>129</v>
      </c>
      <c r="E1241" s="41">
        <v>382226</v>
      </c>
      <c r="F1241" s="41"/>
      <c r="G1241" s="41"/>
      <c r="H1241" s="41"/>
      <c r="I1241" s="42"/>
      <c r="J1241" s="41"/>
      <c r="K1241" s="41">
        <v>37</v>
      </c>
      <c r="L1241" s="43">
        <v>23452</v>
      </c>
    </row>
    <row r="1242" spans="2:12" outlineLevel="2">
      <c r="B1242" s="40">
        <f t="shared" si="74"/>
        <v>92</v>
      </c>
      <c r="C1242" s="41" t="s">
        <v>175</v>
      </c>
      <c r="D1242" s="41" t="s">
        <v>129</v>
      </c>
      <c r="E1242" s="41">
        <v>564506</v>
      </c>
      <c r="F1242" s="41"/>
      <c r="G1242" s="41"/>
      <c r="H1242" s="41"/>
      <c r="I1242" s="42"/>
      <c r="J1242" s="41"/>
      <c r="K1242" s="41">
        <v>7</v>
      </c>
      <c r="L1242" s="43">
        <v>23448</v>
      </c>
    </row>
    <row r="1243" spans="2:12" outlineLevel="2">
      <c r="B1243" s="40">
        <f t="shared" si="74"/>
        <v>93</v>
      </c>
      <c r="C1243" s="41" t="s">
        <v>175</v>
      </c>
      <c r="D1243" s="41" t="s">
        <v>129</v>
      </c>
      <c r="E1243" s="41">
        <v>427982</v>
      </c>
      <c r="F1243" s="41"/>
      <c r="G1243" s="41"/>
      <c r="H1243" s="41"/>
      <c r="I1243" s="42"/>
      <c r="J1243" s="41"/>
      <c r="K1243" s="41">
        <v>4</v>
      </c>
      <c r="L1243" s="43">
        <v>23467</v>
      </c>
    </row>
    <row r="1244" spans="2:12" outlineLevel="2">
      <c r="B1244" s="40">
        <f t="shared" si="74"/>
        <v>94</v>
      </c>
      <c r="C1244" s="41" t="s">
        <v>175</v>
      </c>
      <c r="D1244" s="41" t="s">
        <v>129</v>
      </c>
      <c r="E1244" s="41">
        <v>382568</v>
      </c>
      <c r="F1244" s="41"/>
      <c r="G1244" s="41"/>
      <c r="H1244" s="41"/>
      <c r="I1244" s="42"/>
      <c r="J1244" s="41"/>
      <c r="K1244" s="41">
        <v>18</v>
      </c>
      <c r="L1244" s="43">
        <v>23464</v>
      </c>
    </row>
    <row r="1245" spans="2:12" outlineLevel="2">
      <c r="B1245" s="40">
        <f t="shared" si="74"/>
        <v>95</v>
      </c>
      <c r="C1245" s="41" t="s">
        <v>175</v>
      </c>
      <c r="D1245" s="41" t="s">
        <v>129</v>
      </c>
      <c r="E1245" s="41">
        <v>922768</v>
      </c>
      <c r="F1245" s="41"/>
      <c r="G1245" s="41"/>
      <c r="H1245" s="41"/>
      <c r="I1245" s="42"/>
      <c r="J1245" s="41"/>
      <c r="K1245" s="41">
        <v>8</v>
      </c>
      <c r="L1245" s="43">
        <v>23501</v>
      </c>
    </row>
    <row r="1246" spans="2:12" outlineLevel="2">
      <c r="B1246" s="40">
        <f t="shared" si="74"/>
        <v>96</v>
      </c>
      <c r="C1246" s="41" t="s">
        <v>175</v>
      </c>
      <c r="D1246" s="41" t="s">
        <v>129</v>
      </c>
      <c r="E1246" s="41">
        <v>437397</v>
      </c>
      <c r="F1246" s="41"/>
      <c r="G1246" s="41"/>
      <c r="H1246" s="41"/>
      <c r="I1246" s="42"/>
      <c r="J1246" s="41"/>
      <c r="K1246" s="41">
        <v>22</v>
      </c>
      <c r="L1246" s="43">
        <v>23435</v>
      </c>
    </row>
    <row r="1247" spans="2:12" outlineLevel="2">
      <c r="B1247" s="40">
        <f t="shared" si="74"/>
        <v>97</v>
      </c>
      <c r="C1247" s="41" t="s">
        <v>175</v>
      </c>
      <c r="D1247" s="41" t="s">
        <v>129</v>
      </c>
      <c r="E1247" s="41">
        <v>894757</v>
      </c>
      <c r="F1247" s="41"/>
      <c r="G1247" s="41"/>
      <c r="H1247" s="41"/>
      <c r="I1247" s="42"/>
      <c r="J1247" s="41"/>
      <c r="K1247" s="41">
        <v>11</v>
      </c>
      <c r="L1247" s="43">
        <v>23504</v>
      </c>
    </row>
    <row r="1248" spans="2:12" outlineLevel="2">
      <c r="B1248" s="40">
        <f t="shared" si="74"/>
        <v>98</v>
      </c>
      <c r="C1248" s="41" t="s">
        <v>175</v>
      </c>
      <c r="D1248" s="41" t="s">
        <v>167</v>
      </c>
      <c r="E1248" s="41">
        <v>1214785</v>
      </c>
      <c r="F1248" s="41"/>
      <c r="G1248" s="41"/>
      <c r="H1248" s="41"/>
      <c r="I1248" s="42"/>
      <c r="J1248" s="41"/>
      <c r="K1248" s="41">
        <v>2</v>
      </c>
      <c r="L1248" s="43">
        <v>23498</v>
      </c>
    </row>
    <row r="1249" spans="2:12" outlineLevel="2">
      <c r="B1249" s="40">
        <f t="shared" si="74"/>
        <v>99</v>
      </c>
      <c r="C1249" s="41" t="s">
        <v>175</v>
      </c>
      <c r="D1249" s="41" t="s">
        <v>167</v>
      </c>
      <c r="E1249" s="41">
        <v>1287038</v>
      </c>
      <c r="F1249" s="41"/>
      <c r="G1249" s="41"/>
      <c r="H1249" s="41"/>
      <c r="I1249" s="42"/>
      <c r="J1249" s="41"/>
      <c r="K1249" s="41">
        <v>19</v>
      </c>
      <c r="L1249" s="43">
        <v>23492</v>
      </c>
    </row>
    <row r="1250" spans="2:12" outlineLevel="2">
      <c r="B1250" s="40">
        <f t="shared" si="74"/>
        <v>100</v>
      </c>
      <c r="C1250" s="41" t="s">
        <v>175</v>
      </c>
      <c r="D1250" s="41" t="s">
        <v>167</v>
      </c>
      <c r="E1250" s="41">
        <v>902507</v>
      </c>
      <c r="F1250" s="41"/>
      <c r="G1250" s="41"/>
      <c r="H1250" s="41"/>
      <c r="I1250" s="42"/>
      <c r="J1250" s="41"/>
      <c r="K1250" s="41">
        <v>5</v>
      </c>
      <c r="L1250" s="43">
        <v>23488</v>
      </c>
    </row>
    <row r="1251" spans="2:12" outlineLevel="2">
      <c r="B1251" s="40">
        <f t="shared" si="74"/>
        <v>101</v>
      </c>
      <c r="C1251" s="41" t="s">
        <v>175</v>
      </c>
      <c r="D1251" s="41" t="s">
        <v>167</v>
      </c>
      <c r="E1251" s="41">
        <v>922741</v>
      </c>
      <c r="F1251" s="41"/>
      <c r="G1251" s="41"/>
      <c r="H1251" s="41"/>
      <c r="I1251" s="42"/>
      <c r="J1251" s="41"/>
      <c r="K1251" s="41">
        <v>31</v>
      </c>
      <c r="L1251" s="43">
        <v>23845</v>
      </c>
    </row>
    <row r="1252" spans="2:12" outlineLevel="2">
      <c r="B1252" s="40">
        <f t="shared" si="74"/>
        <v>102</v>
      </c>
      <c r="C1252" s="41" t="s">
        <v>175</v>
      </c>
      <c r="D1252" s="41" t="s">
        <v>129</v>
      </c>
      <c r="E1252" s="41">
        <v>382587</v>
      </c>
      <c r="F1252" s="41"/>
      <c r="G1252" s="41"/>
      <c r="H1252" s="41"/>
      <c r="I1252" s="42"/>
      <c r="J1252" s="41"/>
      <c r="K1252" s="41">
        <v>33</v>
      </c>
      <c r="L1252" s="43">
        <v>23826</v>
      </c>
    </row>
    <row r="1253" spans="2:12" outlineLevel="2">
      <c r="B1253" s="40">
        <f t="shared" si="74"/>
        <v>103</v>
      </c>
      <c r="C1253" s="41" t="s">
        <v>175</v>
      </c>
      <c r="D1253" s="41" t="s">
        <v>181</v>
      </c>
      <c r="E1253" s="41">
        <v>1033365</v>
      </c>
      <c r="F1253" s="41"/>
      <c r="G1253" s="41"/>
      <c r="H1253" s="41"/>
      <c r="I1253" s="42"/>
      <c r="J1253" s="41"/>
      <c r="K1253" s="41">
        <v>47</v>
      </c>
      <c r="L1253" s="43">
        <v>23848</v>
      </c>
    </row>
    <row r="1254" spans="2:12" outlineLevel="2">
      <c r="B1254" s="40">
        <f t="shared" si="74"/>
        <v>104</v>
      </c>
      <c r="C1254" s="41" t="s">
        <v>175</v>
      </c>
      <c r="D1254" s="41" t="s">
        <v>181</v>
      </c>
      <c r="E1254" s="41">
        <v>1075896</v>
      </c>
      <c r="F1254" s="41"/>
      <c r="G1254" s="41"/>
      <c r="H1254" s="41"/>
      <c r="I1254" s="42"/>
      <c r="J1254" s="41"/>
      <c r="K1254" s="41">
        <v>44</v>
      </c>
      <c r="L1254" s="43">
        <v>23854</v>
      </c>
    </row>
    <row r="1255" spans="2:12" outlineLevel="2">
      <c r="B1255" s="40">
        <f t="shared" si="74"/>
        <v>105</v>
      </c>
      <c r="C1255" s="41" t="s">
        <v>175</v>
      </c>
      <c r="D1255" s="41" t="s">
        <v>181</v>
      </c>
      <c r="E1255" s="41">
        <v>309436</v>
      </c>
      <c r="F1255" s="41"/>
      <c r="G1255" s="41"/>
      <c r="H1255" s="41"/>
      <c r="I1255" s="42"/>
      <c r="J1255" s="41"/>
      <c r="K1255" s="41">
        <v>48</v>
      </c>
      <c r="L1255" s="43">
        <v>23843</v>
      </c>
    </row>
    <row r="1256" spans="2:12" outlineLevel="2">
      <c r="B1256" s="40">
        <f t="shared" si="74"/>
        <v>106</v>
      </c>
      <c r="C1256" s="41" t="s">
        <v>175</v>
      </c>
      <c r="D1256" s="41" t="s">
        <v>128</v>
      </c>
      <c r="E1256" s="41">
        <v>888069</v>
      </c>
      <c r="F1256" s="41"/>
      <c r="G1256" s="41"/>
      <c r="H1256" s="41"/>
      <c r="I1256" s="42"/>
      <c r="J1256" s="41"/>
      <c r="K1256" s="41">
        <v>12</v>
      </c>
      <c r="L1256" s="43">
        <v>23855</v>
      </c>
    </row>
    <row r="1257" spans="2:12" outlineLevel="2">
      <c r="B1257" s="40">
        <f t="shared" si="74"/>
        <v>107</v>
      </c>
      <c r="C1257" s="41" t="s">
        <v>175</v>
      </c>
      <c r="D1257" s="41" t="s">
        <v>131</v>
      </c>
      <c r="E1257" s="41">
        <v>891611</v>
      </c>
      <c r="F1257" s="41"/>
      <c r="G1257" s="41"/>
      <c r="H1257" s="41"/>
      <c r="I1257" s="42"/>
      <c r="J1257" s="41"/>
      <c r="K1257" s="41">
        <v>10</v>
      </c>
      <c r="L1257" s="43">
        <v>23850</v>
      </c>
    </row>
    <row r="1258" spans="2:12" outlineLevel="2">
      <c r="B1258" s="40">
        <f t="shared" si="74"/>
        <v>108</v>
      </c>
      <c r="C1258" s="41" t="s">
        <v>175</v>
      </c>
      <c r="D1258" s="41" t="s">
        <v>131</v>
      </c>
      <c r="E1258" s="41">
        <v>998069</v>
      </c>
      <c r="F1258" s="41"/>
      <c r="G1258" s="41"/>
      <c r="H1258" s="41"/>
      <c r="I1258" s="42"/>
      <c r="J1258" s="41"/>
      <c r="K1258" s="41">
        <v>47</v>
      </c>
      <c r="L1258" s="43">
        <v>23862</v>
      </c>
    </row>
    <row r="1259" spans="2:12" outlineLevel="2">
      <c r="B1259" s="40">
        <f t="shared" si="74"/>
        <v>109</v>
      </c>
      <c r="C1259" s="41" t="s">
        <v>175</v>
      </c>
      <c r="D1259" s="41" t="s">
        <v>129</v>
      </c>
      <c r="E1259" s="41">
        <v>744745</v>
      </c>
      <c r="F1259" s="41"/>
      <c r="G1259" s="41"/>
      <c r="H1259" s="41"/>
      <c r="I1259" s="42"/>
      <c r="J1259" s="41"/>
      <c r="K1259" s="41">
        <v>15</v>
      </c>
      <c r="L1259" s="43">
        <v>23822</v>
      </c>
    </row>
    <row r="1260" spans="2:12" outlineLevel="2">
      <c r="B1260" s="40">
        <f t="shared" si="74"/>
        <v>110</v>
      </c>
      <c r="C1260" s="41" t="s">
        <v>175</v>
      </c>
      <c r="D1260" s="41" t="s">
        <v>131</v>
      </c>
      <c r="E1260" s="41">
        <v>1000989</v>
      </c>
      <c r="F1260" s="41"/>
      <c r="G1260" s="41"/>
      <c r="H1260" s="41"/>
      <c r="I1260" s="42"/>
      <c r="J1260" s="41"/>
      <c r="K1260" s="41">
        <v>21</v>
      </c>
      <c r="L1260" s="43">
        <v>23863</v>
      </c>
    </row>
    <row r="1261" spans="2:12" outlineLevel="2">
      <c r="B1261" s="40">
        <f t="shared" si="74"/>
        <v>111</v>
      </c>
      <c r="C1261" s="41" t="s">
        <v>175</v>
      </c>
      <c r="D1261" s="41" t="s">
        <v>131</v>
      </c>
      <c r="E1261" s="41">
        <v>420678</v>
      </c>
      <c r="F1261" s="41"/>
      <c r="G1261" s="41"/>
      <c r="H1261" s="41"/>
      <c r="I1261" s="42"/>
      <c r="J1261" s="41"/>
      <c r="K1261" s="41">
        <v>39</v>
      </c>
      <c r="L1261" s="43">
        <v>23849</v>
      </c>
    </row>
    <row r="1262" spans="2:12" outlineLevel="2">
      <c r="B1262" s="40">
        <f t="shared" si="74"/>
        <v>112</v>
      </c>
      <c r="C1262" s="41" t="s">
        <v>175</v>
      </c>
      <c r="D1262" s="41" t="s">
        <v>131</v>
      </c>
      <c r="E1262" s="41">
        <v>249322</v>
      </c>
      <c r="F1262" s="41"/>
      <c r="G1262" s="41"/>
      <c r="H1262" s="41"/>
      <c r="I1262" s="42"/>
      <c r="J1262" s="41"/>
      <c r="K1262" s="41">
        <v>49</v>
      </c>
      <c r="L1262" s="43">
        <v>23851</v>
      </c>
    </row>
    <row r="1263" spans="2:12" outlineLevel="2">
      <c r="B1263" s="40">
        <f t="shared" si="74"/>
        <v>113</v>
      </c>
      <c r="C1263" s="41" t="s">
        <v>175</v>
      </c>
      <c r="D1263" s="41" t="s">
        <v>181</v>
      </c>
      <c r="E1263" s="41">
        <v>1082121</v>
      </c>
      <c r="F1263" s="41"/>
      <c r="G1263" s="41"/>
      <c r="H1263" s="41"/>
      <c r="I1263" s="42"/>
      <c r="J1263" s="41"/>
      <c r="K1263" s="41">
        <v>47</v>
      </c>
      <c r="L1263" s="43">
        <v>23842</v>
      </c>
    </row>
    <row r="1264" spans="2:12" outlineLevel="2">
      <c r="B1264" s="40">
        <f t="shared" si="74"/>
        <v>114</v>
      </c>
      <c r="C1264" s="41" t="s">
        <v>175</v>
      </c>
      <c r="D1264" s="41" t="s">
        <v>129</v>
      </c>
      <c r="E1264" s="41">
        <v>1309237</v>
      </c>
      <c r="F1264" s="41"/>
      <c r="G1264" s="41"/>
      <c r="H1264" s="41"/>
      <c r="I1264" s="42"/>
      <c r="J1264" s="41"/>
      <c r="K1264" s="41">
        <v>16</v>
      </c>
      <c r="L1264" s="43">
        <v>23888</v>
      </c>
    </row>
    <row r="1265" spans="2:12" outlineLevel="2">
      <c r="B1265" s="40">
        <f t="shared" si="74"/>
        <v>115</v>
      </c>
      <c r="C1265" s="41" t="s">
        <v>175</v>
      </c>
      <c r="D1265" s="41" t="s">
        <v>131</v>
      </c>
      <c r="E1265" s="41">
        <v>1040953888</v>
      </c>
      <c r="F1265" s="41"/>
      <c r="G1265" s="41"/>
      <c r="H1265" s="41"/>
      <c r="I1265" s="42"/>
      <c r="J1265" s="41"/>
      <c r="K1265" s="41">
        <v>15</v>
      </c>
      <c r="L1265" s="43">
        <v>23860</v>
      </c>
    </row>
    <row r="1266" spans="2:12" outlineLevel="2">
      <c r="B1266" s="40">
        <f t="shared" si="74"/>
        <v>116</v>
      </c>
      <c r="C1266" s="41" t="s">
        <v>175</v>
      </c>
      <c r="D1266" s="41" t="s">
        <v>131</v>
      </c>
      <c r="E1266" s="41">
        <v>998402</v>
      </c>
      <c r="F1266" s="41"/>
      <c r="G1266" s="41"/>
      <c r="H1266" s="41"/>
      <c r="I1266" s="42"/>
      <c r="J1266" s="41"/>
      <c r="K1266" s="41">
        <v>37</v>
      </c>
      <c r="L1266" s="43">
        <v>23857</v>
      </c>
    </row>
    <row r="1267" spans="2:12" outlineLevel="2">
      <c r="B1267" s="40">
        <f t="shared" si="74"/>
        <v>117</v>
      </c>
      <c r="C1267" s="41" t="s">
        <v>175</v>
      </c>
      <c r="D1267" s="41" t="s">
        <v>131</v>
      </c>
      <c r="E1267" s="41">
        <v>1071728</v>
      </c>
      <c r="F1267" s="41"/>
      <c r="G1267" s="41"/>
      <c r="H1267" s="41"/>
      <c r="I1267" s="42"/>
      <c r="J1267" s="41"/>
      <c r="K1267" s="41">
        <v>23</v>
      </c>
      <c r="L1267" s="43">
        <v>23861</v>
      </c>
    </row>
    <row r="1268" spans="2:12" outlineLevel="2">
      <c r="B1268" s="40">
        <f t="shared" si="74"/>
        <v>118</v>
      </c>
      <c r="C1268" s="41" t="s">
        <v>175</v>
      </c>
      <c r="D1268" s="41" t="s">
        <v>131</v>
      </c>
      <c r="E1268" s="41">
        <v>1178270</v>
      </c>
      <c r="F1268" s="41"/>
      <c r="G1268" s="41"/>
      <c r="H1268" s="41"/>
      <c r="I1268" s="42"/>
      <c r="J1268" s="41"/>
      <c r="K1268" s="41">
        <v>49</v>
      </c>
      <c r="L1268" s="43">
        <v>23865</v>
      </c>
    </row>
    <row r="1269" spans="2:12" outlineLevel="2">
      <c r="B1269" s="40">
        <f t="shared" si="74"/>
        <v>119</v>
      </c>
      <c r="C1269" s="41" t="s">
        <v>175</v>
      </c>
      <c r="D1269" s="41" t="s">
        <v>131</v>
      </c>
      <c r="E1269" s="41">
        <v>1004057</v>
      </c>
      <c r="F1269" s="41"/>
      <c r="G1269" s="41"/>
      <c r="H1269" s="41"/>
      <c r="I1269" s="42"/>
      <c r="J1269" s="41"/>
      <c r="K1269" s="41">
        <v>15</v>
      </c>
      <c r="L1269" s="43">
        <v>23864</v>
      </c>
    </row>
    <row r="1270" spans="2:12" outlineLevel="2">
      <c r="B1270" s="40">
        <f t="shared" si="74"/>
        <v>120</v>
      </c>
      <c r="C1270" s="41" t="s">
        <v>175</v>
      </c>
      <c r="D1270" s="41" t="s">
        <v>131</v>
      </c>
      <c r="E1270" s="41">
        <v>6171309</v>
      </c>
      <c r="F1270" s="41"/>
      <c r="G1270" s="41"/>
      <c r="H1270" s="41"/>
      <c r="I1270" s="42"/>
      <c r="J1270" s="41"/>
      <c r="K1270" s="41">
        <v>45</v>
      </c>
      <c r="L1270" s="43">
        <v>23858</v>
      </c>
    </row>
    <row r="1271" spans="2:12" outlineLevel="2">
      <c r="B1271" s="40">
        <f t="shared" si="74"/>
        <v>121</v>
      </c>
      <c r="C1271" s="41" t="s">
        <v>175</v>
      </c>
      <c r="D1271" s="41" t="s">
        <v>166</v>
      </c>
      <c r="E1271" s="41">
        <v>1048066538</v>
      </c>
      <c r="F1271" s="41"/>
      <c r="G1271" s="41"/>
      <c r="H1271" s="41"/>
      <c r="I1271" s="42"/>
      <c r="J1271" s="41"/>
      <c r="K1271" s="41">
        <v>25</v>
      </c>
      <c r="L1271" s="43">
        <v>23859</v>
      </c>
    </row>
    <row r="1272" spans="2:12" outlineLevel="2">
      <c r="B1272" s="40">
        <f t="shared" si="74"/>
        <v>122</v>
      </c>
      <c r="C1272" s="41" t="s">
        <v>175</v>
      </c>
      <c r="D1272" s="41" t="s">
        <v>166</v>
      </c>
      <c r="E1272" s="41">
        <v>116278</v>
      </c>
      <c r="F1272" s="41"/>
      <c r="G1272" s="41"/>
      <c r="H1272" s="41"/>
      <c r="I1272" s="42"/>
      <c r="J1272" s="41"/>
      <c r="K1272" s="41">
        <v>21</v>
      </c>
      <c r="L1272" s="43">
        <v>23821</v>
      </c>
    </row>
    <row r="1273" spans="2:12" outlineLevel="2">
      <c r="B1273" s="40">
        <f t="shared" si="74"/>
        <v>123</v>
      </c>
      <c r="C1273" s="41" t="s">
        <v>175</v>
      </c>
      <c r="D1273" s="41" t="s">
        <v>166</v>
      </c>
      <c r="E1273" s="41">
        <v>104679470</v>
      </c>
      <c r="F1273" s="41"/>
      <c r="G1273" s="41"/>
      <c r="H1273" s="41"/>
      <c r="I1273" s="42"/>
      <c r="J1273" s="41"/>
      <c r="K1273" s="41">
        <v>44</v>
      </c>
      <c r="L1273" s="43">
        <v>23856</v>
      </c>
    </row>
    <row r="1274" spans="2:12" outlineLevel="2">
      <c r="B1274" s="40">
        <f t="shared" si="74"/>
        <v>124</v>
      </c>
      <c r="C1274" s="41" t="s">
        <v>175</v>
      </c>
      <c r="D1274" s="41" t="s">
        <v>129</v>
      </c>
      <c r="E1274" s="41">
        <v>910691</v>
      </c>
      <c r="F1274" s="41"/>
      <c r="G1274" s="41"/>
      <c r="H1274" s="41"/>
      <c r="I1274" s="42"/>
      <c r="J1274" s="41"/>
      <c r="K1274" s="41">
        <v>20</v>
      </c>
      <c r="L1274" s="43">
        <v>23889</v>
      </c>
    </row>
    <row r="1275" spans="2:12" outlineLevel="2">
      <c r="B1275" s="40">
        <f t="shared" si="74"/>
        <v>125</v>
      </c>
      <c r="C1275" s="41" t="s">
        <v>175</v>
      </c>
      <c r="D1275" s="41" t="s">
        <v>129</v>
      </c>
      <c r="E1275" s="41">
        <v>427985</v>
      </c>
      <c r="F1275" s="41"/>
      <c r="G1275" s="41"/>
      <c r="H1275" s="41"/>
      <c r="I1275" s="42"/>
      <c r="J1275" s="41"/>
      <c r="K1275" s="41">
        <v>23</v>
      </c>
      <c r="L1275" s="43">
        <v>23839</v>
      </c>
    </row>
    <row r="1276" spans="2:12" outlineLevel="2">
      <c r="B1276" s="40">
        <f t="shared" si="74"/>
        <v>126</v>
      </c>
      <c r="C1276" s="41" t="s">
        <v>175</v>
      </c>
      <c r="D1276" s="41" t="s">
        <v>129</v>
      </c>
      <c r="E1276" s="41">
        <v>1275034</v>
      </c>
      <c r="F1276" s="41"/>
      <c r="G1276" s="41"/>
      <c r="H1276" s="41"/>
      <c r="I1276" s="42"/>
      <c r="J1276" s="41"/>
      <c r="K1276" s="41">
        <v>5</v>
      </c>
      <c r="L1276" s="43">
        <v>23890</v>
      </c>
    </row>
    <row r="1277" spans="2:12" outlineLevel="2">
      <c r="B1277" s="40">
        <f t="shared" si="74"/>
        <v>127</v>
      </c>
      <c r="C1277" s="41" t="s">
        <v>175</v>
      </c>
      <c r="D1277" s="41" t="s">
        <v>129</v>
      </c>
      <c r="E1277" s="41">
        <v>1275009</v>
      </c>
      <c r="F1277" s="41"/>
      <c r="G1277" s="41"/>
      <c r="H1277" s="41"/>
      <c r="I1277" s="42"/>
      <c r="J1277" s="41"/>
      <c r="K1277" s="41">
        <v>15</v>
      </c>
      <c r="L1277" s="43">
        <v>23892</v>
      </c>
    </row>
    <row r="1278" spans="2:12" outlineLevel="2">
      <c r="B1278" s="35">
        <f t="shared" ref="B1278:B1279" si="75">(B1277+1)</f>
        <v>128</v>
      </c>
      <c r="C1278" s="41" t="s">
        <v>175</v>
      </c>
      <c r="D1278" s="41" t="s">
        <v>129</v>
      </c>
      <c r="E1278" s="41">
        <v>883507</v>
      </c>
      <c r="F1278" s="41"/>
      <c r="G1278" s="41"/>
      <c r="H1278" s="41"/>
      <c r="I1278" s="42"/>
      <c r="J1278" s="41"/>
      <c r="K1278" s="41">
        <v>46</v>
      </c>
      <c r="L1278" s="43">
        <v>23846</v>
      </c>
    </row>
    <row r="1279" spans="2:12" outlineLevel="2">
      <c r="B1279" s="35">
        <f t="shared" si="75"/>
        <v>129</v>
      </c>
      <c r="C1279" s="41" t="s">
        <v>175</v>
      </c>
      <c r="D1279" s="41" t="s">
        <v>131</v>
      </c>
      <c r="E1279" s="41">
        <v>413643</v>
      </c>
      <c r="F1279" s="41"/>
      <c r="G1279" s="41"/>
      <c r="H1279" s="41"/>
      <c r="I1279" s="42"/>
      <c r="J1279" s="41"/>
      <c r="K1279" s="41">
        <v>17</v>
      </c>
      <c r="L1279" s="43">
        <v>23847</v>
      </c>
    </row>
    <row r="1280" spans="2:12" outlineLevel="2">
      <c r="B1280" s="35">
        <f t="shared" ref="B1280:B1311" si="76">(B1279+1)</f>
        <v>130</v>
      </c>
      <c r="C1280" s="41" t="s">
        <v>175</v>
      </c>
      <c r="D1280" s="41" t="s">
        <v>128</v>
      </c>
      <c r="E1280" s="41">
        <v>1000574</v>
      </c>
      <c r="F1280" s="41"/>
      <c r="G1280" s="41"/>
      <c r="H1280" s="41"/>
      <c r="I1280" s="42"/>
      <c r="J1280" s="41"/>
      <c r="K1280" s="41">
        <v>12</v>
      </c>
      <c r="L1280" s="43">
        <v>23817</v>
      </c>
    </row>
    <row r="1281" spans="2:12" outlineLevel="2">
      <c r="B1281" s="35">
        <f t="shared" si="76"/>
        <v>131</v>
      </c>
      <c r="C1281" s="41" t="s">
        <v>175</v>
      </c>
      <c r="D1281" s="41" t="s">
        <v>128</v>
      </c>
      <c r="E1281" s="41">
        <v>1027623</v>
      </c>
      <c r="F1281" s="41"/>
      <c r="G1281" s="41"/>
      <c r="H1281" s="41"/>
      <c r="I1281" s="42"/>
      <c r="J1281" s="41"/>
      <c r="K1281" s="41">
        <v>12</v>
      </c>
      <c r="L1281" s="43">
        <v>23844</v>
      </c>
    </row>
    <row r="1282" spans="2:12" outlineLevel="2">
      <c r="B1282" s="35">
        <f t="shared" si="76"/>
        <v>132</v>
      </c>
      <c r="C1282" s="41" t="s">
        <v>175</v>
      </c>
      <c r="D1282" s="41" t="s">
        <v>131</v>
      </c>
      <c r="E1282" s="41">
        <v>77398</v>
      </c>
      <c r="F1282" s="41"/>
      <c r="G1282" s="41"/>
      <c r="H1282" s="41"/>
      <c r="I1282" s="42"/>
      <c r="J1282" s="41"/>
      <c r="K1282" s="41">
        <v>3</v>
      </c>
      <c r="L1282" s="43">
        <v>25735</v>
      </c>
    </row>
    <row r="1283" spans="2:12" outlineLevel="2">
      <c r="B1283" s="35">
        <f t="shared" si="76"/>
        <v>133</v>
      </c>
      <c r="C1283" s="41" t="s">
        <v>175</v>
      </c>
      <c r="D1283" s="41" t="s">
        <v>166</v>
      </c>
      <c r="E1283" s="41">
        <v>1037415256</v>
      </c>
      <c r="F1283" s="41"/>
      <c r="G1283" s="41"/>
      <c r="H1283" s="41"/>
      <c r="I1283" s="42"/>
      <c r="J1283" s="41"/>
      <c r="K1283" s="41">
        <v>12</v>
      </c>
      <c r="L1283" s="43">
        <v>25744</v>
      </c>
    </row>
    <row r="1284" spans="2:12" outlineLevel="2">
      <c r="B1284" s="35">
        <f t="shared" si="76"/>
        <v>134</v>
      </c>
      <c r="C1284" s="41" t="s">
        <v>175</v>
      </c>
      <c r="D1284" s="41" t="s">
        <v>167</v>
      </c>
      <c r="E1284" s="41">
        <v>924128</v>
      </c>
      <c r="F1284" s="41"/>
      <c r="G1284" s="41"/>
      <c r="H1284" s="41"/>
      <c r="I1284" s="42"/>
      <c r="J1284" s="41"/>
      <c r="K1284" s="41">
        <v>3</v>
      </c>
      <c r="L1284" s="43">
        <v>25719</v>
      </c>
    </row>
    <row r="1285" spans="2:12" outlineLevel="2">
      <c r="B1285" s="35">
        <f t="shared" si="76"/>
        <v>135</v>
      </c>
      <c r="C1285" s="41" t="s">
        <v>175</v>
      </c>
      <c r="D1285" s="41" t="s">
        <v>129</v>
      </c>
      <c r="E1285" s="41">
        <v>1275010</v>
      </c>
      <c r="F1285" s="41"/>
      <c r="G1285" s="41"/>
      <c r="H1285" s="41"/>
      <c r="I1285" s="42"/>
      <c r="J1285" s="41"/>
      <c r="K1285" s="41">
        <v>17</v>
      </c>
      <c r="L1285" s="43">
        <v>25746</v>
      </c>
    </row>
    <row r="1286" spans="2:12" outlineLevel="2">
      <c r="B1286" s="35">
        <f t="shared" si="76"/>
        <v>136</v>
      </c>
      <c r="C1286" s="41" t="s">
        <v>175</v>
      </c>
      <c r="D1286" s="41" t="s">
        <v>167</v>
      </c>
      <c r="E1286" s="41">
        <v>811604</v>
      </c>
      <c r="F1286" s="41"/>
      <c r="G1286" s="41"/>
      <c r="H1286" s="41"/>
      <c r="I1286" s="42"/>
      <c r="J1286" s="41"/>
      <c r="K1286" s="41">
        <v>3</v>
      </c>
      <c r="L1286" s="43">
        <v>25715</v>
      </c>
    </row>
    <row r="1287" spans="2:12" outlineLevel="2">
      <c r="B1287" s="35">
        <f t="shared" si="76"/>
        <v>137</v>
      </c>
      <c r="C1287" s="41" t="s">
        <v>175</v>
      </c>
      <c r="D1287" s="41" t="s">
        <v>130</v>
      </c>
      <c r="E1287" s="41">
        <v>827136</v>
      </c>
      <c r="F1287" s="41"/>
      <c r="G1287" s="41"/>
      <c r="H1287" s="41"/>
      <c r="I1287" s="42"/>
      <c r="J1287" s="41"/>
      <c r="K1287" s="41">
        <v>2</v>
      </c>
      <c r="L1287" s="43">
        <v>25720</v>
      </c>
    </row>
    <row r="1288" spans="2:12" outlineLevel="2">
      <c r="B1288" s="35">
        <f t="shared" si="76"/>
        <v>138</v>
      </c>
      <c r="C1288" s="41" t="s">
        <v>175</v>
      </c>
      <c r="D1288" s="41" t="s">
        <v>167</v>
      </c>
      <c r="E1288" s="41">
        <v>1352570</v>
      </c>
      <c r="F1288" s="41"/>
      <c r="G1288" s="41"/>
      <c r="H1288" s="41"/>
      <c r="I1288" s="42"/>
      <c r="J1288" s="41"/>
      <c r="K1288" s="41">
        <v>7</v>
      </c>
      <c r="L1288" s="43">
        <v>25737</v>
      </c>
    </row>
    <row r="1289" spans="2:12" outlineLevel="2">
      <c r="B1289" s="35">
        <f t="shared" si="76"/>
        <v>139</v>
      </c>
      <c r="C1289" s="41" t="s">
        <v>175</v>
      </c>
      <c r="D1289" s="41" t="s">
        <v>128</v>
      </c>
      <c r="E1289" s="41">
        <v>791641</v>
      </c>
      <c r="F1289" s="41"/>
      <c r="G1289" s="41"/>
      <c r="H1289" s="41"/>
      <c r="I1289" s="42"/>
      <c r="J1289" s="41"/>
      <c r="K1289" s="41">
        <v>28</v>
      </c>
      <c r="L1289" s="43">
        <v>25722</v>
      </c>
    </row>
    <row r="1290" spans="2:12" outlineLevel="2">
      <c r="B1290" s="35">
        <f t="shared" si="76"/>
        <v>140</v>
      </c>
      <c r="C1290" s="41" t="s">
        <v>175</v>
      </c>
      <c r="D1290" s="41" t="s">
        <v>129</v>
      </c>
      <c r="E1290" s="41">
        <v>1309213</v>
      </c>
      <c r="F1290" s="41"/>
      <c r="G1290" s="41"/>
      <c r="H1290" s="41"/>
      <c r="I1290" s="42"/>
      <c r="J1290" s="41"/>
      <c r="K1290" s="41">
        <v>13</v>
      </c>
      <c r="L1290" s="43">
        <v>25738</v>
      </c>
    </row>
    <row r="1291" spans="2:12" outlineLevel="2">
      <c r="B1291" s="35">
        <f t="shared" si="76"/>
        <v>141</v>
      </c>
      <c r="C1291" s="41" t="s">
        <v>175</v>
      </c>
      <c r="D1291" s="41" t="s">
        <v>167</v>
      </c>
      <c r="E1291" s="41">
        <v>1238574</v>
      </c>
      <c r="F1291" s="41"/>
      <c r="G1291" s="41"/>
      <c r="H1291" s="41"/>
      <c r="I1291" s="42"/>
      <c r="J1291" s="41"/>
      <c r="K1291" s="41">
        <v>3</v>
      </c>
      <c r="L1291" s="43">
        <v>25731</v>
      </c>
    </row>
    <row r="1292" spans="2:12" outlineLevel="2">
      <c r="B1292" s="35">
        <f t="shared" si="76"/>
        <v>142</v>
      </c>
      <c r="C1292" s="41" t="s">
        <v>175</v>
      </c>
      <c r="D1292" s="41" t="s">
        <v>129</v>
      </c>
      <c r="E1292" s="41">
        <v>316774</v>
      </c>
      <c r="F1292" s="41"/>
      <c r="G1292" s="41"/>
      <c r="H1292" s="41"/>
      <c r="I1292" s="42"/>
      <c r="J1292" s="41"/>
      <c r="K1292" s="41">
        <v>10</v>
      </c>
      <c r="L1292" s="43">
        <v>25733</v>
      </c>
    </row>
    <row r="1293" spans="2:12" outlineLevel="2">
      <c r="B1293" s="35">
        <f t="shared" si="76"/>
        <v>143</v>
      </c>
      <c r="C1293" s="41" t="s">
        <v>175</v>
      </c>
      <c r="D1293" s="41" t="s">
        <v>181</v>
      </c>
      <c r="E1293" s="41">
        <v>1160396</v>
      </c>
      <c r="F1293" s="41"/>
      <c r="G1293" s="41"/>
      <c r="H1293" s="41"/>
      <c r="I1293" s="42"/>
      <c r="J1293" s="41"/>
      <c r="K1293" s="41">
        <v>6</v>
      </c>
      <c r="L1293" s="43">
        <v>25748</v>
      </c>
    </row>
    <row r="1294" spans="2:12" outlineLevel="2">
      <c r="B1294" s="35">
        <f t="shared" si="76"/>
        <v>144</v>
      </c>
      <c r="C1294" s="41" t="s">
        <v>175</v>
      </c>
      <c r="D1294" s="41" t="s">
        <v>166</v>
      </c>
      <c r="E1294" s="41">
        <v>1047418422</v>
      </c>
      <c r="F1294" s="41"/>
      <c r="G1294" s="41"/>
      <c r="H1294" s="41"/>
      <c r="I1294" s="42"/>
      <c r="J1294" s="41"/>
      <c r="K1294" s="41">
        <v>6</v>
      </c>
      <c r="L1294" s="43">
        <v>25749</v>
      </c>
    </row>
    <row r="1295" spans="2:12" outlineLevel="2">
      <c r="B1295" s="35">
        <f t="shared" si="76"/>
        <v>145</v>
      </c>
      <c r="C1295" s="41" t="s">
        <v>175</v>
      </c>
      <c r="D1295" s="41" t="s">
        <v>167</v>
      </c>
      <c r="E1295" s="41">
        <v>1073315</v>
      </c>
      <c r="F1295" s="41"/>
      <c r="G1295" s="41"/>
      <c r="H1295" s="41"/>
      <c r="I1295" s="42"/>
      <c r="J1295" s="41"/>
      <c r="K1295" s="41">
        <v>16</v>
      </c>
      <c r="L1295" s="43">
        <v>25750</v>
      </c>
    </row>
    <row r="1296" spans="2:12" outlineLevel="2">
      <c r="B1296" s="35">
        <f t="shared" si="76"/>
        <v>146</v>
      </c>
      <c r="C1296" s="41" t="s">
        <v>175</v>
      </c>
      <c r="D1296" s="41" t="s">
        <v>130</v>
      </c>
      <c r="E1296" s="41">
        <v>375374</v>
      </c>
      <c r="F1296" s="41"/>
      <c r="G1296" s="41"/>
      <c r="H1296" s="41"/>
      <c r="I1296" s="42"/>
      <c r="J1296" s="41"/>
      <c r="K1296" s="41">
        <v>24</v>
      </c>
      <c r="L1296" s="43">
        <v>25751</v>
      </c>
    </row>
    <row r="1297" spans="2:12" outlineLevel="2">
      <c r="B1297" s="35">
        <f t="shared" si="76"/>
        <v>147</v>
      </c>
      <c r="C1297" s="41" t="s">
        <v>175</v>
      </c>
      <c r="D1297" s="41" t="s">
        <v>167</v>
      </c>
      <c r="E1297" s="41">
        <v>1341498</v>
      </c>
      <c r="F1297" s="41"/>
      <c r="G1297" s="41"/>
      <c r="H1297" s="41"/>
      <c r="I1297" s="42"/>
      <c r="J1297" s="41"/>
      <c r="K1297" s="41">
        <v>3</v>
      </c>
      <c r="L1297" s="43">
        <v>25721</v>
      </c>
    </row>
    <row r="1298" spans="2:12" outlineLevel="2">
      <c r="B1298" s="35">
        <f t="shared" si="76"/>
        <v>148</v>
      </c>
      <c r="C1298" s="41" t="s">
        <v>175</v>
      </c>
      <c r="D1298" s="41" t="s">
        <v>129</v>
      </c>
      <c r="E1298" s="41">
        <v>319450</v>
      </c>
      <c r="F1298" s="41"/>
      <c r="G1298" s="41"/>
      <c r="H1298" s="41"/>
      <c r="I1298" s="42"/>
      <c r="J1298" s="41"/>
      <c r="K1298" s="41">
        <v>2</v>
      </c>
      <c r="L1298" s="43">
        <v>25708</v>
      </c>
    </row>
    <row r="1299" spans="2:12" outlineLevel="2">
      <c r="B1299" s="35">
        <f t="shared" si="76"/>
        <v>149</v>
      </c>
      <c r="C1299" s="41" t="s">
        <v>175</v>
      </c>
      <c r="D1299" s="41" t="s">
        <v>167</v>
      </c>
      <c r="E1299" s="41">
        <v>922751</v>
      </c>
      <c r="F1299" s="41"/>
      <c r="G1299" s="41"/>
      <c r="H1299" s="41"/>
      <c r="I1299" s="42"/>
      <c r="J1299" s="41"/>
      <c r="K1299" s="41">
        <v>4</v>
      </c>
      <c r="L1299" s="43">
        <v>25725</v>
      </c>
    </row>
    <row r="1300" spans="2:12" outlineLevel="2">
      <c r="B1300" s="35">
        <f t="shared" si="76"/>
        <v>150</v>
      </c>
      <c r="C1300" s="41" t="s">
        <v>175</v>
      </c>
      <c r="D1300" s="41" t="s">
        <v>167</v>
      </c>
      <c r="E1300" s="41">
        <v>383541</v>
      </c>
      <c r="F1300" s="41"/>
      <c r="G1300" s="41"/>
      <c r="H1300" s="41"/>
      <c r="I1300" s="42"/>
      <c r="J1300" s="41"/>
      <c r="K1300" s="41">
        <v>10</v>
      </c>
      <c r="L1300" s="43">
        <v>25752</v>
      </c>
    </row>
    <row r="1301" spans="2:12" outlineLevel="2">
      <c r="B1301" s="35">
        <f t="shared" si="76"/>
        <v>151</v>
      </c>
      <c r="C1301" s="41" t="s">
        <v>175</v>
      </c>
      <c r="D1301" s="41" t="s">
        <v>167</v>
      </c>
      <c r="E1301" s="41">
        <v>1076557</v>
      </c>
      <c r="F1301" s="41"/>
      <c r="G1301" s="41"/>
      <c r="H1301" s="41"/>
      <c r="I1301" s="42"/>
      <c r="J1301" s="41"/>
      <c r="K1301" s="41">
        <v>5</v>
      </c>
      <c r="L1301" s="43">
        <v>25753</v>
      </c>
    </row>
    <row r="1302" spans="2:12" outlineLevel="2">
      <c r="B1302" s="35">
        <f t="shared" si="76"/>
        <v>152</v>
      </c>
      <c r="C1302" s="41" t="s">
        <v>175</v>
      </c>
      <c r="D1302" s="41" t="s">
        <v>130</v>
      </c>
      <c r="E1302" s="41">
        <v>1071710</v>
      </c>
      <c r="F1302" s="41"/>
      <c r="G1302" s="41"/>
      <c r="H1302" s="41"/>
      <c r="I1302" s="42"/>
      <c r="J1302" s="41"/>
      <c r="K1302" s="41">
        <v>2</v>
      </c>
      <c r="L1302" s="43">
        <v>25711</v>
      </c>
    </row>
    <row r="1303" spans="2:12" outlineLevel="2">
      <c r="B1303" s="35">
        <f t="shared" si="76"/>
        <v>153</v>
      </c>
      <c r="C1303" s="41" t="s">
        <v>175</v>
      </c>
      <c r="D1303" s="41" t="s">
        <v>167</v>
      </c>
      <c r="E1303" s="41">
        <v>1076554</v>
      </c>
      <c r="F1303" s="41"/>
      <c r="G1303" s="41"/>
      <c r="H1303" s="41"/>
      <c r="I1303" s="42"/>
      <c r="J1303" s="41"/>
      <c r="K1303" s="41">
        <v>5</v>
      </c>
      <c r="L1303" s="43">
        <v>25754</v>
      </c>
    </row>
    <row r="1304" spans="2:12" outlineLevel="2">
      <c r="B1304" s="35">
        <f t="shared" si="76"/>
        <v>154</v>
      </c>
      <c r="C1304" s="41" t="s">
        <v>175</v>
      </c>
      <c r="D1304" s="41" t="s">
        <v>129</v>
      </c>
      <c r="E1304" s="41">
        <v>959309</v>
      </c>
      <c r="F1304" s="41"/>
      <c r="G1304" s="41"/>
      <c r="H1304" s="41"/>
      <c r="I1304" s="42"/>
      <c r="J1304" s="41"/>
      <c r="K1304" s="41">
        <v>3</v>
      </c>
      <c r="L1304" s="43">
        <v>25712</v>
      </c>
    </row>
    <row r="1305" spans="2:12" outlineLevel="2">
      <c r="B1305" s="35">
        <f t="shared" si="76"/>
        <v>155</v>
      </c>
      <c r="C1305" s="41" t="s">
        <v>175</v>
      </c>
      <c r="D1305" s="41" t="s">
        <v>130</v>
      </c>
      <c r="E1305" s="41">
        <v>1226622</v>
      </c>
      <c r="F1305" s="41"/>
      <c r="G1305" s="41"/>
      <c r="H1305" s="41"/>
      <c r="I1305" s="42"/>
      <c r="J1305" s="41"/>
      <c r="K1305" s="41">
        <v>5</v>
      </c>
      <c r="L1305" s="43">
        <v>25756</v>
      </c>
    </row>
    <row r="1306" spans="2:12" outlineLevel="2">
      <c r="B1306" s="35">
        <f t="shared" si="76"/>
        <v>156</v>
      </c>
      <c r="C1306" s="41" t="s">
        <v>175</v>
      </c>
      <c r="D1306" s="41" t="s">
        <v>130</v>
      </c>
      <c r="E1306" s="41">
        <v>14154</v>
      </c>
      <c r="F1306" s="41"/>
      <c r="G1306" s="41"/>
      <c r="H1306" s="41"/>
      <c r="I1306" s="42"/>
      <c r="J1306" s="41"/>
      <c r="K1306" s="41">
        <v>37</v>
      </c>
      <c r="L1306" s="43">
        <v>25709</v>
      </c>
    </row>
    <row r="1307" spans="2:12" outlineLevel="2">
      <c r="B1307" s="35">
        <f t="shared" si="76"/>
        <v>157</v>
      </c>
      <c r="C1307" s="41" t="s">
        <v>175</v>
      </c>
      <c r="D1307" s="41" t="s">
        <v>130</v>
      </c>
      <c r="E1307" s="41">
        <v>1043371290</v>
      </c>
      <c r="F1307" s="41"/>
      <c r="G1307" s="41"/>
      <c r="H1307" s="41"/>
      <c r="I1307" s="42"/>
      <c r="J1307" s="41"/>
      <c r="K1307" s="41">
        <v>6</v>
      </c>
      <c r="L1307" s="43">
        <v>25729</v>
      </c>
    </row>
    <row r="1308" spans="2:12" outlineLevel="2">
      <c r="B1308" s="35">
        <f t="shared" si="76"/>
        <v>158</v>
      </c>
      <c r="C1308" s="41" t="s">
        <v>175</v>
      </c>
      <c r="D1308" s="41" t="s">
        <v>130</v>
      </c>
      <c r="E1308" s="41">
        <v>1036638360</v>
      </c>
      <c r="F1308" s="41"/>
      <c r="G1308" s="41"/>
      <c r="H1308" s="41"/>
      <c r="I1308" s="42"/>
      <c r="J1308" s="41"/>
      <c r="K1308" s="41">
        <v>27</v>
      </c>
      <c r="L1308" s="43">
        <v>25757</v>
      </c>
    </row>
    <row r="1309" spans="2:12" outlineLevel="2">
      <c r="B1309" s="35">
        <f t="shared" si="76"/>
        <v>159</v>
      </c>
      <c r="C1309" s="41" t="s">
        <v>175</v>
      </c>
      <c r="D1309" s="41" t="s">
        <v>130</v>
      </c>
      <c r="E1309" s="41">
        <v>930805</v>
      </c>
      <c r="F1309" s="41"/>
      <c r="G1309" s="41"/>
      <c r="H1309" s="41"/>
      <c r="I1309" s="42"/>
      <c r="J1309" s="41"/>
      <c r="K1309" s="41">
        <v>20</v>
      </c>
      <c r="L1309" s="43">
        <v>25758</v>
      </c>
    </row>
    <row r="1310" spans="2:12" outlineLevel="2">
      <c r="B1310" s="35">
        <f t="shared" si="76"/>
        <v>160</v>
      </c>
      <c r="C1310" s="41" t="s">
        <v>175</v>
      </c>
      <c r="D1310" s="41" t="s">
        <v>131</v>
      </c>
      <c r="E1310" s="41">
        <v>1042753568</v>
      </c>
      <c r="F1310" s="41"/>
      <c r="G1310" s="41"/>
      <c r="H1310" s="41"/>
      <c r="I1310" s="42"/>
      <c r="J1310" s="41"/>
      <c r="K1310" s="41">
        <v>27</v>
      </c>
      <c r="L1310" s="43">
        <v>25759</v>
      </c>
    </row>
    <row r="1311" spans="2:12" outlineLevel="2">
      <c r="B1311" s="35">
        <f t="shared" si="76"/>
        <v>161</v>
      </c>
      <c r="C1311" s="41" t="s">
        <v>175</v>
      </c>
      <c r="D1311" s="41" t="s">
        <v>131</v>
      </c>
      <c r="E1311" s="41">
        <v>1053630761</v>
      </c>
      <c r="F1311" s="41"/>
      <c r="G1311" s="41"/>
      <c r="H1311" s="41"/>
      <c r="I1311" s="42"/>
      <c r="J1311" s="41"/>
      <c r="K1311" s="41">
        <v>9</v>
      </c>
      <c r="L1311" s="43">
        <v>25760</v>
      </c>
    </row>
    <row r="1312" spans="2:12" outlineLevel="2">
      <c r="B1312" s="35">
        <f t="shared" ref="B1312:B1343" si="77">(B1311+1)</f>
        <v>162</v>
      </c>
      <c r="C1312" s="41" t="s">
        <v>175</v>
      </c>
      <c r="D1312" s="41" t="s">
        <v>131</v>
      </c>
      <c r="E1312" s="41">
        <v>1043387396</v>
      </c>
      <c r="F1312" s="41"/>
      <c r="G1312" s="41"/>
      <c r="H1312" s="41"/>
      <c r="I1312" s="42"/>
      <c r="J1312" s="41"/>
      <c r="K1312" s="41">
        <v>18</v>
      </c>
      <c r="L1312" s="43">
        <v>25761</v>
      </c>
    </row>
    <row r="1313" spans="2:12" outlineLevel="2">
      <c r="B1313" s="35">
        <f t="shared" si="77"/>
        <v>163</v>
      </c>
      <c r="C1313" s="41" t="s">
        <v>175</v>
      </c>
      <c r="D1313" s="41" t="s">
        <v>129</v>
      </c>
      <c r="E1313" s="41">
        <v>301574</v>
      </c>
      <c r="F1313" s="41"/>
      <c r="G1313" s="41"/>
      <c r="H1313" s="41"/>
      <c r="I1313" s="42"/>
      <c r="J1313" s="41"/>
      <c r="K1313" s="41">
        <v>5</v>
      </c>
      <c r="L1313" s="43">
        <v>25762</v>
      </c>
    </row>
    <row r="1314" spans="2:12" outlineLevel="2">
      <c r="B1314" s="35">
        <f t="shared" si="77"/>
        <v>164</v>
      </c>
      <c r="C1314" s="41" t="s">
        <v>175</v>
      </c>
      <c r="D1314" s="41" t="s">
        <v>129</v>
      </c>
      <c r="E1314" s="41">
        <v>790245</v>
      </c>
      <c r="F1314" s="41"/>
      <c r="G1314" s="41"/>
      <c r="H1314" s="41"/>
      <c r="I1314" s="42"/>
      <c r="J1314" s="41"/>
      <c r="K1314" s="41">
        <v>14</v>
      </c>
      <c r="L1314" s="43">
        <v>25763</v>
      </c>
    </row>
    <row r="1315" spans="2:12" outlineLevel="2">
      <c r="B1315" s="35">
        <f t="shared" si="77"/>
        <v>165</v>
      </c>
      <c r="C1315" s="41" t="s">
        <v>175</v>
      </c>
      <c r="D1315" s="41" t="s">
        <v>129</v>
      </c>
      <c r="E1315" s="41">
        <v>1226588</v>
      </c>
      <c r="F1315" s="41"/>
      <c r="G1315" s="41"/>
      <c r="H1315" s="41"/>
      <c r="I1315" s="42"/>
      <c r="J1315" s="41"/>
      <c r="K1315" s="41">
        <v>8</v>
      </c>
      <c r="L1315" s="43">
        <v>25764</v>
      </c>
    </row>
    <row r="1316" spans="2:12" outlineLevel="2">
      <c r="B1316" s="35">
        <f t="shared" si="77"/>
        <v>166</v>
      </c>
      <c r="C1316" s="41" t="s">
        <v>175</v>
      </c>
      <c r="D1316" s="41" t="s">
        <v>130</v>
      </c>
      <c r="E1316" s="41">
        <v>1022815</v>
      </c>
      <c r="F1316" s="41"/>
      <c r="G1316" s="41"/>
      <c r="H1316" s="41"/>
      <c r="I1316" s="42"/>
      <c r="J1316" s="41"/>
      <c r="K1316" s="41">
        <v>4</v>
      </c>
      <c r="L1316" s="43">
        <v>25765</v>
      </c>
    </row>
    <row r="1317" spans="2:12" outlineLevel="2">
      <c r="B1317" s="35">
        <f t="shared" si="77"/>
        <v>167</v>
      </c>
      <c r="C1317" s="41" t="s">
        <v>175</v>
      </c>
      <c r="D1317" s="41" t="s">
        <v>128</v>
      </c>
      <c r="E1317" s="41">
        <v>1042938936</v>
      </c>
      <c r="F1317" s="41"/>
      <c r="G1317" s="41"/>
      <c r="H1317" s="41"/>
      <c r="I1317" s="42"/>
      <c r="J1317" s="41"/>
      <c r="K1317" s="41">
        <v>6</v>
      </c>
      <c r="L1317" s="43">
        <v>25766</v>
      </c>
    </row>
    <row r="1318" spans="2:12" outlineLevel="2">
      <c r="B1318" s="35">
        <f t="shared" si="77"/>
        <v>168</v>
      </c>
      <c r="C1318" s="41" t="s">
        <v>175</v>
      </c>
      <c r="D1318" s="41" t="s">
        <v>130</v>
      </c>
      <c r="E1318" s="41">
        <v>1043003179</v>
      </c>
      <c r="F1318" s="41"/>
      <c r="G1318" s="41"/>
      <c r="H1318" s="41"/>
      <c r="I1318" s="42"/>
      <c r="J1318" s="41"/>
      <c r="K1318" s="41">
        <v>16</v>
      </c>
      <c r="L1318" s="43">
        <v>25767</v>
      </c>
    </row>
    <row r="1319" spans="2:12" outlineLevel="2">
      <c r="B1319" s="35">
        <f t="shared" si="77"/>
        <v>169</v>
      </c>
      <c r="C1319" s="41" t="s">
        <v>175</v>
      </c>
      <c r="D1319" s="41" t="s">
        <v>130</v>
      </c>
      <c r="E1319" s="41">
        <v>1054268533</v>
      </c>
      <c r="F1319" s="41"/>
      <c r="G1319" s="41"/>
      <c r="H1319" s="41"/>
      <c r="I1319" s="42"/>
      <c r="J1319" s="41"/>
      <c r="K1319" s="41">
        <v>2</v>
      </c>
      <c r="L1319" s="43">
        <v>25768</v>
      </c>
    </row>
    <row r="1320" spans="2:12" outlineLevel="2">
      <c r="B1320" s="35">
        <f t="shared" si="77"/>
        <v>170</v>
      </c>
      <c r="C1320" s="41" t="s">
        <v>175</v>
      </c>
      <c r="D1320" s="41" t="s">
        <v>130</v>
      </c>
      <c r="E1320" s="41">
        <v>1042684803</v>
      </c>
      <c r="F1320" s="41"/>
      <c r="G1320" s="41"/>
      <c r="H1320" s="41"/>
      <c r="I1320" s="42"/>
      <c r="J1320" s="41"/>
      <c r="K1320" s="41">
        <v>28</v>
      </c>
      <c r="L1320" s="43">
        <v>25769</v>
      </c>
    </row>
    <row r="1321" spans="2:12" outlineLevel="2">
      <c r="B1321" s="35">
        <f t="shared" si="77"/>
        <v>171</v>
      </c>
      <c r="C1321" s="41" t="s">
        <v>175</v>
      </c>
      <c r="D1321" s="41" t="s">
        <v>130</v>
      </c>
      <c r="E1321" s="41">
        <v>385240</v>
      </c>
      <c r="F1321" s="41"/>
      <c r="G1321" s="41"/>
      <c r="H1321" s="41"/>
      <c r="I1321" s="42"/>
      <c r="J1321" s="41"/>
      <c r="K1321" s="41">
        <v>12</v>
      </c>
      <c r="L1321" s="43">
        <v>25770</v>
      </c>
    </row>
    <row r="1322" spans="2:12" outlineLevel="2">
      <c r="B1322" s="35">
        <f t="shared" si="77"/>
        <v>172</v>
      </c>
      <c r="C1322" s="41" t="s">
        <v>175</v>
      </c>
      <c r="D1322" s="41" t="s">
        <v>130</v>
      </c>
      <c r="E1322" s="41">
        <v>122296</v>
      </c>
      <c r="F1322" s="41"/>
      <c r="G1322" s="41"/>
      <c r="H1322" s="41"/>
      <c r="I1322" s="42"/>
      <c r="J1322" s="41"/>
      <c r="K1322" s="41">
        <v>12</v>
      </c>
      <c r="L1322" s="43">
        <v>25771</v>
      </c>
    </row>
    <row r="1323" spans="2:12" outlineLevel="2">
      <c r="B1323" s="35">
        <f t="shared" si="77"/>
        <v>173</v>
      </c>
      <c r="C1323" s="41" t="s">
        <v>175</v>
      </c>
      <c r="D1323" s="41" t="s">
        <v>130</v>
      </c>
      <c r="E1323" s="41">
        <v>214842</v>
      </c>
      <c r="F1323" s="41"/>
      <c r="G1323" s="41"/>
      <c r="H1323" s="41"/>
      <c r="I1323" s="42"/>
      <c r="J1323" s="41"/>
      <c r="K1323" s="41">
        <v>11</v>
      </c>
      <c r="L1323" s="43">
        <v>28000</v>
      </c>
    </row>
    <row r="1324" spans="2:12" outlineLevel="2">
      <c r="B1324" s="35">
        <f t="shared" si="77"/>
        <v>174</v>
      </c>
      <c r="C1324" s="41" t="s">
        <v>175</v>
      </c>
      <c r="D1324" s="41" t="s">
        <v>167</v>
      </c>
      <c r="E1324" s="41">
        <v>348435</v>
      </c>
      <c r="F1324" s="41"/>
      <c r="G1324" s="41"/>
      <c r="H1324" s="41"/>
      <c r="I1324" s="42"/>
      <c r="J1324" s="41"/>
      <c r="K1324" s="41">
        <v>10</v>
      </c>
      <c r="L1324" s="43">
        <v>28027</v>
      </c>
    </row>
    <row r="1325" spans="2:12" outlineLevel="2">
      <c r="B1325" s="35">
        <f t="shared" si="77"/>
        <v>175</v>
      </c>
      <c r="C1325" s="41" t="s">
        <v>175</v>
      </c>
      <c r="D1325" s="41" t="s">
        <v>181</v>
      </c>
      <c r="E1325" s="41">
        <v>294547</v>
      </c>
      <c r="F1325" s="41"/>
      <c r="G1325" s="41"/>
      <c r="H1325" s="41"/>
      <c r="I1325" s="42"/>
      <c r="J1325" s="41"/>
      <c r="K1325" s="41">
        <v>7</v>
      </c>
      <c r="L1325" s="43">
        <v>28004</v>
      </c>
    </row>
    <row r="1326" spans="2:12" outlineLevel="2">
      <c r="B1326" s="35">
        <f t="shared" si="77"/>
        <v>176</v>
      </c>
      <c r="C1326" s="41" t="s">
        <v>175</v>
      </c>
      <c r="D1326" s="41" t="s">
        <v>130</v>
      </c>
      <c r="E1326" s="41">
        <v>256124</v>
      </c>
      <c r="F1326" s="41"/>
      <c r="G1326" s="41"/>
      <c r="H1326" s="41"/>
      <c r="I1326" s="42"/>
      <c r="J1326" s="41"/>
      <c r="K1326" s="41">
        <v>19</v>
      </c>
      <c r="L1326" s="43">
        <v>28028</v>
      </c>
    </row>
    <row r="1327" spans="2:12" outlineLevel="2">
      <c r="B1327" s="35">
        <f t="shared" si="77"/>
        <v>177</v>
      </c>
      <c r="C1327" s="41" t="s">
        <v>175</v>
      </c>
      <c r="D1327" s="41" t="s">
        <v>903</v>
      </c>
      <c r="E1327" s="41">
        <v>917054</v>
      </c>
      <c r="F1327" s="41"/>
      <c r="G1327" s="41"/>
      <c r="H1327" s="41"/>
      <c r="I1327" s="42"/>
      <c r="J1327" s="41"/>
      <c r="K1327" s="41">
        <v>15</v>
      </c>
      <c r="L1327" s="43">
        <v>28013</v>
      </c>
    </row>
    <row r="1328" spans="2:12" outlineLevel="2">
      <c r="B1328" s="35">
        <f t="shared" si="77"/>
        <v>178</v>
      </c>
      <c r="C1328" s="41" t="s">
        <v>175</v>
      </c>
      <c r="D1328" s="41" t="s">
        <v>130</v>
      </c>
      <c r="E1328" s="41">
        <v>838306</v>
      </c>
      <c r="F1328" s="41"/>
      <c r="G1328" s="41"/>
      <c r="H1328" s="41"/>
      <c r="I1328" s="42"/>
      <c r="J1328" s="41"/>
      <c r="K1328" s="41">
        <v>9</v>
      </c>
      <c r="L1328" s="43">
        <v>28024</v>
      </c>
    </row>
    <row r="1329" spans="2:12" outlineLevel="2">
      <c r="B1329" s="35">
        <f t="shared" si="77"/>
        <v>179</v>
      </c>
      <c r="C1329" s="41" t="s">
        <v>175</v>
      </c>
      <c r="D1329" s="41" t="s">
        <v>130</v>
      </c>
      <c r="E1329" s="41">
        <v>221415</v>
      </c>
      <c r="F1329" s="41"/>
      <c r="G1329" s="41"/>
      <c r="H1329" s="41"/>
      <c r="I1329" s="42"/>
      <c r="J1329" s="41"/>
      <c r="K1329" s="41">
        <v>17</v>
      </c>
      <c r="L1329" s="43">
        <v>28022</v>
      </c>
    </row>
    <row r="1330" spans="2:12" outlineLevel="2">
      <c r="B1330" s="35">
        <f t="shared" si="77"/>
        <v>180</v>
      </c>
      <c r="C1330" s="41" t="s">
        <v>175</v>
      </c>
      <c r="D1330" s="41" t="s">
        <v>167</v>
      </c>
      <c r="E1330" s="41">
        <v>1287048</v>
      </c>
      <c r="F1330" s="41"/>
      <c r="G1330" s="41"/>
      <c r="H1330" s="41"/>
      <c r="I1330" s="42"/>
      <c r="J1330" s="41"/>
      <c r="K1330" s="41">
        <v>9</v>
      </c>
      <c r="L1330" s="43">
        <v>27998</v>
      </c>
    </row>
    <row r="1331" spans="2:12" outlineLevel="2">
      <c r="B1331" s="35">
        <f t="shared" si="77"/>
        <v>181</v>
      </c>
      <c r="C1331" s="41" t="s">
        <v>175</v>
      </c>
      <c r="D1331" s="41" t="s">
        <v>167</v>
      </c>
      <c r="E1331" s="41">
        <v>1044795</v>
      </c>
      <c r="F1331" s="41"/>
      <c r="G1331" s="41"/>
      <c r="H1331" s="41"/>
      <c r="I1331" s="42"/>
      <c r="J1331" s="41"/>
      <c r="K1331" s="41">
        <v>9</v>
      </c>
      <c r="L1331" s="43">
        <v>28003</v>
      </c>
    </row>
    <row r="1332" spans="2:12" outlineLevel="2">
      <c r="B1332" s="35">
        <f t="shared" si="77"/>
        <v>182</v>
      </c>
      <c r="C1332" s="41" t="s">
        <v>175</v>
      </c>
      <c r="D1332" s="41" t="s">
        <v>167</v>
      </c>
      <c r="E1332" s="41">
        <v>1309136</v>
      </c>
      <c r="F1332" s="41"/>
      <c r="G1332" s="41"/>
      <c r="H1332" s="41"/>
      <c r="I1332" s="42"/>
      <c r="J1332" s="41"/>
      <c r="K1332" s="41">
        <v>33</v>
      </c>
      <c r="L1332" s="43">
        <v>28016</v>
      </c>
    </row>
    <row r="1333" spans="2:12" outlineLevel="2">
      <c r="B1333" s="35">
        <f t="shared" si="77"/>
        <v>183</v>
      </c>
      <c r="C1333" s="41" t="s">
        <v>175</v>
      </c>
      <c r="D1333" s="41" t="s">
        <v>129</v>
      </c>
      <c r="E1333" s="41">
        <v>1274956</v>
      </c>
      <c r="F1333" s="41"/>
      <c r="G1333" s="41"/>
      <c r="H1333" s="41"/>
      <c r="I1333" s="42"/>
      <c r="J1333" s="41"/>
      <c r="K1333" s="41">
        <v>9</v>
      </c>
      <c r="L1333" s="43">
        <v>27997</v>
      </c>
    </row>
    <row r="1334" spans="2:12" outlineLevel="2">
      <c r="B1334" s="35">
        <f t="shared" si="77"/>
        <v>184</v>
      </c>
      <c r="C1334" s="41" t="s">
        <v>175</v>
      </c>
      <c r="D1334" s="41" t="s">
        <v>130</v>
      </c>
      <c r="E1334" s="41">
        <v>421393</v>
      </c>
      <c r="F1334" s="41"/>
      <c r="G1334" s="41"/>
      <c r="H1334" s="41"/>
      <c r="I1334" s="42"/>
      <c r="J1334" s="41"/>
      <c r="K1334" s="41">
        <v>39</v>
      </c>
      <c r="L1334" s="43">
        <v>28011</v>
      </c>
    </row>
    <row r="1335" spans="2:12" outlineLevel="2">
      <c r="B1335" s="35">
        <f t="shared" si="77"/>
        <v>185</v>
      </c>
      <c r="C1335" s="41" t="s">
        <v>175</v>
      </c>
      <c r="D1335" s="41" t="s">
        <v>181</v>
      </c>
      <c r="E1335" s="41">
        <v>316790</v>
      </c>
      <c r="F1335" s="41"/>
      <c r="G1335" s="41"/>
      <c r="H1335" s="41"/>
      <c r="I1335" s="42"/>
      <c r="J1335" s="41"/>
      <c r="K1335" s="41">
        <v>26</v>
      </c>
      <c r="L1335" s="43">
        <v>28006</v>
      </c>
    </row>
    <row r="1336" spans="2:12" outlineLevel="2">
      <c r="B1336" s="35">
        <f t="shared" si="77"/>
        <v>186</v>
      </c>
      <c r="C1336" s="41" t="s">
        <v>175</v>
      </c>
      <c r="D1336" s="41" t="s">
        <v>181</v>
      </c>
      <c r="E1336" s="41">
        <v>788631</v>
      </c>
      <c r="F1336" s="41"/>
      <c r="G1336" s="41"/>
      <c r="H1336" s="41"/>
      <c r="I1336" s="42"/>
      <c r="J1336" s="41"/>
      <c r="K1336" s="41">
        <v>15</v>
      </c>
      <c r="L1336" s="43">
        <v>28017</v>
      </c>
    </row>
    <row r="1337" spans="2:12" outlineLevel="2">
      <c r="B1337" s="35">
        <f t="shared" si="77"/>
        <v>187</v>
      </c>
      <c r="C1337" s="41" t="s">
        <v>175</v>
      </c>
      <c r="D1337" s="41" t="s">
        <v>129</v>
      </c>
      <c r="E1337" s="41">
        <v>924134</v>
      </c>
      <c r="F1337" s="41"/>
      <c r="G1337" s="41"/>
      <c r="H1337" s="41"/>
      <c r="I1337" s="42"/>
      <c r="J1337" s="41"/>
      <c r="K1337" s="41">
        <v>11</v>
      </c>
      <c r="L1337" s="43">
        <v>28001</v>
      </c>
    </row>
    <row r="1338" spans="2:12" outlineLevel="2">
      <c r="B1338" s="35">
        <f t="shared" si="77"/>
        <v>188</v>
      </c>
      <c r="C1338" s="41" t="s">
        <v>175</v>
      </c>
      <c r="D1338" s="41" t="s">
        <v>181</v>
      </c>
      <c r="E1338" s="41">
        <v>291944</v>
      </c>
      <c r="F1338" s="41"/>
      <c r="G1338" s="41"/>
      <c r="H1338" s="41"/>
      <c r="I1338" s="42"/>
      <c r="J1338" s="41"/>
      <c r="K1338" s="41">
        <v>13</v>
      </c>
      <c r="L1338" s="43">
        <v>28018</v>
      </c>
    </row>
    <row r="1339" spans="2:12" outlineLevel="2">
      <c r="B1339" s="35">
        <f t="shared" si="77"/>
        <v>189</v>
      </c>
      <c r="C1339" s="41" t="s">
        <v>175</v>
      </c>
      <c r="D1339" s="41" t="s">
        <v>130</v>
      </c>
      <c r="E1339" s="41">
        <v>1047418457</v>
      </c>
      <c r="F1339" s="41"/>
      <c r="G1339" s="41"/>
      <c r="H1339" s="41"/>
      <c r="I1339" s="42"/>
      <c r="J1339" s="41"/>
      <c r="K1339" s="41">
        <v>13</v>
      </c>
      <c r="L1339" s="43">
        <v>28025</v>
      </c>
    </row>
    <row r="1340" spans="2:12" outlineLevel="2">
      <c r="B1340" s="35">
        <f t="shared" si="77"/>
        <v>190</v>
      </c>
      <c r="C1340" s="41" t="s">
        <v>175</v>
      </c>
      <c r="D1340" s="41" t="s">
        <v>130</v>
      </c>
      <c r="E1340" s="41" t="s">
        <v>915</v>
      </c>
      <c r="F1340" s="41"/>
      <c r="G1340" s="41"/>
      <c r="H1340" s="41"/>
      <c r="I1340" s="42"/>
      <c r="J1340" s="41"/>
      <c r="K1340" s="41">
        <v>40</v>
      </c>
      <c r="L1340" s="43">
        <v>27995</v>
      </c>
    </row>
    <row r="1341" spans="2:12" outlineLevel="2">
      <c r="B1341" s="35">
        <f t="shared" si="77"/>
        <v>191</v>
      </c>
      <c r="C1341" s="41" t="s">
        <v>175</v>
      </c>
      <c r="D1341" s="41" t="s">
        <v>130</v>
      </c>
      <c r="E1341" s="41">
        <v>1075128</v>
      </c>
      <c r="F1341" s="41"/>
      <c r="G1341" s="41"/>
      <c r="H1341" s="41"/>
      <c r="I1341" s="42"/>
      <c r="J1341" s="41"/>
      <c r="K1341" s="41">
        <v>16</v>
      </c>
      <c r="L1341" s="43">
        <v>28012</v>
      </c>
    </row>
    <row r="1342" spans="2:12" outlineLevel="2">
      <c r="B1342" s="35">
        <f t="shared" si="77"/>
        <v>192</v>
      </c>
      <c r="C1342" s="41" t="s">
        <v>175</v>
      </c>
      <c r="D1342" s="41" t="s">
        <v>130</v>
      </c>
      <c r="E1342" s="41">
        <v>1042343893</v>
      </c>
      <c r="F1342" s="41"/>
      <c r="G1342" s="41"/>
      <c r="H1342" s="41"/>
      <c r="I1342" s="42"/>
      <c r="J1342" s="41"/>
      <c r="K1342" s="41">
        <v>14</v>
      </c>
      <c r="L1342" s="43">
        <v>28023</v>
      </c>
    </row>
    <row r="1343" spans="2:12" outlineLevel="2">
      <c r="B1343" s="35">
        <f t="shared" si="77"/>
        <v>193</v>
      </c>
      <c r="C1343" s="41" t="s">
        <v>175</v>
      </c>
      <c r="D1343" s="41" t="s">
        <v>128</v>
      </c>
      <c r="E1343" s="41">
        <v>214886</v>
      </c>
      <c r="F1343" s="41"/>
      <c r="G1343" s="41"/>
      <c r="H1343" s="41"/>
      <c r="I1343" s="42"/>
      <c r="J1343" s="41"/>
      <c r="K1343" s="41">
        <v>12</v>
      </c>
      <c r="L1343" s="43">
        <v>27999</v>
      </c>
    </row>
    <row r="1344" spans="2:12" outlineLevel="2">
      <c r="B1344" s="35">
        <f t="shared" ref="B1344:B1378" si="78">(B1343+1)</f>
        <v>194</v>
      </c>
      <c r="C1344" s="41" t="s">
        <v>175</v>
      </c>
      <c r="D1344" s="41" t="s">
        <v>128</v>
      </c>
      <c r="E1344" s="41">
        <v>120394</v>
      </c>
      <c r="F1344" s="41"/>
      <c r="G1344" s="41"/>
      <c r="H1344" s="41"/>
      <c r="I1344" s="42"/>
      <c r="J1344" s="41"/>
      <c r="K1344" s="41">
        <v>22</v>
      </c>
      <c r="L1344" s="43">
        <v>28005</v>
      </c>
    </row>
    <row r="1345" spans="2:12" outlineLevel="2">
      <c r="B1345" s="35">
        <f t="shared" si="78"/>
        <v>195</v>
      </c>
      <c r="C1345" s="41" t="s">
        <v>175</v>
      </c>
      <c r="D1345" s="41" t="s">
        <v>131</v>
      </c>
      <c r="E1345" s="41">
        <v>812181</v>
      </c>
      <c r="F1345" s="41"/>
      <c r="G1345" s="41"/>
      <c r="H1345" s="41"/>
      <c r="I1345" s="42"/>
      <c r="J1345" s="41"/>
      <c r="K1345" s="41">
        <v>11</v>
      </c>
      <c r="L1345" s="43">
        <v>28008</v>
      </c>
    </row>
    <row r="1346" spans="2:12" outlineLevel="2">
      <c r="B1346" s="35">
        <f t="shared" si="78"/>
        <v>196</v>
      </c>
      <c r="C1346" s="41" t="s">
        <v>175</v>
      </c>
      <c r="D1346" s="41" t="s">
        <v>167</v>
      </c>
      <c r="E1346" s="41">
        <v>389677</v>
      </c>
      <c r="F1346" s="41"/>
      <c r="G1346" s="41"/>
      <c r="H1346" s="41"/>
      <c r="I1346" s="42"/>
      <c r="J1346" s="41"/>
      <c r="K1346" s="41">
        <v>12</v>
      </c>
      <c r="L1346" s="43">
        <v>31311</v>
      </c>
    </row>
    <row r="1347" spans="2:12" outlineLevel="2">
      <c r="B1347" s="35">
        <f t="shared" si="78"/>
        <v>197</v>
      </c>
      <c r="C1347" s="41" t="s">
        <v>175</v>
      </c>
      <c r="D1347" s="41" t="s">
        <v>167</v>
      </c>
      <c r="E1347" s="41">
        <v>1072359</v>
      </c>
      <c r="F1347" s="41"/>
      <c r="G1347" s="41"/>
      <c r="H1347" s="41"/>
      <c r="I1347" s="42"/>
      <c r="J1347" s="41"/>
      <c r="K1347" s="41">
        <v>4</v>
      </c>
      <c r="L1347" s="43">
        <v>31331</v>
      </c>
    </row>
    <row r="1348" spans="2:12" outlineLevel="2">
      <c r="B1348" s="35">
        <f t="shared" si="78"/>
        <v>198</v>
      </c>
      <c r="C1348" s="41" t="s">
        <v>175</v>
      </c>
      <c r="D1348" s="41" t="s">
        <v>130</v>
      </c>
      <c r="E1348" s="41">
        <v>542798</v>
      </c>
      <c r="F1348" s="41"/>
      <c r="G1348" s="41"/>
      <c r="H1348" s="41"/>
      <c r="I1348" s="42"/>
      <c r="J1348" s="41"/>
      <c r="K1348" s="41">
        <v>14</v>
      </c>
      <c r="L1348" s="43">
        <v>31329</v>
      </c>
    </row>
    <row r="1349" spans="2:12" outlineLevel="2">
      <c r="B1349" s="35">
        <f t="shared" si="78"/>
        <v>199</v>
      </c>
      <c r="C1349" s="41" t="s">
        <v>175</v>
      </c>
      <c r="D1349" s="41" t="s">
        <v>181</v>
      </c>
      <c r="E1349" s="41">
        <v>1366919</v>
      </c>
      <c r="F1349" s="41"/>
      <c r="G1349" s="41"/>
      <c r="H1349" s="41"/>
      <c r="I1349" s="42"/>
      <c r="J1349" s="41"/>
      <c r="K1349" s="41">
        <v>6</v>
      </c>
      <c r="L1349" s="43">
        <v>31332</v>
      </c>
    </row>
    <row r="1350" spans="2:12" outlineLevel="2">
      <c r="B1350" s="35">
        <f t="shared" si="78"/>
        <v>200</v>
      </c>
      <c r="C1350" s="41" t="s">
        <v>175</v>
      </c>
      <c r="D1350" s="41" t="s">
        <v>167</v>
      </c>
      <c r="E1350" s="41">
        <v>1286983</v>
      </c>
      <c r="F1350" s="41"/>
      <c r="G1350" s="41"/>
      <c r="H1350" s="41"/>
      <c r="I1350" s="42"/>
      <c r="J1350" s="41"/>
      <c r="K1350" s="41">
        <v>37</v>
      </c>
      <c r="L1350" s="43">
        <v>33233</v>
      </c>
    </row>
    <row r="1351" spans="2:12" outlineLevel="2">
      <c r="B1351" s="35">
        <f t="shared" si="78"/>
        <v>201</v>
      </c>
      <c r="C1351" s="41" t="s">
        <v>175</v>
      </c>
      <c r="D1351" s="41" t="s">
        <v>128</v>
      </c>
      <c r="E1351" s="41">
        <v>711111</v>
      </c>
      <c r="F1351" s="41"/>
      <c r="G1351" s="41"/>
      <c r="H1351" s="41"/>
      <c r="I1351" s="42"/>
      <c r="J1351" s="41"/>
      <c r="K1351" s="41">
        <v>26</v>
      </c>
      <c r="L1351" s="43">
        <v>33333</v>
      </c>
    </row>
    <row r="1352" spans="2:12" outlineLevel="2">
      <c r="B1352" s="35">
        <f t="shared" si="78"/>
        <v>202</v>
      </c>
      <c r="C1352" s="41" t="s">
        <v>175</v>
      </c>
      <c r="D1352" s="41" t="s">
        <v>131</v>
      </c>
      <c r="E1352" s="41">
        <v>428482</v>
      </c>
      <c r="F1352" s="41"/>
      <c r="G1352" s="41"/>
      <c r="H1352" s="41"/>
      <c r="I1352" s="42"/>
      <c r="J1352" s="41"/>
      <c r="K1352" s="41">
        <v>5</v>
      </c>
      <c r="L1352" s="43">
        <v>31347</v>
      </c>
    </row>
    <row r="1353" spans="2:12" outlineLevel="2">
      <c r="B1353" s="35">
        <f t="shared" si="78"/>
        <v>203</v>
      </c>
      <c r="C1353" s="41" t="s">
        <v>175</v>
      </c>
      <c r="D1353" s="41" t="s">
        <v>167</v>
      </c>
      <c r="E1353" s="41">
        <v>1211096</v>
      </c>
      <c r="F1353" s="41"/>
      <c r="G1353" s="41"/>
      <c r="H1353" s="41"/>
      <c r="I1353" s="42"/>
      <c r="J1353" s="41"/>
      <c r="K1353" s="41">
        <v>5</v>
      </c>
      <c r="L1353" s="43">
        <v>31354</v>
      </c>
    </row>
    <row r="1354" spans="2:12" outlineLevel="2">
      <c r="B1354" s="35">
        <f t="shared" si="78"/>
        <v>204</v>
      </c>
      <c r="C1354" s="41" t="s">
        <v>175</v>
      </c>
      <c r="D1354" s="41" t="s">
        <v>130</v>
      </c>
      <c r="E1354" s="41">
        <v>422010</v>
      </c>
      <c r="F1354" s="41"/>
      <c r="G1354" s="41"/>
      <c r="H1354" s="41"/>
      <c r="I1354" s="42"/>
      <c r="J1354" s="41"/>
      <c r="K1354" s="41">
        <v>29</v>
      </c>
      <c r="L1354" s="43">
        <v>31708</v>
      </c>
    </row>
    <row r="1355" spans="2:12" outlineLevel="2">
      <c r="B1355" s="35">
        <f t="shared" si="78"/>
        <v>205</v>
      </c>
      <c r="C1355" s="41" t="s">
        <v>175</v>
      </c>
      <c r="D1355" s="41" t="s">
        <v>167</v>
      </c>
      <c r="E1355" s="41">
        <v>889151</v>
      </c>
      <c r="F1355" s="41"/>
      <c r="G1355" s="41"/>
      <c r="H1355" s="41"/>
      <c r="I1355" s="42"/>
      <c r="J1355" s="41"/>
      <c r="K1355" s="41">
        <v>30</v>
      </c>
      <c r="L1355" s="43">
        <v>33234</v>
      </c>
    </row>
    <row r="1356" spans="2:12" outlineLevel="2">
      <c r="B1356" s="35">
        <f t="shared" si="78"/>
        <v>206</v>
      </c>
      <c r="C1356" s="41" t="s">
        <v>175</v>
      </c>
      <c r="D1356" s="41" t="s">
        <v>128</v>
      </c>
      <c r="E1356" s="41">
        <v>1032486</v>
      </c>
      <c r="F1356" s="41"/>
      <c r="G1356" s="41"/>
      <c r="H1356" s="41"/>
      <c r="I1356" s="42"/>
      <c r="J1356" s="41"/>
      <c r="K1356" s="41">
        <v>4</v>
      </c>
      <c r="L1356" s="43">
        <v>31336</v>
      </c>
    </row>
    <row r="1357" spans="2:12" outlineLevel="2">
      <c r="B1357" s="35">
        <f t="shared" si="78"/>
        <v>207</v>
      </c>
      <c r="C1357" s="41" t="s">
        <v>175</v>
      </c>
      <c r="D1357" s="41" t="s">
        <v>181</v>
      </c>
      <c r="E1357" s="41">
        <v>1354907</v>
      </c>
      <c r="F1357" s="41"/>
      <c r="G1357" s="41"/>
      <c r="H1357" s="41"/>
      <c r="I1357" s="42"/>
      <c r="J1357" s="41"/>
      <c r="K1357" s="41">
        <v>16</v>
      </c>
      <c r="L1357" s="43">
        <v>31339</v>
      </c>
    </row>
    <row r="1358" spans="2:12" outlineLevel="2">
      <c r="B1358" s="35">
        <f t="shared" si="78"/>
        <v>208</v>
      </c>
      <c r="C1358" s="41" t="s">
        <v>175</v>
      </c>
      <c r="D1358" s="41" t="s">
        <v>128</v>
      </c>
      <c r="E1358" s="41">
        <v>1043387460</v>
      </c>
      <c r="F1358" s="41"/>
      <c r="G1358" s="41"/>
      <c r="H1358" s="41"/>
      <c r="I1358" s="42"/>
      <c r="J1358" s="41"/>
      <c r="K1358" s="41">
        <v>28</v>
      </c>
      <c r="L1358" s="43">
        <v>31335</v>
      </c>
    </row>
    <row r="1359" spans="2:12" outlineLevel="2">
      <c r="B1359" s="35">
        <f t="shared" si="78"/>
        <v>209</v>
      </c>
      <c r="C1359" s="41" t="s">
        <v>175</v>
      </c>
      <c r="D1359" s="41" t="s">
        <v>129</v>
      </c>
      <c r="E1359" s="41">
        <v>1009511</v>
      </c>
      <c r="F1359" s="41"/>
      <c r="G1359" s="41"/>
      <c r="H1359" s="41"/>
      <c r="I1359" s="42"/>
      <c r="J1359" s="41"/>
      <c r="K1359" s="41">
        <v>2</v>
      </c>
      <c r="L1359" s="43">
        <v>31353</v>
      </c>
    </row>
    <row r="1360" spans="2:12" outlineLevel="2">
      <c r="B1360" s="35">
        <f t="shared" si="78"/>
        <v>210</v>
      </c>
      <c r="C1360" s="41" t="s">
        <v>175</v>
      </c>
      <c r="D1360" s="41" t="s">
        <v>129</v>
      </c>
      <c r="E1360" s="41">
        <v>1348190</v>
      </c>
      <c r="F1360" s="41"/>
      <c r="G1360" s="41"/>
      <c r="H1360" s="41"/>
      <c r="I1360" s="42"/>
      <c r="J1360" s="41"/>
      <c r="K1360" s="41">
        <v>17</v>
      </c>
      <c r="L1360" s="43">
        <v>31358</v>
      </c>
    </row>
    <row r="1361" spans="2:12" outlineLevel="2">
      <c r="B1361" s="35">
        <f t="shared" si="78"/>
        <v>211</v>
      </c>
      <c r="C1361" s="41" t="s">
        <v>175</v>
      </c>
      <c r="D1361" s="41" t="s">
        <v>166</v>
      </c>
      <c r="E1361" s="41">
        <v>421356</v>
      </c>
      <c r="F1361" s="41"/>
      <c r="G1361" s="41"/>
      <c r="H1361" s="41"/>
      <c r="I1361" s="42"/>
      <c r="J1361" s="41"/>
      <c r="K1361" s="41">
        <v>5</v>
      </c>
      <c r="L1361" s="43">
        <v>31348</v>
      </c>
    </row>
    <row r="1362" spans="2:12" outlineLevel="2">
      <c r="B1362" s="35">
        <f t="shared" si="78"/>
        <v>212</v>
      </c>
      <c r="C1362" s="41" t="s">
        <v>175</v>
      </c>
      <c r="D1362" s="41" t="s">
        <v>130</v>
      </c>
      <c r="E1362" s="41">
        <v>391783</v>
      </c>
      <c r="F1362" s="41"/>
      <c r="G1362" s="41"/>
      <c r="H1362" s="41"/>
      <c r="I1362" s="42"/>
      <c r="J1362" s="41"/>
      <c r="K1362" s="41">
        <v>16</v>
      </c>
      <c r="L1362" s="43">
        <v>31333</v>
      </c>
    </row>
    <row r="1363" spans="2:12" outlineLevel="2">
      <c r="B1363" s="35">
        <f t="shared" si="78"/>
        <v>213</v>
      </c>
      <c r="C1363" s="41" t="s">
        <v>175</v>
      </c>
      <c r="D1363" s="41" t="s">
        <v>129</v>
      </c>
      <c r="E1363" s="41">
        <v>1381436</v>
      </c>
      <c r="F1363" s="41"/>
      <c r="G1363" s="41"/>
      <c r="H1363" s="41"/>
      <c r="I1363" s="42"/>
      <c r="J1363" s="41"/>
      <c r="K1363" s="41">
        <v>33</v>
      </c>
      <c r="L1363" s="43">
        <v>33232</v>
      </c>
    </row>
    <row r="1364" spans="2:12" outlineLevel="2">
      <c r="B1364" s="35">
        <f t="shared" si="78"/>
        <v>214</v>
      </c>
      <c r="C1364" s="41" t="s">
        <v>175</v>
      </c>
      <c r="D1364" s="41" t="s">
        <v>130</v>
      </c>
      <c r="E1364" s="41">
        <v>1025028</v>
      </c>
      <c r="F1364" s="41"/>
      <c r="G1364" s="41"/>
      <c r="H1364" s="41"/>
      <c r="I1364" s="42"/>
      <c r="J1364" s="41"/>
      <c r="K1364" s="41">
        <v>17</v>
      </c>
      <c r="L1364" s="43">
        <v>31338</v>
      </c>
    </row>
    <row r="1365" spans="2:12" outlineLevel="2">
      <c r="B1365" s="35">
        <f t="shared" si="78"/>
        <v>215</v>
      </c>
      <c r="C1365" s="41" t="s">
        <v>175</v>
      </c>
      <c r="D1365" s="41" t="s">
        <v>129</v>
      </c>
      <c r="E1365" s="41">
        <v>1500811</v>
      </c>
      <c r="F1365" s="41"/>
      <c r="G1365" s="41"/>
      <c r="H1365" s="41"/>
      <c r="I1365" s="42"/>
      <c r="J1365" s="41"/>
      <c r="K1365" s="41">
        <v>22</v>
      </c>
      <c r="L1365" s="43">
        <v>31351</v>
      </c>
    </row>
    <row r="1366" spans="2:12" outlineLevel="2">
      <c r="B1366" s="35">
        <f t="shared" si="78"/>
        <v>216</v>
      </c>
      <c r="C1366" s="41" t="s">
        <v>175</v>
      </c>
      <c r="D1366" s="41" t="s">
        <v>167</v>
      </c>
      <c r="E1366" s="41">
        <v>1309182</v>
      </c>
      <c r="F1366" s="41"/>
      <c r="G1366" s="41"/>
      <c r="H1366" s="41"/>
      <c r="I1366" s="42"/>
      <c r="J1366" s="41"/>
      <c r="K1366" s="41">
        <v>23</v>
      </c>
      <c r="L1366" s="43">
        <v>31360</v>
      </c>
    </row>
    <row r="1367" spans="2:12" outlineLevel="2">
      <c r="B1367" s="35">
        <f t="shared" si="78"/>
        <v>217</v>
      </c>
      <c r="C1367" s="41" t="s">
        <v>175</v>
      </c>
      <c r="D1367" s="41" t="s">
        <v>167</v>
      </c>
      <c r="E1367" s="41">
        <v>1335903</v>
      </c>
      <c r="F1367" s="41"/>
      <c r="G1367" s="41"/>
      <c r="H1367" s="41"/>
      <c r="I1367" s="42"/>
      <c r="J1367" s="41"/>
      <c r="K1367" s="41">
        <v>10</v>
      </c>
      <c r="L1367" s="43">
        <v>31355</v>
      </c>
    </row>
    <row r="1368" spans="2:12" outlineLevel="2">
      <c r="B1368" s="35">
        <f t="shared" si="78"/>
        <v>218</v>
      </c>
      <c r="C1368" s="41" t="s">
        <v>175</v>
      </c>
      <c r="D1368" s="41" t="s">
        <v>127</v>
      </c>
      <c r="E1368" s="41">
        <v>1052791</v>
      </c>
      <c r="F1368" s="41"/>
      <c r="G1368" s="41"/>
      <c r="H1368" s="41"/>
      <c r="I1368" s="42"/>
      <c r="J1368" s="41"/>
      <c r="K1368" s="41">
        <v>30</v>
      </c>
      <c r="L1368" s="43">
        <v>33334</v>
      </c>
    </row>
    <row r="1369" spans="2:12" outlineLevel="2">
      <c r="B1369" s="35">
        <f t="shared" si="78"/>
        <v>219</v>
      </c>
      <c r="C1369" s="41" t="s">
        <v>175</v>
      </c>
      <c r="D1369" s="41" t="s">
        <v>130</v>
      </c>
      <c r="E1369" s="41">
        <v>405613</v>
      </c>
      <c r="F1369" s="41"/>
      <c r="G1369" s="41"/>
      <c r="H1369" s="41"/>
      <c r="I1369" s="42"/>
      <c r="J1369" s="41"/>
      <c r="K1369" s="41">
        <v>33</v>
      </c>
      <c r="L1369" s="43">
        <v>33235</v>
      </c>
    </row>
    <row r="1370" spans="2:12" outlineLevel="2">
      <c r="B1370" s="35">
        <f t="shared" si="78"/>
        <v>220</v>
      </c>
      <c r="C1370" s="41" t="s">
        <v>175</v>
      </c>
      <c r="D1370" s="41" t="s">
        <v>130</v>
      </c>
      <c r="E1370" s="41">
        <v>1041680252</v>
      </c>
      <c r="F1370" s="41"/>
      <c r="G1370" s="41"/>
      <c r="H1370" s="41"/>
      <c r="I1370" s="42"/>
      <c r="J1370" s="41"/>
      <c r="K1370" s="41">
        <v>8</v>
      </c>
      <c r="L1370" s="43">
        <v>31330</v>
      </c>
    </row>
    <row r="1371" spans="2:12" outlineLevel="2">
      <c r="B1371" s="35">
        <f t="shared" si="78"/>
        <v>221</v>
      </c>
      <c r="C1371" s="41" t="s">
        <v>175</v>
      </c>
      <c r="D1371" s="41" t="s">
        <v>127</v>
      </c>
      <c r="E1371" s="41">
        <v>385265</v>
      </c>
      <c r="F1371" s="41"/>
      <c r="G1371" s="41"/>
      <c r="H1371" s="41"/>
      <c r="I1371" s="42"/>
      <c r="J1371" s="41"/>
      <c r="K1371" s="41">
        <v>31</v>
      </c>
      <c r="L1371" s="43">
        <v>33238</v>
      </c>
    </row>
    <row r="1372" spans="2:12" outlineLevel="2">
      <c r="B1372" s="35">
        <f t="shared" si="78"/>
        <v>222</v>
      </c>
      <c r="C1372" s="41" t="s">
        <v>175</v>
      </c>
      <c r="D1372" s="41" t="s">
        <v>127</v>
      </c>
      <c r="E1372" s="41">
        <v>122067</v>
      </c>
      <c r="F1372" s="41"/>
      <c r="G1372" s="41"/>
      <c r="H1372" s="41"/>
      <c r="I1372" s="42"/>
      <c r="J1372" s="41"/>
      <c r="K1372" s="41">
        <v>12</v>
      </c>
      <c r="L1372" s="43">
        <v>31310</v>
      </c>
    </row>
    <row r="1373" spans="2:12" outlineLevel="2">
      <c r="B1373" s="35">
        <f t="shared" si="78"/>
        <v>223</v>
      </c>
      <c r="C1373" s="41" t="s">
        <v>175</v>
      </c>
      <c r="D1373" s="41" t="s">
        <v>127</v>
      </c>
      <c r="E1373" s="41">
        <v>252564</v>
      </c>
      <c r="F1373" s="41"/>
      <c r="G1373" s="41"/>
      <c r="H1373" s="41"/>
      <c r="I1373" s="42"/>
      <c r="J1373" s="41"/>
      <c r="K1373" s="41">
        <v>28</v>
      </c>
      <c r="L1373" s="43">
        <v>33332</v>
      </c>
    </row>
    <row r="1374" spans="2:12" outlineLevel="2">
      <c r="B1374" s="35">
        <f t="shared" si="78"/>
        <v>224</v>
      </c>
      <c r="C1374" s="41" t="s">
        <v>175</v>
      </c>
      <c r="D1374" s="41" t="s">
        <v>127</v>
      </c>
      <c r="E1374" s="41">
        <v>10929938</v>
      </c>
      <c r="F1374" s="41"/>
      <c r="G1374" s="41"/>
      <c r="H1374" s="41"/>
      <c r="I1374" s="42"/>
      <c r="J1374" s="41"/>
      <c r="K1374" s="41">
        <v>36</v>
      </c>
      <c r="L1374" s="43">
        <v>33330</v>
      </c>
    </row>
    <row r="1375" spans="2:12" outlineLevel="2">
      <c r="B1375" s="35">
        <f t="shared" si="78"/>
        <v>225</v>
      </c>
      <c r="C1375" s="41" t="s">
        <v>175</v>
      </c>
      <c r="D1375" s="41" t="s">
        <v>127</v>
      </c>
      <c r="E1375" s="41">
        <v>122062</v>
      </c>
      <c r="F1375" s="41"/>
      <c r="G1375" s="41"/>
      <c r="H1375" s="41"/>
      <c r="I1375" s="42"/>
      <c r="J1375" s="41"/>
      <c r="K1375" s="41">
        <v>24</v>
      </c>
      <c r="L1375" s="43">
        <v>31317</v>
      </c>
    </row>
    <row r="1376" spans="2:12" outlineLevel="2">
      <c r="B1376" s="35">
        <f t="shared" si="78"/>
        <v>226</v>
      </c>
      <c r="C1376" s="41" t="s">
        <v>175</v>
      </c>
      <c r="D1376" s="41" t="s">
        <v>127</v>
      </c>
      <c r="E1376" s="41">
        <v>384377</v>
      </c>
      <c r="F1376" s="41"/>
      <c r="G1376" s="41"/>
      <c r="H1376" s="41"/>
      <c r="I1376" s="42"/>
      <c r="J1376" s="41"/>
      <c r="K1376" s="41">
        <v>17</v>
      </c>
      <c r="L1376" s="43">
        <v>31349</v>
      </c>
    </row>
    <row r="1377" spans="2:12" outlineLevel="2">
      <c r="B1377" s="35">
        <f t="shared" si="78"/>
        <v>227</v>
      </c>
      <c r="C1377" s="41" t="s">
        <v>175</v>
      </c>
      <c r="D1377" s="41" t="s">
        <v>127</v>
      </c>
      <c r="E1377" s="41">
        <v>214909</v>
      </c>
      <c r="F1377" s="41"/>
      <c r="G1377" s="41"/>
      <c r="H1377" s="41"/>
      <c r="I1377" s="42"/>
      <c r="J1377" s="41"/>
      <c r="K1377" s="41">
        <v>20</v>
      </c>
      <c r="L1377" s="43">
        <v>31324</v>
      </c>
    </row>
    <row r="1378" spans="2:12" outlineLevel="2">
      <c r="B1378" s="35">
        <f t="shared" si="78"/>
        <v>228</v>
      </c>
      <c r="C1378" s="41" t="s">
        <v>175</v>
      </c>
      <c r="D1378" s="41" t="s">
        <v>127</v>
      </c>
      <c r="E1378" s="41">
        <v>108673</v>
      </c>
      <c r="F1378" s="41"/>
      <c r="G1378" s="41"/>
      <c r="H1378" s="41"/>
      <c r="I1378" s="42"/>
      <c r="J1378" s="41"/>
      <c r="K1378" s="41">
        <v>6</v>
      </c>
      <c r="L1378" s="43">
        <v>31314</v>
      </c>
    </row>
    <row r="1379" spans="2:12" outlineLevel="1">
      <c r="B1379" s="60" t="s">
        <v>195</v>
      </c>
      <c r="C1379" s="41">
        <f>SUBTOTAL(3,C1151:C1378)</f>
        <v>228</v>
      </c>
      <c r="D1379" s="41"/>
      <c r="E1379" s="41"/>
      <c r="F1379" s="41"/>
      <c r="G1379" s="41"/>
      <c r="H1379" s="41"/>
      <c r="I1379" s="42"/>
      <c r="J1379" s="41"/>
      <c r="K1379" s="41"/>
      <c r="L1379" s="43"/>
    </row>
    <row r="1380" spans="2:12" outlineLevel="2">
      <c r="B1380" s="35">
        <f>(B1378+1)</f>
        <v>229</v>
      </c>
      <c r="C1380" s="41" t="s">
        <v>69</v>
      </c>
      <c r="D1380" s="41" t="s">
        <v>128</v>
      </c>
      <c r="E1380" s="41">
        <v>24051</v>
      </c>
      <c r="F1380" s="41"/>
      <c r="G1380" s="41" t="s">
        <v>106</v>
      </c>
      <c r="H1380" s="41"/>
      <c r="I1380" s="42"/>
      <c r="J1380" s="41"/>
      <c r="K1380" s="41">
        <v>43</v>
      </c>
      <c r="L1380" s="43">
        <v>51480</v>
      </c>
    </row>
    <row r="1381" spans="2:12" outlineLevel="2">
      <c r="B1381" s="35">
        <f t="shared" ref="B1381:B1444" si="79">(B1380+1)</f>
        <v>230</v>
      </c>
      <c r="C1381" s="41" t="s">
        <v>69</v>
      </c>
      <c r="D1381" s="41" t="s">
        <v>131</v>
      </c>
      <c r="E1381" s="41">
        <v>1005139</v>
      </c>
      <c r="F1381" s="41"/>
      <c r="G1381" s="41" t="s">
        <v>106</v>
      </c>
      <c r="H1381" s="41"/>
      <c r="I1381" s="42"/>
      <c r="J1381" s="41"/>
      <c r="K1381" s="41">
        <v>2</v>
      </c>
      <c r="L1381" s="43">
        <v>52035</v>
      </c>
    </row>
    <row r="1382" spans="2:12" outlineLevel="2">
      <c r="B1382" s="35">
        <f t="shared" si="79"/>
        <v>231</v>
      </c>
      <c r="C1382" s="41" t="s">
        <v>69</v>
      </c>
      <c r="D1382" s="41" t="s">
        <v>128</v>
      </c>
      <c r="E1382" s="41">
        <v>14526</v>
      </c>
      <c r="F1382" s="41"/>
      <c r="G1382" s="41" t="s">
        <v>106</v>
      </c>
      <c r="H1382" s="41"/>
      <c r="I1382" s="42"/>
      <c r="J1382" s="41"/>
      <c r="K1382" s="41">
        <v>26</v>
      </c>
      <c r="L1382" s="43">
        <v>51993</v>
      </c>
    </row>
    <row r="1383" spans="2:12" outlineLevel="2">
      <c r="B1383" s="35">
        <f t="shared" si="79"/>
        <v>232</v>
      </c>
      <c r="C1383" s="41" t="s">
        <v>69</v>
      </c>
      <c r="D1383" s="41" t="s">
        <v>131</v>
      </c>
      <c r="E1383" s="41">
        <v>14011</v>
      </c>
      <c r="F1383" s="41"/>
      <c r="G1383" s="41" t="s">
        <v>106</v>
      </c>
      <c r="H1383" s="41"/>
      <c r="I1383" s="42"/>
      <c r="J1383" s="41"/>
      <c r="K1383" s="41">
        <v>30</v>
      </c>
      <c r="L1383" s="43">
        <v>54260</v>
      </c>
    </row>
    <row r="1384" spans="2:12" outlineLevel="2">
      <c r="B1384" s="35">
        <f t="shared" si="79"/>
        <v>233</v>
      </c>
      <c r="C1384" s="41" t="s">
        <v>69</v>
      </c>
      <c r="D1384" s="41" t="s">
        <v>130</v>
      </c>
      <c r="E1384" s="41">
        <v>135958</v>
      </c>
      <c r="F1384" s="41"/>
      <c r="G1384" s="41" t="s">
        <v>106</v>
      </c>
      <c r="H1384" s="41"/>
      <c r="I1384" s="42"/>
      <c r="J1384" s="41"/>
      <c r="K1384" s="41">
        <v>18</v>
      </c>
      <c r="L1384" s="43">
        <v>55635</v>
      </c>
    </row>
    <row r="1385" spans="2:12" outlineLevel="2">
      <c r="B1385" s="35">
        <f t="shared" si="79"/>
        <v>234</v>
      </c>
      <c r="C1385" s="41" t="s">
        <v>69</v>
      </c>
      <c r="D1385" s="41" t="s">
        <v>128</v>
      </c>
      <c r="E1385" s="41">
        <v>196931</v>
      </c>
      <c r="F1385" s="41"/>
      <c r="G1385" s="41" t="s">
        <v>106</v>
      </c>
      <c r="H1385" s="41"/>
      <c r="I1385" s="42"/>
      <c r="J1385" s="41"/>
      <c r="K1385" s="41">
        <v>16</v>
      </c>
      <c r="L1385" s="43">
        <v>55626</v>
      </c>
    </row>
    <row r="1386" spans="2:12" outlineLevel="2">
      <c r="B1386" s="35">
        <f t="shared" si="79"/>
        <v>235</v>
      </c>
      <c r="C1386" s="41" t="s">
        <v>69</v>
      </c>
      <c r="D1386" s="41" t="s">
        <v>166</v>
      </c>
      <c r="E1386" s="41">
        <v>122384</v>
      </c>
      <c r="F1386" s="41"/>
      <c r="G1386" s="41" t="s">
        <v>106</v>
      </c>
      <c r="H1386" s="41"/>
      <c r="I1386" s="42"/>
      <c r="J1386" s="41"/>
      <c r="K1386" s="41">
        <v>17</v>
      </c>
      <c r="L1386" s="43">
        <v>55634</v>
      </c>
    </row>
    <row r="1387" spans="2:12" outlineLevel="2">
      <c r="B1387" s="35">
        <f t="shared" si="79"/>
        <v>236</v>
      </c>
      <c r="C1387" s="41" t="s">
        <v>69</v>
      </c>
      <c r="D1387" s="41" t="s">
        <v>191</v>
      </c>
      <c r="E1387" s="41">
        <v>88930</v>
      </c>
      <c r="F1387" s="41"/>
      <c r="G1387" s="41" t="s">
        <v>106</v>
      </c>
      <c r="H1387" s="41"/>
      <c r="I1387" s="42"/>
      <c r="J1387" s="41"/>
      <c r="K1387" s="41">
        <v>33</v>
      </c>
      <c r="L1387" s="43">
        <v>55650</v>
      </c>
    </row>
    <row r="1388" spans="2:12" outlineLevel="2">
      <c r="B1388" s="35">
        <f t="shared" si="79"/>
        <v>237</v>
      </c>
      <c r="C1388" s="41" t="s">
        <v>69</v>
      </c>
      <c r="D1388" s="41" t="s">
        <v>128</v>
      </c>
      <c r="E1388" s="41">
        <v>1043387447</v>
      </c>
      <c r="F1388" s="41"/>
      <c r="G1388" s="41" t="s">
        <v>106</v>
      </c>
      <c r="H1388" s="41"/>
      <c r="I1388" s="42"/>
      <c r="J1388" s="41"/>
      <c r="K1388" s="41">
        <v>42</v>
      </c>
      <c r="L1388" s="43">
        <v>58350</v>
      </c>
    </row>
    <row r="1389" spans="2:12" outlineLevel="2">
      <c r="B1389" s="35">
        <f t="shared" si="79"/>
        <v>238</v>
      </c>
      <c r="C1389" s="41" t="s">
        <v>69</v>
      </c>
      <c r="D1389" s="41" t="s">
        <v>167</v>
      </c>
      <c r="E1389" s="41">
        <v>1347404</v>
      </c>
      <c r="F1389" s="41"/>
      <c r="G1389" s="41" t="s">
        <v>106</v>
      </c>
      <c r="H1389" s="41"/>
      <c r="I1389" s="42"/>
      <c r="J1389" s="41"/>
      <c r="K1389" s="41">
        <v>2</v>
      </c>
      <c r="L1389" s="43">
        <v>58351</v>
      </c>
    </row>
    <row r="1390" spans="2:12" outlineLevel="2">
      <c r="B1390" s="35">
        <f t="shared" si="79"/>
        <v>239</v>
      </c>
      <c r="C1390" s="41" t="s">
        <v>69</v>
      </c>
      <c r="D1390" s="41" t="s">
        <v>129</v>
      </c>
      <c r="E1390" s="41">
        <v>912013</v>
      </c>
      <c r="F1390" s="41"/>
      <c r="G1390" s="41" t="s">
        <v>106</v>
      </c>
      <c r="H1390" s="41"/>
      <c r="I1390" s="42"/>
      <c r="J1390" s="41"/>
      <c r="K1390" s="41">
        <v>2</v>
      </c>
      <c r="L1390" s="43">
        <v>58374</v>
      </c>
    </row>
    <row r="1391" spans="2:12" outlineLevel="2">
      <c r="B1391" s="35">
        <f t="shared" si="79"/>
        <v>240</v>
      </c>
      <c r="C1391" s="41" t="s">
        <v>69</v>
      </c>
      <c r="D1391" s="41" t="s">
        <v>128</v>
      </c>
      <c r="E1391" s="41">
        <v>1088781</v>
      </c>
      <c r="F1391" s="41"/>
      <c r="G1391" s="41" t="s">
        <v>106</v>
      </c>
      <c r="H1391" s="41"/>
      <c r="I1391" s="42"/>
      <c r="J1391" s="41"/>
      <c r="K1391" s="41">
        <v>48</v>
      </c>
      <c r="L1391" s="43">
        <v>58379</v>
      </c>
    </row>
    <row r="1392" spans="2:12" outlineLevel="2">
      <c r="B1392" s="35">
        <f t="shared" si="79"/>
        <v>241</v>
      </c>
      <c r="C1392" s="41" t="s">
        <v>69</v>
      </c>
      <c r="D1392" s="41" t="s">
        <v>903</v>
      </c>
      <c r="E1392" s="41">
        <v>900145</v>
      </c>
      <c r="F1392" s="41"/>
      <c r="G1392" s="41" t="s">
        <v>106</v>
      </c>
      <c r="H1392" s="41"/>
      <c r="I1392" s="42"/>
      <c r="J1392" s="41"/>
      <c r="K1392" s="41">
        <v>26</v>
      </c>
      <c r="L1392" s="43">
        <v>59499</v>
      </c>
    </row>
    <row r="1393" spans="2:12" outlineLevel="2">
      <c r="B1393" s="35">
        <f t="shared" si="79"/>
        <v>242</v>
      </c>
      <c r="C1393" s="41" t="s">
        <v>69</v>
      </c>
      <c r="D1393" s="41" t="s">
        <v>128</v>
      </c>
      <c r="E1393" s="41">
        <v>163715</v>
      </c>
      <c r="F1393" s="41"/>
      <c r="G1393" s="41" t="s">
        <v>106</v>
      </c>
      <c r="H1393" s="41"/>
      <c r="I1393" s="42"/>
      <c r="J1393" s="41"/>
      <c r="K1393" s="41">
        <v>7</v>
      </c>
      <c r="L1393" s="43">
        <v>59500</v>
      </c>
    </row>
    <row r="1394" spans="2:12" outlineLevel="2">
      <c r="B1394" s="35">
        <f t="shared" si="79"/>
        <v>243</v>
      </c>
      <c r="C1394" s="41" t="s">
        <v>69</v>
      </c>
      <c r="D1394" s="41" t="s">
        <v>181</v>
      </c>
      <c r="E1394" s="41">
        <v>631431</v>
      </c>
      <c r="F1394" s="41"/>
      <c r="G1394" s="41" t="s">
        <v>106</v>
      </c>
      <c r="H1394" s="41"/>
      <c r="I1394" s="42"/>
      <c r="J1394" s="41"/>
      <c r="K1394" s="41">
        <v>4</v>
      </c>
      <c r="L1394" s="43">
        <v>51467</v>
      </c>
    </row>
    <row r="1395" spans="2:12" outlineLevel="2">
      <c r="B1395" s="35">
        <f t="shared" si="79"/>
        <v>244</v>
      </c>
      <c r="C1395" s="41" t="s">
        <v>69</v>
      </c>
      <c r="D1395" s="41" t="s">
        <v>129</v>
      </c>
      <c r="E1395" s="41">
        <v>1067794</v>
      </c>
      <c r="F1395" s="41"/>
      <c r="G1395" s="41" t="s">
        <v>106</v>
      </c>
      <c r="H1395" s="41"/>
      <c r="I1395" s="42"/>
      <c r="J1395" s="41"/>
      <c r="K1395" s="41">
        <v>2</v>
      </c>
      <c r="L1395" s="43">
        <v>51457</v>
      </c>
    </row>
    <row r="1396" spans="2:12" outlineLevel="2">
      <c r="B1396" s="35">
        <f t="shared" si="79"/>
        <v>245</v>
      </c>
      <c r="C1396" s="41" t="s">
        <v>69</v>
      </c>
      <c r="D1396" s="41" t="s">
        <v>129</v>
      </c>
      <c r="E1396" s="41">
        <v>825798</v>
      </c>
      <c r="F1396" s="41"/>
      <c r="G1396" s="41" t="s">
        <v>106</v>
      </c>
      <c r="H1396" s="41"/>
      <c r="I1396" s="42"/>
      <c r="J1396" s="41"/>
      <c r="K1396" s="41">
        <v>29</v>
      </c>
      <c r="L1396" s="43">
        <v>51458</v>
      </c>
    </row>
    <row r="1397" spans="2:12" outlineLevel="2">
      <c r="B1397" s="35">
        <f t="shared" si="79"/>
        <v>246</v>
      </c>
      <c r="C1397" s="41" t="s">
        <v>69</v>
      </c>
      <c r="D1397" s="41" t="s">
        <v>130</v>
      </c>
      <c r="E1397" s="41" t="s">
        <v>916</v>
      </c>
      <c r="F1397" s="41"/>
      <c r="G1397" s="41" t="s">
        <v>106</v>
      </c>
      <c r="H1397" s="41"/>
      <c r="I1397" s="42"/>
      <c r="J1397" s="41"/>
      <c r="K1397" s="41">
        <v>18</v>
      </c>
      <c r="L1397" s="43">
        <v>51492</v>
      </c>
    </row>
    <row r="1398" spans="2:12" outlineLevel="2">
      <c r="B1398" s="35">
        <f t="shared" si="79"/>
        <v>247</v>
      </c>
      <c r="C1398" s="41" t="s">
        <v>69</v>
      </c>
      <c r="D1398" s="41" t="s">
        <v>129</v>
      </c>
      <c r="E1398" s="41">
        <v>1067793</v>
      </c>
      <c r="F1398" s="41"/>
      <c r="G1398" s="41" t="s">
        <v>106</v>
      </c>
      <c r="H1398" s="41"/>
      <c r="I1398" s="42"/>
      <c r="J1398" s="41"/>
      <c r="K1398" s="41">
        <v>2</v>
      </c>
      <c r="L1398" s="43">
        <v>51476</v>
      </c>
    </row>
    <row r="1399" spans="2:12" outlineLevel="2">
      <c r="B1399" s="35">
        <f t="shared" si="79"/>
        <v>248</v>
      </c>
      <c r="C1399" s="41" t="s">
        <v>69</v>
      </c>
      <c r="D1399" s="41" t="s">
        <v>130</v>
      </c>
      <c r="E1399" s="41">
        <v>122280</v>
      </c>
      <c r="F1399" s="41"/>
      <c r="G1399" s="41" t="s">
        <v>106</v>
      </c>
      <c r="H1399" s="41"/>
      <c r="I1399" s="42"/>
      <c r="J1399" s="41"/>
      <c r="K1399" s="41">
        <v>21</v>
      </c>
      <c r="L1399" s="43">
        <v>51493</v>
      </c>
    </row>
    <row r="1400" spans="2:12" outlineLevel="2">
      <c r="B1400" s="35">
        <f t="shared" si="79"/>
        <v>249</v>
      </c>
      <c r="C1400" s="41" t="s">
        <v>69</v>
      </c>
      <c r="D1400" s="41" t="s">
        <v>129</v>
      </c>
      <c r="E1400" s="41">
        <v>99781</v>
      </c>
      <c r="F1400" s="41"/>
      <c r="G1400" s="41" t="s">
        <v>106</v>
      </c>
      <c r="H1400" s="41"/>
      <c r="I1400" s="42"/>
      <c r="J1400" s="41"/>
      <c r="K1400" s="41">
        <v>12</v>
      </c>
      <c r="L1400" s="43">
        <v>51461</v>
      </c>
    </row>
    <row r="1401" spans="2:12" outlineLevel="2">
      <c r="B1401" s="35">
        <f t="shared" si="79"/>
        <v>250</v>
      </c>
      <c r="C1401" s="41" t="s">
        <v>69</v>
      </c>
      <c r="D1401" s="41" t="s">
        <v>128</v>
      </c>
      <c r="E1401" s="41">
        <v>348298</v>
      </c>
      <c r="F1401" s="41"/>
      <c r="G1401" s="41" t="s">
        <v>106</v>
      </c>
      <c r="H1401" s="41"/>
      <c r="I1401" s="42"/>
      <c r="J1401" s="41"/>
      <c r="K1401" s="41">
        <v>20</v>
      </c>
      <c r="L1401" s="43">
        <v>51495</v>
      </c>
    </row>
    <row r="1402" spans="2:12" outlineLevel="2">
      <c r="B1402" s="35">
        <f t="shared" si="79"/>
        <v>251</v>
      </c>
      <c r="C1402" s="41" t="s">
        <v>69</v>
      </c>
      <c r="D1402" s="41" t="s">
        <v>130</v>
      </c>
      <c r="E1402" s="41">
        <v>798825</v>
      </c>
      <c r="F1402" s="41"/>
      <c r="G1402" s="41" t="s">
        <v>106</v>
      </c>
      <c r="H1402" s="41"/>
      <c r="I1402" s="42"/>
      <c r="J1402" s="41"/>
      <c r="K1402" s="41">
        <v>16</v>
      </c>
      <c r="L1402" s="43">
        <v>51501</v>
      </c>
    </row>
    <row r="1403" spans="2:12" outlineLevel="2">
      <c r="B1403" s="35">
        <f t="shared" si="79"/>
        <v>252</v>
      </c>
      <c r="C1403" s="41" t="s">
        <v>69</v>
      </c>
      <c r="D1403" s="41" t="s">
        <v>167</v>
      </c>
      <c r="E1403" s="41">
        <v>291945</v>
      </c>
      <c r="F1403" s="41"/>
      <c r="G1403" s="41" t="s">
        <v>106</v>
      </c>
      <c r="H1403" s="41"/>
      <c r="I1403" s="42"/>
      <c r="J1403" s="41"/>
      <c r="K1403" s="41">
        <v>25</v>
      </c>
      <c r="L1403" s="43">
        <v>51511</v>
      </c>
    </row>
    <row r="1404" spans="2:12" outlineLevel="2">
      <c r="B1404" s="35">
        <f t="shared" si="79"/>
        <v>253</v>
      </c>
      <c r="C1404" s="41" t="s">
        <v>69</v>
      </c>
      <c r="D1404" s="41" t="s">
        <v>167</v>
      </c>
      <c r="E1404" s="41">
        <v>1147719</v>
      </c>
      <c r="F1404" s="41"/>
      <c r="G1404" s="41" t="s">
        <v>106</v>
      </c>
      <c r="H1404" s="41"/>
      <c r="I1404" s="42"/>
      <c r="J1404" s="41"/>
      <c r="K1404" s="41">
        <v>2</v>
      </c>
      <c r="L1404" s="43">
        <v>51436</v>
      </c>
    </row>
    <row r="1405" spans="2:12" outlineLevel="2">
      <c r="B1405" s="35">
        <f t="shared" si="79"/>
        <v>254</v>
      </c>
      <c r="C1405" s="41" t="s">
        <v>69</v>
      </c>
      <c r="D1405" s="41" t="s">
        <v>128</v>
      </c>
      <c r="E1405" s="41">
        <v>1047759565</v>
      </c>
      <c r="F1405" s="41"/>
      <c r="G1405" s="41" t="s">
        <v>106</v>
      </c>
      <c r="H1405" s="41"/>
      <c r="I1405" s="42"/>
      <c r="J1405" s="41"/>
      <c r="K1405" s="41">
        <v>6</v>
      </c>
      <c r="L1405" s="43">
        <v>51496</v>
      </c>
    </row>
    <row r="1406" spans="2:12" outlineLevel="2">
      <c r="B1406" s="35">
        <f t="shared" si="79"/>
        <v>255</v>
      </c>
      <c r="C1406" s="41" t="s">
        <v>69</v>
      </c>
      <c r="D1406" s="41" t="s">
        <v>167</v>
      </c>
      <c r="E1406" s="41">
        <v>1374364</v>
      </c>
      <c r="F1406" s="41"/>
      <c r="G1406" s="41" t="s">
        <v>106</v>
      </c>
      <c r="H1406" s="41"/>
      <c r="I1406" s="42"/>
      <c r="J1406" s="41"/>
      <c r="K1406" s="41">
        <v>9</v>
      </c>
      <c r="L1406" s="43">
        <v>51435</v>
      </c>
    </row>
    <row r="1407" spans="2:12" outlineLevel="2">
      <c r="B1407" s="35">
        <f t="shared" si="79"/>
        <v>256</v>
      </c>
      <c r="C1407" s="41" t="s">
        <v>69</v>
      </c>
      <c r="D1407" s="41" t="s">
        <v>167</v>
      </c>
      <c r="E1407" s="41">
        <v>1381406</v>
      </c>
      <c r="F1407" s="41"/>
      <c r="G1407" s="41" t="s">
        <v>106</v>
      </c>
      <c r="H1407" s="41"/>
      <c r="I1407" s="42"/>
      <c r="J1407" s="41"/>
      <c r="K1407" s="41">
        <v>4</v>
      </c>
      <c r="L1407" s="43">
        <v>51445</v>
      </c>
    </row>
    <row r="1408" spans="2:12" outlineLevel="2">
      <c r="B1408" s="35">
        <f t="shared" si="79"/>
        <v>257</v>
      </c>
      <c r="C1408" s="41" t="s">
        <v>69</v>
      </c>
      <c r="D1408" s="41" t="s">
        <v>167</v>
      </c>
      <c r="E1408" s="41">
        <v>1138804</v>
      </c>
      <c r="F1408" s="41"/>
      <c r="G1408" s="41" t="s">
        <v>106</v>
      </c>
      <c r="H1408" s="41"/>
      <c r="I1408" s="42"/>
      <c r="J1408" s="41"/>
      <c r="K1408" s="41">
        <v>10</v>
      </c>
      <c r="L1408" s="43">
        <v>51439</v>
      </c>
    </row>
    <row r="1409" spans="2:12" outlineLevel="2">
      <c r="B1409" s="35">
        <f t="shared" si="79"/>
        <v>258</v>
      </c>
      <c r="C1409" s="41" t="s">
        <v>69</v>
      </c>
      <c r="D1409" s="41" t="s">
        <v>129</v>
      </c>
      <c r="E1409" s="41">
        <v>1148879</v>
      </c>
      <c r="F1409" s="41"/>
      <c r="G1409" s="41" t="s">
        <v>106</v>
      </c>
      <c r="H1409" s="41"/>
      <c r="I1409" s="42"/>
      <c r="J1409" s="41"/>
      <c r="K1409" s="41">
        <v>2</v>
      </c>
      <c r="L1409" s="43">
        <v>51468</v>
      </c>
    </row>
    <row r="1410" spans="2:12" outlineLevel="2">
      <c r="B1410" s="35">
        <f t="shared" si="79"/>
        <v>259</v>
      </c>
      <c r="C1410" s="41" t="s">
        <v>69</v>
      </c>
      <c r="D1410" s="41" t="s">
        <v>167</v>
      </c>
      <c r="E1410" s="41">
        <v>922733</v>
      </c>
      <c r="F1410" s="41"/>
      <c r="G1410" s="41" t="s">
        <v>106</v>
      </c>
      <c r="H1410" s="41"/>
      <c r="I1410" s="42"/>
      <c r="J1410" s="41"/>
      <c r="K1410" s="41">
        <v>11</v>
      </c>
      <c r="L1410" s="43">
        <v>51428</v>
      </c>
    </row>
    <row r="1411" spans="2:12" outlineLevel="2">
      <c r="B1411" s="35">
        <f t="shared" si="79"/>
        <v>260</v>
      </c>
      <c r="C1411" s="41" t="s">
        <v>69</v>
      </c>
      <c r="D1411" s="41" t="s">
        <v>129</v>
      </c>
      <c r="E1411" s="41">
        <v>744748</v>
      </c>
      <c r="F1411" s="41"/>
      <c r="G1411" s="41" t="s">
        <v>106</v>
      </c>
      <c r="H1411" s="41"/>
      <c r="I1411" s="42"/>
      <c r="J1411" s="41"/>
      <c r="K1411" s="41">
        <v>22</v>
      </c>
      <c r="L1411" s="43">
        <v>51477</v>
      </c>
    </row>
    <row r="1412" spans="2:12" outlineLevel="2">
      <c r="B1412" s="35">
        <f t="shared" si="79"/>
        <v>261</v>
      </c>
      <c r="C1412" s="41" t="s">
        <v>69</v>
      </c>
      <c r="D1412" s="41" t="s">
        <v>181</v>
      </c>
      <c r="E1412" s="41">
        <v>961409</v>
      </c>
      <c r="F1412" s="41"/>
      <c r="G1412" s="41" t="s">
        <v>106</v>
      </c>
      <c r="H1412" s="41"/>
      <c r="I1412" s="42"/>
      <c r="J1412" s="41"/>
      <c r="K1412" s="41">
        <v>32</v>
      </c>
      <c r="L1412" s="43">
        <v>51505</v>
      </c>
    </row>
    <row r="1413" spans="2:12" outlineLevel="2">
      <c r="B1413" s="35">
        <f t="shared" si="79"/>
        <v>262</v>
      </c>
      <c r="C1413" s="41" t="s">
        <v>69</v>
      </c>
      <c r="D1413" s="41" t="s">
        <v>129</v>
      </c>
      <c r="E1413" s="41">
        <v>354644</v>
      </c>
      <c r="F1413" s="41"/>
      <c r="G1413" s="41" t="s">
        <v>106</v>
      </c>
      <c r="H1413" s="41"/>
      <c r="I1413" s="42"/>
      <c r="J1413" s="41"/>
      <c r="K1413" s="41">
        <v>46</v>
      </c>
      <c r="L1413" s="43">
        <v>51475</v>
      </c>
    </row>
    <row r="1414" spans="2:12" outlineLevel="2">
      <c r="B1414" s="35">
        <f t="shared" si="79"/>
        <v>263</v>
      </c>
      <c r="C1414" s="41" t="s">
        <v>69</v>
      </c>
      <c r="D1414" s="41" t="s">
        <v>128</v>
      </c>
      <c r="E1414" s="41">
        <v>1041696047</v>
      </c>
      <c r="F1414" s="41"/>
      <c r="G1414" s="41" t="s">
        <v>106</v>
      </c>
      <c r="H1414" s="41"/>
      <c r="I1414" s="42"/>
      <c r="J1414" s="41"/>
      <c r="K1414" s="41">
        <v>10</v>
      </c>
      <c r="L1414" s="43">
        <v>51494</v>
      </c>
    </row>
    <row r="1415" spans="2:12" outlineLevel="2">
      <c r="B1415" s="35">
        <f t="shared" si="79"/>
        <v>264</v>
      </c>
      <c r="C1415" s="41" t="s">
        <v>69</v>
      </c>
      <c r="D1415" s="41" t="s">
        <v>130</v>
      </c>
      <c r="E1415" s="41">
        <v>391778</v>
      </c>
      <c r="F1415" s="41"/>
      <c r="G1415" s="41" t="s">
        <v>106</v>
      </c>
      <c r="H1415" s="41"/>
      <c r="I1415" s="42"/>
      <c r="J1415" s="41"/>
      <c r="K1415" s="41">
        <v>5</v>
      </c>
      <c r="L1415" s="43">
        <v>51490</v>
      </c>
    </row>
    <row r="1416" spans="2:12" outlineLevel="2">
      <c r="B1416" s="35">
        <f t="shared" si="79"/>
        <v>265</v>
      </c>
      <c r="C1416" s="41" t="s">
        <v>69</v>
      </c>
      <c r="D1416" s="41" t="s">
        <v>130</v>
      </c>
      <c r="E1416" s="41">
        <v>135501</v>
      </c>
      <c r="F1416" s="41"/>
      <c r="G1416" s="41" t="s">
        <v>106</v>
      </c>
      <c r="H1416" s="41"/>
      <c r="I1416" s="42"/>
      <c r="J1416" s="41"/>
      <c r="K1416" s="41">
        <v>19</v>
      </c>
      <c r="L1416" s="43">
        <v>51503</v>
      </c>
    </row>
    <row r="1417" spans="2:12" outlineLevel="2">
      <c r="B1417" s="35">
        <f t="shared" si="79"/>
        <v>266</v>
      </c>
      <c r="C1417" s="41" t="s">
        <v>69</v>
      </c>
      <c r="D1417" s="41" t="s">
        <v>130</v>
      </c>
      <c r="E1417" s="41">
        <v>88992</v>
      </c>
      <c r="F1417" s="41"/>
      <c r="G1417" s="41" t="s">
        <v>106</v>
      </c>
      <c r="H1417" s="41"/>
      <c r="I1417" s="42"/>
      <c r="J1417" s="41"/>
      <c r="K1417" s="41">
        <v>47</v>
      </c>
      <c r="L1417" s="43">
        <v>51504</v>
      </c>
    </row>
    <row r="1418" spans="2:12" outlineLevel="2">
      <c r="B1418" s="35">
        <f t="shared" si="79"/>
        <v>267</v>
      </c>
      <c r="C1418" s="41" t="s">
        <v>69</v>
      </c>
      <c r="D1418" s="41" t="s">
        <v>128</v>
      </c>
      <c r="E1418" s="41">
        <v>170752</v>
      </c>
      <c r="F1418" s="41"/>
      <c r="G1418" s="41" t="s">
        <v>106</v>
      </c>
      <c r="H1418" s="41"/>
      <c r="I1418" s="42"/>
      <c r="J1418" s="41"/>
      <c r="K1418" s="41">
        <v>42</v>
      </c>
      <c r="L1418" s="43">
        <v>51491</v>
      </c>
    </row>
    <row r="1419" spans="2:12" outlineLevel="2">
      <c r="B1419" s="35">
        <f t="shared" si="79"/>
        <v>268</v>
      </c>
      <c r="C1419" s="41" t="s">
        <v>69</v>
      </c>
      <c r="D1419" s="41" t="s">
        <v>129</v>
      </c>
      <c r="E1419" s="41">
        <v>130844</v>
      </c>
      <c r="F1419" s="41"/>
      <c r="G1419" s="41" t="s">
        <v>106</v>
      </c>
      <c r="H1419" s="41"/>
      <c r="I1419" s="42"/>
      <c r="J1419" s="41"/>
      <c r="K1419" s="41">
        <v>11</v>
      </c>
      <c r="L1419" s="43">
        <v>51473</v>
      </c>
    </row>
    <row r="1420" spans="2:12" outlineLevel="2">
      <c r="B1420" s="35">
        <f t="shared" si="79"/>
        <v>269</v>
      </c>
      <c r="C1420" s="41" t="s">
        <v>69</v>
      </c>
      <c r="D1420" s="41" t="s">
        <v>130</v>
      </c>
      <c r="E1420" s="41">
        <v>162322</v>
      </c>
      <c r="F1420" s="41"/>
      <c r="G1420" s="41" t="s">
        <v>106</v>
      </c>
      <c r="H1420" s="41"/>
      <c r="I1420" s="42"/>
      <c r="J1420" s="41"/>
      <c r="K1420" s="41">
        <v>24</v>
      </c>
      <c r="L1420" s="43">
        <v>51507</v>
      </c>
    </row>
    <row r="1421" spans="2:12" outlineLevel="2">
      <c r="B1421" s="35">
        <f t="shared" si="79"/>
        <v>270</v>
      </c>
      <c r="C1421" s="41" t="s">
        <v>69</v>
      </c>
      <c r="D1421" s="41" t="s">
        <v>167</v>
      </c>
      <c r="E1421" s="41">
        <v>153356</v>
      </c>
      <c r="F1421" s="41"/>
      <c r="G1421" s="41" t="s">
        <v>106</v>
      </c>
      <c r="H1421" s="41"/>
      <c r="I1421" s="42"/>
      <c r="J1421" s="41"/>
      <c r="K1421" s="41">
        <v>24</v>
      </c>
      <c r="L1421" s="43">
        <v>51429</v>
      </c>
    </row>
    <row r="1422" spans="2:12" outlineLevel="2">
      <c r="B1422" s="35">
        <f t="shared" si="79"/>
        <v>271</v>
      </c>
      <c r="C1422" s="41" t="s">
        <v>69</v>
      </c>
      <c r="D1422" s="41" t="s">
        <v>167</v>
      </c>
      <c r="E1422" s="41">
        <v>172540</v>
      </c>
      <c r="F1422" s="41"/>
      <c r="G1422" s="41" t="s">
        <v>106</v>
      </c>
      <c r="H1422" s="41"/>
      <c r="I1422" s="42"/>
      <c r="J1422" s="41"/>
      <c r="K1422" s="41">
        <v>20</v>
      </c>
      <c r="L1422" s="43">
        <v>51431</v>
      </c>
    </row>
    <row r="1423" spans="2:12" outlineLevel="2">
      <c r="B1423" s="35">
        <f t="shared" si="79"/>
        <v>272</v>
      </c>
      <c r="C1423" s="41" t="s">
        <v>69</v>
      </c>
      <c r="D1423" s="41" t="s">
        <v>129</v>
      </c>
      <c r="E1423" s="41">
        <v>1347354</v>
      </c>
      <c r="F1423" s="41"/>
      <c r="G1423" s="41" t="s">
        <v>106</v>
      </c>
      <c r="H1423" s="41"/>
      <c r="I1423" s="42"/>
      <c r="J1423" s="41"/>
      <c r="K1423" s="41">
        <v>3</v>
      </c>
      <c r="L1423" s="43">
        <v>51456</v>
      </c>
    </row>
    <row r="1424" spans="2:12" outlineLevel="2">
      <c r="B1424" s="35">
        <f t="shared" si="79"/>
        <v>273</v>
      </c>
      <c r="C1424" s="41" t="s">
        <v>69</v>
      </c>
      <c r="D1424" s="41" t="s">
        <v>167</v>
      </c>
      <c r="E1424" s="41">
        <v>1379173</v>
      </c>
      <c r="F1424" s="41"/>
      <c r="G1424" s="41" t="s">
        <v>106</v>
      </c>
      <c r="H1424" s="41"/>
      <c r="I1424" s="42"/>
      <c r="J1424" s="41"/>
      <c r="K1424" s="41">
        <v>8</v>
      </c>
      <c r="L1424" s="43">
        <v>51443</v>
      </c>
    </row>
    <row r="1425" spans="2:12" outlineLevel="2">
      <c r="B1425" s="35">
        <f t="shared" si="79"/>
        <v>274</v>
      </c>
      <c r="C1425" s="41" t="s">
        <v>69</v>
      </c>
      <c r="D1425" s="41" t="s">
        <v>181</v>
      </c>
      <c r="E1425" s="41">
        <v>1065650</v>
      </c>
      <c r="F1425" s="41"/>
      <c r="G1425" s="41" t="s">
        <v>106</v>
      </c>
      <c r="H1425" s="41"/>
      <c r="I1425" s="42"/>
      <c r="J1425" s="41"/>
      <c r="K1425" s="41">
        <v>2</v>
      </c>
      <c r="L1425" s="43">
        <v>51478</v>
      </c>
    </row>
    <row r="1426" spans="2:12" outlineLevel="2">
      <c r="B1426" s="35">
        <f t="shared" si="79"/>
        <v>275</v>
      </c>
      <c r="C1426" s="41" t="s">
        <v>69</v>
      </c>
      <c r="D1426" s="41" t="s">
        <v>181</v>
      </c>
      <c r="E1426" s="41">
        <v>350526</v>
      </c>
      <c r="F1426" s="41"/>
      <c r="G1426" s="41" t="s">
        <v>106</v>
      </c>
      <c r="H1426" s="41"/>
      <c r="I1426" s="42"/>
      <c r="J1426" s="41"/>
      <c r="K1426" s="41">
        <v>36</v>
      </c>
      <c r="L1426" s="43">
        <v>51499</v>
      </c>
    </row>
    <row r="1427" spans="2:12" outlineLevel="2">
      <c r="B1427" s="35">
        <f t="shared" si="79"/>
        <v>276</v>
      </c>
      <c r="C1427" s="41" t="s">
        <v>69</v>
      </c>
      <c r="D1427" s="41" t="s">
        <v>129</v>
      </c>
      <c r="E1427" s="41">
        <v>260653</v>
      </c>
      <c r="F1427" s="41"/>
      <c r="G1427" s="41" t="s">
        <v>106</v>
      </c>
      <c r="H1427" s="41"/>
      <c r="I1427" s="42"/>
      <c r="J1427" s="41"/>
      <c r="K1427" s="41">
        <v>17</v>
      </c>
      <c r="L1427" s="43">
        <v>51472</v>
      </c>
    </row>
    <row r="1428" spans="2:12" outlineLevel="2">
      <c r="B1428" s="35">
        <f t="shared" si="79"/>
        <v>277</v>
      </c>
      <c r="C1428" s="41" t="s">
        <v>69</v>
      </c>
      <c r="D1428" s="41" t="s">
        <v>128</v>
      </c>
      <c r="E1428" s="41">
        <v>400731</v>
      </c>
      <c r="F1428" s="41"/>
      <c r="G1428" s="41" t="s">
        <v>106</v>
      </c>
      <c r="H1428" s="41"/>
      <c r="I1428" s="42"/>
      <c r="J1428" s="41"/>
      <c r="K1428" s="41">
        <v>4</v>
      </c>
      <c r="L1428" s="43">
        <v>51483</v>
      </c>
    </row>
    <row r="1429" spans="2:12" outlineLevel="2">
      <c r="B1429" s="35">
        <f t="shared" si="79"/>
        <v>278</v>
      </c>
      <c r="C1429" s="41" t="s">
        <v>69</v>
      </c>
      <c r="D1429" s="41" t="s">
        <v>167</v>
      </c>
      <c r="E1429" s="41">
        <v>442497</v>
      </c>
      <c r="F1429" s="41"/>
      <c r="G1429" s="41" t="s">
        <v>106</v>
      </c>
      <c r="H1429" s="41"/>
      <c r="I1429" s="42"/>
      <c r="J1429" s="41"/>
      <c r="K1429" s="41">
        <v>2</v>
      </c>
      <c r="L1429" s="43">
        <v>51430</v>
      </c>
    </row>
    <row r="1430" spans="2:12" outlineLevel="2">
      <c r="B1430" s="35">
        <f t="shared" si="79"/>
        <v>279</v>
      </c>
      <c r="C1430" s="41" t="s">
        <v>69</v>
      </c>
      <c r="D1430" s="41" t="s">
        <v>167</v>
      </c>
      <c r="E1430" s="41">
        <v>1388365</v>
      </c>
      <c r="F1430" s="41"/>
      <c r="G1430" s="41" t="s">
        <v>106</v>
      </c>
      <c r="H1430" s="41"/>
      <c r="I1430" s="42"/>
      <c r="J1430" s="41"/>
      <c r="K1430" s="41">
        <v>2</v>
      </c>
      <c r="L1430" s="43">
        <v>51432</v>
      </c>
    </row>
    <row r="1431" spans="2:12" outlineLevel="2">
      <c r="B1431" s="35">
        <f t="shared" si="79"/>
        <v>280</v>
      </c>
      <c r="C1431" s="41" t="s">
        <v>69</v>
      </c>
      <c r="D1431" s="41" t="s">
        <v>167</v>
      </c>
      <c r="E1431" s="41">
        <v>1384865</v>
      </c>
      <c r="F1431" s="41"/>
      <c r="G1431" s="41" t="s">
        <v>106</v>
      </c>
      <c r="H1431" s="41"/>
      <c r="I1431" s="42"/>
      <c r="J1431" s="41"/>
      <c r="K1431" s="41">
        <v>2</v>
      </c>
      <c r="L1431" s="43">
        <v>51434</v>
      </c>
    </row>
    <row r="1432" spans="2:12" outlineLevel="2">
      <c r="B1432" s="35">
        <f t="shared" si="79"/>
        <v>281</v>
      </c>
      <c r="C1432" s="41" t="s">
        <v>69</v>
      </c>
      <c r="D1432" s="41" t="s">
        <v>128</v>
      </c>
      <c r="E1432" s="41">
        <v>1042093910</v>
      </c>
      <c r="F1432" s="41"/>
      <c r="G1432" s="41" t="s">
        <v>106</v>
      </c>
      <c r="H1432" s="41"/>
      <c r="I1432" s="42"/>
      <c r="J1432" s="41"/>
      <c r="K1432" s="41">
        <v>9</v>
      </c>
      <c r="L1432" s="43">
        <v>51482</v>
      </c>
    </row>
    <row r="1433" spans="2:12" outlineLevel="2">
      <c r="B1433" s="35">
        <f t="shared" si="79"/>
        <v>282</v>
      </c>
      <c r="C1433" s="41" t="s">
        <v>69</v>
      </c>
      <c r="D1433" s="41" t="s">
        <v>129</v>
      </c>
      <c r="E1433" s="41">
        <v>1388854</v>
      </c>
      <c r="F1433" s="41"/>
      <c r="G1433" s="41" t="s">
        <v>106</v>
      </c>
      <c r="H1433" s="41"/>
      <c r="I1433" s="42"/>
      <c r="J1433" s="41"/>
      <c r="K1433" s="41">
        <v>2</v>
      </c>
      <c r="L1433" s="43">
        <v>51474</v>
      </c>
    </row>
    <row r="1434" spans="2:12" outlineLevel="2">
      <c r="B1434" s="35">
        <f t="shared" si="79"/>
        <v>283</v>
      </c>
      <c r="C1434" s="41" t="s">
        <v>69</v>
      </c>
      <c r="D1434" s="41" t="s">
        <v>167</v>
      </c>
      <c r="E1434" s="41">
        <v>299465</v>
      </c>
      <c r="F1434" s="41"/>
      <c r="G1434" s="41" t="s">
        <v>106</v>
      </c>
      <c r="H1434" s="41"/>
      <c r="I1434" s="42"/>
      <c r="J1434" s="41"/>
      <c r="K1434" s="41">
        <v>42</v>
      </c>
      <c r="L1434" s="43">
        <v>51442</v>
      </c>
    </row>
    <row r="1435" spans="2:12" outlineLevel="2">
      <c r="B1435" s="35">
        <f t="shared" si="79"/>
        <v>284</v>
      </c>
      <c r="C1435" s="41" t="s">
        <v>69</v>
      </c>
      <c r="D1435" s="41" t="s">
        <v>128</v>
      </c>
      <c r="E1435" s="41">
        <v>394621</v>
      </c>
      <c r="F1435" s="41"/>
      <c r="G1435" s="41" t="s">
        <v>106</v>
      </c>
      <c r="H1435" s="41"/>
      <c r="I1435" s="42"/>
      <c r="J1435" s="41"/>
      <c r="K1435" s="41">
        <v>3</v>
      </c>
      <c r="L1435" s="43">
        <v>51484</v>
      </c>
    </row>
    <row r="1436" spans="2:12" outlineLevel="2">
      <c r="B1436" s="35">
        <f t="shared" si="79"/>
        <v>285</v>
      </c>
      <c r="C1436" s="41" t="s">
        <v>69</v>
      </c>
      <c r="D1436" s="41" t="s">
        <v>129</v>
      </c>
      <c r="E1436" s="41">
        <v>1265743</v>
      </c>
      <c r="F1436" s="41"/>
      <c r="G1436" s="41" t="s">
        <v>106</v>
      </c>
      <c r="H1436" s="41"/>
      <c r="I1436" s="42"/>
      <c r="J1436" s="41"/>
      <c r="K1436" s="41">
        <v>8</v>
      </c>
      <c r="L1436" s="43">
        <v>51463</v>
      </c>
    </row>
    <row r="1437" spans="2:12" outlineLevel="2">
      <c r="B1437" s="35">
        <f t="shared" si="79"/>
        <v>286</v>
      </c>
      <c r="C1437" s="41" t="s">
        <v>69</v>
      </c>
      <c r="D1437" s="41" t="s">
        <v>128</v>
      </c>
      <c r="E1437" s="41">
        <v>1085504</v>
      </c>
      <c r="F1437" s="41"/>
      <c r="G1437" s="41" t="s">
        <v>106</v>
      </c>
      <c r="H1437" s="41"/>
      <c r="I1437" s="42"/>
      <c r="J1437" s="41"/>
      <c r="K1437" s="41">
        <v>2</v>
      </c>
      <c r="L1437" s="43">
        <v>51488</v>
      </c>
    </row>
    <row r="1438" spans="2:12" outlineLevel="2">
      <c r="B1438" s="35">
        <f t="shared" si="79"/>
        <v>287</v>
      </c>
      <c r="C1438" s="41" t="s">
        <v>69</v>
      </c>
      <c r="D1438" s="41" t="s">
        <v>128</v>
      </c>
      <c r="E1438" s="41">
        <v>421373</v>
      </c>
      <c r="F1438" s="41"/>
      <c r="G1438" s="41" t="s">
        <v>106</v>
      </c>
      <c r="H1438" s="41"/>
      <c r="I1438" s="42"/>
      <c r="J1438" s="41"/>
      <c r="K1438" s="41">
        <v>7</v>
      </c>
      <c r="L1438" s="43">
        <v>51485</v>
      </c>
    </row>
    <row r="1439" spans="2:12" outlineLevel="2">
      <c r="B1439" s="35">
        <f t="shared" si="79"/>
        <v>288</v>
      </c>
      <c r="C1439" s="41" t="s">
        <v>69</v>
      </c>
      <c r="D1439" s="41" t="s">
        <v>130</v>
      </c>
      <c r="E1439" s="41">
        <v>391318</v>
      </c>
      <c r="F1439" s="41"/>
      <c r="G1439" s="41" t="s">
        <v>106</v>
      </c>
      <c r="H1439" s="41"/>
      <c r="I1439" s="42"/>
      <c r="J1439" s="41"/>
      <c r="K1439" s="41">
        <v>5</v>
      </c>
      <c r="L1439" s="43">
        <v>51500</v>
      </c>
    </row>
    <row r="1440" spans="2:12" outlineLevel="2">
      <c r="B1440" s="35">
        <f t="shared" si="79"/>
        <v>289</v>
      </c>
      <c r="C1440" s="41" t="s">
        <v>69</v>
      </c>
      <c r="D1440" s="41" t="s">
        <v>130</v>
      </c>
      <c r="E1440" s="41">
        <v>778926</v>
      </c>
      <c r="F1440" s="41"/>
      <c r="G1440" s="41" t="s">
        <v>106</v>
      </c>
      <c r="H1440" s="41"/>
      <c r="I1440" s="42"/>
      <c r="J1440" s="41"/>
      <c r="K1440" s="41">
        <v>2</v>
      </c>
      <c r="L1440" s="43">
        <v>51508</v>
      </c>
    </row>
    <row r="1441" spans="2:12" outlineLevel="2">
      <c r="B1441" s="35">
        <f t="shared" si="79"/>
        <v>290</v>
      </c>
      <c r="C1441" s="41" t="s">
        <v>69</v>
      </c>
      <c r="D1441" s="41" t="s">
        <v>167</v>
      </c>
      <c r="E1441" s="41">
        <v>1335905</v>
      </c>
      <c r="F1441" s="41"/>
      <c r="G1441" s="41" t="s">
        <v>106</v>
      </c>
      <c r="H1441" s="41"/>
      <c r="I1441" s="42"/>
      <c r="J1441" s="41"/>
      <c r="K1441" s="41">
        <v>2</v>
      </c>
      <c r="L1441" s="43">
        <v>51433</v>
      </c>
    </row>
    <row r="1442" spans="2:12" outlineLevel="2">
      <c r="B1442" s="35">
        <f t="shared" si="79"/>
        <v>291</v>
      </c>
      <c r="C1442" s="41" t="s">
        <v>69</v>
      </c>
      <c r="D1442" s="41" t="s">
        <v>129</v>
      </c>
      <c r="E1442" s="41">
        <v>315815</v>
      </c>
      <c r="F1442" s="41"/>
      <c r="G1442" s="41" t="s">
        <v>106</v>
      </c>
      <c r="H1442" s="41"/>
      <c r="I1442" s="42"/>
      <c r="J1442" s="41"/>
      <c r="K1442" s="41">
        <v>19</v>
      </c>
      <c r="L1442" s="43">
        <v>51470</v>
      </c>
    </row>
    <row r="1443" spans="2:12" outlineLevel="2">
      <c r="B1443" s="35">
        <f t="shared" si="79"/>
        <v>292</v>
      </c>
      <c r="C1443" s="41" t="s">
        <v>69</v>
      </c>
      <c r="D1443" s="41" t="s">
        <v>130</v>
      </c>
      <c r="E1443" s="41">
        <v>1041669</v>
      </c>
      <c r="F1443" s="41"/>
      <c r="G1443" s="41" t="s">
        <v>106</v>
      </c>
      <c r="H1443" s="41"/>
      <c r="I1443" s="42"/>
      <c r="J1443" s="41"/>
      <c r="K1443" s="41">
        <v>2</v>
      </c>
      <c r="L1443" s="43">
        <v>51506</v>
      </c>
    </row>
    <row r="1444" spans="2:12" outlineLevel="2">
      <c r="B1444" s="35">
        <f t="shared" si="79"/>
        <v>293</v>
      </c>
      <c r="C1444" s="41" t="s">
        <v>69</v>
      </c>
      <c r="D1444" s="41" t="s">
        <v>130</v>
      </c>
      <c r="E1444" s="41">
        <v>1001164</v>
      </c>
      <c r="F1444" s="41"/>
      <c r="G1444" s="41" t="s">
        <v>106</v>
      </c>
      <c r="H1444" s="41"/>
      <c r="I1444" s="42"/>
      <c r="J1444" s="41"/>
      <c r="K1444" s="41">
        <v>37</v>
      </c>
      <c r="L1444" s="43">
        <v>51489</v>
      </c>
    </row>
    <row r="1445" spans="2:12" outlineLevel="2">
      <c r="B1445" s="35">
        <f t="shared" ref="B1445:B1508" si="80">(B1444+1)</f>
        <v>294</v>
      </c>
      <c r="C1445" s="41" t="s">
        <v>69</v>
      </c>
      <c r="D1445" s="41" t="s">
        <v>167</v>
      </c>
      <c r="E1445" s="41">
        <v>267065</v>
      </c>
      <c r="F1445" s="41"/>
      <c r="G1445" s="41" t="s">
        <v>106</v>
      </c>
      <c r="H1445" s="41"/>
      <c r="I1445" s="42"/>
      <c r="J1445" s="41"/>
      <c r="K1445" s="41">
        <v>8</v>
      </c>
      <c r="L1445" s="43">
        <v>51438</v>
      </c>
    </row>
    <row r="1446" spans="2:12" outlineLevel="2">
      <c r="B1446" s="35">
        <f t="shared" si="80"/>
        <v>295</v>
      </c>
      <c r="C1446" s="41" t="s">
        <v>69</v>
      </c>
      <c r="D1446" s="41" t="s">
        <v>167</v>
      </c>
      <c r="E1446" s="41">
        <v>1297596</v>
      </c>
      <c r="F1446" s="41"/>
      <c r="G1446" s="41" t="s">
        <v>106</v>
      </c>
      <c r="H1446" s="41"/>
      <c r="I1446" s="42"/>
      <c r="J1446" s="41"/>
      <c r="K1446" s="41">
        <v>3</v>
      </c>
      <c r="L1446" s="43">
        <v>51446</v>
      </c>
    </row>
    <row r="1447" spans="2:12" outlineLevel="2">
      <c r="B1447" s="35">
        <f t="shared" si="80"/>
        <v>296</v>
      </c>
      <c r="C1447" s="41" t="s">
        <v>69</v>
      </c>
      <c r="D1447" s="41" t="s">
        <v>129</v>
      </c>
      <c r="E1447" s="41">
        <v>894766</v>
      </c>
      <c r="F1447" s="41"/>
      <c r="G1447" s="41" t="s">
        <v>106</v>
      </c>
      <c r="H1447" s="41"/>
      <c r="I1447" s="42"/>
      <c r="J1447" s="41"/>
      <c r="K1447" s="41">
        <v>4</v>
      </c>
      <c r="L1447" s="43">
        <v>51466</v>
      </c>
    </row>
    <row r="1448" spans="2:12" outlineLevel="2">
      <c r="B1448" s="35">
        <f t="shared" si="80"/>
        <v>297</v>
      </c>
      <c r="C1448" s="41" t="s">
        <v>69</v>
      </c>
      <c r="D1448" s="41" t="s">
        <v>167</v>
      </c>
      <c r="E1448" s="41">
        <v>225132</v>
      </c>
      <c r="F1448" s="41"/>
      <c r="G1448" s="41" t="s">
        <v>106</v>
      </c>
      <c r="H1448" s="41"/>
      <c r="I1448" s="42"/>
      <c r="J1448" s="41"/>
      <c r="K1448" s="41">
        <v>24</v>
      </c>
      <c r="L1448" s="43">
        <v>51440</v>
      </c>
    </row>
    <row r="1449" spans="2:12" outlineLevel="2">
      <c r="B1449" s="35">
        <f t="shared" si="80"/>
        <v>298</v>
      </c>
      <c r="C1449" s="41" t="s">
        <v>69</v>
      </c>
      <c r="D1449" s="41" t="s">
        <v>129</v>
      </c>
      <c r="E1449" s="41">
        <v>213661</v>
      </c>
      <c r="F1449" s="41"/>
      <c r="G1449" s="41" t="s">
        <v>106</v>
      </c>
      <c r="H1449" s="41"/>
      <c r="I1449" s="42"/>
      <c r="J1449" s="41"/>
      <c r="K1449" s="41">
        <v>20</v>
      </c>
      <c r="L1449" s="43">
        <v>51465</v>
      </c>
    </row>
    <row r="1450" spans="2:12" outlineLevel="2">
      <c r="B1450" s="35">
        <f t="shared" si="80"/>
        <v>299</v>
      </c>
      <c r="C1450" s="41" t="s">
        <v>69</v>
      </c>
      <c r="D1450" s="41" t="s">
        <v>129</v>
      </c>
      <c r="E1450" s="41">
        <v>894739</v>
      </c>
      <c r="F1450" s="41"/>
      <c r="G1450" s="41" t="s">
        <v>106</v>
      </c>
      <c r="H1450" s="41"/>
      <c r="I1450" s="42"/>
      <c r="J1450" s="41"/>
      <c r="K1450" s="41">
        <v>3</v>
      </c>
      <c r="L1450" s="43">
        <v>51469</v>
      </c>
    </row>
    <row r="1451" spans="2:12" outlineLevel="2">
      <c r="B1451" s="35">
        <f t="shared" si="80"/>
        <v>300</v>
      </c>
      <c r="C1451" s="41" t="s">
        <v>69</v>
      </c>
      <c r="D1451" s="41" t="s">
        <v>167</v>
      </c>
      <c r="E1451" s="41">
        <v>223654</v>
      </c>
      <c r="F1451" s="41"/>
      <c r="G1451" s="41" t="s">
        <v>106</v>
      </c>
      <c r="H1451" s="41"/>
      <c r="I1451" s="42"/>
      <c r="J1451" s="41"/>
      <c r="K1451" s="41">
        <v>49</v>
      </c>
      <c r="L1451" s="43">
        <v>51441</v>
      </c>
    </row>
    <row r="1452" spans="2:12" outlineLevel="2">
      <c r="B1452" s="35">
        <f t="shared" si="80"/>
        <v>301</v>
      </c>
      <c r="C1452" s="41" t="s">
        <v>69</v>
      </c>
      <c r="D1452" s="41" t="s">
        <v>129</v>
      </c>
      <c r="E1452" s="41">
        <v>1028332</v>
      </c>
      <c r="F1452" s="41"/>
      <c r="G1452" s="41" t="s">
        <v>106</v>
      </c>
      <c r="H1452" s="41"/>
      <c r="I1452" s="42"/>
      <c r="J1452" s="41"/>
      <c r="K1452" s="41">
        <v>11</v>
      </c>
      <c r="L1452" s="43">
        <v>51464</v>
      </c>
    </row>
    <row r="1453" spans="2:12" outlineLevel="2">
      <c r="B1453" s="35">
        <f t="shared" si="80"/>
        <v>302</v>
      </c>
      <c r="C1453" s="41" t="s">
        <v>69</v>
      </c>
      <c r="D1453" s="41" t="s">
        <v>130</v>
      </c>
      <c r="E1453" s="41">
        <v>932281</v>
      </c>
      <c r="F1453" s="41"/>
      <c r="G1453" s="41" t="s">
        <v>106</v>
      </c>
      <c r="H1453" s="41"/>
      <c r="I1453" s="42"/>
      <c r="J1453" s="41"/>
      <c r="K1453" s="41">
        <v>6</v>
      </c>
      <c r="L1453" s="43">
        <v>51509</v>
      </c>
    </row>
    <row r="1454" spans="2:12" outlineLevel="2">
      <c r="B1454" s="35">
        <f t="shared" si="80"/>
        <v>303</v>
      </c>
      <c r="C1454" s="41" t="s">
        <v>69</v>
      </c>
      <c r="D1454" s="41" t="s">
        <v>167</v>
      </c>
      <c r="E1454" s="41">
        <v>1184407</v>
      </c>
      <c r="F1454" s="41"/>
      <c r="G1454" s="41" t="s">
        <v>106</v>
      </c>
      <c r="H1454" s="41"/>
      <c r="I1454" s="42"/>
      <c r="J1454" s="41"/>
      <c r="K1454" s="41">
        <v>2</v>
      </c>
      <c r="L1454" s="43">
        <v>51447</v>
      </c>
    </row>
    <row r="1455" spans="2:12" outlineLevel="2">
      <c r="B1455" s="35">
        <f t="shared" si="80"/>
        <v>304</v>
      </c>
      <c r="C1455" s="41" t="s">
        <v>69</v>
      </c>
      <c r="D1455" s="41" t="s">
        <v>167</v>
      </c>
      <c r="E1455" s="41">
        <v>411028</v>
      </c>
      <c r="F1455" s="41"/>
      <c r="G1455" s="41" t="s">
        <v>106</v>
      </c>
      <c r="H1455" s="41"/>
      <c r="I1455" s="42"/>
      <c r="J1455" s="41"/>
      <c r="K1455" s="41">
        <v>45</v>
      </c>
      <c r="L1455" s="43">
        <v>51455</v>
      </c>
    </row>
    <row r="1456" spans="2:12" outlineLevel="2">
      <c r="B1456" s="35">
        <f t="shared" si="80"/>
        <v>305</v>
      </c>
      <c r="C1456" s="41" t="s">
        <v>69</v>
      </c>
      <c r="D1456" s="41" t="s">
        <v>167</v>
      </c>
      <c r="E1456" s="41">
        <v>382528</v>
      </c>
      <c r="F1456" s="41"/>
      <c r="G1456" s="41" t="s">
        <v>106</v>
      </c>
      <c r="H1456" s="41"/>
      <c r="I1456" s="42"/>
      <c r="J1456" s="41"/>
      <c r="K1456" s="41">
        <v>46</v>
      </c>
      <c r="L1456" s="43">
        <v>51444</v>
      </c>
    </row>
    <row r="1457" spans="2:12" outlineLevel="2">
      <c r="B1457" s="35">
        <f t="shared" si="80"/>
        <v>306</v>
      </c>
      <c r="C1457" s="41" t="s">
        <v>69</v>
      </c>
      <c r="D1457" s="41" t="s">
        <v>167</v>
      </c>
      <c r="E1457" s="41">
        <v>764486</v>
      </c>
      <c r="F1457" s="41"/>
      <c r="G1457" s="41" t="s">
        <v>106</v>
      </c>
      <c r="H1457" s="41"/>
      <c r="I1457" s="42"/>
      <c r="J1457" s="41"/>
      <c r="K1457" s="41">
        <v>4</v>
      </c>
      <c r="L1457" s="43">
        <v>51448</v>
      </c>
    </row>
    <row r="1458" spans="2:12" outlineLevel="2">
      <c r="B1458" s="35">
        <f t="shared" si="80"/>
        <v>307</v>
      </c>
      <c r="C1458" s="41" t="s">
        <v>69</v>
      </c>
      <c r="D1458" s="41" t="s">
        <v>167</v>
      </c>
      <c r="E1458" s="41">
        <v>357844</v>
      </c>
      <c r="F1458" s="41"/>
      <c r="G1458" s="41" t="s">
        <v>106</v>
      </c>
      <c r="H1458" s="41"/>
      <c r="I1458" s="42"/>
      <c r="J1458" s="41"/>
      <c r="K1458" s="41">
        <v>8</v>
      </c>
      <c r="L1458" s="43">
        <v>51460</v>
      </c>
    </row>
    <row r="1459" spans="2:12" outlineLevel="2">
      <c r="B1459" s="35">
        <f t="shared" si="80"/>
        <v>308</v>
      </c>
      <c r="C1459" s="41" t="s">
        <v>69</v>
      </c>
      <c r="D1459" s="41" t="s">
        <v>167</v>
      </c>
      <c r="E1459" s="41">
        <v>218463</v>
      </c>
      <c r="F1459" s="41"/>
      <c r="G1459" s="41" t="s">
        <v>106</v>
      </c>
      <c r="H1459" s="41"/>
      <c r="I1459" s="42"/>
      <c r="J1459" s="41"/>
      <c r="K1459" s="41">
        <v>16</v>
      </c>
      <c r="L1459" s="43">
        <v>51449</v>
      </c>
    </row>
    <row r="1460" spans="2:12" outlineLevel="2">
      <c r="B1460" s="35">
        <f t="shared" si="80"/>
        <v>309</v>
      </c>
      <c r="C1460" s="41" t="s">
        <v>69</v>
      </c>
      <c r="D1460" s="41" t="s">
        <v>167</v>
      </c>
      <c r="E1460" s="41">
        <v>1065886</v>
      </c>
      <c r="F1460" s="41"/>
      <c r="G1460" s="41" t="s">
        <v>106</v>
      </c>
      <c r="H1460" s="41"/>
      <c r="I1460" s="42"/>
      <c r="J1460" s="41"/>
      <c r="K1460" s="41">
        <v>8</v>
      </c>
      <c r="L1460" s="43">
        <v>51451</v>
      </c>
    </row>
    <row r="1461" spans="2:12" outlineLevel="2">
      <c r="B1461" s="35">
        <f t="shared" si="80"/>
        <v>310</v>
      </c>
      <c r="C1461" s="41" t="s">
        <v>69</v>
      </c>
      <c r="D1461" s="41" t="s">
        <v>130</v>
      </c>
      <c r="E1461" s="41">
        <v>1085517</v>
      </c>
      <c r="F1461" s="41"/>
      <c r="G1461" s="41" t="s">
        <v>106</v>
      </c>
      <c r="H1461" s="41"/>
      <c r="I1461" s="42"/>
      <c r="J1461" s="41"/>
      <c r="K1461" s="41">
        <v>2</v>
      </c>
      <c r="L1461" s="43">
        <v>51502</v>
      </c>
    </row>
    <row r="1462" spans="2:12" outlineLevel="2">
      <c r="B1462" s="35">
        <f t="shared" si="80"/>
        <v>311</v>
      </c>
      <c r="C1462" s="41" t="s">
        <v>69</v>
      </c>
      <c r="D1462" s="41" t="s">
        <v>167</v>
      </c>
      <c r="E1462" s="41">
        <v>1065634</v>
      </c>
      <c r="F1462" s="41"/>
      <c r="G1462" s="41" t="s">
        <v>106</v>
      </c>
      <c r="H1462" s="41"/>
      <c r="I1462" s="42"/>
      <c r="J1462" s="41"/>
      <c r="K1462" s="41">
        <v>2</v>
      </c>
      <c r="L1462" s="43">
        <v>51454</v>
      </c>
    </row>
    <row r="1463" spans="2:12" outlineLevel="2">
      <c r="B1463" s="35">
        <f t="shared" si="80"/>
        <v>312</v>
      </c>
      <c r="C1463" s="41" t="s">
        <v>69</v>
      </c>
      <c r="D1463" s="41" t="s">
        <v>167</v>
      </c>
      <c r="E1463" s="41">
        <v>1500798</v>
      </c>
      <c r="F1463" s="41"/>
      <c r="G1463" s="41" t="s">
        <v>106</v>
      </c>
      <c r="H1463" s="41"/>
      <c r="I1463" s="42"/>
      <c r="J1463" s="41"/>
      <c r="K1463" s="41">
        <v>3</v>
      </c>
      <c r="L1463" s="43">
        <v>51452</v>
      </c>
    </row>
    <row r="1464" spans="2:12" outlineLevel="2">
      <c r="B1464" s="35">
        <f t="shared" si="80"/>
        <v>313</v>
      </c>
      <c r="C1464" s="41" t="s">
        <v>69</v>
      </c>
      <c r="D1464" s="41" t="s">
        <v>167</v>
      </c>
      <c r="E1464" s="41">
        <v>1214332</v>
      </c>
      <c r="F1464" s="41"/>
      <c r="G1464" s="41" t="s">
        <v>106</v>
      </c>
      <c r="H1464" s="41"/>
      <c r="I1464" s="42"/>
      <c r="J1464" s="41"/>
      <c r="K1464" s="41">
        <v>6</v>
      </c>
      <c r="L1464" s="43">
        <v>51459</v>
      </c>
    </row>
    <row r="1465" spans="2:12" outlineLevel="2">
      <c r="B1465" s="35">
        <f t="shared" si="80"/>
        <v>314</v>
      </c>
      <c r="C1465" s="41" t="s">
        <v>69</v>
      </c>
      <c r="D1465" s="41" t="s">
        <v>128</v>
      </c>
      <c r="E1465" s="41">
        <v>942992</v>
      </c>
      <c r="F1465" s="41"/>
      <c r="G1465" s="41" t="s">
        <v>106</v>
      </c>
      <c r="H1465" s="41"/>
      <c r="I1465" s="42"/>
      <c r="J1465" s="41"/>
      <c r="K1465" s="41">
        <v>4</v>
      </c>
      <c r="L1465" s="43">
        <v>51486</v>
      </c>
    </row>
    <row r="1466" spans="2:12" outlineLevel="2">
      <c r="B1466" s="35">
        <f t="shared" si="80"/>
        <v>315</v>
      </c>
      <c r="C1466" s="41" t="s">
        <v>69</v>
      </c>
      <c r="D1466" s="41" t="s">
        <v>128</v>
      </c>
      <c r="E1466" s="41">
        <v>1071701</v>
      </c>
      <c r="F1466" s="41"/>
      <c r="G1466" s="41" t="s">
        <v>106</v>
      </c>
      <c r="H1466" s="41"/>
      <c r="I1466" s="42"/>
      <c r="J1466" s="41"/>
      <c r="K1466" s="41">
        <v>2</v>
      </c>
      <c r="L1466" s="43">
        <v>51497</v>
      </c>
    </row>
    <row r="1467" spans="2:12" outlineLevel="2">
      <c r="B1467" s="35">
        <f t="shared" si="80"/>
        <v>316</v>
      </c>
      <c r="C1467" s="41" t="s">
        <v>69</v>
      </c>
      <c r="D1467" s="41" t="s">
        <v>167</v>
      </c>
      <c r="E1467" s="41">
        <v>812568</v>
      </c>
      <c r="F1467" s="41"/>
      <c r="G1467" s="41" t="s">
        <v>106</v>
      </c>
      <c r="H1467" s="41"/>
      <c r="I1467" s="42"/>
      <c r="J1467" s="41"/>
      <c r="K1467" s="41">
        <v>32</v>
      </c>
      <c r="L1467" s="43">
        <v>51450</v>
      </c>
    </row>
    <row r="1468" spans="2:12" outlineLevel="2">
      <c r="B1468" s="35">
        <f t="shared" si="80"/>
        <v>317</v>
      </c>
      <c r="C1468" s="41" t="s">
        <v>69</v>
      </c>
      <c r="D1468" s="41" t="s">
        <v>167</v>
      </c>
      <c r="E1468" s="41">
        <v>1147744</v>
      </c>
      <c r="F1468" s="41"/>
      <c r="G1468" s="41" t="s">
        <v>106</v>
      </c>
      <c r="H1468" s="41"/>
      <c r="I1468" s="42"/>
      <c r="J1468" s="41"/>
      <c r="K1468" s="41">
        <v>2</v>
      </c>
      <c r="L1468" s="43">
        <v>51453</v>
      </c>
    </row>
    <row r="1469" spans="2:12" outlineLevel="2">
      <c r="B1469" s="35">
        <f t="shared" si="80"/>
        <v>318</v>
      </c>
      <c r="C1469" s="41" t="s">
        <v>69</v>
      </c>
      <c r="D1469" s="41" t="s">
        <v>129</v>
      </c>
      <c r="E1469" s="41">
        <v>1196592</v>
      </c>
      <c r="F1469" s="41"/>
      <c r="G1469" s="41" t="s">
        <v>106</v>
      </c>
      <c r="H1469" s="41"/>
      <c r="I1469" s="42"/>
      <c r="J1469" s="41"/>
      <c r="K1469" s="41">
        <v>2</v>
      </c>
      <c r="L1469" s="43">
        <v>52018</v>
      </c>
    </row>
    <row r="1470" spans="2:12" outlineLevel="2">
      <c r="B1470" s="35">
        <f t="shared" si="80"/>
        <v>319</v>
      </c>
      <c r="C1470" s="41" t="s">
        <v>69</v>
      </c>
      <c r="D1470" s="41" t="s">
        <v>131</v>
      </c>
      <c r="E1470" s="41">
        <v>127524</v>
      </c>
      <c r="F1470" s="41"/>
      <c r="G1470" s="41" t="s">
        <v>106</v>
      </c>
      <c r="H1470" s="41"/>
      <c r="I1470" s="42"/>
      <c r="J1470" s="41"/>
      <c r="K1470" s="41">
        <v>31</v>
      </c>
      <c r="L1470" s="43">
        <v>52019</v>
      </c>
    </row>
    <row r="1471" spans="2:12" outlineLevel="2">
      <c r="B1471" s="35">
        <f t="shared" si="80"/>
        <v>320</v>
      </c>
      <c r="C1471" s="41" t="s">
        <v>69</v>
      </c>
      <c r="D1471" s="41" t="s">
        <v>167</v>
      </c>
      <c r="E1471" s="41">
        <v>1045168</v>
      </c>
      <c r="F1471" s="41"/>
      <c r="G1471" s="41" t="s">
        <v>106</v>
      </c>
      <c r="H1471" s="41"/>
      <c r="I1471" s="42"/>
      <c r="J1471" s="41"/>
      <c r="K1471" s="41">
        <v>2</v>
      </c>
      <c r="L1471" s="43">
        <v>52021</v>
      </c>
    </row>
    <row r="1472" spans="2:12" outlineLevel="2">
      <c r="B1472" s="35">
        <f t="shared" si="80"/>
        <v>321</v>
      </c>
      <c r="C1472" s="41" t="s">
        <v>69</v>
      </c>
      <c r="D1472" s="41" t="s">
        <v>131</v>
      </c>
      <c r="E1472" s="41">
        <v>175232</v>
      </c>
      <c r="F1472" s="41"/>
      <c r="G1472" s="41" t="s">
        <v>106</v>
      </c>
      <c r="H1472" s="41"/>
      <c r="I1472" s="42"/>
      <c r="J1472" s="41"/>
      <c r="K1472" s="41">
        <v>15</v>
      </c>
      <c r="L1472" s="43">
        <v>52023</v>
      </c>
    </row>
    <row r="1473" spans="2:12" outlineLevel="2">
      <c r="B1473" s="35">
        <f t="shared" si="80"/>
        <v>322</v>
      </c>
      <c r="C1473" s="41" t="s">
        <v>69</v>
      </c>
      <c r="D1473" s="41" t="s">
        <v>131</v>
      </c>
      <c r="E1473" s="41" t="s">
        <v>917</v>
      </c>
      <c r="F1473" s="41"/>
      <c r="G1473" s="41" t="s">
        <v>106</v>
      </c>
      <c r="H1473" s="41"/>
      <c r="I1473" s="42"/>
      <c r="J1473" s="41"/>
      <c r="K1473" s="41">
        <v>12</v>
      </c>
      <c r="L1473" s="43">
        <v>52024</v>
      </c>
    </row>
    <row r="1474" spans="2:12" outlineLevel="2">
      <c r="B1474" s="35">
        <f t="shared" si="80"/>
        <v>323</v>
      </c>
      <c r="C1474" s="41" t="s">
        <v>69</v>
      </c>
      <c r="D1474" s="41" t="s">
        <v>166</v>
      </c>
      <c r="E1474" s="41">
        <v>935446</v>
      </c>
      <c r="F1474" s="41"/>
      <c r="G1474" s="41" t="s">
        <v>106</v>
      </c>
      <c r="H1474" s="41"/>
      <c r="I1474" s="42"/>
      <c r="J1474" s="41"/>
      <c r="K1474" s="41">
        <v>2</v>
      </c>
      <c r="L1474" s="43">
        <v>52032</v>
      </c>
    </row>
    <row r="1475" spans="2:12" outlineLevel="2">
      <c r="B1475" s="35">
        <f t="shared" si="80"/>
        <v>324</v>
      </c>
      <c r="C1475" s="41" t="s">
        <v>69</v>
      </c>
      <c r="D1475" s="41" t="s">
        <v>131</v>
      </c>
      <c r="E1475" s="41">
        <v>391297</v>
      </c>
      <c r="F1475" s="41"/>
      <c r="G1475" s="41" t="s">
        <v>106</v>
      </c>
      <c r="H1475" s="41"/>
      <c r="I1475" s="42"/>
      <c r="J1475" s="41"/>
      <c r="K1475" s="41">
        <v>2</v>
      </c>
      <c r="L1475" s="43">
        <v>52027</v>
      </c>
    </row>
    <row r="1476" spans="2:12" outlineLevel="2">
      <c r="B1476" s="35">
        <f t="shared" si="80"/>
        <v>325</v>
      </c>
      <c r="C1476" s="41" t="s">
        <v>69</v>
      </c>
      <c r="D1476" s="41" t="s">
        <v>131</v>
      </c>
      <c r="E1476" s="41">
        <v>318956</v>
      </c>
      <c r="F1476" s="41"/>
      <c r="G1476" s="41" t="s">
        <v>106</v>
      </c>
      <c r="H1476" s="41"/>
      <c r="I1476" s="42"/>
      <c r="J1476" s="41"/>
      <c r="K1476" s="41">
        <v>26</v>
      </c>
      <c r="L1476" s="43">
        <v>52025</v>
      </c>
    </row>
    <row r="1477" spans="2:12" outlineLevel="2">
      <c r="B1477" s="35">
        <f t="shared" si="80"/>
        <v>326</v>
      </c>
      <c r="C1477" s="41" t="s">
        <v>69</v>
      </c>
      <c r="D1477" s="41" t="s">
        <v>131</v>
      </c>
      <c r="E1477" s="41">
        <v>394665</v>
      </c>
      <c r="F1477" s="41"/>
      <c r="G1477" s="41" t="s">
        <v>106</v>
      </c>
      <c r="H1477" s="41"/>
      <c r="I1477" s="42"/>
      <c r="J1477" s="41"/>
      <c r="K1477" s="41">
        <v>2</v>
      </c>
      <c r="L1477" s="43">
        <v>52030</v>
      </c>
    </row>
    <row r="1478" spans="2:12" outlineLevel="2">
      <c r="B1478" s="35">
        <f t="shared" si="80"/>
        <v>327</v>
      </c>
      <c r="C1478" s="41" t="s">
        <v>69</v>
      </c>
      <c r="D1478" s="41" t="s">
        <v>166</v>
      </c>
      <c r="E1478" s="41">
        <v>1025063</v>
      </c>
      <c r="F1478" s="41"/>
      <c r="G1478" s="41" t="s">
        <v>106</v>
      </c>
      <c r="H1478" s="41"/>
      <c r="I1478" s="42"/>
      <c r="J1478" s="41"/>
      <c r="K1478" s="41">
        <v>2</v>
      </c>
      <c r="L1478" s="43">
        <v>52034</v>
      </c>
    </row>
    <row r="1479" spans="2:12" outlineLevel="2">
      <c r="B1479" s="35">
        <f t="shared" si="80"/>
        <v>328</v>
      </c>
      <c r="C1479" s="41" t="s">
        <v>69</v>
      </c>
      <c r="D1479" s="41" t="s">
        <v>131</v>
      </c>
      <c r="E1479" s="41">
        <v>216407</v>
      </c>
      <c r="F1479" s="41"/>
      <c r="G1479" s="41" t="s">
        <v>106</v>
      </c>
      <c r="H1479" s="41"/>
      <c r="I1479" s="42"/>
      <c r="J1479" s="41"/>
      <c r="K1479" s="41">
        <v>3</v>
      </c>
      <c r="L1479" s="43">
        <v>52031</v>
      </c>
    </row>
    <row r="1480" spans="2:12" outlineLevel="2">
      <c r="B1480" s="35">
        <f t="shared" si="80"/>
        <v>329</v>
      </c>
      <c r="C1480" s="41" t="s">
        <v>69</v>
      </c>
      <c r="D1480" s="41" t="s">
        <v>131</v>
      </c>
      <c r="E1480" s="41">
        <v>13281551</v>
      </c>
      <c r="F1480" s="41"/>
      <c r="G1480" s="41" t="s">
        <v>106</v>
      </c>
      <c r="H1480" s="41"/>
      <c r="I1480" s="42"/>
      <c r="J1480" s="41"/>
      <c r="K1480" s="41">
        <v>5</v>
      </c>
      <c r="L1480" s="43">
        <v>52020</v>
      </c>
    </row>
    <row r="1481" spans="2:12" outlineLevel="2">
      <c r="B1481" s="35">
        <f t="shared" si="80"/>
        <v>330</v>
      </c>
      <c r="C1481" s="41" t="s">
        <v>69</v>
      </c>
      <c r="D1481" s="41" t="s">
        <v>131</v>
      </c>
      <c r="E1481" s="41">
        <v>1040840</v>
      </c>
      <c r="F1481" s="41"/>
      <c r="G1481" s="41" t="s">
        <v>106</v>
      </c>
      <c r="H1481" s="41"/>
      <c r="I1481" s="42"/>
      <c r="J1481" s="41"/>
      <c r="K1481" s="41">
        <v>2</v>
      </c>
      <c r="L1481" s="43">
        <v>52026</v>
      </c>
    </row>
    <row r="1482" spans="2:12" outlineLevel="2">
      <c r="B1482" s="35">
        <f t="shared" si="80"/>
        <v>331</v>
      </c>
      <c r="C1482" s="41" t="s">
        <v>69</v>
      </c>
      <c r="D1482" s="41" t="s">
        <v>131</v>
      </c>
      <c r="E1482" s="41">
        <v>1044305485</v>
      </c>
      <c r="F1482" s="41"/>
      <c r="G1482" s="41" t="s">
        <v>106</v>
      </c>
      <c r="H1482" s="41"/>
      <c r="I1482" s="42"/>
      <c r="J1482" s="41"/>
      <c r="K1482" s="41">
        <v>2</v>
      </c>
      <c r="L1482" s="43">
        <v>52022</v>
      </c>
    </row>
    <row r="1483" spans="2:12" outlineLevel="2">
      <c r="B1483" s="35">
        <f t="shared" si="80"/>
        <v>332</v>
      </c>
      <c r="C1483" s="41" t="s">
        <v>69</v>
      </c>
      <c r="D1483" s="41" t="s">
        <v>131</v>
      </c>
      <c r="E1483" s="41">
        <v>1042089917</v>
      </c>
      <c r="F1483" s="41"/>
      <c r="G1483" s="41" t="s">
        <v>106</v>
      </c>
      <c r="H1483" s="41"/>
      <c r="I1483" s="42"/>
      <c r="J1483" s="41"/>
      <c r="K1483" s="41">
        <v>2</v>
      </c>
      <c r="L1483" s="43">
        <v>52029</v>
      </c>
    </row>
    <row r="1484" spans="2:12" outlineLevel="2">
      <c r="B1484" s="35">
        <f t="shared" si="80"/>
        <v>333</v>
      </c>
      <c r="C1484" s="41" t="s">
        <v>69</v>
      </c>
      <c r="D1484" s="41" t="s">
        <v>131</v>
      </c>
      <c r="E1484" s="41">
        <v>115563</v>
      </c>
      <c r="F1484" s="41"/>
      <c r="G1484" s="41" t="s">
        <v>106</v>
      </c>
      <c r="H1484" s="41"/>
      <c r="I1484" s="42"/>
      <c r="J1484" s="41"/>
      <c r="K1484" s="41">
        <v>2</v>
      </c>
      <c r="L1484" s="43">
        <v>52033</v>
      </c>
    </row>
    <row r="1485" spans="2:12" outlineLevel="2">
      <c r="B1485" s="35">
        <f t="shared" si="80"/>
        <v>334</v>
      </c>
      <c r="C1485" s="41" t="s">
        <v>69</v>
      </c>
      <c r="D1485" s="41" t="s">
        <v>130</v>
      </c>
      <c r="E1485" s="41">
        <v>1043387427</v>
      </c>
      <c r="F1485" s="41"/>
      <c r="G1485" s="41" t="s">
        <v>106</v>
      </c>
      <c r="H1485" s="41"/>
      <c r="I1485" s="42"/>
      <c r="J1485" s="41"/>
      <c r="K1485" s="41">
        <v>2</v>
      </c>
      <c r="L1485" s="43">
        <v>52028</v>
      </c>
    </row>
    <row r="1486" spans="2:12" outlineLevel="2">
      <c r="B1486" s="35">
        <f t="shared" si="80"/>
        <v>335</v>
      </c>
      <c r="C1486" s="41" t="s">
        <v>69</v>
      </c>
      <c r="D1486" s="41" t="s">
        <v>128</v>
      </c>
      <c r="E1486" s="41">
        <v>186789</v>
      </c>
      <c r="F1486" s="41"/>
      <c r="G1486" s="41" t="s">
        <v>106</v>
      </c>
      <c r="H1486" s="41"/>
      <c r="I1486" s="42"/>
      <c r="J1486" s="41"/>
      <c r="K1486" s="41">
        <v>2</v>
      </c>
      <c r="L1486" s="43">
        <v>51989</v>
      </c>
    </row>
    <row r="1487" spans="2:12" outlineLevel="2">
      <c r="B1487" s="35">
        <f t="shared" si="80"/>
        <v>336</v>
      </c>
      <c r="C1487" s="41" t="s">
        <v>69</v>
      </c>
      <c r="D1487" s="41" t="s">
        <v>128</v>
      </c>
      <c r="E1487" s="41">
        <v>156735</v>
      </c>
      <c r="F1487" s="41"/>
      <c r="G1487" s="41" t="s">
        <v>106</v>
      </c>
      <c r="H1487" s="41"/>
      <c r="I1487" s="42"/>
      <c r="J1487" s="41"/>
      <c r="K1487" s="41">
        <v>2</v>
      </c>
      <c r="L1487" s="43">
        <v>52007</v>
      </c>
    </row>
    <row r="1488" spans="2:12" outlineLevel="2">
      <c r="B1488" s="35">
        <f t="shared" si="80"/>
        <v>337</v>
      </c>
      <c r="C1488" s="41" t="s">
        <v>69</v>
      </c>
      <c r="D1488" s="41" t="s">
        <v>131</v>
      </c>
      <c r="E1488" s="41">
        <v>87033</v>
      </c>
      <c r="F1488" s="41"/>
      <c r="G1488" s="41" t="s">
        <v>106</v>
      </c>
      <c r="H1488" s="41"/>
      <c r="I1488" s="42"/>
      <c r="J1488" s="41"/>
      <c r="K1488" s="41">
        <v>3</v>
      </c>
      <c r="L1488" s="43">
        <v>51996</v>
      </c>
    </row>
    <row r="1489" spans="2:12" outlineLevel="2">
      <c r="B1489" s="35">
        <f t="shared" si="80"/>
        <v>338</v>
      </c>
      <c r="C1489" s="41" t="s">
        <v>69</v>
      </c>
      <c r="D1489" s="41" t="s">
        <v>131</v>
      </c>
      <c r="E1489" s="41" t="s">
        <v>918</v>
      </c>
      <c r="F1489" s="41"/>
      <c r="G1489" s="41" t="s">
        <v>106</v>
      </c>
      <c r="H1489" s="41"/>
      <c r="I1489" s="42"/>
      <c r="J1489" s="41"/>
      <c r="K1489" s="41">
        <v>4</v>
      </c>
      <c r="L1489" s="43">
        <v>51987</v>
      </c>
    </row>
    <row r="1490" spans="2:12" outlineLevel="2">
      <c r="B1490" s="35">
        <f t="shared" si="80"/>
        <v>339</v>
      </c>
      <c r="C1490" s="41" t="s">
        <v>69</v>
      </c>
      <c r="D1490" s="41" t="s">
        <v>130</v>
      </c>
      <c r="E1490" s="41">
        <v>151366</v>
      </c>
      <c r="F1490" s="41"/>
      <c r="G1490" s="41" t="s">
        <v>106</v>
      </c>
      <c r="H1490" s="41"/>
      <c r="I1490" s="42"/>
      <c r="J1490" s="41"/>
      <c r="K1490" s="41">
        <v>2</v>
      </c>
      <c r="L1490" s="43">
        <v>52006</v>
      </c>
    </row>
    <row r="1491" spans="2:12" outlineLevel="2">
      <c r="B1491" s="35">
        <f t="shared" si="80"/>
        <v>340</v>
      </c>
      <c r="C1491" s="41" t="s">
        <v>69</v>
      </c>
      <c r="D1491" s="41" t="s">
        <v>130</v>
      </c>
      <c r="E1491" s="41">
        <v>22188</v>
      </c>
      <c r="F1491" s="41"/>
      <c r="G1491" s="41" t="s">
        <v>106</v>
      </c>
      <c r="H1491" s="41"/>
      <c r="I1491" s="42"/>
      <c r="J1491" s="41"/>
      <c r="K1491" s="41">
        <v>8</v>
      </c>
      <c r="L1491" s="43">
        <v>52005</v>
      </c>
    </row>
    <row r="1492" spans="2:12" outlineLevel="2">
      <c r="B1492" s="35">
        <f t="shared" si="80"/>
        <v>341</v>
      </c>
      <c r="C1492" s="41" t="s">
        <v>69</v>
      </c>
      <c r="D1492" s="41" t="s">
        <v>167</v>
      </c>
      <c r="E1492" s="41">
        <v>181568</v>
      </c>
      <c r="F1492" s="41"/>
      <c r="G1492" s="41" t="s">
        <v>106</v>
      </c>
      <c r="H1492" s="41"/>
      <c r="I1492" s="42"/>
      <c r="J1492" s="41"/>
      <c r="K1492" s="41">
        <v>2</v>
      </c>
      <c r="L1492" s="43">
        <v>52014</v>
      </c>
    </row>
    <row r="1493" spans="2:12" outlineLevel="2">
      <c r="B1493" s="35">
        <f t="shared" si="80"/>
        <v>342</v>
      </c>
      <c r="C1493" s="41" t="s">
        <v>69</v>
      </c>
      <c r="D1493" s="41" t="s">
        <v>129</v>
      </c>
      <c r="E1493" s="41">
        <v>153838</v>
      </c>
      <c r="F1493" s="41"/>
      <c r="G1493" s="41" t="s">
        <v>106</v>
      </c>
      <c r="H1493" s="41"/>
      <c r="I1493" s="42"/>
      <c r="J1493" s="41"/>
      <c r="K1493" s="41">
        <v>31</v>
      </c>
      <c r="L1493" s="43">
        <v>52013</v>
      </c>
    </row>
    <row r="1494" spans="2:12" outlineLevel="2">
      <c r="B1494" s="35">
        <f t="shared" si="80"/>
        <v>343</v>
      </c>
      <c r="C1494" s="41" t="s">
        <v>69</v>
      </c>
      <c r="D1494" s="41" t="s">
        <v>128</v>
      </c>
      <c r="E1494" s="41">
        <v>53664</v>
      </c>
      <c r="F1494" s="41"/>
      <c r="G1494" s="41" t="s">
        <v>106</v>
      </c>
      <c r="H1494" s="41"/>
      <c r="I1494" s="42"/>
      <c r="J1494" s="41"/>
      <c r="K1494" s="41">
        <v>2</v>
      </c>
      <c r="L1494" s="43">
        <v>51998</v>
      </c>
    </row>
    <row r="1495" spans="2:12" outlineLevel="2">
      <c r="B1495" s="35">
        <f t="shared" si="80"/>
        <v>344</v>
      </c>
      <c r="C1495" s="41" t="s">
        <v>69</v>
      </c>
      <c r="D1495" s="41" t="s">
        <v>127</v>
      </c>
      <c r="E1495" s="41">
        <v>21338</v>
      </c>
      <c r="F1495" s="41"/>
      <c r="G1495" s="41" t="s">
        <v>106</v>
      </c>
      <c r="H1495" s="41"/>
      <c r="I1495" s="42"/>
      <c r="J1495" s="41"/>
      <c r="K1495" s="41">
        <v>3</v>
      </c>
      <c r="L1495" s="43">
        <v>52015</v>
      </c>
    </row>
    <row r="1496" spans="2:12" outlineLevel="2">
      <c r="B1496" s="35">
        <f t="shared" si="80"/>
        <v>345</v>
      </c>
      <c r="C1496" s="41" t="s">
        <v>69</v>
      </c>
      <c r="D1496" s="41" t="s">
        <v>128</v>
      </c>
      <c r="E1496" s="41">
        <v>18902</v>
      </c>
      <c r="F1496" s="41"/>
      <c r="G1496" s="41" t="s">
        <v>106</v>
      </c>
      <c r="H1496" s="41"/>
      <c r="I1496" s="42"/>
      <c r="J1496" s="41"/>
      <c r="K1496" s="41">
        <v>15</v>
      </c>
      <c r="L1496" s="43">
        <v>52010</v>
      </c>
    </row>
    <row r="1497" spans="2:12" outlineLevel="2">
      <c r="B1497" s="35">
        <f t="shared" si="80"/>
        <v>346</v>
      </c>
      <c r="C1497" s="41" t="s">
        <v>69</v>
      </c>
      <c r="D1497" s="41" t="s">
        <v>128</v>
      </c>
      <c r="E1497" s="41">
        <v>141537</v>
      </c>
      <c r="F1497" s="41"/>
      <c r="G1497" s="41" t="s">
        <v>106</v>
      </c>
      <c r="H1497" s="41"/>
      <c r="I1497" s="42"/>
      <c r="J1497" s="41"/>
      <c r="K1497" s="41">
        <v>36</v>
      </c>
      <c r="L1497" s="43">
        <v>52009</v>
      </c>
    </row>
    <row r="1498" spans="2:12" outlineLevel="2">
      <c r="B1498" s="35">
        <f t="shared" si="80"/>
        <v>347</v>
      </c>
      <c r="C1498" s="41" t="s">
        <v>69</v>
      </c>
      <c r="D1498" s="41" t="s">
        <v>127</v>
      </c>
      <c r="E1498" s="41" t="s">
        <v>919</v>
      </c>
      <c r="F1498" s="41"/>
      <c r="G1498" s="41" t="s">
        <v>106</v>
      </c>
      <c r="H1498" s="41"/>
      <c r="I1498" s="42"/>
      <c r="J1498" s="41"/>
      <c r="K1498" s="41">
        <v>2</v>
      </c>
      <c r="L1498" s="43">
        <v>52012</v>
      </c>
    </row>
    <row r="1499" spans="2:12" outlineLevel="2">
      <c r="B1499" s="35">
        <f t="shared" si="80"/>
        <v>348</v>
      </c>
      <c r="C1499" s="41" t="s">
        <v>69</v>
      </c>
      <c r="D1499" s="41" t="s">
        <v>130</v>
      </c>
      <c r="E1499" s="41" t="s">
        <v>920</v>
      </c>
      <c r="F1499" s="41"/>
      <c r="G1499" s="41" t="s">
        <v>106</v>
      </c>
      <c r="H1499" s="41"/>
      <c r="I1499" s="42"/>
      <c r="J1499" s="41"/>
      <c r="K1499" s="41">
        <v>35</v>
      </c>
      <c r="L1499" s="43">
        <v>51992</v>
      </c>
    </row>
    <row r="1500" spans="2:12" outlineLevel="2">
      <c r="B1500" s="35">
        <f t="shared" si="80"/>
        <v>349</v>
      </c>
      <c r="C1500" s="41" t="s">
        <v>69</v>
      </c>
      <c r="D1500" s="41" t="s">
        <v>128</v>
      </c>
      <c r="E1500" s="41">
        <v>19763</v>
      </c>
      <c r="F1500" s="41"/>
      <c r="G1500" s="41" t="s">
        <v>106</v>
      </c>
      <c r="H1500" s="41"/>
      <c r="I1500" s="42"/>
      <c r="J1500" s="41"/>
      <c r="K1500" s="41">
        <v>33</v>
      </c>
      <c r="L1500" s="43">
        <v>52001</v>
      </c>
    </row>
    <row r="1501" spans="2:12" outlineLevel="2">
      <c r="B1501" s="35">
        <f t="shared" si="80"/>
        <v>350</v>
      </c>
      <c r="C1501" s="41" t="s">
        <v>69</v>
      </c>
      <c r="D1501" s="41" t="s">
        <v>127</v>
      </c>
      <c r="E1501" s="41" t="s">
        <v>921</v>
      </c>
      <c r="F1501" s="41"/>
      <c r="G1501" s="41" t="s">
        <v>106</v>
      </c>
      <c r="H1501" s="41"/>
      <c r="I1501" s="42"/>
      <c r="J1501" s="41"/>
      <c r="K1501" s="41">
        <v>34</v>
      </c>
      <c r="L1501" s="43">
        <v>52000</v>
      </c>
    </row>
    <row r="1502" spans="2:12" outlineLevel="2">
      <c r="B1502" s="35">
        <f t="shared" si="80"/>
        <v>351</v>
      </c>
      <c r="C1502" s="41" t="s">
        <v>69</v>
      </c>
      <c r="D1502" s="41" t="s">
        <v>181</v>
      </c>
      <c r="E1502" s="41">
        <v>9165086</v>
      </c>
      <c r="F1502" s="41"/>
      <c r="G1502" s="41" t="s">
        <v>106</v>
      </c>
      <c r="H1502" s="41"/>
      <c r="I1502" s="42"/>
      <c r="J1502" s="41"/>
      <c r="K1502" s="41">
        <v>39</v>
      </c>
      <c r="L1502" s="43">
        <v>52004</v>
      </c>
    </row>
    <row r="1503" spans="2:12" outlineLevel="2">
      <c r="B1503" s="35">
        <f t="shared" si="80"/>
        <v>352</v>
      </c>
      <c r="C1503" s="41" t="s">
        <v>69</v>
      </c>
      <c r="D1503" s="41" t="s">
        <v>129</v>
      </c>
      <c r="E1503" s="41">
        <v>176537</v>
      </c>
      <c r="F1503" s="41"/>
      <c r="G1503" s="41" t="s">
        <v>106</v>
      </c>
      <c r="H1503" s="41"/>
      <c r="I1503" s="42"/>
      <c r="J1503" s="41"/>
      <c r="K1503" s="41">
        <v>6</v>
      </c>
      <c r="L1503" s="43">
        <v>51988</v>
      </c>
    </row>
    <row r="1504" spans="2:12" outlineLevel="2">
      <c r="B1504" s="35">
        <f t="shared" si="80"/>
        <v>353</v>
      </c>
      <c r="C1504" s="41" t="s">
        <v>69</v>
      </c>
      <c r="D1504" s="41" t="s">
        <v>131</v>
      </c>
      <c r="E1504" s="41">
        <v>9370789</v>
      </c>
      <c r="F1504" s="41"/>
      <c r="G1504" s="41" t="s">
        <v>106</v>
      </c>
      <c r="H1504" s="41"/>
      <c r="I1504" s="42"/>
      <c r="J1504" s="41"/>
      <c r="K1504" s="41">
        <v>3</v>
      </c>
      <c r="L1504" s="43">
        <v>51995</v>
      </c>
    </row>
    <row r="1505" spans="2:12" outlineLevel="2">
      <c r="B1505" s="35">
        <f t="shared" si="80"/>
        <v>354</v>
      </c>
      <c r="C1505" s="41" t="s">
        <v>69</v>
      </c>
      <c r="D1505" s="41" t="s">
        <v>128</v>
      </c>
      <c r="E1505" s="41">
        <v>17731</v>
      </c>
      <c r="F1505" s="41"/>
      <c r="G1505" s="41" t="s">
        <v>106</v>
      </c>
      <c r="H1505" s="41"/>
      <c r="I1505" s="42"/>
      <c r="J1505" s="41"/>
      <c r="K1505" s="41">
        <v>13</v>
      </c>
      <c r="L1505" s="43">
        <v>52011</v>
      </c>
    </row>
    <row r="1506" spans="2:12" outlineLevel="2">
      <c r="B1506" s="35">
        <f t="shared" si="80"/>
        <v>355</v>
      </c>
      <c r="C1506" s="41" t="s">
        <v>69</v>
      </c>
      <c r="D1506" s="41" t="s">
        <v>167</v>
      </c>
      <c r="E1506" s="41">
        <v>14333</v>
      </c>
      <c r="F1506" s="41"/>
      <c r="G1506" s="41" t="s">
        <v>106</v>
      </c>
      <c r="H1506" s="41"/>
      <c r="I1506" s="42"/>
      <c r="J1506" s="41"/>
      <c r="K1506" s="41">
        <v>42</v>
      </c>
      <c r="L1506" s="43">
        <v>51997</v>
      </c>
    </row>
    <row r="1507" spans="2:12" outlineLevel="2">
      <c r="B1507" s="35">
        <f t="shared" si="80"/>
        <v>356</v>
      </c>
      <c r="C1507" s="41" t="s">
        <v>69</v>
      </c>
      <c r="D1507" s="41" t="s">
        <v>128</v>
      </c>
      <c r="E1507" s="41" t="s">
        <v>922</v>
      </c>
      <c r="F1507" s="41"/>
      <c r="G1507" s="41" t="s">
        <v>106</v>
      </c>
      <c r="H1507" s="41"/>
      <c r="I1507" s="42"/>
      <c r="J1507" s="41"/>
      <c r="K1507" s="41">
        <v>7</v>
      </c>
      <c r="L1507" s="43">
        <v>52003</v>
      </c>
    </row>
    <row r="1508" spans="2:12" outlineLevel="2">
      <c r="B1508" s="35">
        <f t="shared" si="80"/>
        <v>357</v>
      </c>
      <c r="C1508" s="41" t="s">
        <v>69</v>
      </c>
      <c r="D1508" s="41" t="s">
        <v>128</v>
      </c>
      <c r="E1508" s="41">
        <v>10563</v>
      </c>
      <c r="F1508" s="41"/>
      <c r="G1508" s="41" t="s">
        <v>106</v>
      </c>
      <c r="H1508" s="41"/>
      <c r="I1508" s="42"/>
      <c r="J1508" s="41"/>
      <c r="K1508" s="41">
        <v>3</v>
      </c>
      <c r="L1508" s="43">
        <v>52016</v>
      </c>
    </row>
    <row r="1509" spans="2:12" outlineLevel="2">
      <c r="B1509" s="35">
        <f t="shared" ref="B1509:B1572" si="81">(B1508+1)</f>
        <v>358</v>
      </c>
      <c r="C1509" s="41" t="s">
        <v>69</v>
      </c>
      <c r="D1509" s="41" t="s">
        <v>130</v>
      </c>
      <c r="E1509" s="41">
        <v>793</v>
      </c>
      <c r="F1509" s="41"/>
      <c r="G1509" s="41" t="s">
        <v>106</v>
      </c>
      <c r="H1509" s="41"/>
      <c r="I1509" s="42"/>
      <c r="J1509" s="41"/>
      <c r="K1509" s="41">
        <v>39</v>
      </c>
      <c r="L1509" s="43">
        <v>52017</v>
      </c>
    </row>
    <row r="1510" spans="2:12" outlineLevel="2">
      <c r="B1510" s="35">
        <f t="shared" si="81"/>
        <v>359</v>
      </c>
      <c r="C1510" s="41" t="s">
        <v>69</v>
      </c>
      <c r="D1510" s="41" t="s">
        <v>130</v>
      </c>
      <c r="E1510" s="41">
        <v>154064</v>
      </c>
      <c r="F1510" s="41"/>
      <c r="G1510" s="41" t="s">
        <v>106</v>
      </c>
      <c r="H1510" s="41"/>
      <c r="I1510" s="42"/>
      <c r="J1510" s="41"/>
      <c r="K1510" s="41">
        <v>34</v>
      </c>
      <c r="L1510" s="43">
        <v>52008</v>
      </c>
    </row>
    <row r="1511" spans="2:12" outlineLevel="2">
      <c r="B1511" s="35">
        <f t="shared" si="81"/>
        <v>360</v>
      </c>
      <c r="C1511" s="41" t="s">
        <v>69</v>
      </c>
      <c r="D1511" s="41" t="s">
        <v>130</v>
      </c>
      <c r="E1511" s="41">
        <v>5211</v>
      </c>
      <c r="F1511" s="41"/>
      <c r="G1511" s="41" t="s">
        <v>106</v>
      </c>
      <c r="H1511" s="41"/>
      <c r="I1511" s="42"/>
      <c r="J1511" s="41"/>
      <c r="K1511" s="41">
        <v>29</v>
      </c>
      <c r="L1511" s="43">
        <v>51999</v>
      </c>
    </row>
    <row r="1512" spans="2:12" outlineLevel="2">
      <c r="B1512" s="35">
        <f t="shared" si="81"/>
        <v>361</v>
      </c>
      <c r="C1512" s="41" t="s">
        <v>69</v>
      </c>
      <c r="D1512" s="41" t="s">
        <v>181</v>
      </c>
      <c r="E1512" s="41">
        <v>13658</v>
      </c>
      <c r="F1512" s="41"/>
      <c r="G1512" s="41" t="s">
        <v>106</v>
      </c>
      <c r="H1512" s="41"/>
      <c r="I1512" s="42"/>
      <c r="J1512" s="41"/>
      <c r="K1512" s="41">
        <v>38</v>
      </c>
      <c r="L1512" s="43">
        <v>51994</v>
      </c>
    </row>
    <row r="1513" spans="2:12" outlineLevel="2">
      <c r="B1513" s="35">
        <f t="shared" si="81"/>
        <v>362</v>
      </c>
      <c r="C1513" s="41" t="s">
        <v>69</v>
      </c>
      <c r="D1513" s="41" t="s">
        <v>131</v>
      </c>
      <c r="E1513" s="41">
        <v>34917</v>
      </c>
      <c r="F1513" s="41"/>
      <c r="G1513" s="41" t="s">
        <v>106</v>
      </c>
      <c r="H1513" s="41"/>
      <c r="I1513" s="42"/>
      <c r="J1513" s="41"/>
      <c r="K1513" s="41">
        <v>28</v>
      </c>
      <c r="L1513" s="43">
        <v>51991</v>
      </c>
    </row>
    <row r="1514" spans="2:12" outlineLevel="2">
      <c r="B1514" s="35">
        <f t="shared" si="81"/>
        <v>363</v>
      </c>
      <c r="C1514" s="41" t="s">
        <v>69</v>
      </c>
      <c r="D1514" s="41" t="s">
        <v>191</v>
      </c>
      <c r="E1514" s="41">
        <v>194011</v>
      </c>
      <c r="F1514" s="41"/>
      <c r="G1514" s="41" t="s">
        <v>106</v>
      </c>
      <c r="H1514" s="41"/>
      <c r="I1514" s="42"/>
      <c r="J1514" s="41"/>
      <c r="K1514" s="41">
        <v>23</v>
      </c>
      <c r="L1514" s="43">
        <v>52466</v>
      </c>
    </row>
    <row r="1515" spans="2:12" outlineLevel="2">
      <c r="B1515" s="35">
        <f t="shared" si="81"/>
        <v>364</v>
      </c>
      <c r="C1515" s="41" t="s">
        <v>69</v>
      </c>
      <c r="D1515" s="41" t="s">
        <v>191</v>
      </c>
      <c r="E1515" s="41">
        <v>1045318</v>
      </c>
      <c r="F1515" s="41"/>
      <c r="G1515" s="41" t="s">
        <v>106</v>
      </c>
      <c r="H1515" s="41"/>
      <c r="I1515" s="42"/>
      <c r="J1515" s="41"/>
      <c r="K1515" s="41">
        <v>11</v>
      </c>
      <c r="L1515" s="43">
        <v>52468</v>
      </c>
    </row>
    <row r="1516" spans="2:12" outlineLevel="2">
      <c r="B1516" s="35">
        <f t="shared" si="81"/>
        <v>365</v>
      </c>
      <c r="C1516" s="41" t="s">
        <v>69</v>
      </c>
      <c r="D1516" s="41" t="s">
        <v>129</v>
      </c>
      <c r="E1516" s="41">
        <v>2187</v>
      </c>
      <c r="F1516" s="41"/>
      <c r="G1516" s="41" t="s">
        <v>106</v>
      </c>
      <c r="H1516" s="41"/>
      <c r="I1516" s="42"/>
      <c r="J1516" s="41"/>
      <c r="K1516" s="41">
        <v>23</v>
      </c>
      <c r="L1516" s="43">
        <v>52441</v>
      </c>
    </row>
    <row r="1517" spans="2:12" outlineLevel="2">
      <c r="B1517" s="35">
        <f t="shared" si="81"/>
        <v>366</v>
      </c>
      <c r="C1517" s="41" t="s">
        <v>69</v>
      </c>
      <c r="D1517" s="41" t="s">
        <v>129</v>
      </c>
      <c r="E1517" s="41">
        <v>74875</v>
      </c>
      <c r="F1517" s="41"/>
      <c r="G1517" s="41" t="s">
        <v>106</v>
      </c>
      <c r="H1517" s="41"/>
      <c r="I1517" s="42"/>
      <c r="J1517" s="41"/>
      <c r="K1517" s="41">
        <v>15</v>
      </c>
      <c r="L1517" s="43">
        <v>52477</v>
      </c>
    </row>
    <row r="1518" spans="2:12" outlineLevel="2">
      <c r="B1518" s="35">
        <f t="shared" si="81"/>
        <v>367</v>
      </c>
      <c r="C1518" s="41" t="s">
        <v>69</v>
      </c>
      <c r="D1518" s="41" t="s">
        <v>191</v>
      </c>
      <c r="E1518" s="41">
        <v>210344</v>
      </c>
      <c r="F1518" s="41"/>
      <c r="G1518" s="41" t="s">
        <v>106</v>
      </c>
      <c r="H1518" s="41"/>
      <c r="I1518" s="42"/>
      <c r="J1518" s="41"/>
      <c r="K1518" s="41">
        <v>22</v>
      </c>
      <c r="L1518" s="43">
        <v>52451</v>
      </c>
    </row>
    <row r="1519" spans="2:12" outlineLevel="2">
      <c r="B1519" s="35">
        <f t="shared" si="81"/>
        <v>368</v>
      </c>
      <c r="C1519" s="41" t="s">
        <v>69</v>
      </c>
      <c r="D1519" s="41" t="s">
        <v>191</v>
      </c>
      <c r="E1519" s="41">
        <v>1017091</v>
      </c>
      <c r="F1519" s="41"/>
      <c r="G1519" s="41" t="s">
        <v>106</v>
      </c>
      <c r="H1519" s="41"/>
      <c r="I1519" s="42"/>
      <c r="J1519" s="41"/>
      <c r="K1519" s="41">
        <v>35</v>
      </c>
      <c r="L1519" s="43">
        <v>52459</v>
      </c>
    </row>
    <row r="1520" spans="2:12" outlineLevel="2">
      <c r="B1520" s="35">
        <f t="shared" si="81"/>
        <v>369</v>
      </c>
      <c r="C1520" s="41" t="s">
        <v>69</v>
      </c>
      <c r="D1520" s="41" t="s">
        <v>191</v>
      </c>
      <c r="E1520" s="41">
        <v>1082878</v>
      </c>
      <c r="F1520" s="41"/>
      <c r="G1520" s="41" t="s">
        <v>106</v>
      </c>
      <c r="H1520" s="41"/>
      <c r="I1520" s="42"/>
      <c r="J1520" s="41"/>
      <c r="K1520" s="41">
        <v>41</v>
      </c>
      <c r="L1520" s="43">
        <v>52474</v>
      </c>
    </row>
    <row r="1521" spans="2:12" outlineLevel="2">
      <c r="B1521" s="35">
        <f t="shared" si="81"/>
        <v>370</v>
      </c>
      <c r="C1521" s="41" t="s">
        <v>69</v>
      </c>
      <c r="D1521" s="41" t="s">
        <v>191</v>
      </c>
      <c r="E1521" s="41">
        <v>82895</v>
      </c>
      <c r="F1521" s="41"/>
      <c r="G1521" s="41" t="s">
        <v>106</v>
      </c>
      <c r="H1521" s="41"/>
      <c r="I1521" s="42"/>
      <c r="J1521" s="41"/>
      <c r="K1521" s="41">
        <v>33</v>
      </c>
      <c r="L1521" s="43">
        <v>52462</v>
      </c>
    </row>
    <row r="1522" spans="2:12" outlineLevel="2">
      <c r="B1522" s="35">
        <f t="shared" si="81"/>
        <v>371</v>
      </c>
      <c r="C1522" s="41" t="s">
        <v>69</v>
      </c>
      <c r="D1522" s="41" t="s">
        <v>191</v>
      </c>
      <c r="E1522" s="41">
        <v>72889</v>
      </c>
      <c r="F1522" s="41"/>
      <c r="G1522" s="41" t="s">
        <v>106</v>
      </c>
      <c r="H1522" s="41"/>
      <c r="I1522" s="42"/>
      <c r="J1522" s="41"/>
      <c r="K1522" s="41">
        <v>23</v>
      </c>
      <c r="L1522" s="43">
        <v>52463</v>
      </c>
    </row>
    <row r="1523" spans="2:12" outlineLevel="2">
      <c r="B1523" s="35">
        <f t="shared" si="81"/>
        <v>372</v>
      </c>
      <c r="C1523" s="41" t="s">
        <v>69</v>
      </c>
      <c r="D1523" s="41" t="s">
        <v>191</v>
      </c>
      <c r="E1523" s="41">
        <v>299569</v>
      </c>
      <c r="F1523" s="41"/>
      <c r="G1523" s="41" t="s">
        <v>106</v>
      </c>
      <c r="H1523" s="41"/>
      <c r="I1523" s="42"/>
      <c r="J1523" s="41"/>
      <c r="K1523" s="41">
        <v>44</v>
      </c>
      <c r="L1523" s="43">
        <v>52458</v>
      </c>
    </row>
    <row r="1524" spans="2:12" outlineLevel="2">
      <c r="B1524" s="35">
        <f t="shared" si="81"/>
        <v>373</v>
      </c>
      <c r="C1524" s="41" t="s">
        <v>69</v>
      </c>
      <c r="D1524" s="41" t="s">
        <v>128</v>
      </c>
      <c r="E1524" s="41">
        <v>29520</v>
      </c>
      <c r="F1524" s="41"/>
      <c r="G1524" s="41" t="s">
        <v>106</v>
      </c>
      <c r="H1524" s="41"/>
      <c r="I1524" s="42"/>
      <c r="J1524" s="41"/>
      <c r="K1524" s="41">
        <v>19</v>
      </c>
      <c r="L1524" s="43">
        <v>52467</v>
      </c>
    </row>
    <row r="1525" spans="2:12" outlineLevel="2">
      <c r="B1525" s="35">
        <f t="shared" si="81"/>
        <v>374</v>
      </c>
      <c r="C1525" s="41" t="s">
        <v>69</v>
      </c>
      <c r="D1525" s="41" t="s">
        <v>129</v>
      </c>
      <c r="E1525" s="41">
        <v>36025</v>
      </c>
      <c r="F1525" s="41"/>
      <c r="G1525" s="41" t="s">
        <v>106</v>
      </c>
      <c r="H1525" s="41"/>
      <c r="I1525" s="42"/>
      <c r="J1525" s="41"/>
      <c r="K1525" s="41">
        <v>48</v>
      </c>
      <c r="L1525" s="43">
        <v>52456</v>
      </c>
    </row>
    <row r="1526" spans="2:12" outlineLevel="2">
      <c r="B1526" s="35">
        <f t="shared" si="81"/>
        <v>375</v>
      </c>
      <c r="C1526" s="41" t="s">
        <v>69</v>
      </c>
      <c r="D1526" s="41" t="s">
        <v>181</v>
      </c>
      <c r="E1526" s="41">
        <v>156690</v>
      </c>
      <c r="F1526" s="41"/>
      <c r="G1526" s="41" t="s">
        <v>106</v>
      </c>
      <c r="H1526" s="41"/>
      <c r="I1526" s="42"/>
      <c r="J1526" s="41"/>
      <c r="K1526" s="41">
        <v>17</v>
      </c>
      <c r="L1526" s="43">
        <v>52465</v>
      </c>
    </row>
    <row r="1527" spans="2:12" outlineLevel="2">
      <c r="B1527" s="35">
        <f t="shared" si="81"/>
        <v>376</v>
      </c>
      <c r="C1527" s="41" t="s">
        <v>69</v>
      </c>
      <c r="D1527" s="41" t="s">
        <v>128</v>
      </c>
      <c r="E1527" s="41">
        <v>36115</v>
      </c>
      <c r="F1527" s="41"/>
      <c r="G1527" s="41" t="s">
        <v>106</v>
      </c>
      <c r="H1527" s="41"/>
      <c r="I1527" s="42"/>
      <c r="J1527" s="41"/>
      <c r="K1527" s="41">
        <v>25</v>
      </c>
      <c r="L1527" s="43">
        <v>52460</v>
      </c>
    </row>
    <row r="1528" spans="2:12" outlineLevel="2">
      <c r="B1528" s="35">
        <f t="shared" si="81"/>
        <v>377</v>
      </c>
      <c r="C1528" s="41" t="s">
        <v>69</v>
      </c>
      <c r="D1528" s="41" t="s">
        <v>127</v>
      </c>
      <c r="E1528" s="41">
        <v>37692</v>
      </c>
      <c r="F1528" s="41"/>
      <c r="G1528" s="41" t="s">
        <v>106</v>
      </c>
      <c r="H1528" s="41"/>
      <c r="I1528" s="42"/>
      <c r="J1528" s="41"/>
      <c r="K1528" s="41">
        <v>31</v>
      </c>
      <c r="L1528" s="43">
        <v>52444</v>
      </c>
    </row>
    <row r="1529" spans="2:12" outlineLevel="2">
      <c r="B1529" s="35">
        <f t="shared" si="81"/>
        <v>378</v>
      </c>
      <c r="C1529" s="41" t="s">
        <v>69</v>
      </c>
      <c r="D1529" s="41" t="s">
        <v>130</v>
      </c>
      <c r="E1529" s="41">
        <v>49993</v>
      </c>
      <c r="F1529" s="41"/>
      <c r="G1529" s="41" t="s">
        <v>106</v>
      </c>
      <c r="H1529" s="41"/>
      <c r="I1529" s="42"/>
      <c r="J1529" s="41"/>
      <c r="K1529" s="41">
        <v>11</v>
      </c>
      <c r="L1529" s="43">
        <v>52464</v>
      </c>
    </row>
    <row r="1530" spans="2:12" outlineLevel="2">
      <c r="B1530" s="35">
        <f t="shared" si="81"/>
        <v>379</v>
      </c>
      <c r="C1530" s="41" t="s">
        <v>69</v>
      </c>
      <c r="D1530" s="41" t="s">
        <v>130</v>
      </c>
      <c r="E1530" s="41">
        <v>50025</v>
      </c>
      <c r="F1530" s="41"/>
      <c r="G1530" s="41" t="s">
        <v>106</v>
      </c>
      <c r="H1530" s="41"/>
      <c r="I1530" s="42"/>
      <c r="J1530" s="41"/>
      <c r="K1530" s="41">
        <v>34</v>
      </c>
      <c r="L1530" s="43">
        <v>52445</v>
      </c>
    </row>
    <row r="1531" spans="2:12" outlineLevel="2">
      <c r="B1531" s="35">
        <f t="shared" si="81"/>
        <v>380</v>
      </c>
      <c r="C1531" s="41" t="s">
        <v>69</v>
      </c>
      <c r="D1531" s="41" t="s">
        <v>167</v>
      </c>
      <c r="E1531" s="41">
        <v>420225</v>
      </c>
      <c r="F1531" s="41"/>
      <c r="G1531" s="41" t="s">
        <v>106</v>
      </c>
      <c r="H1531" s="41"/>
      <c r="I1531" s="42"/>
      <c r="J1531" s="41"/>
      <c r="K1531" s="41">
        <v>17</v>
      </c>
      <c r="L1531" s="43">
        <v>52476</v>
      </c>
    </row>
    <row r="1532" spans="2:12" outlineLevel="2">
      <c r="B1532" s="35">
        <f t="shared" si="81"/>
        <v>381</v>
      </c>
      <c r="C1532" s="41" t="s">
        <v>69</v>
      </c>
      <c r="D1532" s="41" t="s">
        <v>191</v>
      </c>
      <c r="E1532" s="41">
        <v>198531</v>
      </c>
      <c r="F1532" s="41"/>
      <c r="G1532" s="41" t="s">
        <v>106</v>
      </c>
      <c r="H1532" s="41"/>
      <c r="I1532" s="42"/>
      <c r="J1532" s="41"/>
      <c r="K1532" s="41">
        <v>20</v>
      </c>
      <c r="L1532" s="43">
        <v>52433</v>
      </c>
    </row>
    <row r="1533" spans="2:12" outlineLevel="2">
      <c r="B1533" s="35">
        <f t="shared" si="81"/>
        <v>382</v>
      </c>
      <c r="C1533" s="41" t="s">
        <v>69</v>
      </c>
      <c r="D1533" s="41" t="s">
        <v>167</v>
      </c>
      <c r="E1533" s="41">
        <v>18482</v>
      </c>
      <c r="F1533" s="41"/>
      <c r="G1533" s="41" t="s">
        <v>106</v>
      </c>
      <c r="H1533" s="41"/>
      <c r="I1533" s="42"/>
      <c r="J1533" s="41"/>
      <c r="K1533" s="41">
        <v>25</v>
      </c>
      <c r="L1533" s="43">
        <v>52473</v>
      </c>
    </row>
    <row r="1534" spans="2:12" outlineLevel="2">
      <c r="B1534" s="35">
        <f t="shared" si="81"/>
        <v>383</v>
      </c>
      <c r="C1534" s="41" t="s">
        <v>69</v>
      </c>
      <c r="D1534" s="41" t="s">
        <v>191</v>
      </c>
      <c r="E1534" s="41">
        <v>439915</v>
      </c>
      <c r="F1534" s="41"/>
      <c r="G1534" s="41" t="s">
        <v>106</v>
      </c>
      <c r="H1534" s="41"/>
      <c r="I1534" s="42"/>
      <c r="J1534" s="41"/>
      <c r="K1534" s="41">
        <v>25</v>
      </c>
      <c r="L1534" s="43">
        <v>52496</v>
      </c>
    </row>
    <row r="1535" spans="2:12" outlineLevel="2">
      <c r="B1535" s="35">
        <f t="shared" si="81"/>
        <v>384</v>
      </c>
      <c r="C1535" s="41" t="s">
        <v>69</v>
      </c>
      <c r="D1535" s="41" t="s">
        <v>191</v>
      </c>
      <c r="E1535" s="41">
        <v>439912</v>
      </c>
      <c r="F1535" s="41"/>
      <c r="G1535" s="41" t="s">
        <v>106</v>
      </c>
      <c r="H1535" s="41"/>
      <c r="I1535" s="42"/>
      <c r="J1535" s="41"/>
      <c r="K1535" s="41">
        <v>48</v>
      </c>
      <c r="L1535" s="43">
        <v>52475</v>
      </c>
    </row>
    <row r="1536" spans="2:12" outlineLevel="2">
      <c r="B1536" s="35">
        <f t="shared" si="81"/>
        <v>385</v>
      </c>
      <c r="C1536" s="41" t="s">
        <v>69</v>
      </c>
      <c r="D1536" s="41" t="s">
        <v>191</v>
      </c>
      <c r="E1536" s="41">
        <v>844111</v>
      </c>
      <c r="F1536" s="41"/>
      <c r="G1536" s="41" t="s">
        <v>106</v>
      </c>
      <c r="H1536" s="41"/>
      <c r="I1536" s="42"/>
      <c r="J1536" s="41"/>
      <c r="K1536" s="41">
        <v>32</v>
      </c>
      <c r="L1536" s="43">
        <v>52490</v>
      </c>
    </row>
    <row r="1537" spans="2:12" outlineLevel="2">
      <c r="B1537" s="35">
        <f t="shared" si="81"/>
        <v>386</v>
      </c>
      <c r="C1537" s="41" t="s">
        <v>69</v>
      </c>
      <c r="D1537" s="41" t="s">
        <v>167</v>
      </c>
      <c r="E1537" s="41">
        <v>153967</v>
      </c>
      <c r="F1537" s="41"/>
      <c r="G1537" s="41" t="s">
        <v>106</v>
      </c>
      <c r="H1537" s="41"/>
      <c r="I1537" s="42"/>
      <c r="J1537" s="41"/>
      <c r="K1537" s="41">
        <v>24</v>
      </c>
      <c r="L1537" s="43">
        <v>52478</v>
      </c>
    </row>
    <row r="1538" spans="2:12" outlineLevel="2">
      <c r="B1538" s="35">
        <f t="shared" si="81"/>
        <v>387</v>
      </c>
      <c r="C1538" s="41" t="s">
        <v>69</v>
      </c>
      <c r="D1538" s="41" t="s">
        <v>129</v>
      </c>
      <c r="E1538" s="41">
        <v>52081</v>
      </c>
      <c r="F1538" s="41"/>
      <c r="G1538" s="41" t="s">
        <v>106</v>
      </c>
      <c r="H1538" s="41"/>
      <c r="I1538" s="42"/>
      <c r="J1538" s="41"/>
      <c r="K1538" s="41">
        <v>25</v>
      </c>
      <c r="L1538" s="43">
        <v>52472</v>
      </c>
    </row>
    <row r="1539" spans="2:12" outlineLevel="2">
      <c r="B1539" s="35">
        <f t="shared" si="81"/>
        <v>388</v>
      </c>
      <c r="C1539" s="41" t="s">
        <v>69</v>
      </c>
      <c r="D1539" s="41" t="s">
        <v>191</v>
      </c>
      <c r="E1539" s="41">
        <v>153180</v>
      </c>
      <c r="F1539" s="41"/>
      <c r="G1539" s="41" t="s">
        <v>106</v>
      </c>
      <c r="H1539" s="41"/>
      <c r="I1539" s="42"/>
      <c r="J1539" s="41"/>
      <c r="K1539" s="41">
        <v>36</v>
      </c>
      <c r="L1539" s="43">
        <v>52491</v>
      </c>
    </row>
    <row r="1540" spans="2:12" outlineLevel="2">
      <c r="B1540" s="35">
        <f t="shared" si="81"/>
        <v>389</v>
      </c>
      <c r="C1540" s="41" t="s">
        <v>69</v>
      </c>
      <c r="D1540" s="41" t="s">
        <v>127</v>
      </c>
      <c r="E1540" s="41">
        <v>9579266</v>
      </c>
      <c r="F1540" s="41"/>
      <c r="G1540" s="41" t="s">
        <v>106</v>
      </c>
      <c r="H1540" s="41"/>
      <c r="I1540" s="42"/>
      <c r="J1540" s="41"/>
      <c r="K1540" s="41">
        <v>30</v>
      </c>
      <c r="L1540" s="43">
        <v>52442</v>
      </c>
    </row>
    <row r="1541" spans="2:12" outlineLevel="2">
      <c r="B1541" s="35">
        <f t="shared" si="81"/>
        <v>390</v>
      </c>
      <c r="C1541" s="41" t="s">
        <v>69</v>
      </c>
      <c r="D1541" s="41" t="s">
        <v>130</v>
      </c>
      <c r="E1541" s="41">
        <v>85139</v>
      </c>
      <c r="F1541" s="41"/>
      <c r="G1541" s="41" t="s">
        <v>106</v>
      </c>
      <c r="H1541" s="41"/>
      <c r="I1541" s="42"/>
      <c r="J1541" s="41"/>
      <c r="K1541" s="41">
        <v>48</v>
      </c>
      <c r="L1541" s="43">
        <v>52443</v>
      </c>
    </row>
    <row r="1542" spans="2:12" outlineLevel="2">
      <c r="B1542" s="35">
        <f t="shared" si="81"/>
        <v>391</v>
      </c>
      <c r="C1542" s="41" t="s">
        <v>69</v>
      </c>
      <c r="D1542" s="41" t="s">
        <v>131</v>
      </c>
      <c r="E1542" s="41">
        <v>14528</v>
      </c>
      <c r="F1542" s="41"/>
      <c r="G1542" s="41" t="s">
        <v>106</v>
      </c>
      <c r="H1542" s="41"/>
      <c r="I1542" s="42"/>
      <c r="J1542" s="41"/>
      <c r="K1542" s="41">
        <v>23</v>
      </c>
      <c r="L1542" s="43">
        <v>52461</v>
      </c>
    </row>
    <row r="1543" spans="2:12" outlineLevel="2">
      <c r="B1543" s="35">
        <f t="shared" si="81"/>
        <v>392</v>
      </c>
      <c r="C1543" s="41" t="s">
        <v>69</v>
      </c>
      <c r="D1543" s="41" t="s">
        <v>191</v>
      </c>
      <c r="E1543" s="41">
        <v>291873</v>
      </c>
      <c r="F1543" s="41"/>
      <c r="G1543" s="41" t="s">
        <v>106</v>
      </c>
      <c r="H1543" s="41"/>
      <c r="I1543" s="42"/>
      <c r="J1543" s="41"/>
      <c r="K1543" s="41">
        <v>38</v>
      </c>
      <c r="L1543" s="43">
        <v>52509</v>
      </c>
    </row>
    <row r="1544" spans="2:12" outlineLevel="2">
      <c r="B1544" s="35">
        <f t="shared" si="81"/>
        <v>393</v>
      </c>
      <c r="C1544" s="41" t="s">
        <v>69</v>
      </c>
      <c r="D1544" s="41" t="s">
        <v>127</v>
      </c>
      <c r="E1544" s="41">
        <v>40931</v>
      </c>
      <c r="F1544" s="41"/>
      <c r="G1544" s="41" t="s">
        <v>106</v>
      </c>
      <c r="H1544" s="41"/>
      <c r="I1544" s="42"/>
      <c r="J1544" s="41"/>
      <c r="K1544" s="41">
        <v>20</v>
      </c>
      <c r="L1544" s="43">
        <v>52471</v>
      </c>
    </row>
    <row r="1545" spans="2:12" outlineLevel="2">
      <c r="B1545" s="35">
        <f t="shared" si="81"/>
        <v>394</v>
      </c>
      <c r="C1545" s="41" t="s">
        <v>69</v>
      </c>
      <c r="D1545" s="41" t="s">
        <v>128</v>
      </c>
      <c r="E1545" s="41">
        <v>22165</v>
      </c>
      <c r="F1545" s="41"/>
      <c r="G1545" s="41" t="s">
        <v>106</v>
      </c>
      <c r="H1545" s="41"/>
      <c r="I1545" s="42"/>
      <c r="J1545" s="41"/>
      <c r="K1545" s="41">
        <v>23</v>
      </c>
      <c r="L1545" s="43">
        <v>52488</v>
      </c>
    </row>
    <row r="1546" spans="2:12" outlineLevel="2">
      <c r="B1546" s="35">
        <f t="shared" si="81"/>
        <v>395</v>
      </c>
      <c r="C1546" s="41" t="s">
        <v>69</v>
      </c>
      <c r="D1546" s="41" t="s">
        <v>191</v>
      </c>
      <c r="E1546" s="41">
        <v>167233</v>
      </c>
      <c r="F1546" s="41"/>
      <c r="G1546" s="41" t="s">
        <v>106</v>
      </c>
      <c r="H1546" s="41"/>
      <c r="I1546" s="42"/>
      <c r="J1546" s="41"/>
      <c r="K1546" s="41">
        <v>43</v>
      </c>
      <c r="L1546" s="43">
        <v>52501</v>
      </c>
    </row>
    <row r="1547" spans="2:12" outlineLevel="2">
      <c r="B1547" s="35">
        <f t="shared" si="81"/>
        <v>396</v>
      </c>
      <c r="C1547" s="41" t="s">
        <v>69</v>
      </c>
      <c r="D1547" s="41" t="s">
        <v>128</v>
      </c>
      <c r="E1547" s="41">
        <v>9370766</v>
      </c>
      <c r="F1547" s="41"/>
      <c r="G1547" s="41" t="s">
        <v>106</v>
      </c>
      <c r="H1547" s="41"/>
      <c r="I1547" s="42"/>
      <c r="J1547" s="41"/>
      <c r="K1547" s="41">
        <v>28</v>
      </c>
      <c r="L1547" s="43">
        <v>52487</v>
      </c>
    </row>
    <row r="1548" spans="2:12" outlineLevel="2">
      <c r="B1548" s="35">
        <f t="shared" si="81"/>
        <v>397</v>
      </c>
      <c r="C1548" s="41" t="s">
        <v>69</v>
      </c>
      <c r="D1548" s="41" t="s">
        <v>191</v>
      </c>
      <c r="E1548" s="41">
        <v>70670</v>
      </c>
      <c r="F1548" s="41"/>
      <c r="G1548" s="41" t="s">
        <v>106</v>
      </c>
      <c r="H1548" s="41"/>
      <c r="I1548" s="42"/>
      <c r="J1548" s="41"/>
      <c r="K1548" s="41">
        <v>23</v>
      </c>
      <c r="L1548" s="43">
        <v>52502</v>
      </c>
    </row>
    <row r="1549" spans="2:12" outlineLevel="2">
      <c r="B1549" s="35">
        <f t="shared" si="81"/>
        <v>398</v>
      </c>
      <c r="C1549" s="41" t="s">
        <v>69</v>
      </c>
      <c r="D1549" s="41" t="s">
        <v>191</v>
      </c>
      <c r="E1549" s="41">
        <v>810493</v>
      </c>
      <c r="F1549" s="41"/>
      <c r="G1549" s="41" t="s">
        <v>106</v>
      </c>
      <c r="H1549" s="41"/>
      <c r="I1549" s="42"/>
      <c r="J1549" s="41"/>
      <c r="K1549" s="41">
        <v>32</v>
      </c>
      <c r="L1549" s="43">
        <v>52510</v>
      </c>
    </row>
    <row r="1550" spans="2:12" outlineLevel="2">
      <c r="B1550" s="35">
        <f t="shared" si="81"/>
        <v>399</v>
      </c>
      <c r="C1550" s="41" t="s">
        <v>69</v>
      </c>
      <c r="D1550" s="41" t="s">
        <v>191</v>
      </c>
      <c r="E1550" s="41">
        <v>810824</v>
      </c>
      <c r="F1550" s="41"/>
      <c r="G1550" s="41" t="s">
        <v>106</v>
      </c>
      <c r="H1550" s="41"/>
      <c r="I1550" s="42"/>
      <c r="J1550" s="41"/>
      <c r="K1550" s="41">
        <v>37</v>
      </c>
      <c r="L1550" s="43">
        <v>52516</v>
      </c>
    </row>
    <row r="1551" spans="2:12" outlineLevel="2">
      <c r="B1551" s="35">
        <f t="shared" si="81"/>
        <v>400</v>
      </c>
      <c r="C1551" s="41" t="s">
        <v>69</v>
      </c>
      <c r="D1551" s="41" t="s">
        <v>129</v>
      </c>
      <c r="E1551" s="41">
        <v>82496</v>
      </c>
      <c r="F1551" s="41"/>
      <c r="G1551" s="41" t="s">
        <v>106</v>
      </c>
      <c r="H1551" s="41"/>
      <c r="I1551" s="42"/>
      <c r="J1551" s="41"/>
      <c r="K1551" s="41">
        <v>31</v>
      </c>
      <c r="L1551" s="43">
        <v>52505</v>
      </c>
    </row>
    <row r="1552" spans="2:12" outlineLevel="2">
      <c r="B1552" s="35">
        <f t="shared" si="81"/>
        <v>401</v>
      </c>
      <c r="C1552" s="41" t="s">
        <v>69</v>
      </c>
      <c r="D1552" s="41" t="s">
        <v>128</v>
      </c>
      <c r="E1552" s="41">
        <v>822650</v>
      </c>
      <c r="F1552" s="41"/>
      <c r="G1552" s="41" t="s">
        <v>106</v>
      </c>
      <c r="H1552" s="41"/>
      <c r="I1552" s="42"/>
      <c r="J1552" s="41"/>
      <c r="K1552" s="41">
        <v>46</v>
      </c>
      <c r="L1552" s="43">
        <v>52495</v>
      </c>
    </row>
    <row r="1553" spans="2:12" outlineLevel="2">
      <c r="B1553" s="35">
        <f t="shared" si="81"/>
        <v>402</v>
      </c>
      <c r="C1553" s="41" t="s">
        <v>69</v>
      </c>
      <c r="D1553" s="41" t="s">
        <v>191</v>
      </c>
      <c r="E1553" s="41">
        <v>307703</v>
      </c>
      <c r="F1553" s="41"/>
      <c r="G1553" s="41" t="s">
        <v>106</v>
      </c>
      <c r="H1553" s="41"/>
      <c r="I1553" s="42"/>
      <c r="J1553" s="41"/>
      <c r="K1553" s="41">
        <v>33</v>
      </c>
      <c r="L1553" s="43">
        <v>52515</v>
      </c>
    </row>
    <row r="1554" spans="2:12" outlineLevel="2">
      <c r="B1554" s="35">
        <f t="shared" si="81"/>
        <v>403</v>
      </c>
      <c r="C1554" s="41" t="s">
        <v>69</v>
      </c>
      <c r="D1554" s="41" t="s">
        <v>129</v>
      </c>
      <c r="E1554" s="41">
        <v>82540</v>
      </c>
      <c r="F1554" s="41"/>
      <c r="G1554" s="41" t="s">
        <v>106</v>
      </c>
      <c r="H1554" s="41"/>
      <c r="I1554" s="42"/>
      <c r="J1554" s="41"/>
      <c r="K1554" s="41">
        <v>33</v>
      </c>
      <c r="L1554" s="43">
        <v>52508</v>
      </c>
    </row>
    <row r="1555" spans="2:12" outlineLevel="2">
      <c r="B1555" s="35">
        <f t="shared" si="81"/>
        <v>404</v>
      </c>
      <c r="C1555" s="41" t="s">
        <v>69</v>
      </c>
      <c r="D1555" s="41" t="s">
        <v>191</v>
      </c>
      <c r="E1555" s="41">
        <v>82615</v>
      </c>
      <c r="F1555" s="41"/>
      <c r="G1555" s="41" t="s">
        <v>106</v>
      </c>
      <c r="H1555" s="41"/>
      <c r="I1555" s="42"/>
      <c r="J1555" s="41"/>
      <c r="K1555" s="41">
        <v>33</v>
      </c>
      <c r="L1555" s="43">
        <v>52500</v>
      </c>
    </row>
    <row r="1556" spans="2:12" outlineLevel="2">
      <c r="B1556" s="35">
        <f t="shared" si="81"/>
        <v>405</v>
      </c>
      <c r="C1556" s="41" t="s">
        <v>69</v>
      </c>
      <c r="D1556" s="41" t="s">
        <v>167</v>
      </c>
      <c r="E1556" s="41">
        <v>72495</v>
      </c>
      <c r="F1556" s="41"/>
      <c r="G1556" s="41" t="s">
        <v>106</v>
      </c>
      <c r="H1556" s="41"/>
      <c r="I1556" s="42"/>
      <c r="J1556" s="41"/>
      <c r="K1556" s="41">
        <v>31</v>
      </c>
      <c r="L1556" s="43">
        <v>52482</v>
      </c>
    </row>
    <row r="1557" spans="2:12" outlineLevel="2">
      <c r="B1557" s="35">
        <f t="shared" si="81"/>
        <v>406</v>
      </c>
      <c r="C1557" s="41" t="s">
        <v>69</v>
      </c>
      <c r="D1557" s="41" t="s">
        <v>191</v>
      </c>
      <c r="E1557" s="41">
        <v>822835</v>
      </c>
      <c r="F1557" s="41"/>
      <c r="G1557" s="41" t="s">
        <v>106</v>
      </c>
      <c r="H1557" s="41"/>
      <c r="I1557" s="42"/>
      <c r="J1557" s="41"/>
      <c r="K1557" s="41">
        <v>26</v>
      </c>
      <c r="L1557" s="43">
        <v>52507</v>
      </c>
    </row>
    <row r="1558" spans="2:12" outlineLevel="2">
      <c r="B1558" s="35">
        <f t="shared" si="81"/>
        <v>407</v>
      </c>
      <c r="C1558" s="41" t="s">
        <v>69</v>
      </c>
      <c r="D1558" s="41" t="s">
        <v>129</v>
      </c>
      <c r="E1558" s="41">
        <v>156975</v>
      </c>
      <c r="F1558" s="41"/>
      <c r="G1558" s="41" t="s">
        <v>106</v>
      </c>
      <c r="H1558" s="41"/>
      <c r="I1558" s="42"/>
      <c r="J1558" s="41"/>
      <c r="K1558" s="41">
        <v>32</v>
      </c>
      <c r="L1558" s="43">
        <v>52486</v>
      </c>
    </row>
    <row r="1559" spans="2:12" outlineLevel="2">
      <c r="B1559" s="35">
        <f t="shared" si="81"/>
        <v>408</v>
      </c>
      <c r="C1559" s="41" t="s">
        <v>69</v>
      </c>
      <c r="D1559" s="41" t="s">
        <v>128</v>
      </c>
      <c r="E1559" s="41">
        <v>52965</v>
      </c>
      <c r="F1559" s="41"/>
      <c r="G1559" s="41" t="s">
        <v>106</v>
      </c>
      <c r="H1559" s="41"/>
      <c r="I1559" s="42"/>
      <c r="J1559" s="41"/>
      <c r="K1559" s="41">
        <v>26</v>
      </c>
      <c r="L1559" s="43">
        <v>52485</v>
      </c>
    </row>
    <row r="1560" spans="2:12" outlineLevel="2">
      <c r="B1560" s="35">
        <f t="shared" si="81"/>
        <v>409</v>
      </c>
      <c r="C1560" s="41" t="s">
        <v>69</v>
      </c>
      <c r="D1560" s="41" t="s">
        <v>191</v>
      </c>
      <c r="E1560" s="41">
        <v>869691</v>
      </c>
      <c r="F1560" s="41"/>
      <c r="G1560" s="41" t="s">
        <v>106</v>
      </c>
      <c r="H1560" s="41"/>
      <c r="I1560" s="42"/>
      <c r="J1560" s="41"/>
      <c r="K1560" s="41">
        <v>37</v>
      </c>
      <c r="L1560" s="43">
        <v>52484</v>
      </c>
    </row>
    <row r="1561" spans="2:12" outlineLevel="2">
      <c r="B1561" s="35">
        <f t="shared" si="81"/>
        <v>410</v>
      </c>
      <c r="C1561" s="41" t="s">
        <v>69</v>
      </c>
      <c r="D1561" s="41" t="s">
        <v>191</v>
      </c>
      <c r="E1561" s="41">
        <v>117908</v>
      </c>
      <c r="F1561" s="41"/>
      <c r="G1561" s="41" t="s">
        <v>106</v>
      </c>
      <c r="H1561" s="41"/>
      <c r="I1561" s="42"/>
      <c r="J1561" s="41"/>
      <c r="K1561" s="41">
        <v>33</v>
      </c>
      <c r="L1561" s="43">
        <v>52480</v>
      </c>
    </row>
    <row r="1562" spans="2:12" outlineLevel="2">
      <c r="B1562" s="35">
        <f t="shared" si="81"/>
        <v>411</v>
      </c>
      <c r="C1562" s="41" t="s">
        <v>69</v>
      </c>
      <c r="D1562" s="41" t="s">
        <v>129</v>
      </c>
      <c r="E1562" s="41" t="s">
        <v>923</v>
      </c>
      <c r="F1562" s="41"/>
      <c r="G1562" s="41" t="s">
        <v>106</v>
      </c>
      <c r="H1562" s="41"/>
      <c r="I1562" s="42"/>
      <c r="J1562" s="41"/>
      <c r="K1562" s="41">
        <v>30</v>
      </c>
      <c r="L1562" s="43">
        <v>52489</v>
      </c>
    </row>
    <row r="1563" spans="2:12" outlineLevel="2">
      <c r="B1563" s="35">
        <f t="shared" si="81"/>
        <v>412</v>
      </c>
      <c r="C1563" s="41" t="s">
        <v>69</v>
      </c>
      <c r="D1563" s="41" t="s">
        <v>129</v>
      </c>
      <c r="E1563" s="41" t="s">
        <v>924</v>
      </c>
      <c r="F1563" s="41"/>
      <c r="G1563" s="41" t="s">
        <v>106</v>
      </c>
      <c r="H1563" s="41"/>
      <c r="I1563" s="42"/>
      <c r="J1563" s="41"/>
      <c r="K1563" s="41">
        <v>18</v>
      </c>
      <c r="L1563" s="43">
        <v>52497</v>
      </c>
    </row>
    <row r="1564" spans="2:12" outlineLevel="2">
      <c r="B1564" s="35">
        <f t="shared" si="81"/>
        <v>413</v>
      </c>
      <c r="C1564" s="41" t="s">
        <v>69</v>
      </c>
      <c r="D1564" s="41" t="s">
        <v>130</v>
      </c>
      <c r="E1564" s="41" t="s">
        <v>925</v>
      </c>
      <c r="F1564" s="41"/>
      <c r="G1564" s="41" t="s">
        <v>106</v>
      </c>
      <c r="H1564" s="41"/>
      <c r="I1564" s="42"/>
      <c r="J1564" s="41"/>
      <c r="K1564" s="41">
        <v>30</v>
      </c>
      <c r="L1564" s="43">
        <v>52492</v>
      </c>
    </row>
    <row r="1565" spans="2:12" outlineLevel="2">
      <c r="B1565" s="35">
        <f t="shared" si="81"/>
        <v>414</v>
      </c>
      <c r="C1565" s="41" t="s">
        <v>69</v>
      </c>
      <c r="D1565" s="41" t="s">
        <v>128</v>
      </c>
      <c r="E1565" s="41">
        <v>156734</v>
      </c>
      <c r="F1565" s="41"/>
      <c r="G1565" s="41" t="s">
        <v>106</v>
      </c>
      <c r="H1565" s="41"/>
      <c r="I1565" s="42"/>
      <c r="J1565" s="41"/>
      <c r="K1565" s="41">
        <v>43</v>
      </c>
      <c r="L1565" s="43">
        <v>52483</v>
      </c>
    </row>
    <row r="1566" spans="2:12" outlineLevel="2">
      <c r="B1566" s="35">
        <f t="shared" si="81"/>
        <v>415</v>
      </c>
      <c r="C1566" s="41" t="s">
        <v>69</v>
      </c>
      <c r="D1566" s="41" t="s">
        <v>129</v>
      </c>
      <c r="E1566" s="41">
        <v>44601</v>
      </c>
      <c r="F1566" s="41"/>
      <c r="G1566" s="41" t="s">
        <v>106</v>
      </c>
      <c r="H1566" s="41"/>
      <c r="I1566" s="42"/>
      <c r="J1566" s="41"/>
      <c r="K1566" s="41">
        <v>31</v>
      </c>
      <c r="L1566" s="43">
        <v>52481</v>
      </c>
    </row>
    <row r="1567" spans="2:12" outlineLevel="2">
      <c r="B1567" s="35">
        <f t="shared" si="81"/>
        <v>416</v>
      </c>
      <c r="C1567" s="41" t="s">
        <v>69</v>
      </c>
      <c r="D1567" s="41" t="s">
        <v>128</v>
      </c>
      <c r="E1567" s="41">
        <v>4753</v>
      </c>
      <c r="F1567" s="41"/>
      <c r="G1567" s="41" t="s">
        <v>106</v>
      </c>
      <c r="H1567" s="41"/>
      <c r="I1567" s="42"/>
      <c r="J1567" s="41"/>
      <c r="K1567" s="41">
        <v>31</v>
      </c>
      <c r="L1567" s="43">
        <v>52479</v>
      </c>
    </row>
    <row r="1568" spans="2:12" outlineLevel="2">
      <c r="B1568" s="35">
        <f t="shared" si="81"/>
        <v>417</v>
      </c>
      <c r="C1568" s="41" t="s">
        <v>69</v>
      </c>
      <c r="D1568" s="41" t="s">
        <v>128</v>
      </c>
      <c r="E1568" s="41">
        <v>49525</v>
      </c>
      <c r="F1568" s="41"/>
      <c r="G1568" s="41" t="s">
        <v>106</v>
      </c>
      <c r="H1568" s="41"/>
      <c r="I1568" s="42"/>
      <c r="J1568" s="41"/>
      <c r="K1568" s="41">
        <v>34</v>
      </c>
      <c r="L1568" s="43">
        <v>52506</v>
      </c>
    </row>
    <row r="1569" spans="2:12" outlineLevel="2">
      <c r="B1569" s="35">
        <f t="shared" si="81"/>
        <v>418</v>
      </c>
      <c r="C1569" s="41" t="s">
        <v>69</v>
      </c>
      <c r="D1569" s="41" t="s">
        <v>191</v>
      </c>
      <c r="E1569" s="41">
        <v>811223</v>
      </c>
      <c r="F1569" s="41"/>
      <c r="G1569" s="41" t="s">
        <v>106</v>
      </c>
      <c r="H1569" s="41"/>
      <c r="I1569" s="42"/>
      <c r="J1569" s="41"/>
      <c r="K1569" s="41">
        <v>41</v>
      </c>
      <c r="L1569" s="43">
        <v>52453</v>
      </c>
    </row>
    <row r="1570" spans="2:12" outlineLevel="2">
      <c r="B1570" s="35">
        <f t="shared" si="81"/>
        <v>419</v>
      </c>
      <c r="C1570" s="41" t="s">
        <v>69</v>
      </c>
      <c r="D1570" s="41" t="s">
        <v>167</v>
      </c>
      <c r="E1570" s="41">
        <v>153282</v>
      </c>
      <c r="F1570" s="41"/>
      <c r="G1570" s="41" t="s">
        <v>106</v>
      </c>
      <c r="H1570" s="41"/>
      <c r="I1570" s="42"/>
      <c r="J1570" s="41"/>
      <c r="K1570" s="41">
        <v>37</v>
      </c>
      <c r="L1570" s="43">
        <v>52455</v>
      </c>
    </row>
    <row r="1571" spans="2:12" outlineLevel="2">
      <c r="B1571" s="35">
        <f t="shared" si="81"/>
        <v>420</v>
      </c>
      <c r="C1571" s="41" t="s">
        <v>69</v>
      </c>
      <c r="D1571" s="41" t="s">
        <v>191</v>
      </c>
      <c r="E1571" s="41">
        <v>299811</v>
      </c>
      <c r="F1571" s="41"/>
      <c r="G1571" s="41" t="s">
        <v>106</v>
      </c>
      <c r="H1571" s="41"/>
      <c r="I1571" s="42"/>
      <c r="J1571" s="41"/>
      <c r="K1571" s="41">
        <v>34</v>
      </c>
      <c r="L1571" s="43">
        <v>52452</v>
      </c>
    </row>
    <row r="1572" spans="2:12" outlineLevel="2">
      <c r="B1572" s="35">
        <f t="shared" si="81"/>
        <v>421</v>
      </c>
      <c r="C1572" s="41" t="s">
        <v>69</v>
      </c>
      <c r="D1572" s="41" t="s">
        <v>191</v>
      </c>
      <c r="E1572" s="41">
        <v>384228</v>
      </c>
      <c r="F1572" s="41"/>
      <c r="G1572" s="41" t="s">
        <v>106</v>
      </c>
      <c r="H1572" s="41"/>
      <c r="I1572" s="42"/>
      <c r="J1572" s="41"/>
      <c r="K1572" s="41">
        <v>32</v>
      </c>
      <c r="L1572" s="43">
        <v>52449</v>
      </c>
    </row>
    <row r="1573" spans="2:12" outlineLevel="2">
      <c r="B1573" s="35">
        <f t="shared" ref="B1573:B1592" si="82">(B1572+1)</f>
        <v>422</v>
      </c>
      <c r="C1573" s="41" t="s">
        <v>69</v>
      </c>
      <c r="D1573" s="41" t="s">
        <v>191</v>
      </c>
      <c r="E1573" s="41">
        <v>299545</v>
      </c>
      <c r="F1573" s="41"/>
      <c r="G1573" s="41" t="s">
        <v>106</v>
      </c>
      <c r="H1573" s="41"/>
      <c r="I1573" s="42"/>
      <c r="J1573" s="41"/>
      <c r="K1573" s="41">
        <v>46</v>
      </c>
      <c r="L1573" s="43">
        <v>52434</v>
      </c>
    </row>
    <row r="1574" spans="2:12" outlineLevel="2">
      <c r="B1574" s="35">
        <f t="shared" si="82"/>
        <v>423</v>
      </c>
      <c r="C1574" s="41" t="s">
        <v>69</v>
      </c>
      <c r="D1574" s="41" t="s">
        <v>191</v>
      </c>
      <c r="E1574" s="41">
        <v>439477</v>
      </c>
      <c r="F1574" s="41"/>
      <c r="G1574" s="41" t="s">
        <v>106</v>
      </c>
      <c r="H1574" s="41"/>
      <c r="I1574" s="42"/>
      <c r="J1574" s="41"/>
      <c r="K1574" s="41">
        <v>26</v>
      </c>
      <c r="L1574" s="43">
        <v>52446</v>
      </c>
    </row>
    <row r="1575" spans="2:12" outlineLevel="2">
      <c r="B1575" s="35">
        <f t="shared" si="82"/>
        <v>424</v>
      </c>
      <c r="C1575" s="41" t="s">
        <v>69</v>
      </c>
      <c r="D1575" s="41" t="s">
        <v>191</v>
      </c>
      <c r="E1575" s="41">
        <v>326434</v>
      </c>
      <c r="F1575" s="41"/>
      <c r="G1575" s="41" t="s">
        <v>106</v>
      </c>
      <c r="H1575" s="41"/>
      <c r="I1575" s="42"/>
      <c r="J1575" s="41"/>
      <c r="K1575" s="41">
        <v>22</v>
      </c>
      <c r="L1575" s="43">
        <v>52512</v>
      </c>
    </row>
    <row r="1576" spans="2:12" outlineLevel="2">
      <c r="B1576" s="35">
        <f t="shared" si="82"/>
        <v>425</v>
      </c>
      <c r="C1576" s="41" t="s">
        <v>69</v>
      </c>
      <c r="D1576" s="41" t="s">
        <v>129</v>
      </c>
      <c r="E1576" s="41">
        <v>76434</v>
      </c>
      <c r="F1576" s="41"/>
      <c r="G1576" s="41" t="s">
        <v>106</v>
      </c>
      <c r="H1576" s="41"/>
      <c r="I1576" s="42"/>
      <c r="J1576" s="41"/>
      <c r="K1576" s="41">
        <v>41</v>
      </c>
      <c r="L1576" s="43">
        <v>52514</v>
      </c>
    </row>
    <row r="1577" spans="2:12" outlineLevel="2">
      <c r="B1577" s="35">
        <f t="shared" si="82"/>
        <v>426</v>
      </c>
      <c r="C1577" s="41" t="s">
        <v>69</v>
      </c>
      <c r="D1577" s="41" t="s">
        <v>181</v>
      </c>
      <c r="E1577" s="41">
        <v>13760</v>
      </c>
      <c r="F1577" s="41"/>
      <c r="G1577" s="41" t="s">
        <v>106</v>
      </c>
      <c r="H1577" s="41"/>
      <c r="I1577" s="42"/>
      <c r="J1577" s="41"/>
      <c r="K1577" s="41">
        <v>48</v>
      </c>
      <c r="L1577" s="43">
        <v>52504</v>
      </c>
    </row>
    <row r="1578" spans="2:12" outlineLevel="2">
      <c r="B1578" s="35">
        <f t="shared" si="82"/>
        <v>427</v>
      </c>
      <c r="C1578" s="41" t="s">
        <v>69</v>
      </c>
      <c r="D1578" s="41" t="s">
        <v>191</v>
      </c>
      <c r="E1578" s="41">
        <v>883218</v>
      </c>
      <c r="F1578" s="41"/>
      <c r="G1578" s="41" t="s">
        <v>106</v>
      </c>
      <c r="H1578" s="41"/>
      <c r="I1578" s="42"/>
      <c r="J1578" s="41"/>
      <c r="K1578" s="41">
        <v>31</v>
      </c>
      <c r="L1578" s="43">
        <v>52511</v>
      </c>
    </row>
    <row r="1579" spans="2:12" outlineLevel="2">
      <c r="B1579" s="35">
        <f t="shared" si="82"/>
        <v>428</v>
      </c>
      <c r="C1579" s="41" t="s">
        <v>69</v>
      </c>
      <c r="D1579" s="41" t="s">
        <v>128</v>
      </c>
      <c r="E1579" s="41">
        <v>33375</v>
      </c>
      <c r="F1579" s="41"/>
      <c r="G1579" s="41" t="s">
        <v>106</v>
      </c>
      <c r="H1579" s="41"/>
      <c r="I1579" s="42"/>
      <c r="J1579" s="41"/>
      <c r="K1579" s="41">
        <v>34</v>
      </c>
      <c r="L1579" s="43">
        <v>52513</v>
      </c>
    </row>
    <row r="1580" spans="2:12" outlineLevel="2">
      <c r="B1580" s="35">
        <f t="shared" si="82"/>
        <v>429</v>
      </c>
      <c r="C1580" s="41" t="s">
        <v>69</v>
      </c>
      <c r="D1580" s="41" t="s">
        <v>181</v>
      </c>
      <c r="E1580" s="41">
        <v>147313</v>
      </c>
      <c r="F1580" s="41"/>
      <c r="G1580" s="41" t="s">
        <v>106</v>
      </c>
      <c r="H1580" s="41"/>
      <c r="I1580" s="42"/>
      <c r="J1580" s="41"/>
      <c r="K1580" s="41">
        <v>36</v>
      </c>
      <c r="L1580" s="43">
        <v>52437</v>
      </c>
    </row>
    <row r="1581" spans="2:12" outlineLevel="2">
      <c r="B1581" s="35">
        <f t="shared" si="82"/>
        <v>430</v>
      </c>
      <c r="C1581" s="41" t="s">
        <v>69</v>
      </c>
      <c r="D1581" s="41" t="s">
        <v>191</v>
      </c>
      <c r="E1581" s="41">
        <v>1045311</v>
      </c>
      <c r="F1581" s="41"/>
      <c r="G1581" s="41" t="s">
        <v>106</v>
      </c>
      <c r="H1581" s="41"/>
      <c r="I1581" s="42"/>
      <c r="J1581" s="41"/>
      <c r="K1581" s="41">
        <v>33</v>
      </c>
      <c r="L1581" s="43">
        <v>52447</v>
      </c>
    </row>
    <row r="1582" spans="2:12" outlineLevel="2">
      <c r="B1582" s="35">
        <f t="shared" si="82"/>
        <v>431</v>
      </c>
      <c r="C1582" s="41" t="s">
        <v>69</v>
      </c>
      <c r="D1582" s="41" t="s">
        <v>167</v>
      </c>
      <c r="E1582" s="41">
        <v>33275</v>
      </c>
      <c r="F1582" s="41"/>
      <c r="G1582" s="41" t="s">
        <v>106</v>
      </c>
      <c r="H1582" s="41"/>
      <c r="I1582" s="42"/>
      <c r="J1582" s="41"/>
      <c r="K1582" s="41">
        <v>18</v>
      </c>
      <c r="L1582" s="43">
        <v>52436</v>
      </c>
    </row>
    <row r="1583" spans="2:12" outlineLevel="2">
      <c r="B1583" s="35">
        <f t="shared" si="82"/>
        <v>432</v>
      </c>
      <c r="C1583" s="41" t="s">
        <v>69</v>
      </c>
      <c r="D1583" s="41" t="s">
        <v>129</v>
      </c>
      <c r="E1583" s="41">
        <v>181585</v>
      </c>
      <c r="F1583" s="41"/>
      <c r="G1583" s="41" t="s">
        <v>106</v>
      </c>
      <c r="H1583" s="41"/>
      <c r="I1583" s="42"/>
      <c r="J1583" s="41"/>
      <c r="K1583" s="41">
        <v>47</v>
      </c>
      <c r="L1583" s="43">
        <v>52432</v>
      </c>
    </row>
    <row r="1584" spans="2:12" outlineLevel="2">
      <c r="B1584" s="35">
        <f t="shared" si="82"/>
        <v>433</v>
      </c>
      <c r="C1584" s="41" t="s">
        <v>69</v>
      </c>
      <c r="D1584" s="41" t="s">
        <v>167</v>
      </c>
      <c r="E1584" s="41">
        <v>18530</v>
      </c>
      <c r="F1584" s="41"/>
      <c r="G1584" s="41" t="s">
        <v>106</v>
      </c>
      <c r="H1584" s="41"/>
      <c r="I1584" s="42"/>
      <c r="J1584" s="41"/>
      <c r="K1584" s="41">
        <v>28</v>
      </c>
      <c r="L1584" s="43">
        <v>52426</v>
      </c>
    </row>
    <row r="1585" spans="2:12" outlineLevel="2">
      <c r="B1585" s="35">
        <f t="shared" si="82"/>
        <v>434</v>
      </c>
      <c r="C1585" s="41" t="s">
        <v>69</v>
      </c>
      <c r="D1585" s="41" t="s">
        <v>167</v>
      </c>
      <c r="E1585" s="41" t="s">
        <v>926</v>
      </c>
      <c r="F1585" s="41"/>
      <c r="G1585" s="41" t="s">
        <v>106</v>
      </c>
      <c r="H1585" s="41"/>
      <c r="I1585" s="42"/>
      <c r="J1585" s="41"/>
      <c r="K1585" s="41">
        <v>45</v>
      </c>
      <c r="L1585" s="43">
        <v>52457</v>
      </c>
    </row>
    <row r="1586" spans="2:12" outlineLevel="2">
      <c r="B1586" s="35">
        <f t="shared" si="82"/>
        <v>435</v>
      </c>
      <c r="C1586" s="41" t="s">
        <v>69</v>
      </c>
      <c r="D1586" s="41" t="s">
        <v>191</v>
      </c>
      <c r="E1586" s="41">
        <v>117499</v>
      </c>
      <c r="F1586" s="41"/>
      <c r="G1586" s="41" t="s">
        <v>106</v>
      </c>
      <c r="H1586" s="41"/>
      <c r="I1586" s="42"/>
      <c r="J1586" s="41"/>
      <c r="K1586" s="41">
        <v>31</v>
      </c>
      <c r="L1586" s="43">
        <v>52450</v>
      </c>
    </row>
    <row r="1587" spans="2:12" outlineLevel="2">
      <c r="B1587" s="35">
        <f t="shared" si="82"/>
        <v>436</v>
      </c>
      <c r="C1587" s="41" t="s">
        <v>69</v>
      </c>
      <c r="D1587" s="41" t="s">
        <v>191</v>
      </c>
      <c r="E1587" s="41">
        <v>291754</v>
      </c>
      <c r="F1587" s="41"/>
      <c r="G1587" s="41" t="s">
        <v>106</v>
      </c>
      <c r="H1587" s="41"/>
      <c r="I1587" s="42"/>
      <c r="J1587" s="41"/>
      <c r="K1587" s="41">
        <v>20</v>
      </c>
      <c r="L1587" s="43">
        <v>52410</v>
      </c>
    </row>
    <row r="1588" spans="2:12" outlineLevel="2">
      <c r="B1588" s="35">
        <f t="shared" si="82"/>
        <v>437</v>
      </c>
      <c r="C1588" s="41" t="s">
        <v>69</v>
      </c>
      <c r="D1588" s="41" t="s">
        <v>127</v>
      </c>
      <c r="E1588" s="41">
        <v>505458</v>
      </c>
      <c r="F1588" s="41"/>
      <c r="G1588" s="41" t="s">
        <v>106</v>
      </c>
      <c r="H1588" s="41"/>
      <c r="I1588" s="42"/>
      <c r="J1588" s="41"/>
      <c r="K1588" s="41">
        <v>27</v>
      </c>
      <c r="L1588" s="43">
        <v>52499</v>
      </c>
    </row>
    <row r="1589" spans="2:12" outlineLevel="2">
      <c r="B1589" s="35">
        <f t="shared" si="82"/>
        <v>438</v>
      </c>
      <c r="C1589" s="41" t="s">
        <v>69</v>
      </c>
      <c r="D1589" s="41" t="s">
        <v>167</v>
      </c>
      <c r="E1589" s="41">
        <v>1473</v>
      </c>
      <c r="F1589" s="41"/>
      <c r="G1589" s="41" t="s">
        <v>106</v>
      </c>
      <c r="H1589" s="41"/>
      <c r="I1589" s="42"/>
      <c r="J1589" s="41"/>
      <c r="K1589" s="41">
        <v>11</v>
      </c>
      <c r="L1589" s="43">
        <v>52407</v>
      </c>
    </row>
    <row r="1590" spans="2:12" outlineLevel="2">
      <c r="B1590" s="35">
        <f t="shared" si="82"/>
        <v>439</v>
      </c>
      <c r="C1590" s="41" t="s">
        <v>69</v>
      </c>
      <c r="D1590" s="41" t="s">
        <v>131</v>
      </c>
      <c r="E1590" s="41">
        <v>48030</v>
      </c>
      <c r="F1590" s="41"/>
      <c r="G1590" s="41" t="s">
        <v>106</v>
      </c>
      <c r="H1590" s="41"/>
      <c r="I1590" s="42"/>
      <c r="J1590" s="41"/>
      <c r="K1590" s="41">
        <v>36</v>
      </c>
      <c r="L1590" s="43">
        <v>52498</v>
      </c>
    </row>
    <row r="1591" spans="2:12" outlineLevel="2">
      <c r="B1591" s="35">
        <f t="shared" si="82"/>
        <v>440</v>
      </c>
      <c r="C1591" s="41" t="s">
        <v>69</v>
      </c>
      <c r="D1591" s="41" t="s">
        <v>129</v>
      </c>
      <c r="E1591" s="41" t="s">
        <v>927</v>
      </c>
      <c r="F1591" s="41"/>
      <c r="G1591" s="41" t="s">
        <v>106</v>
      </c>
      <c r="H1591" s="41"/>
      <c r="I1591" s="42"/>
      <c r="J1591" s="41"/>
      <c r="K1591" s="41">
        <v>36</v>
      </c>
      <c r="L1591" s="43">
        <v>52430</v>
      </c>
    </row>
    <row r="1592" spans="2:12" outlineLevel="2">
      <c r="B1592" s="35">
        <f t="shared" si="82"/>
        <v>441</v>
      </c>
      <c r="C1592" s="41" t="s">
        <v>69</v>
      </c>
      <c r="D1592" s="41" t="s">
        <v>129</v>
      </c>
      <c r="E1592" s="41">
        <v>40919</v>
      </c>
      <c r="F1592" s="41"/>
      <c r="G1592" s="41" t="s">
        <v>106</v>
      </c>
      <c r="H1592" s="41"/>
      <c r="I1592" s="42"/>
      <c r="J1592" s="41"/>
      <c r="K1592" s="41">
        <v>43</v>
      </c>
      <c r="L1592" s="43">
        <v>52440</v>
      </c>
    </row>
    <row r="1593" spans="2:12" outlineLevel="2">
      <c r="B1593" s="35">
        <f t="shared" ref="B1593" si="83">(B1592+1)</f>
        <v>442</v>
      </c>
      <c r="C1593" s="41" t="s">
        <v>69</v>
      </c>
      <c r="D1593" s="41" t="s">
        <v>129</v>
      </c>
      <c r="E1593" s="41">
        <v>33412</v>
      </c>
      <c r="F1593" s="41"/>
      <c r="G1593" s="41" t="s">
        <v>106</v>
      </c>
      <c r="H1593" s="41"/>
      <c r="I1593" s="42"/>
      <c r="J1593" s="41"/>
      <c r="K1593" s="41">
        <v>30</v>
      </c>
      <c r="L1593" s="43">
        <v>52431</v>
      </c>
    </row>
    <row r="1594" spans="2:12" outlineLevel="2">
      <c r="B1594" s="35">
        <f t="shared" ref="B1594:B1606" si="84">(B1593+1)</f>
        <v>443</v>
      </c>
      <c r="C1594" s="41" t="s">
        <v>69</v>
      </c>
      <c r="D1594" s="41" t="s">
        <v>191</v>
      </c>
      <c r="E1594" s="41">
        <v>933303</v>
      </c>
      <c r="F1594" s="41"/>
      <c r="G1594" s="41" t="s">
        <v>106</v>
      </c>
      <c r="H1594" s="41"/>
      <c r="I1594" s="42"/>
      <c r="J1594" s="41"/>
      <c r="K1594" s="41">
        <v>32</v>
      </c>
      <c r="L1594" s="43">
        <v>52429</v>
      </c>
    </row>
    <row r="1595" spans="2:12" outlineLevel="2">
      <c r="B1595" s="35">
        <f t="shared" si="84"/>
        <v>444</v>
      </c>
      <c r="C1595" s="41" t="s">
        <v>69</v>
      </c>
      <c r="D1595" s="41" t="s">
        <v>191</v>
      </c>
      <c r="E1595" s="41">
        <v>88065</v>
      </c>
      <c r="F1595" s="41"/>
      <c r="G1595" s="41" t="s">
        <v>106</v>
      </c>
      <c r="H1595" s="41"/>
      <c r="I1595" s="42"/>
      <c r="J1595" s="41"/>
      <c r="K1595" s="41">
        <v>33</v>
      </c>
      <c r="L1595" s="43">
        <v>52439</v>
      </c>
    </row>
    <row r="1596" spans="2:12" outlineLevel="2">
      <c r="B1596" s="35">
        <f t="shared" si="84"/>
        <v>445</v>
      </c>
      <c r="C1596" s="41" t="s">
        <v>69</v>
      </c>
      <c r="D1596" s="41" t="s">
        <v>191</v>
      </c>
      <c r="E1596" s="41">
        <v>320358</v>
      </c>
      <c r="F1596" s="41"/>
      <c r="G1596" s="41" t="s">
        <v>106</v>
      </c>
      <c r="H1596" s="41"/>
      <c r="I1596" s="42"/>
      <c r="J1596" s="41"/>
      <c r="K1596" s="41">
        <v>33</v>
      </c>
      <c r="L1596" s="43">
        <v>52454</v>
      </c>
    </row>
    <row r="1597" spans="2:12" outlineLevel="2">
      <c r="B1597" s="35">
        <f t="shared" si="84"/>
        <v>446</v>
      </c>
      <c r="C1597" s="41" t="s">
        <v>69</v>
      </c>
      <c r="D1597" s="41" t="s">
        <v>191</v>
      </c>
      <c r="E1597" s="41">
        <v>11260</v>
      </c>
      <c r="F1597" s="41"/>
      <c r="G1597" s="41" t="s">
        <v>106</v>
      </c>
      <c r="H1597" s="41"/>
      <c r="I1597" s="42"/>
      <c r="J1597" s="41"/>
      <c r="K1597" s="41">
        <v>25</v>
      </c>
      <c r="L1597" s="43">
        <v>52435</v>
      </c>
    </row>
    <row r="1598" spans="2:12" outlineLevel="2">
      <c r="B1598" s="35">
        <f t="shared" si="84"/>
        <v>447</v>
      </c>
      <c r="C1598" s="41" t="s">
        <v>69</v>
      </c>
      <c r="D1598" s="41" t="s">
        <v>191</v>
      </c>
      <c r="E1598" s="41">
        <v>417045</v>
      </c>
      <c r="F1598" s="41"/>
      <c r="G1598" s="41" t="s">
        <v>106</v>
      </c>
      <c r="H1598" s="41"/>
      <c r="I1598" s="42"/>
      <c r="J1598" s="41"/>
      <c r="K1598" s="41">
        <v>32</v>
      </c>
      <c r="L1598" s="43">
        <v>52425</v>
      </c>
    </row>
    <row r="1599" spans="2:12" outlineLevel="2">
      <c r="B1599" s="35">
        <f t="shared" si="84"/>
        <v>448</v>
      </c>
      <c r="C1599" s="41" t="s">
        <v>69</v>
      </c>
      <c r="D1599" s="41" t="s">
        <v>191</v>
      </c>
      <c r="E1599" s="41">
        <v>1001708</v>
      </c>
      <c r="F1599" s="41"/>
      <c r="G1599" s="41" t="s">
        <v>106</v>
      </c>
      <c r="H1599" s="41"/>
      <c r="I1599" s="42"/>
      <c r="J1599" s="41"/>
      <c r="K1599" s="41">
        <v>26</v>
      </c>
      <c r="L1599" s="43">
        <v>52424</v>
      </c>
    </row>
    <row r="1600" spans="2:12" outlineLevel="2">
      <c r="B1600" s="35">
        <f t="shared" si="84"/>
        <v>449</v>
      </c>
      <c r="C1600" s="41" t="s">
        <v>69</v>
      </c>
      <c r="D1600" s="41" t="s">
        <v>191</v>
      </c>
      <c r="E1600" s="41">
        <v>431146</v>
      </c>
      <c r="F1600" s="41"/>
      <c r="G1600" s="41" t="s">
        <v>106</v>
      </c>
      <c r="H1600" s="41"/>
      <c r="I1600" s="42"/>
      <c r="J1600" s="41"/>
      <c r="K1600" s="41">
        <v>25</v>
      </c>
      <c r="L1600" s="43">
        <v>52412</v>
      </c>
    </row>
    <row r="1601" spans="2:12" outlineLevel="2">
      <c r="B1601" s="35">
        <f t="shared" si="84"/>
        <v>450</v>
      </c>
      <c r="C1601" s="41" t="s">
        <v>69</v>
      </c>
      <c r="D1601" s="41" t="s">
        <v>191</v>
      </c>
      <c r="E1601" s="41">
        <v>901493</v>
      </c>
      <c r="F1601" s="41"/>
      <c r="G1601" s="41" t="s">
        <v>106</v>
      </c>
      <c r="H1601" s="41"/>
      <c r="I1601" s="42"/>
      <c r="J1601" s="41"/>
      <c r="K1601" s="41">
        <v>16</v>
      </c>
      <c r="L1601" s="43">
        <v>52409</v>
      </c>
    </row>
    <row r="1602" spans="2:12" outlineLevel="2">
      <c r="B1602" s="35">
        <f t="shared" si="84"/>
        <v>451</v>
      </c>
      <c r="C1602" s="41" t="s">
        <v>69</v>
      </c>
      <c r="D1602" s="41" t="s">
        <v>191</v>
      </c>
      <c r="E1602" s="41">
        <v>417001</v>
      </c>
      <c r="F1602" s="41"/>
      <c r="G1602" s="41" t="s">
        <v>106</v>
      </c>
      <c r="H1602" s="41"/>
      <c r="I1602" s="42"/>
      <c r="J1602" s="41"/>
      <c r="K1602" s="41">
        <v>25</v>
      </c>
      <c r="L1602" s="43">
        <v>52411</v>
      </c>
    </row>
    <row r="1603" spans="2:12" outlineLevel="2">
      <c r="B1603" s="35">
        <f t="shared" si="84"/>
        <v>452</v>
      </c>
      <c r="C1603" s="41" t="s">
        <v>69</v>
      </c>
      <c r="D1603" s="41" t="s">
        <v>167</v>
      </c>
      <c r="E1603" s="41">
        <v>45558</v>
      </c>
      <c r="F1603" s="41"/>
      <c r="G1603" s="41" t="s">
        <v>106</v>
      </c>
      <c r="H1603" s="41"/>
      <c r="I1603" s="42"/>
      <c r="J1603" s="41"/>
      <c r="K1603" s="41">
        <v>23</v>
      </c>
      <c r="L1603" s="43">
        <v>52427</v>
      </c>
    </row>
    <row r="1604" spans="2:12" outlineLevel="2">
      <c r="B1604" s="35">
        <f t="shared" si="84"/>
        <v>453</v>
      </c>
      <c r="C1604" s="41" t="s">
        <v>69</v>
      </c>
      <c r="D1604" s="41" t="s">
        <v>167</v>
      </c>
      <c r="E1604" s="41">
        <v>20781</v>
      </c>
      <c r="F1604" s="41"/>
      <c r="G1604" s="41" t="s">
        <v>106</v>
      </c>
      <c r="H1604" s="41"/>
      <c r="I1604" s="42"/>
      <c r="J1604" s="41"/>
      <c r="K1604" s="41">
        <v>48</v>
      </c>
      <c r="L1604" s="43">
        <v>52414</v>
      </c>
    </row>
    <row r="1605" spans="2:12" outlineLevel="2">
      <c r="B1605" s="35">
        <f t="shared" si="84"/>
        <v>454</v>
      </c>
      <c r="C1605" s="41" t="s">
        <v>69</v>
      </c>
      <c r="D1605" s="41" t="s">
        <v>167</v>
      </c>
      <c r="E1605" s="41">
        <v>811370</v>
      </c>
      <c r="F1605" s="41"/>
      <c r="G1605" s="41" t="s">
        <v>106</v>
      </c>
      <c r="H1605" s="41"/>
      <c r="I1605" s="42"/>
      <c r="J1605" s="41"/>
      <c r="K1605" s="41">
        <v>37</v>
      </c>
      <c r="L1605" s="43">
        <v>52423</v>
      </c>
    </row>
    <row r="1606" spans="2:12" outlineLevel="2">
      <c r="B1606" s="35">
        <f t="shared" si="84"/>
        <v>455</v>
      </c>
      <c r="C1606" s="41" t="s">
        <v>69</v>
      </c>
      <c r="D1606" s="41" t="s">
        <v>129</v>
      </c>
      <c r="E1606" s="41">
        <v>438019</v>
      </c>
      <c r="F1606" s="41"/>
      <c r="G1606" s="41" t="s">
        <v>106</v>
      </c>
      <c r="H1606" s="41"/>
      <c r="I1606" s="42"/>
      <c r="J1606" s="41"/>
      <c r="K1606" s="41">
        <v>27</v>
      </c>
      <c r="L1606" s="43">
        <v>52438</v>
      </c>
    </row>
    <row r="1607" spans="2:12" outlineLevel="2">
      <c r="B1607" s="35">
        <f t="shared" ref="B1607" si="85">(B1606+1)</f>
        <v>456</v>
      </c>
      <c r="C1607" s="41" t="s">
        <v>69</v>
      </c>
      <c r="D1607" s="41" t="s">
        <v>129</v>
      </c>
      <c r="E1607" s="41">
        <v>15474</v>
      </c>
      <c r="F1607" s="41"/>
      <c r="G1607" s="41" t="s">
        <v>106</v>
      </c>
      <c r="H1607" s="41"/>
      <c r="I1607" s="42"/>
      <c r="J1607" s="41"/>
      <c r="K1607" s="41">
        <v>41</v>
      </c>
      <c r="L1607" s="43">
        <v>52413</v>
      </c>
    </row>
    <row r="1608" spans="2:12" outlineLevel="1">
      <c r="B1608" s="64" t="s">
        <v>195</v>
      </c>
      <c r="C1608" s="61">
        <f>SUBTOTAL(3,C1380:C1607)</f>
        <v>228</v>
      </c>
      <c r="D1608" s="61"/>
      <c r="E1608" s="61"/>
      <c r="F1608" s="61"/>
      <c r="G1608" s="61"/>
      <c r="H1608" s="61"/>
      <c r="I1608" s="62"/>
      <c r="J1608" s="61"/>
      <c r="K1608" s="61"/>
      <c r="L1608" s="63"/>
    </row>
    <row r="1609" spans="2:12" ht="15.75" thickBot="1">
      <c r="B1609" s="64" t="s">
        <v>928</v>
      </c>
      <c r="C1609" s="61">
        <f>SUBTOTAL(3,C693:C1607)</f>
        <v>912</v>
      </c>
      <c r="D1609" s="61"/>
      <c r="E1609" s="61"/>
      <c r="F1609" s="61"/>
      <c r="G1609" s="61"/>
      <c r="H1609" s="61"/>
      <c r="I1609" s="62"/>
      <c r="J1609" s="61"/>
      <c r="K1609" s="61"/>
      <c r="L1609" s="63"/>
    </row>
    <row r="1610" spans="2:12" ht="25.5" customHeight="1" thickBot="1">
      <c r="B1610" s="320" t="s">
        <v>59</v>
      </c>
      <c r="C1610" s="321"/>
      <c r="D1610" s="321"/>
      <c r="E1610" s="321"/>
      <c r="F1610" s="321"/>
      <c r="G1610" s="321"/>
      <c r="H1610" s="321"/>
      <c r="I1610" s="321"/>
      <c r="J1610" s="321"/>
      <c r="K1610" s="321"/>
      <c r="L1610" s="322"/>
    </row>
    <row r="1611" spans="2:12" ht="26.25" customHeight="1" thickBot="1">
      <c r="B1611" s="26" t="s">
        <v>49</v>
      </c>
      <c r="C1611" s="27" t="s">
        <v>60</v>
      </c>
      <c r="D1611" s="27" t="s">
        <v>62</v>
      </c>
      <c r="E1611" s="27" t="s">
        <v>63</v>
      </c>
      <c r="F1611" s="27" t="s">
        <v>64</v>
      </c>
      <c r="G1611" s="27" t="s">
        <v>65</v>
      </c>
      <c r="H1611" s="27" t="s">
        <v>66</v>
      </c>
      <c r="I1611" s="27" t="s">
        <v>67</v>
      </c>
      <c r="J1611" s="27" t="s">
        <v>6</v>
      </c>
      <c r="K1611" s="27" t="s">
        <v>7</v>
      </c>
      <c r="L1611" s="28" t="s">
        <v>68</v>
      </c>
    </row>
    <row r="1612" spans="2:12">
      <c r="B1612" s="46" t="s">
        <v>8</v>
      </c>
      <c r="C1612" s="41">
        <f>COUNTIFS(B693:B1607,"&gt;"&amp;0,C693:C1607,"="&amp;B1612)</f>
        <v>228</v>
      </c>
      <c r="D1612" s="41">
        <f>COUNTIFS(B693:B1607,"&gt;="&amp;1,C693:C1607,B1612,K693:K1607,"&gt;="&amp;0,K693:K1607,"&lt;"&amp;50)</f>
        <v>154</v>
      </c>
      <c r="E1612" s="41">
        <f>COUNTIFS(B693:B1607,"&gt;="&amp;1,C693:C1607,B1612,K693:K1607,"&gt;="&amp;50,K693:K1607,"&lt;"&amp;500)</f>
        <v>3</v>
      </c>
      <c r="F1612" s="41">
        <f>COUNTIFS(B693:B1607,"&gt;="&amp;1,C693:C1607,B1612,K693:K1607,"&gt;="&amp;500)</f>
        <v>0</v>
      </c>
      <c r="G1612" s="41">
        <f>COUNTIFS(B693:B1607,"&gt;="&amp;1,C693:C1607,B1612,K693:K1607,"&gt;="&amp;0,I693:I1607,"&gt;"&amp;DATE(2021,1,1))</f>
        <v>2</v>
      </c>
      <c r="H1612" s="47">
        <f>IF(G1612=0,"-",(SUM(E1612,F1612)/G1612))</f>
        <v>1.5</v>
      </c>
      <c r="I1612" s="41">
        <f>IF((COUNTIFS(B693:B1607,"&gt;="&amp;1,C693:C1607,"="&amp;B1612))&gt;228,228,(COUNTIFS(B693:B1607,"&gt;="&amp;1,C693:C1607,"="&amp;B1612)))</f>
        <v>228</v>
      </c>
      <c r="J1612" s="47">
        <f>IF(I1612=0,"-",(COUNTIFS(C693:C1607,"="&amp;B1612,I693:I1607,"&lt;="&amp;DATE(2024,12,31),K693:K1607,"&gt;="&amp;0)/I1612))</f>
        <v>8.771929824561403E-3</v>
      </c>
      <c r="K1612" s="47">
        <f>IF(I1612=0,"-",IF(J1612=1,"-",(COUNTIFS(B693:B1607,"&gt;"&amp;0,C693:C1607,"="&amp;B1612,I693:I1607,"&gt;"&amp;DATE(2024,12,31),K693:K1607,"&gt;="&amp;0)/(I1612-COUNTIFS(B693:B1607,"&gt;"&amp;0,C693:C1607,"="&amp;B1612,I693:I1607,"&lt;="&amp;DATE(2024,12,31),K693:K1607,"&gt;="&amp;0)))))</f>
        <v>0</v>
      </c>
      <c r="L1612" s="48">
        <f>IF(I1612=0,"-",G1612/I1612)</f>
        <v>8.771929824561403E-3</v>
      </c>
    </row>
    <row r="1613" spans="2:12">
      <c r="B1613" s="7" t="s">
        <v>9</v>
      </c>
      <c r="C1613" s="1">
        <f>COUNTIFS(B693:B1607,"&gt;"&amp;0,C693:C1607,"="&amp;B1613)</f>
        <v>228</v>
      </c>
      <c r="D1613" s="1">
        <f>COUNTIFS(B693:B1607,"&gt;="&amp;1,C693:C1607,B1613,K693:K1607,"&gt;="&amp;0,K693:K1607,"&lt;"&amp;50)</f>
        <v>0</v>
      </c>
      <c r="E1613" s="1">
        <f>COUNTIFS(B693:B1607,"&gt;="&amp;1,C693:C1607,B1613,K693:K1607,"&gt;="&amp;50,K693:K1607,"&lt;"&amp;500)</f>
        <v>0</v>
      </c>
      <c r="F1613" s="1">
        <f>COUNTIFS(B693:B1607,"&gt;="&amp;1,C693:C1607,B1613,K693:K1607,"&gt;="&amp;500)</f>
        <v>0</v>
      </c>
      <c r="G1613" s="1">
        <f>COUNTIFS(B693:B1607,"&gt;="&amp;1,C693:C1607,B1613,K693:K1607,"&gt;="&amp;0,I693:I1607,"&gt;"&amp;DATE(2021,1,1))</f>
        <v>0</v>
      </c>
      <c r="H1613" s="44" t="str">
        <f t="shared" ref="H1613:H1616" si="86">IF(G1613=0,"-",(SUM(E1613,F1613)/G1613))</f>
        <v>-</v>
      </c>
      <c r="I1613" s="1">
        <f>IF((COUNTIFS(B693:B1607,"&gt;="&amp;1,C693:C1607,"="&amp;B1613))&gt;228,228,(COUNTIFS(B693:B1607,"&gt;="&amp;1,C693:C1607,"="&amp;B1613)))</f>
        <v>228</v>
      </c>
      <c r="J1613" s="44">
        <f>IF(I1613=0,"-",(COUNTIFS(C693:C1607,"="&amp;B1613,I693:I1607,"&lt;="&amp;DATE(2024,12,31),K693:K1607,"&gt;="&amp;0)/I1613))</f>
        <v>0</v>
      </c>
      <c r="K1613" s="47">
        <f>IF(I1613=0,"-",IF(J1613=1,"-",(COUNTIFS(B693:B1607,"&gt;"&amp;0,C693:C1607,"="&amp;B1613,I693:I1607,"&gt;"&amp;DATE(2024,12,31),K693:K1607,"&gt;="&amp;0)/(I1613-COUNTIFS(B693:B1607,"&gt;"&amp;0,C693:C1607,"="&amp;B1613,I693:I1607,"&lt;="&amp;DATE(2024,12,31),K693:K1607,"&gt;="&amp;0)))))</f>
        <v>0</v>
      </c>
      <c r="L1613" s="45">
        <f t="shared" ref="L1613:L1616" si="87">IF(I1613=0,"-",G1613/I1613)</f>
        <v>0</v>
      </c>
    </row>
    <row r="1614" spans="2:12">
      <c r="B1614" s="7" t="s">
        <v>175</v>
      </c>
      <c r="C1614" s="1">
        <f>COUNTIFS(B693:B1607,"&gt;"&amp;0,C693:C1607,"="&amp;B1614)</f>
        <v>228</v>
      </c>
      <c r="D1614" s="1">
        <f>COUNTIFS(B693:B1607,"&gt;="&amp;1,C693:C1607,B1614,K693:K1607,"&gt;="&amp;0,K693:K1607,"&lt;"&amp;50)</f>
        <v>228</v>
      </c>
      <c r="E1614" s="1">
        <f>COUNTIFS(B693:B1607,"&gt;="&amp;1,C693:C1607,B1614,K693:K1607,"&gt;="&amp;50,K693:K1607,"&lt;"&amp;500)</f>
        <v>0</v>
      </c>
      <c r="F1614" s="1">
        <f>COUNTIFS(B693:B1607,"&gt;="&amp;1,C693:C1607,B1614,K693:K1607,"&gt;="&amp;500)</f>
        <v>0</v>
      </c>
      <c r="G1614" s="1">
        <f>COUNTIFS(B693:B1607,"&gt;="&amp;1,C693:C1607,B1614,K693:K1607,"&gt;="&amp;0,I693:I1607,"&gt;"&amp;DATE(2021,1,1))</f>
        <v>0</v>
      </c>
      <c r="H1614" s="44" t="str">
        <f t="shared" si="86"/>
        <v>-</v>
      </c>
      <c r="I1614" s="1">
        <f>IF((COUNTIFS(B693:B1607,"&gt;="&amp;1,C693:C1607,"="&amp;B1614))&gt;228,228,(COUNTIFS(B693:B1607,"&gt;="&amp;1,C693:C1607,"="&amp;B1614)))</f>
        <v>228</v>
      </c>
      <c r="J1614" s="44">
        <f>IF(I1614=0,"-",(COUNTIFS(C693:C1607,"="&amp;B1614,I693:I1607,"&lt;="&amp;DATE(2024,12,31),K693:K1607,"&gt;="&amp;0)/I1614))</f>
        <v>0</v>
      </c>
      <c r="K1614" s="47">
        <f>IF(I1614=0,"-",IF(J1614=1,"-",(COUNTIFS(B693:B1607,"&gt;"&amp;0,C693:C1607,"="&amp;B1614,I693:I1607,"&gt;"&amp;DATE(2024,12,31),K693:K1607,"&gt;="&amp;0)/(I1614-COUNTIFS(B693:B1607,"&gt;"&amp;0,C693:C1607,"="&amp;B1614,I693:I1607,"&lt;="&amp;DATE(2024,12,31),K693:K1607,"&gt;="&amp;0)))))</f>
        <v>0</v>
      </c>
      <c r="L1614" s="45">
        <f t="shared" si="87"/>
        <v>0</v>
      </c>
    </row>
    <row r="1615" spans="2:12">
      <c r="B1615" s="7" t="s">
        <v>69</v>
      </c>
      <c r="C1615" s="1">
        <f>COUNTIFS(B693:B1607,"&gt;"&amp;0,C693:C1607,"="&amp;B1615)</f>
        <v>228</v>
      </c>
      <c r="D1615" s="1">
        <f>COUNTIFS(B693:B1607,"&gt;="&amp;1,C693:C1607,B1615,K693:K1607,"&gt;="&amp;0,K693:K1607,"&lt;"&amp;50)</f>
        <v>228</v>
      </c>
      <c r="E1615" s="1">
        <f>COUNTIFS(B693:B1607,"&gt;="&amp;1,C693:C1607,B1615,K693:K1607,"&gt;="&amp;50,K693:K1607,"&lt;"&amp;500)</f>
        <v>0</v>
      </c>
      <c r="F1615" s="1">
        <f>COUNTIFS(B693:B1607,"&gt;="&amp;1,C693:C1607,B1615,K693:K1607,"&gt;="&amp;500)</f>
        <v>0</v>
      </c>
      <c r="G1615" s="1">
        <f>COUNTIFS(B693:B1607,"&gt;="&amp;1,C693:C1607,B1615,K693:K1607,"&gt;="&amp;0,I693:I1607,"&gt;"&amp;DATE(2021,1,1))</f>
        <v>0</v>
      </c>
      <c r="H1615" s="44" t="str">
        <f t="shared" si="86"/>
        <v>-</v>
      </c>
      <c r="I1615" s="1">
        <f>IF((COUNTIFS(B693:B1607,"&gt;="&amp;1,C693:C1607,"="&amp;B1615))&gt;228,228,(COUNTIFS(B693:B1607,"&gt;="&amp;1,C693:C1607,"="&amp;B1615)))</f>
        <v>228</v>
      </c>
      <c r="J1615" s="44">
        <f>IF(I1615=0,"-",(COUNTIFS(C693:C1607,"="&amp;B1615,I693:I1607,"&lt;="&amp;DATE(2024,12,31),K693:K1607,"&gt;="&amp;0)/I1615))</f>
        <v>0</v>
      </c>
      <c r="K1615" s="47">
        <f>IF(I1615=0,"-",IF(J1615=1,"-",(COUNTIFS(B693:B1607,"&gt;"&amp;0,C693:C1607,"="&amp;B1615,I693:I1607,"&gt;"&amp;DATE(2024,12,31),K693:K1607,"&gt;="&amp;0)/(I1615-COUNTIFS(B693:B1607,"&gt;"&amp;0,C693:C1607,"="&amp;B1615,I693:I1607,"&lt;="&amp;DATE(2024,12,31),K693:K1607,"&gt;="&amp;0)))))</f>
        <v>0</v>
      </c>
      <c r="L1615" s="45">
        <f t="shared" si="87"/>
        <v>0</v>
      </c>
    </row>
    <row r="1616" spans="2:12" ht="15.75" thickBot="1">
      <c r="B1616" s="49" t="s">
        <v>59</v>
      </c>
      <c r="C1616" s="50">
        <f>SUM(C1612:C1615)</f>
        <v>912</v>
      </c>
      <c r="D1616" s="50">
        <f>SUM(D1612:D1615)</f>
        <v>610</v>
      </c>
      <c r="E1616" s="50">
        <f>SUM(E1612:E1615)</f>
        <v>3</v>
      </c>
      <c r="F1616" s="50">
        <f>SUM(F1612:F1615)</f>
        <v>0</v>
      </c>
      <c r="G1616" s="50">
        <f>SUM(G1612:G1615)</f>
        <v>2</v>
      </c>
      <c r="H1616" s="51">
        <f t="shared" si="86"/>
        <v>1.5</v>
      </c>
      <c r="I1616" s="50">
        <f>SUM(I1612:I1615)</f>
        <v>912</v>
      </c>
      <c r="J1616" s="51">
        <f>IF(I1616=0,"-",(COUNTIFS(I693:I1607,"&lt;="&amp;DATE(2024,12,31),K693:K1607,"&gt;="&amp;0)/I1616))</f>
        <v>2.1929824561403508E-3</v>
      </c>
      <c r="K1616" s="51">
        <f>IF(I1616=0,"-",IF(J1616=1,"-",(COUNTIFS(B693:B1607,"&gt;"&amp;0,I693:I1607,"&gt;"&amp;DATE(2024,12,31),K693:K1607,"&gt;="&amp;0)/(I1616-COUNTIFS(B693:B1607,"&gt;"&amp;0,I693:I1607,"&lt;="&amp;DATE(2024,12,31),K693:K1607,"&gt;="&amp;0)))))</f>
        <v>0</v>
      </c>
      <c r="L1616" s="52">
        <f t="shared" si="87"/>
        <v>2.1929824561403508E-3</v>
      </c>
    </row>
  </sheetData>
  <mergeCells count="13">
    <mergeCell ref="B691:L691"/>
    <mergeCell ref="B1610:L1610"/>
    <mergeCell ref="B58:L58"/>
    <mergeCell ref="B1:L2"/>
    <mergeCell ref="B4:L4"/>
    <mergeCell ref="B9:L9"/>
    <mergeCell ref="B17:L17"/>
    <mergeCell ref="B50:L50"/>
    <mergeCell ref="B82:L82"/>
    <mergeCell ref="B90:L90"/>
    <mergeCell ref="B573:L573"/>
    <mergeCell ref="B581:L581"/>
    <mergeCell ref="B683:L683"/>
  </mergeCells>
  <conditionalFormatting sqref="E19:E46 E49">
    <cfRule type="expression" dxfId="1" priority="2">
      <formula>AND(E19&lt;&gt;"",COUNTIF($E$19:$E$49,E19)&gt;1)</formula>
    </cfRule>
  </conditionalFormatting>
  <conditionalFormatting sqref="E60:E81">
    <cfRule type="expression" dxfId="0" priority="1">
      <formula>AND(E60&lt;&gt;"",COUNTIF($E$60:$E$81,E60)&gt;1)</formula>
    </cfRule>
  </conditionalFormatting>
  <dataValidations count="3">
    <dataValidation type="list" allowBlank="1" showInputMessage="1" showErrorMessage="1" error="Dado Inserido errado" promptTitle="Selecionar a Sub-Família" sqref="C6:D7 C583:C681 C19:C49" xr:uid="{073F2E29-78FD-473B-95F1-91F127814A36}">
      <formula1>$B$11:$B$13</formula1>
    </dataValidation>
    <dataValidation type="list" allowBlank="1" showInputMessage="1" showErrorMessage="1" promptTitle="Selecionar a Sub-Família" sqref="C8:D8 C682 C572" xr:uid="{44D4FBDC-DC05-491A-8383-DFC5F411416B}">
      <formula1>"Até 1988, Após 1988, Sem Info"</formula1>
    </dataValidation>
    <dataValidation type="list" allowBlank="1" showInputMessage="1" showErrorMessage="1" sqref="C922:C1149 C1380:C1607 C1151:C1378 C693:C920" xr:uid="{76CF759F-ED7C-473C-AF84-4391798C8901}">
      <formula1>$B$1612:$B$1615</formula1>
    </dataValidation>
  </dataValidations>
  <hyperlinks>
    <hyperlink ref="L19" r:id="rId1" xr:uid="{C6FCB8C3-A589-41E0-8C06-2664634D60C9}"/>
    <hyperlink ref="L20" r:id="rId2" xr:uid="{8F68A1F3-443C-4E5E-9AD0-88FF4DF3533C}"/>
    <hyperlink ref="L21" r:id="rId3" xr:uid="{077BB864-EF06-48D2-B6B1-D1491727B0EB}"/>
    <hyperlink ref="L22" r:id="rId4" xr:uid="{E77C7A49-B880-49C9-B2A9-87276A04DA92}"/>
    <hyperlink ref="L23" r:id="rId5" xr:uid="{6F6201A4-0CA3-4F81-B5C0-EC05F1C9BBEE}"/>
    <hyperlink ref="L24" r:id="rId6" xr:uid="{B271A2C3-0EB2-440E-ACF1-2C510ED9D65A}"/>
    <hyperlink ref="L25" r:id="rId7" xr:uid="{FBA8F751-9000-4882-9076-38EFEF7CE4BB}"/>
    <hyperlink ref="L26" r:id="rId8" xr:uid="{9F05531C-DC24-411F-803D-B24A45EF2484}"/>
    <hyperlink ref="L27" r:id="rId9" xr:uid="{C5C83B49-80DF-4EF3-ACBF-64F81D7CE432}"/>
    <hyperlink ref="L28" r:id="rId10" xr:uid="{1600B15D-0221-4AD8-9529-488E1A7D0E90}"/>
    <hyperlink ref="L29" r:id="rId11" xr:uid="{C99BB806-DBA7-4AAC-9866-2803416A8F2C}"/>
    <hyperlink ref="L30" r:id="rId12" xr:uid="{CE773A64-7827-4867-BDE5-EA4391AE21C5}"/>
    <hyperlink ref="L31" r:id="rId13" xr:uid="{8777B773-2A93-4C4A-BC15-4B8B2EF020C1}"/>
    <hyperlink ref="L32" r:id="rId14" xr:uid="{397F9881-D8D2-4AEB-8956-73583088096E}"/>
    <hyperlink ref="L33" r:id="rId15" xr:uid="{E713E70A-244F-4698-94AF-D96B63453C90}"/>
    <hyperlink ref="L34" r:id="rId16" xr:uid="{47D4469C-7D89-4769-BD9C-CC500F0F4C17}"/>
    <hyperlink ref="L35" r:id="rId17" xr:uid="{496E7DBC-98AF-4E12-A5CB-34A8E3878F28}"/>
    <hyperlink ref="L36" r:id="rId18" xr:uid="{BB9091DE-040E-4EBF-8FA8-AB1BA267DA5F}"/>
    <hyperlink ref="L37" r:id="rId19" xr:uid="{823182ED-B9A7-4AF4-BA28-4FE1506660EC}"/>
    <hyperlink ref="L38" r:id="rId20" xr:uid="{99F66834-661A-4552-B7BA-E7A68F4B90BF}"/>
    <hyperlink ref="L39" r:id="rId21" xr:uid="{9F3C9225-8A23-4D11-B50F-145A62FEDF50}"/>
    <hyperlink ref="L40" r:id="rId22" xr:uid="{4BF572F9-3642-4DAA-8E14-B99C9246F6E5}"/>
    <hyperlink ref="L41" r:id="rId23" xr:uid="{79A514A8-52DC-4A72-9E1F-9E323A6ABED1}"/>
    <hyperlink ref="L42" r:id="rId24" xr:uid="{4DAF77C5-1153-45C1-8C90-3DAA52A3DE7A}"/>
    <hyperlink ref="L45" r:id="rId25" xr:uid="{720F02DF-1383-49BB-91F9-DB4DB77B6710}"/>
    <hyperlink ref="L43" r:id="rId26" xr:uid="{87C9B3E7-09A8-4F62-861A-2EAEBF5D8E39}"/>
    <hyperlink ref="L44" r:id="rId27" xr:uid="{56E8DB53-4B5F-4C40-BAEE-25562F2F5EF4}"/>
    <hyperlink ref="L46" r:id="rId28" xr:uid="{DEBE4066-3F50-4B89-AA3A-CC2535A8798B}"/>
    <hyperlink ref="L47" r:id="rId29" xr:uid="{7796CE6F-9B89-4A19-981E-545C6DB3A175}"/>
    <hyperlink ref="L49" r:id="rId30" xr:uid="{3611F647-2210-4040-9E9F-B7FFB2C13134}"/>
    <hyperlink ref="L60" r:id="rId31" xr:uid="{94A6EE73-D38B-431E-9CD8-BBE0850BF4F1}"/>
    <hyperlink ref="L61" r:id="rId32" xr:uid="{80903956-4538-404D-B282-D0F548B9CC72}"/>
    <hyperlink ref="L62" r:id="rId33" xr:uid="{D084D5F2-46C7-4352-994F-93953E5B2B11}"/>
    <hyperlink ref="L63" r:id="rId34" xr:uid="{649A2C34-46D8-49B3-9886-31DC2886CE5F}"/>
    <hyperlink ref="L64" r:id="rId35" xr:uid="{1C6FB624-C99A-430E-902A-AE0475747F42}"/>
    <hyperlink ref="L65" r:id="rId36" xr:uid="{F7F6B428-41F0-48A1-A513-FFF21FC2AB04}"/>
    <hyperlink ref="L66" r:id="rId37" xr:uid="{D1F8E2D2-314F-41B9-9FCC-1ABA93D4D978}"/>
    <hyperlink ref="L67" r:id="rId38" display="06/57/2024" xr:uid="{A0722E58-88B3-4566-91DC-0E6505507A7E}"/>
    <hyperlink ref="L68" r:id="rId39" xr:uid="{46242DFB-69F2-4EA3-9D7D-ECD477F22B67}"/>
    <hyperlink ref="L69" r:id="rId40" xr:uid="{C5656D8F-EE8C-4909-AD21-89044D255148}"/>
    <hyperlink ref="L70" r:id="rId41" xr:uid="{4451FDD2-8D6C-43C2-A329-85D60936D55D}"/>
    <hyperlink ref="L71" r:id="rId42" xr:uid="{C2AFC96E-80D4-40CF-B99F-6EBE5CB272DD}"/>
    <hyperlink ref="L72" r:id="rId43" xr:uid="{95C1283D-4EF3-4CB8-885D-8C71BADB8C72}"/>
    <hyperlink ref="L73" r:id="rId44" xr:uid="{6A22455C-5F95-49D1-B0E5-31E7A3AA9EAC}"/>
    <hyperlink ref="L75" r:id="rId45" xr:uid="{31208041-712C-425C-A506-EFCF6FF0642A}"/>
    <hyperlink ref="L74" r:id="rId46" xr:uid="{8569DFCE-782E-46B0-907A-E10235EAECA9}"/>
    <hyperlink ref="L99" r:id="rId47" xr:uid="{C2626509-6308-4CF7-A61A-2B68A700961E}"/>
    <hyperlink ref="L694" r:id="rId48" display="../../../../../../../../:b:/r/sites/TIME-CoordenaodeTransportes-GestoLogReversa/Documentos Compartilhados/CPFL/Laudos PCB Antes Reforma/ESS - SUL SUDESTE/ESS - SUL-SUDESTE - PCB 37229 Nr Serie 29336.PDF?csf=1&amp;web=1&amp;e=ytKmzO" xr:uid="{4ADA7F8F-2C99-4AA7-90FD-1975E3369729}"/>
  </hyperlinks>
  <pageMargins left="0.511811024" right="0.511811024" top="0.78740157499999996" bottom="0.78740157499999996" header="0.31496062000000002" footer="0.31496062000000002"/>
  <pageSetup paperSize="9" orientation="portrait" r:id="rId49"/>
  <legacyDrawing r:id="rId5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5460-A751-4CFA-A731-1408282838B3}">
  <dimension ref="B1:L1400"/>
  <sheetViews>
    <sheetView topLeftCell="A1359" workbookViewId="0">
      <selection activeCell="B475" sqref="B475:L1393"/>
    </sheetView>
  </sheetViews>
  <sheetFormatPr defaultRowHeight="15" outlineLevelRow="2"/>
  <cols>
    <col min="2" max="2" width="14" customWidth="1"/>
    <col min="3" max="3" width="13.5703125" customWidth="1"/>
    <col min="4" max="4" width="35.7109375" customWidth="1"/>
    <col min="5" max="5" width="16.140625" customWidth="1"/>
    <col min="6" max="6" width="21.7109375" customWidth="1"/>
    <col min="7" max="7" width="22.5703125" customWidth="1"/>
    <col min="8" max="8" width="7.7109375" customWidth="1"/>
    <col min="9" max="9" width="18.85546875" customWidth="1"/>
    <col min="10" max="10" width="17.5703125" customWidth="1"/>
    <col min="11" max="11" width="11.85546875" bestFit="1" customWidth="1"/>
    <col min="12" max="12" width="21.5703125" customWidth="1"/>
    <col min="13" max="13" width="17.28515625" bestFit="1" customWidth="1"/>
    <col min="14" max="14" width="14.140625" customWidth="1"/>
  </cols>
  <sheetData>
    <row r="1" spans="2:12">
      <c r="B1" s="310" t="s">
        <v>47</v>
      </c>
      <c r="C1" s="311"/>
      <c r="D1" s="311"/>
      <c r="E1" s="311"/>
      <c r="F1" s="311"/>
      <c r="G1" s="311"/>
      <c r="H1" s="311"/>
      <c r="I1" s="311"/>
      <c r="J1" s="311"/>
      <c r="K1" s="311"/>
      <c r="L1" s="312"/>
    </row>
    <row r="2" spans="2:12" ht="19.5" customHeight="1" thickBot="1">
      <c r="B2" s="347"/>
      <c r="C2" s="348"/>
      <c r="D2" s="348"/>
      <c r="E2" s="348"/>
      <c r="F2" s="348"/>
      <c r="G2" s="348"/>
      <c r="H2" s="348"/>
      <c r="I2" s="348"/>
      <c r="J2" s="348"/>
      <c r="K2" s="348"/>
      <c r="L2" s="349"/>
    </row>
    <row r="3" spans="2:12" ht="19.5" customHeight="1" thickBot="1"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ht="32.25" customHeight="1" thickBot="1">
      <c r="B4" s="320" t="str">
        <f>_xlfn.CONCAT("Transformadores de Rede Subterrânea",TEXT(IF(SUM(I11:I13)=0," ",(SUM(G11:G13)/SUM(I11:I13))), " 0,00%"))</f>
        <v xml:space="preserve">Transformadores de Rede Subterrânea </v>
      </c>
      <c r="C4" s="321"/>
      <c r="D4" s="321"/>
      <c r="E4" s="321"/>
      <c r="F4" s="321"/>
      <c r="G4" s="321"/>
      <c r="H4" s="321"/>
      <c r="I4" s="321"/>
      <c r="J4" s="321"/>
      <c r="K4" s="321"/>
      <c r="L4" s="322"/>
    </row>
    <row r="5" spans="2:12" ht="24" hidden="1" customHeight="1" outlineLevel="1" thickBot="1">
      <c r="B5" s="26" t="s">
        <v>48</v>
      </c>
      <c r="C5" s="27" t="s">
        <v>49</v>
      </c>
      <c r="D5" s="27" t="s">
        <v>50</v>
      </c>
      <c r="E5" s="27" t="s">
        <v>51</v>
      </c>
      <c r="F5" s="27" t="s">
        <v>52</v>
      </c>
      <c r="G5" s="27" t="s">
        <v>53</v>
      </c>
      <c r="H5" s="27" t="s">
        <v>54</v>
      </c>
      <c r="I5" s="27" t="s">
        <v>55</v>
      </c>
      <c r="J5" s="27" t="s">
        <v>56</v>
      </c>
      <c r="K5" s="27" t="s">
        <v>57</v>
      </c>
      <c r="L5" s="28" t="s">
        <v>58</v>
      </c>
    </row>
    <row r="6" spans="2:12" hidden="1" outlineLevel="1">
      <c r="B6" s="40" t="str">
        <f>IF(C6="","",ROW($A$1))</f>
        <v/>
      </c>
      <c r="C6" s="41"/>
      <c r="D6" s="41"/>
      <c r="E6" s="41"/>
      <c r="F6" s="41"/>
      <c r="G6" s="41"/>
      <c r="H6" s="41"/>
      <c r="I6" s="42"/>
      <c r="J6" s="41"/>
      <c r="K6" s="41"/>
      <c r="L6" s="43"/>
    </row>
    <row r="7" spans="2:12" hidden="1" outlineLevel="1">
      <c r="B7" s="35" t="str">
        <f>IF(B6="","",(B6+1))</f>
        <v/>
      </c>
      <c r="C7" s="1"/>
      <c r="D7" s="1"/>
      <c r="E7" s="1"/>
      <c r="F7" s="1"/>
      <c r="G7" s="1"/>
      <c r="H7" s="1"/>
      <c r="I7" s="36"/>
      <c r="J7" s="1"/>
      <c r="K7" s="1"/>
      <c r="L7" s="2"/>
    </row>
    <row r="8" spans="2:12" ht="15.75" hidden="1" outlineLevel="1" thickBot="1">
      <c r="B8" s="37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2:12" ht="26.25" customHeight="1" collapsed="1" thickBot="1">
      <c r="B9" s="320" t="s">
        <v>59</v>
      </c>
      <c r="C9" s="321"/>
      <c r="D9" s="321"/>
      <c r="E9" s="321"/>
      <c r="F9" s="321"/>
      <c r="G9" s="321"/>
      <c r="H9" s="321"/>
      <c r="I9" s="321"/>
      <c r="J9" s="321"/>
      <c r="K9" s="321"/>
      <c r="L9" s="322"/>
    </row>
    <row r="10" spans="2:12" ht="24" customHeight="1" thickBot="1">
      <c r="B10" s="26" t="s">
        <v>49</v>
      </c>
      <c r="C10" s="27" t="s">
        <v>60</v>
      </c>
      <c r="D10" s="27" t="s">
        <v>62</v>
      </c>
      <c r="E10" s="27" t="s">
        <v>63</v>
      </c>
      <c r="F10" s="27" t="s">
        <v>64</v>
      </c>
      <c r="G10" s="27" t="s">
        <v>65</v>
      </c>
      <c r="H10" s="27" t="s">
        <v>66</v>
      </c>
      <c r="I10" s="27" t="s">
        <v>67</v>
      </c>
      <c r="J10" s="27" t="s">
        <v>6</v>
      </c>
      <c r="K10" s="27" t="s">
        <v>7</v>
      </c>
      <c r="L10" s="28" t="s">
        <v>68</v>
      </c>
    </row>
    <row r="11" spans="2:12">
      <c r="B11" s="46" t="s">
        <v>8</v>
      </c>
      <c r="C11" s="41">
        <f>COUNTIFS(B6:B8,"&gt;"&amp;0,C6:C8,"="&amp;B11)</f>
        <v>0</v>
      </c>
      <c r="D11" s="41">
        <f>COUNTIFS(B6:B8,"&gt;="&amp;1,C6:C8,B11,K6:K8,"&gt;="&amp;0,K6:K8,"&lt;"&amp;50)</f>
        <v>0</v>
      </c>
      <c r="E11" s="41">
        <f>COUNTIFS(B6:B8,"&gt;="&amp;1,C6:C8,B11,K6:K8,"&gt;="&amp;50,K6:K8,"&lt;"&amp;500)</f>
        <v>0</v>
      </c>
      <c r="F11" s="41">
        <f>COUNTIFS(B6:B8,"&gt;="&amp;1,C6:C8,B11,K6:K8,"&gt;="&amp;500)</f>
        <v>0</v>
      </c>
      <c r="G11" s="41">
        <f>COUNTIFS(B6:B8,"&gt;="&amp;1,C6:C8,B11,K6:K8,"&gt;="&amp;0,I6:I8,"&gt;"&amp;DATE(2021,1,1))</f>
        <v>0</v>
      </c>
      <c r="H11" s="47" t="str">
        <f>IF(G11=0,"-",(SUM(E11,F11)/G11))</f>
        <v>-</v>
      </c>
      <c r="I11" s="41">
        <f>IF((COUNTIFS(B6:B8,"&gt;="&amp;1,C6:C8,"="&amp;B11))&gt;228,228,(COUNTIFS(B6:B8,"&gt;="&amp;1,C6:C8,"="&amp;B11)))</f>
        <v>0</v>
      </c>
      <c r="J11" s="47" t="str">
        <f>IF(I11=0,"-",(COUNTIFS(C6:C8,"="&amp;B11,I6:I8,"&lt;="&amp;DATE(2024,12,31),K6:K8,"&gt;="&amp;0)/I11))</f>
        <v>-</v>
      </c>
      <c r="K11" s="47" t="str">
        <f>IF(I11=0,"-",IF(J11=1,"-",(COUNTIFS(B6:B8,"&gt;"&amp;0,C6:C8,"="&amp;B11,I6:I8,"&gt;"&amp;DATE(2024,12,31),K6:K8,"&gt;="&amp;0)-COUNTIFS(B6:B8,"&gt;"&amp;0,C6:C8,"="&amp;B11,I6:I8,"&lt;="&amp;DATE(2024,12,31),K6:K8,"&gt;="&amp;0))/I11))</f>
        <v>-</v>
      </c>
      <c r="L11" s="48" t="str">
        <f>IF(I11=0,"-",G11/I11)</f>
        <v>-</v>
      </c>
    </row>
    <row r="12" spans="2:12">
      <c r="B12" s="7" t="s">
        <v>9</v>
      </c>
      <c r="C12" s="1">
        <f>COUNTIFS(B6:B8,"&gt;"&amp;0,C6:C8,"="&amp;B12)</f>
        <v>0</v>
      </c>
      <c r="D12" s="1">
        <f>COUNTIFS(B6:B8,"&gt;="&amp;1,C6:C8,B12,K6:K8,"&gt;="&amp;0,K6:K8,"&lt;"&amp;50)</f>
        <v>0</v>
      </c>
      <c r="E12" s="1">
        <f>COUNTIFS(B6:B8,"&gt;="&amp;1,C6:C8,B12,K6:K8,"&gt;="&amp;50,K6:K8,"&lt;"&amp;500)</f>
        <v>0</v>
      </c>
      <c r="F12" s="1">
        <f>COUNTIFS(B6:B8,"&gt;="&amp;1,C6:C8,B12,K6:K8,"&gt;="&amp;500)</f>
        <v>0</v>
      </c>
      <c r="G12" s="1">
        <f>COUNTIFS(B6:B8,"&gt;="&amp;1,C6:C8,B12,K6:K8,"&gt;="&amp;0,I6:I8,"&gt;"&amp;DATE(2021,1,1))</f>
        <v>0</v>
      </c>
      <c r="H12" s="44" t="str">
        <f>IF(G12=0,"-",(SUM(E12,F12)/G12))</f>
        <v>-</v>
      </c>
      <c r="I12" s="1">
        <f>IF((COUNTIFS(B6:B8,"&gt;="&amp;1,C6:C8,"="&amp;B12))&gt;228,228,(COUNTIFS(B6:B8,"&gt;="&amp;1,C6:C8,"="&amp;B12)))</f>
        <v>0</v>
      </c>
      <c r="J12" s="44" t="str">
        <f>IF(I12=0,"-",(COUNTIFS(C6:C8,"="&amp;B12,I6:I8,"&lt;="&amp;DATE(2024,12,31),K6:K8,"&gt;="&amp;0)/I12))</f>
        <v>-</v>
      </c>
      <c r="K12" s="44" t="str">
        <f>IF(I12=0,"-",IF(J12=1,"-",(COUNTIFS(B6:B8,"&gt;"&amp;0,C6:C8,"="&amp;B12,I6:I8,"&gt;"&amp;DATE(2024,12,31),K6:K8,"&gt;="&amp;0)-COUNTIFS(B6:B8,"&gt;"&amp;0,C6:C8,"="&amp;B12,I6:I8,"&lt;="&amp;DATE(2024,12,31),K6:K8,"&gt;="&amp;0))/I12))</f>
        <v>-</v>
      </c>
      <c r="L12" s="45" t="str">
        <f>IF(I12=0,"-",G12/I12)</f>
        <v>-</v>
      </c>
    </row>
    <row r="13" spans="2:12">
      <c r="B13" s="7" t="s">
        <v>69</v>
      </c>
      <c r="C13" s="1">
        <f>COUNTIFS(B6:B8,"&gt;"&amp;0,C6:C8,"="&amp;B13)</f>
        <v>0</v>
      </c>
      <c r="D13" s="1">
        <f>COUNTIFS(B6:B8,"&gt;="&amp;1,C6:C8,B13,K6:K8,"&gt;="&amp;0,K6:K8,"&lt;"&amp;50)</f>
        <v>0</v>
      </c>
      <c r="E13" s="1">
        <f>COUNTIFS(B6:B8,"&gt;="&amp;1,C6:C8,B13,K6:K8,"&gt;="&amp;50,K6:K8,"&lt;"&amp;500)</f>
        <v>0</v>
      </c>
      <c r="F13" s="1">
        <f>COUNTIFS(B6:B7,"&gt;="&amp;1,C6:C7,B13,K6:K7,"&gt;="&amp;500)</f>
        <v>0</v>
      </c>
      <c r="G13" s="1">
        <f>COUNTIFS(B6:B8,"&gt;="&amp;1,C6:C8,B13,K6:K8,"&gt;="&amp;0,I6:I8,"&gt;"&amp;DATE(2021,1,1))</f>
        <v>0</v>
      </c>
      <c r="H13" s="44" t="str">
        <f>IF(G13=0,"-",(SUM(E13,F13)/G13))</f>
        <v>-</v>
      </c>
      <c r="I13" s="1">
        <f>IF((COUNTIFS(B6:B7,"&gt;="&amp;1,C6:C7,"="&amp;B13))&gt;228,228,(COUNTIFS(B6:B7,"&gt;="&amp;1,C6:C7,"="&amp;B13)))</f>
        <v>0</v>
      </c>
      <c r="J13" s="44" t="str">
        <f>IF(I13=0,"-",(COUNTIFS(C6:C8,"="&amp;B13,I6:I8,"&lt;="&amp;DATE(2024,12,31),K6:K8,"&gt;="&amp;0)/I13))</f>
        <v>-</v>
      </c>
      <c r="K13" s="44" t="str">
        <f>IF(I13=0,"-",IF(J13=1,"-",(COUNTIFS(B6:B8,"&gt;"&amp;0,C6:C8,"="&amp;B13,I6:I8,"&gt;"&amp;DATE(2024,12,31),K6:K8,"&gt;="&amp;0)-COUNTIFS(B6:B8,"&gt;"&amp;0,C6:C8,"="&amp;B13,I6:I8,"&lt;="&amp;DATE(2024,12,31),K6:K8,"&gt;="&amp;0))/I13))</f>
        <v>-</v>
      </c>
      <c r="L13" s="45" t="str">
        <f>IF(I13=0,"-",G13/I13)</f>
        <v>-</v>
      </c>
    </row>
    <row r="14" spans="2:12" ht="23.25" customHeight="1" thickBot="1">
      <c r="B14" s="49" t="s">
        <v>59</v>
      </c>
      <c r="C14" s="50">
        <f>SUM(C11:C13)</f>
        <v>0</v>
      </c>
      <c r="D14" s="50">
        <f>SUM(D11:D13)</f>
        <v>0</v>
      </c>
      <c r="E14" s="50">
        <f>SUM(E11:E13)</f>
        <v>0</v>
      </c>
      <c r="F14" s="50">
        <f>SUM(F11:F13)</f>
        <v>0</v>
      </c>
      <c r="G14" s="50">
        <f>SUM(G11:G13)</f>
        <v>0</v>
      </c>
      <c r="H14" s="51" t="str">
        <f>IF(G14=0,"-",(SUM(E14,F14)/G14))</f>
        <v>-</v>
      </c>
      <c r="I14" s="50">
        <f>SUM(I11:I13)</f>
        <v>0</v>
      </c>
      <c r="J14" s="51" t="str">
        <f>IF(I14=0,"-",(COUNTIFS(I6:I8,"&lt;="&amp;DATE(2024,12,31),K6:K8,"&gt;="&amp;0)/I14))</f>
        <v>-</v>
      </c>
      <c r="K14" s="51" t="str">
        <f>IF(I14=0,"-",IF(J14=1,"-",(COUNTIFS(B6:B8,"&gt;"&amp;0,I6:I8,"&gt;"&amp;DATE(2024,12,31),K6:K8,"&gt;="&amp;0)-COUNTIFS(B6:B8,"&gt;"&amp;0,I6:I8,"&lt;="&amp;DATE(2024,12,31),K6:K8,"&gt;="&amp;0))/I14))</f>
        <v>-</v>
      </c>
      <c r="L14" s="52" t="str">
        <f>IF(I14=0,"-",G14/I14)</f>
        <v>-</v>
      </c>
    </row>
    <row r="16" spans="2:12" ht="15.75" thickBot="1"/>
    <row r="17" spans="2:12" ht="32.25" customHeight="1" thickBot="1">
      <c r="B17" s="320" t="str">
        <f>_xlfn.CONCAT("Disjuntores com extinção de arco OMI (PVO e GVO)",TEXT(IF(SUM(I24:I26)=0," ",(SUM(G24:G26)/SUM(I24:I26))), " 0,00%"))</f>
        <v xml:space="preserve">Disjuntores com extinção de arco OMI (PVO e GVO) </v>
      </c>
      <c r="C17" s="321"/>
      <c r="D17" s="321"/>
      <c r="E17" s="321"/>
      <c r="F17" s="321"/>
      <c r="G17" s="321"/>
      <c r="H17" s="321"/>
      <c r="I17" s="321"/>
      <c r="J17" s="321"/>
      <c r="K17" s="321"/>
      <c r="L17" s="322"/>
    </row>
    <row r="18" spans="2:12" ht="24" hidden="1" customHeight="1" outlineLevel="1" thickBot="1">
      <c r="B18" s="26" t="s">
        <v>48</v>
      </c>
      <c r="C18" s="27" t="s">
        <v>49</v>
      </c>
      <c r="D18" s="27" t="s">
        <v>50</v>
      </c>
      <c r="E18" s="27" t="s">
        <v>51</v>
      </c>
      <c r="F18" s="27" t="s">
        <v>52</v>
      </c>
      <c r="G18" s="27" t="s">
        <v>53</v>
      </c>
      <c r="H18" s="27" t="s">
        <v>54</v>
      </c>
      <c r="I18" s="27" t="s">
        <v>55</v>
      </c>
      <c r="J18" s="27" t="s">
        <v>56</v>
      </c>
      <c r="K18" s="27" t="s">
        <v>57</v>
      </c>
      <c r="L18" s="28" t="s">
        <v>58</v>
      </c>
    </row>
    <row r="19" spans="2:12" hidden="1" outlineLevel="1">
      <c r="B19" s="40" t="str">
        <f>IF(C19="","",ROW($A1))</f>
        <v/>
      </c>
      <c r="C19" s="41"/>
      <c r="D19" s="41"/>
      <c r="E19" s="41"/>
      <c r="F19" s="41"/>
      <c r="G19" s="41"/>
      <c r="H19" s="41"/>
      <c r="I19" s="42"/>
      <c r="J19" s="41"/>
      <c r="K19" s="41"/>
      <c r="L19" s="43"/>
    </row>
    <row r="20" spans="2:12" hidden="1" outlineLevel="1">
      <c r="B20" s="35" t="str">
        <f>IF(C20="","",ROW($A15))</f>
        <v/>
      </c>
      <c r="C20" s="1"/>
      <c r="D20" s="1"/>
      <c r="E20" s="1"/>
      <c r="F20" s="1"/>
      <c r="G20" s="1"/>
      <c r="H20" s="1"/>
      <c r="I20" s="36"/>
      <c r="J20" s="1"/>
      <c r="K20" s="1"/>
      <c r="L20" s="2"/>
    </row>
    <row r="21" spans="2:12" ht="15.75" hidden="1" outlineLevel="1" thickBot="1">
      <c r="B21" s="37"/>
      <c r="C21" s="38"/>
      <c r="D21" s="38"/>
      <c r="E21" s="38"/>
      <c r="F21" s="38"/>
      <c r="G21" s="38"/>
      <c r="H21" s="38"/>
      <c r="I21" s="38"/>
      <c r="J21" s="38"/>
      <c r="K21" s="38"/>
      <c r="L21" s="39"/>
    </row>
    <row r="22" spans="2:12" ht="24" customHeight="1" collapsed="1" thickBot="1">
      <c r="B22" s="320" t="s">
        <v>59</v>
      </c>
      <c r="C22" s="321"/>
      <c r="D22" s="321"/>
      <c r="E22" s="321"/>
      <c r="F22" s="321"/>
      <c r="G22" s="321"/>
      <c r="H22" s="321"/>
      <c r="I22" s="321"/>
      <c r="J22" s="321"/>
      <c r="K22" s="321"/>
      <c r="L22" s="322"/>
    </row>
    <row r="23" spans="2:12" ht="24" customHeight="1" thickBot="1">
      <c r="B23" s="26" t="s">
        <v>49</v>
      </c>
      <c r="C23" s="27" t="s">
        <v>60</v>
      </c>
      <c r="D23" s="27" t="s">
        <v>62</v>
      </c>
      <c r="E23" s="27" t="s">
        <v>63</v>
      </c>
      <c r="F23" s="27" t="s">
        <v>64</v>
      </c>
      <c r="G23" s="27" t="s">
        <v>65</v>
      </c>
      <c r="H23" s="27" t="s">
        <v>66</v>
      </c>
      <c r="I23" s="27" t="s">
        <v>67</v>
      </c>
      <c r="J23" s="27" t="s">
        <v>6</v>
      </c>
      <c r="K23" s="27" t="s">
        <v>7</v>
      </c>
      <c r="L23" s="28" t="s">
        <v>68</v>
      </c>
    </row>
    <row r="24" spans="2:12">
      <c r="B24" s="46" t="s">
        <v>8</v>
      </c>
      <c r="C24" s="41">
        <f>COUNTIFS(B19:B21,"&gt;"&amp;0,C19:C21,"="&amp;B24)</f>
        <v>0</v>
      </c>
      <c r="D24" s="41">
        <f>COUNTIFS(B19:B21,"&gt;="&amp;1,C19:C21,B24,K19:K21,"&gt;="&amp;0,K19:K21,"&lt;"&amp;50)</f>
        <v>0</v>
      </c>
      <c r="E24" s="41">
        <f>COUNTIFS(B19:B21,"&gt;="&amp;1,C19:C21,B24,K19:K21,"&gt;="&amp;50,K19:K21,"&lt;"&amp;500)</f>
        <v>0</v>
      </c>
      <c r="F24" s="41">
        <f>COUNTIFS(B19:B21,"&gt;="&amp;1,C19:C21,B24,K19:K21,"&gt;="&amp;500)</f>
        <v>0</v>
      </c>
      <c r="G24" s="41">
        <f>COUNTIFS(B19:B21,"&gt;="&amp;1,C19:C21,B24,K19:K21,"&gt;="&amp;0,I19:I21,"&gt;"&amp;DATE(2021,1,1))</f>
        <v>0</v>
      </c>
      <c r="H24" s="47" t="str">
        <f>IF(G24=0,"-",(SUM(E24,F24)/G24))</f>
        <v>-</v>
      </c>
      <c r="I24" s="41">
        <f>IF((COUNTIFS(B19:B21,"&gt;="&amp;1,C19:C21,"="&amp;B24))&gt;228,228,(COUNTIFS(B19:B21,"&gt;="&amp;1,C19:C21,"="&amp;B24)))</f>
        <v>0</v>
      </c>
      <c r="J24" s="47" t="str">
        <f>IF(I24=0,"-",(COUNTIFS(C19:C21,"="&amp;B24,I19:I21,"&lt;="&amp;DATE(2024,12,31),K19:K21,"&gt;="&amp;0)/I24))</f>
        <v>-</v>
      </c>
      <c r="K24" s="47" t="str">
        <f>IF(I24=0,"-",IF(J24=1,"-",(COUNTIFS(B19:B21,"&gt;"&amp;0,C19:C21,"="&amp;B24,I19:I21,"&gt;"&amp;DATE(2024,12,31),K19:K21,"&gt;="&amp;0)-COUNTIFS(B19:B21,"&gt;"&amp;0,C19:C21,"="&amp;B24,I19:I21,"&lt;="&amp;DATE(2024,12,31),K19:K21,"&gt;="&amp;0))/I24))</f>
        <v>-</v>
      </c>
      <c r="L24" s="48" t="str">
        <f>IF(I24=0,"-",G24/I24)</f>
        <v>-</v>
      </c>
    </row>
    <row r="25" spans="2:12">
      <c r="B25" s="7" t="s">
        <v>9</v>
      </c>
      <c r="C25" s="1">
        <f>COUNTIFS(B19:B21,"&gt;"&amp;0,C19:C21,"="&amp;B25)</f>
        <v>0</v>
      </c>
      <c r="D25" s="1">
        <f>COUNTIFS(B19:B21,"&gt;="&amp;1,C19:C21,B25,K19:K21,"&gt;="&amp;0,K19:K21,"&lt;"&amp;50)</f>
        <v>0</v>
      </c>
      <c r="E25" s="1">
        <f>COUNTIFS(B19:B21,"&gt;="&amp;1,C19:C21,B25,K19:K21,"&gt;="&amp;50,K19:K21,"&lt;"&amp;500)</f>
        <v>0</v>
      </c>
      <c r="F25" s="1">
        <f>COUNTIFS(B19:B21,"&gt;="&amp;1,C19:C21,B25,K19:K21,"&gt;="&amp;500)</f>
        <v>0</v>
      </c>
      <c r="G25" s="1">
        <f>COUNTIFS(B19:B21,"&gt;="&amp;1,C19:C21,B25,K19:K21,"&gt;="&amp;0,I19:I21,"&gt;"&amp;DATE(2021,1,1))</f>
        <v>0</v>
      </c>
      <c r="H25" s="44" t="str">
        <f>IF(G25=0,"-",(SUM(E25,F25)/G25))</f>
        <v>-</v>
      </c>
      <c r="I25" s="1">
        <f>IF((COUNTIFS(B19:B21,"&gt;="&amp;1,C19:C21,"="&amp;B25))&gt;228,228,(COUNTIFS(B19:B21,"&gt;="&amp;1,C19:C21,"="&amp;B25)))</f>
        <v>0</v>
      </c>
      <c r="J25" s="44" t="str">
        <f>IF(I25=0,"-",(COUNTIFS(C19:C21,"="&amp;B25,I19:I21,"&lt;="&amp;DATE(2024,12,31),K19:K21,"&gt;="&amp;0)/I25))</f>
        <v>-</v>
      </c>
      <c r="K25" s="44" t="str">
        <f>IF(I25=0,"-",IF(J25=1,"-",(COUNTIFS(B19:B21,"&gt;"&amp;0,C19:C21,"="&amp;B25,I19:I21,"&gt;"&amp;DATE(2024,12,31),K19:K21,"&gt;="&amp;0)-COUNTIFS(B19:B21,"&gt;"&amp;0,C19:C21,"="&amp;B25,I19:I21,"&lt;="&amp;DATE(2024,12,31),K19:K21,"&gt;="&amp;0))/I25))</f>
        <v>-</v>
      </c>
      <c r="L25" s="45" t="str">
        <f>IF(I25=0,"-",G25/I25)</f>
        <v>-</v>
      </c>
    </row>
    <row r="26" spans="2:12">
      <c r="B26" s="7" t="s">
        <v>69</v>
      </c>
      <c r="C26" s="1">
        <f>COUNTIFS(B19:B21,"&gt;"&amp;0,C19:C21,"="&amp;B26)</f>
        <v>0</v>
      </c>
      <c r="D26" s="1">
        <f>COUNTIFS(B19:B21,"&gt;="&amp;1,C19:C21,B26,K19:K21,"&gt;="&amp;0,K19:K21,"&lt;"&amp;50)</f>
        <v>0</v>
      </c>
      <c r="E26" s="1">
        <f>COUNTIFS(B19:B21,"&gt;="&amp;1,C19:C21,B26,K19:K21,"&gt;="&amp;50,K19:K21,"&lt;"&amp;500)</f>
        <v>0</v>
      </c>
      <c r="F26" s="1">
        <f>COUNTIFS(B19:B20,"&gt;="&amp;1,C19:C20,B26,K19:K20,"&gt;="&amp;500)</f>
        <v>0</v>
      </c>
      <c r="G26" s="1">
        <f>COUNTIFS(B19:B21,"&gt;="&amp;1,C19:C21,B26,K19:K21,"&gt;="&amp;0,I19:I21,"&gt;"&amp;DATE(2021,1,1))</f>
        <v>0</v>
      </c>
      <c r="H26" s="44" t="str">
        <f>IF(G26=0,"-",(SUM(E26,F26)/G26))</f>
        <v>-</v>
      </c>
      <c r="I26" s="1">
        <f>IF((COUNTIFS(B19:B20,"&gt;="&amp;1,C19:C20,"="&amp;B26))&gt;228,228,(COUNTIFS(B19:B20,"&gt;="&amp;1,C19:C20,"="&amp;B26)))</f>
        <v>0</v>
      </c>
      <c r="J26" s="44" t="str">
        <f>IF(I26=0,"-",(COUNTIFS(C19:C21,"="&amp;B26,I19:I21,"&lt;="&amp;DATE(2024,12,31),K19:K21,"&gt;="&amp;0)/I26))</f>
        <v>-</v>
      </c>
      <c r="K26" s="44" t="str">
        <f>IF(I26=0,"-",IF(J26=1,"-",(COUNTIFS(B19:B21,"&gt;"&amp;0,C19:C21,"="&amp;B26,I19:I21,"&gt;"&amp;DATE(2024,12,31),K19:K21,"&gt;="&amp;0)-COUNTIFS(B19:B21,"&gt;"&amp;0,C19:C21,"="&amp;B26,I19:I21,"&lt;="&amp;DATE(2024,12,31),K19:K21,"&gt;="&amp;0))/I26))</f>
        <v>-</v>
      </c>
      <c r="L26" s="45" t="str">
        <f>IF(I26=0,"-",G26/I26)</f>
        <v>-</v>
      </c>
    </row>
    <row r="27" spans="2:12" ht="24" customHeight="1" thickBot="1">
      <c r="B27" s="49" t="s">
        <v>59</v>
      </c>
      <c r="C27" s="50">
        <f>SUM(C24:C26)</f>
        <v>0</v>
      </c>
      <c r="D27" s="50">
        <f>SUM(D24:D26)</f>
        <v>0</v>
      </c>
      <c r="E27" s="50">
        <f>SUM(E24:E26)</f>
        <v>0</v>
      </c>
      <c r="F27" s="50">
        <f>SUM(F24:F26)</f>
        <v>0</v>
      </c>
      <c r="G27" s="50">
        <f>SUM(G24:G26)</f>
        <v>0</v>
      </c>
      <c r="H27" s="51" t="str">
        <f>IF(G27=0,"-",(SUM(E27,F27)/G27))</f>
        <v>-</v>
      </c>
      <c r="I27" s="50">
        <f>SUM(I24:I26)</f>
        <v>0</v>
      </c>
      <c r="J27" s="51" t="str">
        <f>IF(I27=0,"-",(COUNTIFS(I19:I21,"&lt;="&amp;DATE(2024,12,31),K19:K21,"&gt;="&amp;0)/I27))</f>
        <v>-</v>
      </c>
      <c r="K27" s="51" t="str">
        <f>IF(I27=0,"-",IF(J27=1,"-",(COUNTIFS(B19:B21,"&gt;"&amp;0,I19:I21,"&gt;"&amp;DATE(2024,12,31),K19:K21,"&gt;="&amp;0)-COUNTIFS(B19:B21,"&gt;"&amp;0,I19:I21,"&lt;="&amp;DATE(2024,12,31),K19:K21,"&gt;="&amp;0))/I27))</f>
        <v>-</v>
      </c>
      <c r="L27" s="52" t="str">
        <f>IF(I27=0,"-",G27/I27)</f>
        <v>-</v>
      </c>
    </row>
    <row r="29" spans="2:12" ht="15.75" thickBot="1"/>
    <row r="30" spans="2:12" ht="32.25" customHeight="1" thickBot="1">
      <c r="B30" s="320" t="str">
        <f>_xlfn.CONCAT("Religadores",TEXT(IF(SUM(I56:I58)=0," ",(SUM(G56:G58)/SUM(I56:I58))), " 0,00%"))</f>
        <v>Religadores 72,73%</v>
      </c>
      <c r="C30" s="321"/>
      <c r="D30" s="321"/>
      <c r="E30" s="321"/>
      <c r="F30" s="321"/>
      <c r="G30" s="321"/>
      <c r="H30" s="321"/>
      <c r="I30" s="321"/>
      <c r="J30" s="321"/>
      <c r="K30" s="321"/>
      <c r="L30" s="322"/>
    </row>
    <row r="31" spans="2:12" ht="24" customHeight="1" outlineLevel="1" thickBot="1">
      <c r="B31" s="26" t="s">
        <v>48</v>
      </c>
      <c r="C31" s="27" t="s">
        <v>49</v>
      </c>
      <c r="D31" s="27" t="s">
        <v>50</v>
      </c>
      <c r="E31" s="27" t="s">
        <v>51</v>
      </c>
      <c r="F31" s="27" t="s">
        <v>52</v>
      </c>
      <c r="G31" s="27" t="s">
        <v>53</v>
      </c>
      <c r="H31" s="27" t="s">
        <v>54</v>
      </c>
      <c r="I31" s="27" t="s">
        <v>55</v>
      </c>
      <c r="J31" s="27" t="s">
        <v>56</v>
      </c>
      <c r="K31" s="27" t="s">
        <v>57</v>
      </c>
      <c r="L31" s="28" t="s">
        <v>58</v>
      </c>
    </row>
    <row r="32" spans="2:12" outlineLevel="1">
      <c r="B32" s="46">
        <f>IF(C32="","",ROW($A$1))</f>
        <v>1</v>
      </c>
      <c r="C32" s="41" t="s">
        <v>9</v>
      </c>
      <c r="D32" s="41" t="s">
        <v>365</v>
      </c>
      <c r="E32" s="41" t="s">
        <v>929</v>
      </c>
      <c r="F32" s="41"/>
      <c r="G32" s="41"/>
      <c r="H32" s="41"/>
      <c r="I32" s="42">
        <v>45707</v>
      </c>
      <c r="J32" s="41"/>
      <c r="K32" s="41">
        <v>0</v>
      </c>
      <c r="L32" s="43"/>
    </row>
    <row r="33" spans="2:12" outlineLevel="1">
      <c r="B33" s="7">
        <f>IF(C33="","",(B32+1))</f>
        <v>2</v>
      </c>
      <c r="C33" s="1" t="s">
        <v>9</v>
      </c>
      <c r="D33" s="1" t="s">
        <v>365</v>
      </c>
      <c r="E33" s="1" t="s">
        <v>930</v>
      </c>
      <c r="F33" s="1"/>
      <c r="G33" s="1"/>
      <c r="H33" s="1"/>
      <c r="I33" s="36">
        <v>45707</v>
      </c>
      <c r="J33" s="1"/>
      <c r="K33" s="1">
        <v>17</v>
      </c>
      <c r="L33" s="2"/>
    </row>
    <row r="34" spans="2:12" outlineLevel="1">
      <c r="B34" s="7">
        <f>IF(C34="","",(B33+1))</f>
        <v>3</v>
      </c>
      <c r="C34" s="53" t="s">
        <v>9</v>
      </c>
      <c r="D34" s="53" t="s">
        <v>365</v>
      </c>
      <c r="E34" s="53" t="s">
        <v>931</v>
      </c>
      <c r="F34" s="53"/>
      <c r="G34" s="53"/>
      <c r="H34" s="53"/>
      <c r="I34" s="54">
        <v>45707</v>
      </c>
      <c r="J34" s="53"/>
      <c r="K34" s="53">
        <v>0</v>
      </c>
      <c r="L34" s="55"/>
    </row>
    <row r="35" spans="2:12" outlineLevel="1">
      <c r="B35" s="7">
        <f>IF(C35="","",(B34+1))</f>
        <v>4</v>
      </c>
      <c r="C35" s="53" t="s">
        <v>9</v>
      </c>
      <c r="D35" s="53" t="s">
        <v>365</v>
      </c>
      <c r="E35" s="53" t="s">
        <v>932</v>
      </c>
      <c r="F35" s="53"/>
      <c r="G35" s="53"/>
      <c r="H35" s="53"/>
      <c r="I35" s="54">
        <v>45707</v>
      </c>
      <c r="J35" s="53"/>
      <c r="K35" s="53">
        <v>0</v>
      </c>
      <c r="L35" s="55"/>
    </row>
    <row r="36" spans="2:12" outlineLevel="1">
      <c r="B36" s="7">
        <f>IF(C36="","",(B35+1))</f>
        <v>5</v>
      </c>
      <c r="C36" s="53" t="s">
        <v>9</v>
      </c>
      <c r="D36" s="53" t="s">
        <v>365</v>
      </c>
      <c r="E36" s="53" t="s">
        <v>933</v>
      </c>
      <c r="F36" s="53"/>
      <c r="G36" s="53"/>
      <c r="H36" s="53"/>
      <c r="I36" s="54">
        <v>45707</v>
      </c>
      <c r="J36" s="53"/>
      <c r="K36" s="53">
        <v>0</v>
      </c>
      <c r="L36" s="55"/>
    </row>
    <row r="37" spans="2:12" outlineLevel="1">
      <c r="B37" s="7">
        <f>IF(C37="","",(B36+1))</f>
        <v>6</v>
      </c>
      <c r="C37" s="53" t="s">
        <v>9</v>
      </c>
      <c r="D37" s="53" t="s">
        <v>365</v>
      </c>
      <c r="E37" s="53">
        <v>5521</v>
      </c>
      <c r="F37" s="53"/>
      <c r="G37" s="53"/>
      <c r="H37" s="53"/>
      <c r="I37" s="54">
        <v>45841</v>
      </c>
      <c r="J37" s="53"/>
      <c r="K37" s="53">
        <v>29</v>
      </c>
      <c r="L37" s="55"/>
    </row>
    <row r="38" spans="2:12" outlineLevel="1">
      <c r="B38" s="7">
        <f>IF(C38="","",(B37+1))</f>
        <v>7</v>
      </c>
      <c r="C38" s="53" t="s">
        <v>9</v>
      </c>
      <c r="D38" s="53" t="s">
        <v>365</v>
      </c>
      <c r="E38" s="53">
        <v>6557</v>
      </c>
      <c r="F38" s="53"/>
      <c r="G38" s="53"/>
      <c r="H38" s="53"/>
      <c r="I38" s="54">
        <v>45841</v>
      </c>
      <c r="J38" s="53"/>
      <c r="K38" s="53">
        <v>11</v>
      </c>
      <c r="L38" s="55"/>
    </row>
    <row r="39" spans="2:12" outlineLevel="1">
      <c r="B39" s="7">
        <f>IF(C39="","",(B38+1))</f>
        <v>8</v>
      </c>
      <c r="C39" s="53" t="s">
        <v>9</v>
      </c>
      <c r="D39" s="53" t="s">
        <v>365</v>
      </c>
      <c r="E39" s="53">
        <v>6554</v>
      </c>
      <c r="F39" s="53"/>
      <c r="G39" s="53"/>
      <c r="H39" s="53"/>
      <c r="I39" s="54">
        <v>45841</v>
      </c>
      <c r="J39" s="53"/>
      <c r="K39" s="53">
        <v>0</v>
      </c>
      <c r="L39" s="55"/>
    </row>
    <row r="40" spans="2:12" outlineLevel="1">
      <c r="B40" s="7">
        <f>IF(C40="","",(B39+1))</f>
        <v>9</v>
      </c>
      <c r="C40" s="53" t="s">
        <v>9</v>
      </c>
      <c r="D40" s="53" t="s">
        <v>365</v>
      </c>
      <c r="E40" s="53">
        <v>5520</v>
      </c>
      <c r="F40" s="53"/>
      <c r="G40" s="53"/>
      <c r="H40" s="53"/>
      <c r="I40" s="54">
        <v>45841</v>
      </c>
      <c r="J40" s="53"/>
      <c r="K40" s="53">
        <v>27</v>
      </c>
      <c r="L40" s="55"/>
    </row>
    <row r="41" spans="2:12" outlineLevel="1">
      <c r="B41" s="7">
        <f>IF(C41="","",(B40+1))</f>
        <v>10</v>
      </c>
      <c r="C41" s="53" t="s">
        <v>9</v>
      </c>
      <c r="D41" s="53" t="s">
        <v>365</v>
      </c>
      <c r="E41" s="53" t="s">
        <v>934</v>
      </c>
      <c r="F41" s="53"/>
      <c r="G41" s="53"/>
      <c r="H41" s="53"/>
      <c r="I41" s="54">
        <v>45841</v>
      </c>
      <c r="J41" s="53"/>
      <c r="K41" s="53">
        <v>0</v>
      </c>
      <c r="L41" s="55"/>
    </row>
    <row r="42" spans="2:12" outlineLevel="1">
      <c r="B42" s="7">
        <f>IF(C42="","",(B41+1))</f>
        <v>11</v>
      </c>
      <c r="C42" s="53" t="s">
        <v>9</v>
      </c>
      <c r="D42" s="53" t="s">
        <v>365</v>
      </c>
      <c r="E42" s="53" t="s">
        <v>931</v>
      </c>
      <c r="F42" s="53"/>
      <c r="G42" s="53"/>
      <c r="H42" s="53"/>
      <c r="I42" s="54">
        <v>45841</v>
      </c>
      <c r="J42" s="53"/>
      <c r="K42" s="53">
        <v>0</v>
      </c>
      <c r="L42" s="55"/>
    </row>
    <row r="43" spans="2:12" outlineLevel="1">
      <c r="B43" s="7">
        <f>IF(C43="","",(B42+1))</f>
        <v>12</v>
      </c>
      <c r="C43" s="53" t="s">
        <v>9</v>
      </c>
      <c r="D43" s="53" t="s">
        <v>365</v>
      </c>
      <c r="E43" s="53" t="s">
        <v>930</v>
      </c>
      <c r="F43" s="53"/>
      <c r="G43" s="53"/>
      <c r="H43" s="53"/>
      <c r="I43" s="54">
        <v>45841</v>
      </c>
      <c r="J43" s="53"/>
      <c r="K43" s="53">
        <v>13</v>
      </c>
      <c r="L43" s="55"/>
    </row>
    <row r="44" spans="2:12" outlineLevel="1">
      <c r="B44" s="7">
        <f>IF(C44="","",(B43+1))</f>
        <v>13</v>
      </c>
      <c r="C44" s="53" t="s">
        <v>9</v>
      </c>
      <c r="D44" s="53" t="s">
        <v>365</v>
      </c>
      <c r="E44" s="53" t="s">
        <v>929</v>
      </c>
      <c r="F44" s="53"/>
      <c r="G44" s="53"/>
      <c r="H44" s="53"/>
      <c r="I44" s="54">
        <v>45841</v>
      </c>
      <c r="J44" s="53"/>
      <c r="K44" s="53">
        <v>0</v>
      </c>
      <c r="L44" s="55"/>
    </row>
    <row r="45" spans="2:12" outlineLevel="1">
      <c r="B45" s="7">
        <f>IF(C45="","",(B44+1))</f>
        <v>14</v>
      </c>
      <c r="C45" s="53" t="s">
        <v>9</v>
      </c>
      <c r="D45" s="53" t="s">
        <v>365</v>
      </c>
      <c r="E45" s="53" t="s">
        <v>935</v>
      </c>
      <c r="F45" s="53"/>
      <c r="G45" s="53"/>
      <c r="H45" s="53"/>
      <c r="I45" s="54">
        <v>45841</v>
      </c>
      <c r="J45" s="53"/>
      <c r="K45" s="53">
        <v>0</v>
      </c>
      <c r="L45" s="55"/>
    </row>
    <row r="46" spans="2:12" outlineLevel="1">
      <c r="B46" s="7">
        <f>IF(C46="","",(B45+1))</f>
        <v>15</v>
      </c>
      <c r="C46" s="53" t="s">
        <v>9</v>
      </c>
      <c r="D46" s="53" t="s">
        <v>365</v>
      </c>
      <c r="E46" s="53" t="s">
        <v>936</v>
      </c>
      <c r="F46" s="53"/>
      <c r="G46" s="53"/>
      <c r="H46" s="53"/>
      <c r="I46" s="54">
        <v>45841</v>
      </c>
      <c r="J46" s="53"/>
      <c r="K46" s="53">
        <v>0</v>
      </c>
      <c r="L46" s="55"/>
    </row>
    <row r="47" spans="2:12" outlineLevel="1">
      <c r="B47" s="7">
        <f>IF(C47="","",(B46+1))</f>
        <v>16</v>
      </c>
      <c r="C47" s="53" t="s">
        <v>9</v>
      </c>
      <c r="D47" s="53" t="s">
        <v>365</v>
      </c>
      <c r="E47" s="53">
        <v>6999</v>
      </c>
      <c r="F47" s="53"/>
      <c r="G47" s="53"/>
      <c r="H47" s="53"/>
      <c r="I47" s="54">
        <v>45841</v>
      </c>
      <c r="J47" s="53"/>
      <c r="K47" s="53">
        <v>0</v>
      </c>
      <c r="L47" s="55"/>
    </row>
    <row r="48" spans="2:12" outlineLevel="1">
      <c r="B48" s="7">
        <f>IF(C48="","",(B47+1))</f>
        <v>17</v>
      </c>
      <c r="C48" s="53" t="s">
        <v>9</v>
      </c>
      <c r="D48" s="53" t="s">
        <v>365</v>
      </c>
      <c r="E48" s="53" t="s">
        <v>930</v>
      </c>
      <c r="F48" s="53"/>
      <c r="G48" s="53"/>
      <c r="H48" s="53"/>
      <c r="I48" s="54">
        <v>45791</v>
      </c>
      <c r="J48" s="53"/>
      <c r="K48" s="53"/>
      <c r="L48" s="55"/>
    </row>
    <row r="49" spans="2:12" outlineLevel="1">
      <c r="B49" s="7">
        <f>IF(C49="","",(B48+1))</f>
        <v>18</v>
      </c>
      <c r="C49" s="53" t="s">
        <v>9</v>
      </c>
      <c r="D49" s="53" t="s">
        <v>365</v>
      </c>
      <c r="E49" s="53" t="s">
        <v>935</v>
      </c>
      <c r="F49" s="53"/>
      <c r="G49" s="53"/>
      <c r="H49" s="53"/>
      <c r="I49" s="54">
        <v>45791</v>
      </c>
      <c r="J49" s="53"/>
      <c r="K49" s="53"/>
      <c r="L49" s="55"/>
    </row>
    <row r="50" spans="2:12" outlineLevel="1">
      <c r="B50" s="7">
        <f>IF(C50="","",(B49+1))</f>
        <v>19</v>
      </c>
      <c r="C50" s="53" t="s">
        <v>9</v>
      </c>
      <c r="D50" s="53" t="s">
        <v>365</v>
      </c>
      <c r="E50" s="53" t="s">
        <v>936</v>
      </c>
      <c r="F50" s="53"/>
      <c r="G50" s="53"/>
      <c r="H50" s="53"/>
      <c r="I50" s="54">
        <v>45791</v>
      </c>
      <c r="J50" s="53"/>
      <c r="K50" s="53"/>
      <c r="L50" s="55"/>
    </row>
    <row r="51" spans="2:12" outlineLevel="1">
      <c r="B51" s="7">
        <f>IF(C51="","",(B50+1))</f>
        <v>20</v>
      </c>
      <c r="C51" s="53" t="s">
        <v>9</v>
      </c>
      <c r="D51" s="53" t="s">
        <v>365</v>
      </c>
      <c r="E51" s="53" t="s">
        <v>934</v>
      </c>
      <c r="F51" s="53"/>
      <c r="G51" s="53"/>
      <c r="H51" s="53"/>
      <c r="I51" s="54">
        <v>45791</v>
      </c>
      <c r="J51" s="53"/>
      <c r="K51" s="53"/>
      <c r="L51" s="55"/>
    </row>
    <row r="52" spans="2:12" outlineLevel="1">
      <c r="B52" s="7">
        <f>IF(C52="","",(B51+1))</f>
        <v>21</v>
      </c>
      <c r="C52" s="53" t="s">
        <v>9</v>
      </c>
      <c r="D52" s="53" t="s">
        <v>365</v>
      </c>
      <c r="E52" s="53" t="s">
        <v>931</v>
      </c>
      <c r="F52" s="53"/>
      <c r="G52" s="53"/>
      <c r="H52" s="53"/>
      <c r="I52" s="54">
        <v>45791</v>
      </c>
      <c r="J52" s="53"/>
      <c r="K52" s="53"/>
      <c r="L52" s="55"/>
    </row>
    <row r="53" spans="2:12" ht="15.75" outlineLevel="1" thickBot="1">
      <c r="B53" s="56">
        <f>IF(C53="","",(B52+1))</f>
        <v>22</v>
      </c>
      <c r="C53" s="38" t="s">
        <v>9</v>
      </c>
      <c r="D53" s="38" t="s">
        <v>365</v>
      </c>
      <c r="E53" s="38" t="s">
        <v>929</v>
      </c>
      <c r="F53" s="38"/>
      <c r="G53" s="38"/>
      <c r="H53" s="38"/>
      <c r="I53" s="57">
        <v>45791</v>
      </c>
      <c r="J53" s="38"/>
      <c r="K53" s="38"/>
      <c r="L53" s="39"/>
    </row>
    <row r="54" spans="2:12" ht="24" customHeight="1" thickBot="1">
      <c r="B54" s="320" t="s">
        <v>59</v>
      </c>
      <c r="C54" s="321"/>
      <c r="D54" s="321"/>
      <c r="E54" s="321"/>
      <c r="F54" s="321"/>
      <c r="G54" s="321"/>
      <c r="H54" s="321"/>
      <c r="I54" s="321"/>
      <c r="J54" s="321"/>
      <c r="K54" s="321"/>
      <c r="L54" s="322"/>
    </row>
    <row r="55" spans="2:12" ht="24" customHeight="1" thickBot="1">
      <c r="B55" s="26" t="s">
        <v>49</v>
      </c>
      <c r="C55" s="27" t="s">
        <v>60</v>
      </c>
      <c r="D55" s="27" t="s">
        <v>62</v>
      </c>
      <c r="E55" s="27" t="s">
        <v>63</v>
      </c>
      <c r="F55" s="27" t="s">
        <v>64</v>
      </c>
      <c r="G55" s="27" t="s">
        <v>65</v>
      </c>
      <c r="H55" s="27" t="s">
        <v>66</v>
      </c>
      <c r="I55" s="27" t="s">
        <v>67</v>
      </c>
      <c r="J55" s="27" t="s">
        <v>6</v>
      </c>
      <c r="K55" s="27" t="s">
        <v>7</v>
      </c>
      <c r="L55" s="28" t="s">
        <v>68</v>
      </c>
    </row>
    <row r="56" spans="2:12">
      <c r="B56" s="46" t="s">
        <v>8</v>
      </c>
      <c r="C56" s="41">
        <f>COUNTIFS(B32:B53,"&gt;"&amp;0,C32:C53,"="&amp;B56)</f>
        <v>0</v>
      </c>
      <c r="D56" s="41">
        <f>COUNTIFS(B32:B53,"&gt;="&amp;1,C32:C53,B56,K32:K53,"&gt;="&amp;0,K32:K53,"&lt;"&amp;50)</f>
        <v>0</v>
      </c>
      <c r="E56" s="41">
        <f>COUNTIFS(B32:B53,"&gt;="&amp;1,C32:C53,B56,K32:K53,"&gt;="&amp;50,K32:K53,"&lt;"&amp;500)</f>
        <v>0</v>
      </c>
      <c r="F56" s="41">
        <f>COUNTIFS(B32:B53,"&gt;="&amp;1,C32:C53,B56,K32:K53,"&gt;="&amp;500)</f>
        <v>0</v>
      </c>
      <c r="G56" s="41">
        <f>COUNTIFS(B32:B53,"&gt;="&amp;1,C32:C53,B56,K32:K53,"&gt;="&amp;0,I32:I53,"&gt;"&amp;DATE(2021,1,1))</f>
        <v>0</v>
      </c>
      <c r="H56" s="47" t="str">
        <f>IF(G56=0,"-",(SUM(E56,F56)/G56))</f>
        <v>-</v>
      </c>
      <c r="I56" s="41">
        <f>IF((COUNTIFS(B32:B53,"&gt;="&amp;1,C32:C53,"="&amp;B56))&gt;228,228,(COUNTIFS(B32:B53,"&gt;="&amp;1,C32:C53,"="&amp;B56)))</f>
        <v>0</v>
      </c>
      <c r="J56" s="47" t="str">
        <f>IF(I56=0,"-",(COUNTIFS(C32:C53,"="&amp;B56,I32:I53,"&lt;="&amp;DATE(2024,12,31),K32:K53,"&gt;="&amp;0)/I56))</f>
        <v>-</v>
      </c>
      <c r="K56" s="47" t="str">
        <f>IF(I56=0,"-",IF(J56=1,"-",(COUNTIFS(B32:B53,"&gt;"&amp;0,C32:C53,"="&amp;B56,I32:I53,"&gt;"&amp;DATE(2024,12,31),K32:K53,"&gt;="&amp;0)-COUNTIFS(B32:B53,"&gt;"&amp;0,C32:C53,"="&amp;B56,I32:I53,"&lt;="&amp;DATE(2024,12,31),K32:K53,"&gt;="&amp;0))/I56))</f>
        <v>-</v>
      </c>
      <c r="L56" s="48" t="str">
        <f>IF(I56=0,"-",G56/I56)</f>
        <v>-</v>
      </c>
    </row>
    <row r="57" spans="2:12">
      <c r="B57" s="7" t="s">
        <v>9</v>
      </c>
      <c r="C57" s="1">
        <f>COUNTIFS(B32:B53,"&gt;"&amp;0,C32:C53,"="&amp;B57)</f>
        <v>22</v>
      </c>
      <c r="D57" s="1">
        <f>COUNTIFS(B32:B53,"&gt;="&amp;1,C32:C53,B57,K32:K53,"&gt;="&amp;0,K32:K53,"&lt;"&amp;50)</f>
        <v>16</v>
      </c>
      <c r="E57" s="1">
        <f>COUNTIFS(B32:B53,"&gt;="&amp;1,C32:C53,B57,K32:K53,"&gt;="&amp;50,K32:K53,"&lt;"&amp;500)</f>
        <v>0</v>
      </c>
      <c r="F57" s="1">
        <f>COUNTIFS(B32:B53,"&gt;="&amp;1,C32:C53,B57,K32:K53,"&gt;="&amp;500)</f>
        <v>0</v>
      </c>
      <c r="G57" s="1">
        <f>COUNTIFS(B32:B53,"&gt;="&amp;1,C32:C53,B57,K32:K53,"&gt;="&amp;0,I32:I53,"&gt;"&amp;DATE(2021,1,1))</f>
        <v>16</v>
      </c>
      <c r="H57" s="44">
        <f>IF(G57=0,"-",(SUM(E57,F57)/G57))</f>
        <v>0</v>
      </c>
      <c r="I57" s="1">
        <f>IF((COUNTIFS(B32:B53,"&gt;="&amp;1,C32:C53,"="&amp;B57))&gt;228,228,(COUNTIFS(B32:B53,"&gt;="&amp;1,C32:C53,"="&amp;B57)))</f>
        <v>22</v>
      </c>
      <c r="J57" s="44">
        <f>IF(I57=0,"-",(COUNTIFS(C32:C53,"="&amp;B57,I32:I53,"&lt;="&amp;DATE(2024,12,31),K32:K53,"&gt;="&amp;0)/I57))</f>
        <v>0</v>
      </c>
      <c r="K57" s="44">
        <f>IF(I57=0,"-",IF(J57=1,"-",(COUNTIFS(B32:B53,"&gt;"&amp;0,C32:C53,"="&amp;B57,I32:I53,"&gt;"&amp;DATE(2024,12,31),K32:K53,"&gt;="&amp;0)-COUNTIFS(B32:B53,"&gt;"&amp;0,C32:C53,"="&amp;B57,I32:I53,"&lt;="&amp;DATE(2024,12,31),K32:K53,"&gt;="&amp;0))/I57))</f>
        <v>0.72727272727272729</v>
      </c>
      <c r="L57" s="45">
        <f>IF(I57=0,"-",G57/I57)</f>
        <v>0.72727272727272729</v>
      </c>
    </row>
    <row r="58" spans="2:12">
      <c r="B58" s="7" t="s">
        <v>69</v>
      </c>
      <c r="C58" s="1">
        <f>COUNTIFS(B32:B53,"&gt;"&amp;0,C32:C53,"="&amp;B58)</f>
        <v>0</v>
      </c>
      <c r="D58" s="1">
        <f>COUNTIFS(B32:B53,"&gt;="&amp;1,C32:C53,B58,K32:K53,"&gt;="&amp;0,K32:K53,"&lt;"&amp;50)</f>
        <v>0</v>
      </c>
      <c r="E58" s="1">
        <f>COUNTIFS(B32:B53,"&gt;="&amp;1,C32:C53,B58,K32:K53,"&gt;="&amp;50,K32:K53,"&lt;"&amp;500)</f>
        <v>0</v>
      </c>
      <c r="F58" s="1">
        <f>COUNTIFS(B32:B33,"&gt;="&amp;1,C32:C33,B58,K32:K33,"&gt;="&amp;500)</f>
        <v>0</v>
      </c>
      <c r="G58" s="1">
        <f>COUNTIFS(B32:B53,"&gt;="&amp;1,C32:C53,B58,K32:K53,"&gt;="&amp;0,I32:I53,"&gt;"&amp;DATE(2021,1,1))</f>
        <v>0</v>
      </c>
      <c r="H58" s="44" t="str">
        <f>IF(G58=0,"-",(SUM(E58,F58)/G58))</f>
        <v>-</v>
      </c>
      <c r="I58" s="1">
        <f>IF((COUNTIFS(B32:B33,"&gt;="&amp;1,C32:C33,"="&amp;B58))&gt;228,228,(COUNTIFS(B32:B33,"&gt;="&amp;1,C32:C33,"="&amp;B58)))</f>
        <v>0</v>
      </c>
      <c r="J58" s="44" t="str">
        <f>IF(I58=0,"-",(COUNTIFS(C32:C53,"="&amp;B58,I32:I53,"&lt;="&amp;DATE(2024,12,31),K32:K53,"&gt;="&amp;0)/I58))</f>
        <v>-</v>
      </c>
      <c r="K58" s="44" t="str">
        <f>IF(I58=0,"-",IF(J58=1,"-",(COUNTIFS(B32:B53,"&gt;"&amp;0,C32:C53,"="&amp;B58,I32:I53,"&gt;"&amp;DATE(2024,12,31),K32:K53,"&gt;="&amp;0)-COUNTIFS(B32:B53,"&gt;"&amp;0,C32:C53,"="&amp;B58,I32:I53,"&lt;="&amp;DATE(2024,12,31),K32:K53,"&gt;="&amp;0))/I58))</f>
        <v>-</v>
      </c>
      <c r="L58" s="45" t="str">
        <f>IF(I58=0,"-",G58/I58)</f>
        <v>-</v>
      </c>
    </row>
    <row r="59" spans="2:12" ht="24" customHeight="1" thickBot="1">
      <c r="B59" s="49" t="s">
        <v>59</v>
      </c>
      <c r="C59" s="50">
        <f>SUM(C56:C58)</f>
        <v>22</v>
      </c>
      <c r="D59" s="50">
        <f>SUM(D56:D58)</f>
        <v>16</v>
      </c>
      <c r="E59" s="50">
        <f>SUM(E56:E58)</f>
        <v>0</v>
      </c>
      <c r="F59" s="50">
        <f>SUM(F56:F58)</f>
        <v>0</v>
      </c>
      <c r="G59" s="50">
        <f>SUM(G56:G58)</f>
        <v>16</v>
      </c>
      <c r="H59" s="51">
        <f>IF(G59=0,"-",(SUM(E59,F59)/G59))</f>
        <v>0</v>
      </c>
      <c r="I59" s="50">
        <f>SUM(I56:I58)</f>
        <v>22</v>
      </c>
      <c r="J59" s="51">
        <f>IF(I59=0,"-",(COUNTIFS(I32:I53,"&lt;="&amp;DATE(2024,12,31),K32:K53,"&gt;="&amp;0)/I59))</f>
        <v>0</v>
      </c>
      <c r="K59" s="51">
        <f>IF(I59=0,"-",IF(J59=1,"-",(COUNTIFS(B32:B53,"&gt;"&amp;0,I32:I53,"&gt;"&amp;DATE(2024,12,31),K32:K53,"&gt;="&amp;0)-COUNTIFS(B32:B53,"&gt;"&amp;0,I32:I53,"&lt;="&amp;DATE(2024,12,31),K32:K53,"&gt;="&amp;0))/I59))</f>
        <v>0.72727272727272729</v>
      </c>
      <c r="L59" s="52">
        <f>IF(I59=0,"-",G59/I59)</f>
        <v>0.72727272727272729</v>
      </c>
    </row>
    <row r="61" spans="2:12" ht="15.75" thickBot="1"/>
    <row r="62" spans="2:12" ht="32.25" customHeight="1" thickBot="1">
      <c r="B62" s="320" t="str">
        <f>_xlfn.CONCAT("Reguladores de Tensão",TEXT(IF(SUM(I359:I361)=0," ",(SUM(G359:G361)/SUM(I359:I361))), " 0,00%"))</f>
        <v>Reguladores de Tensão 89,79%</v>
      </c>
      <c r="C62" s="321"/>
      <c r="D62" s="321"/>
      <c r="E62" s="321"/>
      <c r="F62" s="321"/>
      <c r="G62" s="321"/>
      <c r="H62" s="321"/>
      <c r="I62" s="321"/>
      <c r="J62" s="321"/>
      <c r="K62" s="321"/>
      <c r="L62" s="322"/>
    </row>
    <row r="63" spans="2:12" ht="24" customHeight="1" outlineLevel="1" thickBot="1">
      <c r="B63" s="26" t="s">
        <v>48</v>
      </c>
      <c r="C63" s="27" t="s">
        <v>49</v>
      </c>
      <c r="D63" s="27" t="s">
        <v>50</v>
      </c>
      <c r="E63" s="27" t="s">
        <v>51</v>
      </c>
      <c r="F63" s="27" t="s">
        <v>52</v>
      </c>
      <c r="G63" s="27" t="s">
        <v>53</v>
      </c>
      <c r="H63" s="27" t="s">
        <v>54</v>
      </c>
      <c r="I63" s="27" t="s">
        <v>55</v>
      </c>
      <c r="J63" s="27" t="s">
        <v>56</v>
      </c>
      <c r="K63" s="27" t="s">
        <v>57</v>
      </c>
      <c r="L63" s="28" t="s">
        <v>58</v>
      </c>
    </row>
    <row r="64" spans="2:12" outlineLevel="1">
      <c r="B64" s="46">
        <f>IF(C64="","",ROW($A$1))</f>
        <v>1</v>
      </c>
      <c r="C64" s="41" t="s">
        <v>9</v>
      </c>
      <c r="D64" s="41" t="s">
        <v>366</v>
      </c>
      <c r="E64" s="41" t="s">
        <v>937</v>
      </c>
      <c r="F64" s="41"/>
      <c r="G64" s="41"/>
      <c r="H64" s="41"/>
      <c r="I64" s="42">
        <v>45366</v>
      </c>
      <c r="J64" s="41"/>
      <c r="K64" s="41">
        <v>0</v>
      </c>
      <c r="L64" s="43"/>
    </row>
    <row r="65" spans="2:12" outlineLevel="1">
      <c r="B65" s="7">
        <f>IF(C65="","",(B64+1))</f>
        <v>2</v>
      </c>
      <c r="C65" s="41" t="s">
        <v>9</v>
      </c>
      <c r="D65" s="41" t="s">
        <v>366</v>
      </c>
      <c r="E65" s="41" t="s">
        <v>938</v>
      </c>
      <c r="F65" s="41"/>
      <c r="G65" s="41"/>
      <c r="H65" s="41"/>
      <c r="I65" s="42">
        <v>45432</v>
      </c>
      <c r="J65" s="41"/>
      <c r="K65" s="41">
        <v>0</v>
      </c>
      <c r="L65" s="43"/>
    </row>
    <row r="66" spans="2:12" outlineLevel="1">
      <c r="B66" s="7">
        <f>IF(C66="","",(B65+1))</f>
        <v>3</v>
      </c>
      <c r="C66" s="41" t="s">
        <v>9</v>
      </c>
      <c r="D66" s="41" t="s">
        <v>366</v>
      </c>
      <c r="E66" s="41" t="s">
        <v>939</v>
      </c>
      <c r="F66" s="41"/>
      <c r="G66" s="41"/>
      <c r="H66" s="41"/>
      <c r="I66" s="42">
        <v>45469</v>
      </c>
      <c r="J66" s="41"/>
      <c r="K66" s="41">
        <v>0</v>
      </c>
      <c r="L66" s="43"/>
    </row>
    <row r="67" spans="2:12" outlineLevel="1">
      <c r="B67" s="7">
        <f>IF(C67="","",(B66+1))</f>
        <v>4</v>
      </c>
      <c r="C67" s="41" t="s">
        <v>9</v>
      </c>
      <c r="D67" s="41" t="s">
        <v>366</v>
      </c>
      <c r="E67" s="41" t="s">
        <v>940</v>
      </c>
      <c r="F67" s="41"/>
      <c r="G67" s="41"/>
      <c r="H67" s="41"/>
      <c r="I67" s="42">
        <v>45469</v>
      </c>
      <c r="J67" s="41"/>
      <c r="K67" s="41">
        <v>0</v>
      </c>
      <c r="L67" s="43"/>
    </row>
    <row r="68" spans="2:12" outlineLevel="1">
      <c r="B68" s="7">
        <f>IF(C68="","",(B67+1))</f>
        <v>5</v>
      </c>
      <c r="C68" s="41" t="s">
        <v>9</v>
      </c>
      <c r="D68" s="41" t="s">
        <v>366</v>
      </c>
      <c r="E68" s="41" t="s">
        <v>941</v>
      </c>
      <c r="F68" s="41"/>
      <c r="G68" s="41"/>
      <c r="H68" s="41"/>
      <c r="I68" s="42">
        <v>45469</v>
      </c>
      <c r="J68" s="41"/>
      <c r="K68" s="41">
        <v>0</v>
      </c>
      <c r="L68" s="43"/>
    </row>
    <row r="69" spans="2:12" outlineLevel="1">
      <c r="B69" s="7">
        <f>IF(C69="","",(B68+1))</f>
        <v>6</v>
      </c>
      <c r="C69" s="41" t="s">
        <v>9</v>
      </c>
      <c r="D69" s="41" t="s">
        <v>366</v>
      </c>
      <c r="E69" s="58">
        <v>80000600000000</v>
      </c>
      <c r="F69" s="41"/>
      <c r="G69" s="41"/>
      <c r="H69" s="41"/>
      <c r="I69" s="42">
        <v>45469</v>
      </c>
      <c r="J69" s="41"/>
      <c r="K69" s="41">
        <v>0</v>
      </c>
      <c r="L69" s="43"/>
    </row>
    <row r="70" spans="2:12" outlineLevel="1">
      <c r="B70" s="7">
        <f>IF(C70="","",(B69+1))</f>
        <v>7</v>
      </c>
      <c r="C70" s="41" t="s">
        <v>9</v>
      </c>
      <c r="D70" s="41" t="s">
        <v>366</v>
      </c>
      <c r="E70" s="41" t="s">
        <v>942</v>
      </c>
      <c r="F70" s="41"/>
      <c r="G70" s="41"/>
      <c r="H70" s="41"/>
      <c r="I70" s="42">
        <v>45469</v>
      </c>
      <c r="J70" s="41"/>
      <c r="K70" s="41">
        <v>0</v>
      </c>
      <c r="L70" s="43"/>
    </row>
    <row r="71" spans="2:12" outlineLevel="1">
      <c r="B71" s="7">
        <f>IF(C71="","",(B70+1))</f>
        <v>8</v>
      </c>
      <c r="C71" s="41" t="s">
        <v>9</v>
      </c>
      <c r="D71" s="41" t="s">
        <v>366</v>
      </c>
      <c r="E71" s="41" t="s">
        <v>943</v>
      </c>
      <c r="F71" s="41"/>
      <c r="G71" s="41"/>
      <c r="H71" s="41"/>
      <c r="I71" s="42">
        <v>45475</v>
      </c>
      <c r="J71" s="41"/>
      <c r="K71" s="41">
        <v>0</v>
      </c>
      <c r="L71" s="43"/>
    </row>
    <row r="72" spans="2:12" outlineLevel="1">
      <c r="B72" s="7">
        <f>IF(C72="","",(B71+1))</f>
        <v>9</v>
      </c>
      <c r="C72" s="41" t="s">
        <v>9</v>
      </c>
      <c r="D72" s="41" t="s">
        <v>366</v>
      </c>
      <c r="E72" s="41" t="s">
        <v>944</v>
      </c>
      <c r="F72" s="41"/>
      <c r="G72" s="41"/>
      <c r="H72" s="41"/>
      <c r="I72" s="42">
        <v>45468</v>
      </c>
      <c r="J72" s="41"/>
      <c r="K72" s="41">
        <v>0</v>
      </c>
      <c r="L72" s="43"/>
    </row>
    <row r="73" spans="2:12" outlineLevel="1">
      <c r="B73" s="7">
        <f>IF(C73="","",(B72+1))</f>
        <v>10</v>
      </c>
      <c r="C73" s="41" t="s">
        <v>9</v>
      </c>
      <c r="D73" s="41" t="s">
        <v>366</v>
      </c>
      <c r="E73" s="58">
        <v>80000400000000</v>
      </c>
      <c r="F73" s="41"/>
      <c r="G73" s="41"/>
      <c r="H73" s="41"/>
      <c r="I73" s="42">
        <v>45568</v>
      </c>
      <c r="J73" s="41"/>
      <c r="K73" s="41">
        <v>0</v>
      </c>
      <c r="L73" s="43"/>
    </row>
    <row r="74" spans="2:12" outlineLevel="1">
      <c r="B74" s="7">
        <f>IF(C74="","",(B73+1))</f>
        <v>11</v>
      </c>
      <c r="C74" s="41" t="s">
        <v>9</v>
      </c>
      <c r="D74" s="41" t="s">
        <v>366</v>
      </c>
      <c r="E74" s="41">
        <v>30217</v>
      </c>
      <c r="F74" s="41"/>
      <c r="G74" s="41"/>
      <c r="H74" s="41"/>
      <c r="I74" s="42">
        <v>45568</v>
      </c>
      <c r="J74" s="41"/>
      <c r="K74" s="41">
        <v>0</v>
      </c>
      <c r="L74" s="43"/>
    </row>
    <row r="75" spans="2:12" outlineLevel="1">
      <c r="B75" s="7">
        <f>IF(C75="","",(B74+1))</f>
        <v>12</v>
      </c>
      <c r="C75" s="41" t="s">
        <v>9</v>
      </c>
      <c r="D75" s="41" t="s">
        <v>366</v>
      </c>
      <c r="E75" s="41" t="s">
        <v>945</v>
      </c>
      <c r="F75" s="41"/>
      <c r="G75" s="41"/>
      <c r="H75" s="41"/>
      <c r="I75" s="42">
        <v>45453</v>
      </c>
      <c r="J75" s="41"/>
      <c r="K75" s="41">
        <v>0</v>
      </c>
      <c r="L75" s="43"/>
    </row>
    <row r="76" spans="2:12" outlineLevel="1">
      <c r="B76" s="7">
        <f>IF(C76="","",(B75+1))</f>
        <v>13</v>
      </c>
      <c r="C76" s="41" t="s">
        <v>9</v>
      </c>
      <c r="D76" s="41" t="s">
        <v>366</v>
      </c>
      <c r="E76" s="41" t="s">
        <v>946</v>
      </c>
      <c r="F76" s="41"/>
      <c r="G76" s="41"/>
      <c r="H76" s="41"/>
      <c r="I76" s="42">
        <v>45453</v>
      </c>
      <c r="J76" s="41"/>
      <c r="K76" s="41">
        <v>100</v>
      </c>
      <c r="L76" s="43"/>
    </row>
    <row r="77" spans="2:12" outlineLevel="1">
      <c r="B77" s="7">
        <f>IF(C77="","",(B76+1))</f>
        <v>14</v>
      </c>
      <c r="C77" s="41" t="s">
        <v>9</v>
      </c>
      <c r="D77" s="41" t="s">
        <v>366</v>
      </c>
      <c r="E77" s="41" t="s">
        <v>947</v>
      </c>
      <c r="F77" s="41"/>
      <c r="G77" s="41"/>
      <c r="H77" s="41"/>
      <c r="I77" s="42">
        <v>45339</v>
      </c>
      <c r="J77" s="41"/>
      <c r="K77" s="41">
        <v>0</v>
      </c>
      <c r="L77" s="43"/>
    </row>
    <row r="78" spans="2:12" outlineLevel="1">
      <c r="B78" s="7">
        <f>IF(C78="","",(B77+1))</f>
        <v>15</v>
      </c>
      <c r="C78" s="41" t="s">
        <v>9</v>
      </c>
      <c r="D78" s="41" t="s">
        <v>366</v>
      </c>
      <c r="E78" s="41" t="s">
        <v>948</v>
      </c>
      <c r="F78" s="41"/>
      <c r="G78" s="41"/>
      <c r="H78" s="41"/>
      <c r="I78" s="42">
        <v>45490</v>
      </c>
      <c r="J78" s="41"/>
      <c r="K78" s="41">
        <v>0</v>
      </c>
      <c r="L78" s="43"/>
    </row>
    <row r="79" spans="2:12" outlineLevel="1">
      <c r="B79" s="7">
        <f>IF(C79="","",(B78+1))</f>
        <v>16</v>
      </c>
      <c r="C79" s="41" t="s">
        <v>9</v>
      </c>
      <c r="D79" s="41" t="s">
        <v>366</v>
      </c>
      <c r="E79" s="41" t="s">
        <v>949</v>
      </c>
      <c r="F79" s="41"/>
      <c r="G79" s="41"/>
      <c r="H79" s="41"/>
      <c r="I79" s="42">
        <v>45490</v>
      </c>
      <c r="J79" s="41"/>
      <c r="K79" s="41">
        <v>0</v>
      </c>
      <c r="L79" s="43"/>
    </row>
    <row r="80" spans="2:12" outlineLevel="1">
      <c r="B80" s="7">
        <f>IF(C80="","",(B79+1))</f>
        <v>17</v>
      </c>
      <c r="C80" s="41" t="s">
        <v>9</v>
      </c>
      <c r="D80" s="41" t="s">
        <v>366</v>
      </c>
      <c r="E80" s="58">
        <v>80000600000000</v>
      </c>
      <c r="F80" s="41"/>
      <c r="G80" s="41"/>
      <c r="H80" s="41"/>
      <c r="I80" s="42">
        <v>45568</v>
      </c>
      <c r="J80" s="41"/>
      <c r="K80" s="41">
        <v>0</v>
      </c>
      <c r="L80" s="43"/>
    </row>
    <row r="81" spans="2:12" outlineLevel="1">
      <c r="B81" s="7">
        <f>IF(C81="","",(B80+1))</f>
        <v>18</v>
      </c>
      <c r="C81" s="41" t="s">
        <v>9</v>
      </c>
      <c r="D81" s="41" t="s">
        <v>366</v>
      </c>
      <c r="E81" s="58">
        <v>80000600000000</v>
      </c>
      <c r="F81" s="41"/>
      <c r="G81" s="41"/>
      <c r="H81" s="41"/>
      <c r="I81" s="42">
        <v>45488</v>
      </c>
      <c r="J81" s="41"/>
      <c r="K81" s="41">
        <v>0</v>
      </c>
      <c r="L81" s="43"/>
    </row>
    <row r="82" spans="2:12" outlineLevel="1">
      <c r="B82" s="7">
        <f>IF(C82="","",(B81+1))</f>
        <v>19</v>
      </c>
      <c r="C82" s="41" t="s">
        <v>9</v>
      </c>
      <c r="D82" s="41" t="s">
        <v>366</v>
      </c>
      <c r="E82" s="58">
        <v>80000600000000</v>
      </c>
      <c r="F82" s="41"/>
      <c r="G82" s="41"/>
      <c r="H82" s="41"/>
      <c r="I82" s="42">
        <v>45488</v>
      </c>
      <c r="J82" s="41"/>
      <c r="K82" s="41">
        <v>0</v>
      </c>
      <c r="L82" s="43"/>
    </row>
    <row r="83" spans="2:12" outlineLevel="1">
      <c r="B83" s="7">
        <f>IF(C83="","",(B82+1))</f>
        <v>20</v>
      </c>
      <c r="C83" s="41" t="s">
        <v>9</v>
      </c>
      <c r="D83" s="41" t="s">
        <v>366</v>
      </c>
      <c r="E83" s="41" t="s">
        <v>950</v>
      </c>
      <c r="F83" s="41"/>
      <c r="G83" s="41"/>
      <c r="H83" s="41"/>
      <c r="I83" s="42">
        <v>45568</v>
      </c>
      <c r="J83" s="41"/>
      <c r="K83" s="41">
        <v>0</v>
      </c>
      <c r="L83" s="43"/>
    </row>
    <row r="84" spans="2:12" outlineLevel="1">
      <c r="B84" s="7">
        <f>IF(C84="","",(B83+1))</f>
        <v>21</v>
      </c>
      <c r="C84" s="41" t="s">
        <v>9</v>
      </c>
      <c r="D84" s="41" t="s">
        <v>366</v>
      </c>
      <c r="E84" s="41" t="s">
        <v>951</v>
      </c>
      <c r="F84" s="41"/>
      <c r="G84" s="41"/>
      <c r="H84" s="41"/>
      <c r="I84" s="42">
        <v>45482</v>
      </c>
      <c r="J84" s="41"/>
      <c r="K84" s="41">
        <v>0</v>
      </c>
      <c r="L84" s="43"/>
    </row>
    <row r="85" spans="2:12" outlineLevel="1">
      <c r="B85" s="7">
        <f>IF(C85="","",(B84+1))</f>
        <v>22</v>
      </c>
      <c r="C85" s="41" t="s">
        <v>9</v>
      </c>
      <c r="D85" s="41" t="s">
        <v>366</v>
      </c>
      <c r="E85" s="41" t="s">
        <v>952</v>
      </c>
      <c r="F85" s="41"/>
      <c r="G85" s="41"/>
      <c r="H85" s="41"/>
      <c r="I85" s="42">
        <v>45482</v>
      </c>
      <c r="J85" s="41"/>
      <c r="K85" s="41">
        <v>0</v>
      </c>
      <c r="L85" s="43"/>
    </row>
    <row r="86" spans="2:12" outlineLevel="1">
      <c r="B86" s="7">
        <f>IF(C86="","",(B85+1))</f>
        <v>23</v>
      </c>
      <c r="C86" s="41" t="s">
        <v>9</v>
      </c>
      <c r="D86" s="41" t="s">
        <v>366</v>
      </c>
      <c r="E86" s="41" t="s">
        <v>953</v>
      </c>
      <c r="F86" s="41"/>
      <c r="G86" s="41"/>
      <c r="H86" s="41"/>
      <c r="I86" s="42">
        <v>45482</v>
      </c>
      <c r="J86" s="41"/>
      <c r="K86" s="41">
        <v>0</v>
      </c>
      <c r="L86" s="43"/>
    </row>
    <row r="87" spans="2:12" outlineLevel="1">
      <c r="B87" s="7">
        <f>IF(C87="","",(B86+1))</f>
        <v>24</v>
      </c>
      <c r="C87" s="41" t="s">
        <v>9</v>
      </c>
      <c r="D87" s="41" t="s">
        <v>366</v>
      </c>
      <c r="E87" s="41">
        <v>16523</v>
      </c>
      <c r="F87" s="41"/>
      <c r="G87" s="41"/>
      <c r="H87" s="41"/>
      <c r="I87" s="42">
        <v>45482</v>
      </c>
      <c r="J87" s="41"/>
      <c r="K87" s="41">
        <v>0</v>
      </c>
      <c r="L87" s="43"/>
    </row>
    <row r="88" spans="2:12" outlineLevel="1">
      <c r="B88" s="7">
        <f>IF(C88="","",(B87+1))</f>
        <v>25</v>
      </c>
      <c r="C88" s="41" t="s">
        <v>9</v>
      </c>
      <c r="D88" s="41" t="s">
        <v>366</v>
      </c>
      <c r="E88" s="41">
        <v>16525</v>
      </c>
      <c r="F88" s="41"/>
      <c r="G88" s="41"/>
      <c r="H88" s="41"/>
      <c r="I88" s="42">
        <v>45482</v>
      </c>
      <c r="J88" s="41"/>
      <c r="K88" s="41">
        <v>0</v>
      </c>
      <c r="L88" s="43"/>
    </row>
    <row r="89" spans="2:12" outlineLevel="1">
      <c r="B89" s="7">
        <f>IF(C89="","",(B88+1))</f>
        <v>26</v>
      </c>
      <c r="C89" s="41" t="s">
        <v>9</v>
      </c>
      <c r="D89" s="41" t="s">
        <v>366</v>
      </c>
      <c r="E89" s="58">
        <v>80000600000000</v>
      </c>
      <c r="F89" s="41"/>
      <c r="G89" s="41"/>
      <c r="H89" s="41"/>
      <c r="I89" s="42">
        <v>45482</v>
      </c>
      <c r="J89" s="41"/>
      <c r="K89" s="41">
        <v>0</v>
      </c>
      <c r="L89" s="43"/>
    </row>
    <row r="90" spans="2:12" outlineLevel="1">
      <c r="B90" s="7">
        <f>IF(C90="","",(B89+1))</f>
        <v>27</v>
      </c>
      <c r="C90" s="41" t="s">
        <v>9</v>
      </c>
      <c r="D90" s="41" t="s">
        <v>366</v>
      </c>
      <c r="E90" s="41">
        <v>16557</v>
      </c>
      <c r="F90" s="41"/>
      <c r="G90" s="41"/>
      <c r="H90" s="41"/>
      <c r="I90" s="42">
        <v>45568</v>
      </c>
      <c r="J90" s="41"/>
      <c r="K90" s="41">
        <v>0</v>
      </c>
      <c r="L90" s="43"/>
    </row>
    <row r="91" spans="2:12" outlineLevel="1">
      <c r="B91" s="7">
        <f>IF(C91="","",(B90+1))</f>
        <v>28</v>
      </c>
      <c r="C91" s="41" t="s">
        <v>9</v>
      </c>
      <c r="D91" s="41" t="s">
        <v>366</v>
      </c>
      <c r="E91" s="41">
        <v>16513</v>
      </c>
      <c r="F91" s="41"/>
      <c r="G91" s="41"/>
      <c r="H91" s="41"/>
      <c r="I91" s="42">
        <v>45568</v>
      </c>
      <c r="J91" s="41"/>
      <c r="K91" s="41">
        <v>0</v>
      </c>
      <c r="L91" s="43"/>
    </row>
    <row r="92" spans="2:12" outlineLevel="1">
      <c r="B92" s="7">
        <f>IF(C92="","",(B91+1))</f>
        <v>29</v>
      </c>
      <c r="C92" s="41" t="s">
        <v>9</v>
      </c>
      <c r="D92" s="41" t="s">
        <v>366</v>
      </c>
      <c r="E92" s="41" t="s">
        <v>954</v>
      </c>
      <c r="F92" s="41"/>
      <c r="G92" s="41"/>
      <c r="H92" s="41"/>
      <c r="I92" s="42">
        <v>45433</v>
      </c>
      <c r="J92" s="41"/>
      <c r="K92" s="41">
        <v>0</v>
      </c>
      <c r="L92" s="43"/>
    </row>
    <row r="93" spans="2:12" outlineLevel="1">
      <c r="B93" s="7">
        <f>IF(C93="","",(B92+1))</f>
        <v>30</v>
      </c>
      <c r="C93" s="41" t="s">
        <v>9</v>
      </c>
      <c r="D93" s="41" t="s">
        <v>366</v>
      </c>
      <c r="E93" s="41" t="s">
        <v>955</v>
      </c>
      <c r="F93" s="41"/>
      <c r="G93" s="41"/>
      <c r="H93" s="41"/>
      <c r="I93" s="42">
        <v>45433</v>
      </c>
      <c r="J93" s="41"/>
      <c r="K93" s="41">
        <v>0</v>
      </c>
      <c r="L93" s="43"/>
    </row>
    <row r="94" spans="2:12" outlineLevel="1">
      <c r="B94" s="7">
        <f>IF(C94="","",(B93+1))</f>
        <v>31</v>
      </c>
      <c r="C94" s="41" t="s">
        <v>9</v>
      </c>
      <c r="D94" s="41" t="s">
        <v>366</v>
      </c>
      <c r="E94" s="41" t="s">
        <v>955</v>
      </c>
      <c r="F94" s="41"/>
      <c r="G94" s="41"/>
      <c r="H94" s="41"/>
      <c r="I94" s="42">
        <v>45433</v>
      </c>
      <c r="J94" s="41"/>
      <c r="K94" s="41">
        <v>0</v>
      </c>
      <c r="L94" s="43"/>
    </row>
    <row r="95" spans="2:12" outlineLevel="1">
      <c r="B95" s="7">
        <f>IF(C95="","",(B94+1))</f>
        <v>32</v>
      </c>
      <c r="C95" s="41" t="s">
        <v>9</v>
      </c>
      <c r="D95" s="41" t="s">
        <v>366</v>
      </c>
      <c r="E95" s="41" t="s">
        <v>956</v>
      </c>
      <c r="F95" s="41"/>
      <c r="G95" s="41"/>
      <c r="H95" s="41"/>
      <c r="I95" s="42">
        <v>45568</v>
      </c>
      <c r="J95" s="41"/>
      <c r="K95" s="41">
        <v>0</v>
      </c>
      <c r="L95" s="43"/>
    </row>
    <row r="96" spans="2:12" outlineLevel="1">
      <c r="B96" s="7">
        <f>IF(C96="","",(B95+1))</f>
        <v>33</v>
      </c>
      <c r="C96" s="41" t="s">
        <v>9</v>
      </c>
      <c r="D96" s="41" t="s">
        <v>366</v>
      </c>
      <c r="E96" s="41" t="s">
        <v>957</v>
      </c>
      <c r="F96" s="41"/>
      <c r="G96" s="41"/>
      <c r="H96" s="41"/>
      <c r="I96" s="42">
        <v>45568</v>
      </c>
      <c r="J96" s="41"/>
      <c r="K96" s="41">
        <v>0</v>
      </c>
      <c r="L96" s="43"/>
    </row>
    <row r="97" spans="2:12" outlineLevel="1">
      <c r="B97" s="7">
        <f>IF(C97="","",(B96+1))</f>
        <v>34</v>
      </c>
      <c r="C97" s="41" t="s">
        <v>9</v>
      </c>
      <c r="D97" s="41" t="s">
        <v>366</v>
      </c>
      <c r="E97" s="41" t="s">
        <v>958</v>
      </c>
      <c r="F97" s="41"/>
      <c r="G97" s="41"/>
      <c r="H97" s="41"/>
      <c r="I97" s="42">
        <v>45568</v>
      </c>
      <c r="J97" s="41"/>
      <c r="K97" s="41">
        <v>0</v>
      </c>
      <c r="L97" s="43"/>
    </row>
    <row r="98" spans="2:12" outlineLevel="1">
      <c r="B98" s="7">
        <f>IF(C98="","",(B97+1))</f>
        <v>35</v>
      </c>
      <c r="C98" s="41" t="s">
        <v>9</v>
      </c>
      <c r="D98" s="41" t="s">
        <v>366</v>
      </c>
      <c r="E98" s="41" t="s">
        <v>959</v>
      </c>
      <c r="F98" s="41"/>
      <c r="G98" s="41"/>
      <c r="H98" s="41"/>
      <c r="I98" s="42">
        <v>45568</v>
      </c>
      <c r="J98" s="41"/>
      <c r="K98" s="41">
        <v>0</v>
      </c>
      <c r="L98" s="43"/>
    </row>
    <row r="99" spans="2:12" outlineLevel="1">
      <c r="B99" s="7">
        <f>IF(C99="","",(B98+1))</f>
        <v>36</v>
      </c>
      <c r="C99" s="41" t="s">
        <v>9</v>
      </c>
      <c r="D99" s="41" t="s">
        <v>366</v>
      </c>
      <c r="E99" s="41" t="s">
        <v>960</v>
      </c>
      <c r="F99" s="41"/>
      <c r="G99" s="41"/>
      <c r="H99" s="41"/>
      <c r="I99" s="42">
        <v>45441</v>
      </c>
      <c r="J99" s="41"/>
      <c r="K99" s="41">
        <v>0</v>
      </c>
      <c r="L99" s="43"/>
    </row>
    <row r="100" spans="2:12" outlineLevel="1">
      <c r="B100" s="7">
        <f>IF(C100="","",(B99+1))</f>
        <v>37</v>
      </c>
      <c r="C100" s="41" t="s">
        <v>9</v>
      </c>
      <c r="D100" s="41" t="s">
        <v>366</v>
      </c>
      <c r="E100" s="41" t="s">
        <v>961</v>
      </c>
      <c r="F100" s="41"/>
      <c r="G100" s="41"/>
      <c r="H100" s="41"/>
      <c r="I100" s="42">
        <v>45568</v>
      </c>
      <c r="J100" s="41"/>
      <c r="K100" s="41">
        <v>0</v>
      </c>
      <c r="L100" s="43"/>
    </row>
    <row r="101" spans="2:12" outlineLevel="1">
      <c r="B101" s="7">
        <f>IF(C101="","",(B100+1))</f>
        <v>38</v>
      </c>
      <c r="C101" s="41" t="s">
        <v>9</v>
      </c>
      <c r="D101" s="41" t="s">
        <v>366</v>
      </c>
      <c r="E101" s="41" t="s">
        <v>962</v>
      </c>
      <c r="F101" s="41"/>
      <c r="G101" s="41"/>
      <c r="H101" s="41"/>
      <c r="I101" s="42">
        <v>45503</v>
      </c>
      <c r="J101" s="41"/>
      <c r="K101" s="41">
        <v>0</v>
      </c>
      <c r="L101" s="43"/>
    </row>
    <row r="102" spans="2:12" outlineLevel="1">
      <c r="B102" s="7">
        <f>IF(C102="","",(B101+1))</f>
        <v>39</v>
      </c>
      <c r="C102" s="41" t="s">
        <v>9</v>
      </c>
      <c r="D102" s="41" t="s">
        <v>366</v>
      </c>
      <c r="E102" s="41" t="s">
        <v>963</v>
      </c>
      <c r="F102" s="41"/>
      <c r="G102" s="41"/>
      <c r="H102" s="41"/>
      <c r="I102" s="42">
        <v>45460</v>
      </c>
      <c r="J102" s="41"/>
      <c r="K102" s="41">
        <v>0</v>
      </c>
      <c r="L102" s="43"/>
    </row>
    <row r="103" spans="2:12" outlineLevel="1">
      <c r="B103" s="7">
        <f>IF(C103="","",(B102+1))</f>
        <v>40</v>
      </c>
      <c r="C103" s="41" t="s">
        <v>9</v>
      </c>
      <c r="D103" s="41" t="s">
        <v>366</v>
      </c>
      <c r="E103" s="41" t="s">
        <v>964</v>
      </c>
      <c r="F103" s="41"/>
      <c r="G103" s="41"/>
      <c r="H103" s="41"/>
      <c r="I103" s="42">
        <v>45460</v>
      </c>
      <c r="J103" s="41"/>
      <c r="K103" s="41">
        <v>0</v>
      </c>
      <c r="L103" s="43"/>
    </row>
    <row r="104" spans="2:12" outlineLevel="1">
      <c r="B104" s="7">
        <f>IF(C104="","",(B103+1))</f>
        <v>41</v>
      </c>
      <c r="C104" s="41" t="s">
        <v>9</v>
      </c>
      <c r="D104" s="41" t="s">
        <v>366</v>
      </c>
      <c r="E104" s="41" t="s">
        <v>965</v>
      </c>
      <c r="F104" s="41"/>
      <c r="G104" s="41"/>
      <c r="H104" s="41"/>
      <c r="I104" s="42">
        <v>45460</v>
      </c>
      <c r="J104" s="41"/>
      <c r="K104" s="41">
        <v>0</v>
      </c>
      <c r="L104" s="43"/>
    </row>
    <row r="105" spans="2:12" outlineLevel="1">
      <c r="B105" s="7">
        <f>IF(C105="","",(B104+1))</f>
        <v>42</v>
      </c>
      <c r="C105" s="41" t="s">
        <v>9</v>
      </c>
      <c r="D105" s="41" t="s">
        <v>366</v>
      </c>
      <c r="E105" s="41" t="s">
        <v>966</v>
      </c>
      <c r="F105" s="41"/>
      <c r="G105" s="41"/>
      <c r="H105" s="41"/>
      <c r="I105" s="42">
        <v>45460</v>
      </c>
      <c r="J105" s="41"/>
      <c r="K105" s="41">
        <v>0</v>
      </c>
      <c r="L105" s="43"/>
    </row>
    <row r="106" spans="2:12" outlineLevel="1">
      <c r="B106" s="7">
        <f>IF(C106="","",(B105+1))</f>
        <v>43</v>
      </c>
      <c r="C106" s="41" t="s">
        <v>9</v>
      </c>
      <c r="D106" s="41" t="s">
        <v>366</v>
      </c>
      <c r="E106" s="41" t="s">
        <v>967</v>
      </c>
      <c r="F106" s="41"/>
      <c r="G106" s="41"/>
      <c r="H106" s="41"/>
      <c r="I106" s="42">
        <v>45460</v>
      </c>
      <c r="J106" s="41"/>
      <c r="K106" s="41">
        <v>0</v>
      </c>
      <c r="L106" s="43"/>
    </row>
    <row r="107" spans="2:12" outlineLevel="1">
      <c r="B107" s="7">
        <f>IF(C107="","",(B106+1))</f>
        <v>44</v>
      </c>
      <c r="C107" s="41" t="s">
        <v>9</v>
      </c>
      <c r="D107" s="41" t="s">
        <v>366</v>
      </c>
      <c r="E107" s="41" t="s">
        <v>968</v>
      </c>
      <c r="F107" s="41"/>
      <c r="G107" s="41"/>
      <c r="H107" s="41"/>
      <c r="I107" s="42">
        <v>45460</v>
      </c>
      <c r="J107" s="41"/>
      <c r="K107" s="41">
        <v>0</v>
      </c>
      <c r="L107" s="43"/>
    </row>
    <row r="108" spans="2:12" outlineLevel="1">
      <c r="B108" s="7">
        <f>IF(C108="","",(B107+1))</f>
        <v>45</v>
      </c>
      <c r="C108" s="41" t="s">
        <v>9</v>
      </c>
      <c r="D108" s="41" t="s">
        <v>366</v>
      </c>
      <c r="E108" s="41" t="s">
        <v>969</v>
      </c>
      <c r="F108" s="41"/>
      <c r="G108" s="41"/>
      <c r="H108" s="41"/>
      <c r="I108" s="42">
        <v>45460</v>
      </c>
      <c r="J108" s="41"/>
      <c r="K108" s="41">
        <v>0</v>
      </c>
      <c r="L108" s="43"/>
    </row>
    <row r="109" spans="2:12" outlineLevel="1">
      <c r="B109" s="7">
        <f>IF(C109="","",(B108+1))</f>
        <v>46</v>
      </c>
      <c r="C109" s="41" t="s">
        <v>9</v>
      </c>
      <c r="D109" s="41" t="s">
        <v>366</v>
      </c>
      <c r="E109" s="58">
        <v>80000600000000</v>
      </c>
      <c r="F109" s="41"/>
      <c r="G109" s="41"/>
      <c r="H109" s="41"/>
      <c r="I109" s="42">
        <v>45568</v>
      </c>
      <c r="J109" s="41"/>
      <c r="K109" s="41">
        <v>0</v>
      </c>
      <c r="L109" s="43"/>
    </row>
    <row r="110" spans="2:12" outlineLevel="1">
      <c r="B110" s="7">
        <f>IF(C110="","",(B109+1))</f>
        <v>47</v>
      </c>
      <c r="C110" s="41" t="s">
        <v>9</v>
      </c>
      <c r="D110" s="41" t="s">
        <v>366</v>
      </c>
      <c r="E110" s="58">
        <v>80000600000000</v>
      </c>
      <c r="F110" s="41"/>
      <c r="G110" s="41"/>
      <c r="H110" s="41"/>
      <c r="I110" s="42">
        <v>45568</v>
      </c>
      <c r="J110" s="41"/>
      <c r="K110" s="41">
        <v>0</v>
      </c>
      <c r="L110" s="43"/>
    </row>
    <row r="111" spans="2:12" outlineLevel="1">
      <c r="B111" s="7">
        <f>IF(C111="","",(B110+1))</f>
        <v>48</v>
      </c>
      <c r="C111" s="41" t="s">
        <v>9</v>
      </c>
      <c r="D111" s="41" t="s">
        <v>366</v>
      </c>
      <c r="E111" s="41" t="s">
        <v>970</v>
      </c>
      <c r="F111" s="41"/>
      <c r="G111" s="41"/>
      <c r="H111" s="41"/>
      <c r="I111" s="42">
        <v>45468</v>
      </c>
      <c r="J111" s="41"/>
      <c r="K111" s="41">
        <v>0</v>
      </c>
      <c r="L111" s="43"/>
    </row>
    <row r="112" spans="2:12" outlineLevel="1">
      <c r="B112" s="7">
        <f>IF(C112="","",(B111+1))</f>
        <v>49</v>
      </c>
      <c r="C112" s="41" t="s">
        <v>9</v>
      </c>
      <c r="D112" s="41" t="s">
        <v>366</v>
      </c>
      <c r="E112" s="41" t="s">
        <v>971</v>
      </c>
      <c r="F112" s="41"/>
      <c r="G112" s="41"/>
      <c r="H112" s="41"/>
      <c r="I112" s="42">
        <v>45468</v>
      </c>
      <c r="J112" s="41"/>
      <c r="K112" s="41">
        <v>0</v>
      </c>
      <c r="L112" s="43"/>
    </row>
    <row r="113" spans="2:12" outlineLevel="1">
      <c r="B113" s="7">
        <f>IF(C113="","",(B112+1))</f>
        <v>50</v>
      </c>
      <c r="C113" s="41" t="s">
        <v>9</v>
      </c>
      <c r="D113" s="41" t="s">
        <v>366</v>
      </c>
      <c r="E113" s="41" t="s">
        <v>972</v>
      </c>
      <c r="F113" s="41"/>
      <c r="G113" s="41"/>
      <c r="H113" s="41"/>
      <c r="I113" s="42">
        <v>45468</v>
      </c>
      <c r="J113" s="41"/>
      <c r="K113" s="41">
        <v>0</v>
      </c>
      <c r="L113" s="43"/>
    </row>
    <row r="114" spans="2:12" outlineLevel="1">
      <c r="B114" s="7">
        <f>IF(C114="","",(B113+1))</f>
        <v>51</v>
      </c>
      <c r="C114" s="41" t="s">
        <v>9</v>
      </c>
      <c r="D114" s="41" t="s">
        <v>366</v>
      </c>
      <c r="E114" s="41" t="s">
        <v>973</v>
      </c>
      <c r="F114" s="41"/>
      <c r="G114" s="41"/>
      <c r="H114" s="41"/>
      <c r="I114" s="42">
        <v>45468</v>
      </c>
      <c r="J114" s="41"/>
      <c r="K114" s="41">
        <v>0</v>
      </c>
      <c r="L114" s="43"/>
    </row>
    <row r="115" spans="2:12" outlineLevel="1">
      <c r="B115" s="7">
        <f>IF(C115="","",(B114+1))</f>
        <v>52</v>
      </c>
      <c r="C115" s="41" t="s">
        <v>9</v>
      </c>
      <c r="D115" s="41" t="s">
        <v>366</v>
      </c>
      <c r="E115" s="41" t="s">
        <v>974</v>
      </c>
      <c r="F115" s="41"/>
      <c r="G115" s="41"/>
      <c r="H115" s="41"/>
      <c r="I115" s="42">
        <v>45468</v>
      </c>
      <c r="J115" s="41"/>
      <c r="K115" s="41">
        <v>0</v>
      </c>
      <c r="L115" s="43"/>
    </row>
    <row r="116" spans="2:12" outlineLevel="1">
      <c r="B116" s="7">
        <f>IF(C116="","",(B115+1))</f>
        <v>53</v>
      </c>
      <c r="C116" s="41" t="s">
        <v>9</v>
      </c>
      <c r="D116" s="41" t="s">
        <v>366</v>
      </c>
      <c r="E116" s="41" t="s">
        <v>975</v>
      </c>
      <c r="F116" s="41"/>
      <c r="G116" s="41"/>
      <c r="H116" s="41"/>
      <c r="I116" s="42">
        <v>45502</v>
      </c>
      <c r="J116" s="41"/>
      <c r="K116" s="41">
        <v>0</v>
      </c>
      <c r="L116" s="43"/>
    </row>
    <row r="117" spans="2:12" outlineLevel="1">
      <c r="B117" s="7">
        <f>IF(C117="","",(B116+1))</f>
        <v>54</v>
      </c>
      <c r="C117" s="41" t="s">
        <v>9</v>
      </c>
      <c r="D117" s="41" t="s">
        <v>366</v>
      </c>
      <c r="E117" s="41" t="s">
        <v>976</v>
      </c>
      <c r="F117" s="41"/>
      <c r="G117" s="41"/>
      <c r="H117" s="41"/>
      <c r="I117" s="42">
        <v>45502</v>
      </c>
      <c r="J117" s="41"/>
      <c r="K117" s="41">
        <v>0</v>
      </c>
      <c r="L117" s="43"/>
    </row>
    <row r="118" spans="2:12" outlineLevel="1">
      <c r="B118" s="7">
        <f>IF(C118="","",(B117+1))</f>
        <v>55</v>
      </c>
      <c r="C118" s="41" t="s">
        <v>9</v>
      </c>
      <c r="D118" s="41" t="s">
        <v>366</v>
      </c>
      <c r="E118" s="41" t="s">
        <v>977</v>
      </c>
      <c r="F118" s="41"/>
      <c r="G118" s="41"/>
      <c r="H118" s="41"/>
      <c r="I118" s="42">
        <v>45478</v>
      </c>
      <c r="J118" s="41"/>
      <c r="K118" s="41">
        <v>0</v>
      </c>
      <c r="L118" s="43"/>
    </row>
    <row r="119" spans="2:12" outlineLevel="1">
      <c r="B119" s="7">
        <f>IF(C119="","",(B118+1))</f>
        <v>56</v>
      </c>
      <c r="C119" s="41" t="s">
        <v>9</v>
      </c>
      <c r="D119" s="41" t="s">
        <v>366</v>
      </c>
      <c r="E119" s="41" t="s">
        <v>978</v>
      </c>
      <c r="F119" s="41"/>
      <c r="G119" s="41"/>
      <c r="H119" s="41"/>
      <c r="I119" s="42">
        <v>45478</v>
      </c>
      <c r="J119" s="41"/>
      <c r="K119" s="41">
        <v>0</v>
      </c>
      <c r="L119" s="43"/>
    </row>
    <row r="120" spans="2:12" outlineLevel="1">
      <c r="B120" s="7">
        <f>IF(C120="","",(B119+1))</f>
        <v>57</v>
      </c>
      <c r="C120" s="41" t="s">
        <v>9</v>
      </c>
      <c r="D120" s="41" t="s">
        <v>366</v>
      </c>
      <c r="E120" s="41" t="s">
        <v>979</v>
      </c>
      <c r="F120" s="41"/>
      <c r="G120" s="41"/>
      <c r="H120" s="41"/>
      <c r="I120" s="42">
        <v>45504</v>
      </c>
      <c r="J120" s="41"/>
      <c r="K120" s="41">
        <v>0</v>
      </c>
      <c r="L120" s="43"/>
    </row>
    <row r="121" spans="2:12" outlineLevel="1">
      <c r="B121" s="7">
        <f>IF(C121="","",(B120+1))</f>
        <v>58</v>
      </c>
      <c r="C121" s="41" t="s">
        <v>9</v>
      </c>
      <c r="D121" s="41" t="s">
        <v>366</v>
      </c>
      <c r="E121" s="41" t="s">
        <v>980</v>
      </c>
      <c r="F121" s="41"/>
      <c r="G121" s="41"/>
      <c r="H121" s="41"/>
      <c r="I121" s="42">
        <v>45504</v>
      </c>
      <c r="J121" s="41"/>
      <c r="K121" s="41">
        <v>0</v>
      </c>
      <c r="L121" s="43"/>
    </row>
    <row r="122" spans="2:12" outlineLevel="1">
      <c r="B122" s="7">
        <f>IF(C122="","",(B121+1))</f>
        <v>59</v>
      </c>
      <c r="C122" s="41" t="s">
        <v>9</v>
      </c>
      <c r="D122" s="41" t="s">
        <v>366</v>
      </c>
      <c r="E122" s="41" t="s">
        <v>981</v>
      </c>
      <c r="F122" s="41"/>
      <c r="G122" s="41"/>
      <c r="H122" s="41"/>
      <c r="I122" s="42">
        <v>45478</v>
      </c>
      <c r="J122" s="41"/>
      <c r="K122" s="41">
        <v>0</v>
      </c>
      <c r="L122" s="43"/>
    </row>
    <row r="123" spans="2:12" outlineLevel="1">
      <c r="B123" s="7">
        <f>IF(C123="","",(B122+1))</f>
        <v>60</v>
      </c>
      <c r="C123" s="41" t="s">
        <v>9</v>
      </c>
      <c r="D123" s="41" t="s">
        <v>366</v>
      </c>
      <c r="E123" s="41" t="s">
        <v>982</v>
      </c>
      <c r="F123" s="41"/>
      <c r="G123" s="41"/>
      <c r="H123" s="41"/>
      <c r="I123" s="42">
        <v>45478</v>
      </c>
      <c r="J123" s="41"/>
      <c r="K123" s="41">
        <v>0</v>
      </c>
      <c r="L123" s="43"/>
    </row>
    <row r="124" spans="2:12" outlineLevel="1">
      <c r="B124" s="7">
        <f>IF(C124="","",(B123+1))</f>
        <v>61</v>
      </c>
      <c r="C124" s="41" t="s">
        <v>9</v>
      </c>
      <c r="D124" s="41" t="s">
        <v>366</v>
      </c>
      <c r="E124" s="41" t="s">
        <v>983</v>
      </c>
      <c r="F124" s="41"/>
      <c r="G124" s="41"/>
      <c r="H124" s="41"/>
      <c r="I124" s="42">
        <v>45478</v>
      </c>
      <c r="J124" s="41"/>
      <c r="K124" s="41">
        <v>0</v>
      </c>
      <c r="L124" s="43"/>
    </row>
    <row r="125" spans="2:12" outlineLevel="1">
      <c r="B125" s="7">
        <f>IF(C125="","",(B124+1))</f>
        <v>62</v>
      </c>
      <c r="C125" s="41" t="s">
        <v>9</v>
      </c>
      <c r="D125" s="41" t="s">
        <v>366</v>
      </c>
      <c r="E125" s="41" t="s">
        <v>984</v>
      </c>
      <c r="F125" s="41"/>
      <c r="G125" s="41"/>
      <c r="H125" s="41"/>
      <c r="I125" s="42">
        <v>45506</v>
      </c>
      <c r="J125" s="41"/>
      <c r="K125" s="41">
        <v>0</v>
      </c>
      <c r="L125" s="43"/>
    </row>
    <row r="126" spans="2:12" outlineLevel="1">
      <c r="B126" s="7">
        <f>IF(C126="","",(B125+1))</f>
        <v>63</v>
      </c>
      <c r="C126" s="41" t="s">
        <v>9</v>
      </c>
      <c r="D126" s="41" t="s">
        <v>366</v>
      </c>
      <c r="E126" s="41" t="s">
        <v>985</v>
      </c>
      <c r="F126" s="41"/>
      <c r="G126" s="41"/>
      <c r="H126" s="41"/>
      <c r="I126" s="42">
        <v>45376</v>
      </c>
      <c r="J126" s="41"/>
      <c r="K126" s="41">
        <v>0</v>
      </c>
      <c r="L126" s="43"/>
    </row>
    <row r="127" spans="2:12" outlineLevel="1">
      <c r="B127" s="7">
        <f>IF(C127="","",(B126+1))</f>
        <v>64</v>
      </c>
      <c r="C127" s="41" t="s">
        <v>9</v>
      </c>
      <c r="D127" s="41" t="s">
        <v>366</v>
      </c>
      <c r="E127" s="41" t="s">
        <v>986</v>
      </c>
      <c r="F127" s="41"/>
      <c r="G127" s="41"/>
      <c r="H127" s="41"/>
      <c r="I127" s="42">
        <v>45436</v>
      </c>
      <c r="J127" s="41"/>
      <c r="K127" s="41">
        <v>0</v>
      </c>
      <c r="L127" s="43"/>
    </row>
    <row r="128" spans="2:12" outlineLevel="1">
      <c r="B128" s="7">
        <f>IF(C128="","",(B127+1))</f>
        <v>65</v>
      </c>
      <c r="C128" s="41" t="s">
        <v>9</v>
      </c>
      <c r="D128" s="41" t="s">
        <v>366</v>
      </c>
      <c r="E128" s="41" t="s">
        <v>987</v>
      </c>
      <c r="F128" s="41"/>
      <c r="G128" s="41"/>
      <c r="H128" s="41"/>
      <c r="I128" s="42">
        <v>45436</v>
      </c>
      <c r="J128" s="41"/>
      <c r="K128" s="41">
        <v>0</v>
      </c>
      <c r="L128" s="43"/>
    </row>
    <row r="129" spans="2:12" outlineLevel="1">
      <c r="B129" s="7">
        <f>IF(C129="","",(B128+1))</f>
        <v>66</v>
      </c>
      <c r="C129" s="41" t="s">
        <v>9</v>
      </c>
      <c r="D129" s="41" t="s">
        <v>366</v>
      </c>
      <c r="E129" s="41" t="s">
        <v>988</v>
      </c>
      <c r="F129" s="41"/>
      <c r="G129" s="41"/>
      <c r="H129" s="41"/>
      <c r="I129" s="42">
        <v>45371</v>
      </c>
      <c r="J129" s="41"/>
      <c r="K129" s="41">
        <v>0</v>
      </c>
      <c r="L129" s="43"/>
    </row>
    <row r="130" spans="2:12" outlineLevel="1">
      <c r="B130" s="7">
        <f>IF(C130="","",(B129+1))</f>
        <v>67</v>
      </c>
      <c r="C130" s="41" t="s">
        <v>9</v>
      </c>
      <c r="D130" s="41" t="s">
        <v>366</v>
      </c>
      <c r="E130" s="41" t="s">
        <v>989</v>
      </c>
      <c r="F130" s="41"/>
      <c r="G130" s="41"/>
      <c r="H130" s="41"/>
      <c r="I130" s="42">
        <v>45371</v>
      </c>
      <c r="J130" s="41"/>
      <c r="K130" s="41">
        <v>0</v>
      </c>
      <c r="L130" s="43"/>
    </row>
    <row r="131" spans="2:12" outlineLevel="1">
      <c r="B131" s="7">
        <f>IF(C131="","",(B130+1))</f>
        <v>68</v>
      </c>
      <c r="C131" s="41" t="s">
        <v>9</v>
      </c>
      <c r="D131" s="41" t="s">
        <v>366</v>
      </c>
      <c r="E131" s="41" t="s">
        <v>990</v>
      </c>
      <c r="F131" s="41"/>
      <c r="G131" s="41"/>
      <c r="H131" s="41"/>
      <c r="I131" s="42">
        <v>45371</v>
      </c>
      <c r="J131" s="41"/>
      <c r="K131" s="41">
        <v>0</v>
      </c>
      <c r="L131" s="43"/>
    </row>
    <row r="132" spans="2:12" outlineLevel="1">
      <c r="B132" s="7">
        <f>IF(C132="","",(B131+1))</f>
        <v>69</v>
      </c>
      <c r="C132" s="41" t="s">
        <v>9</v>
      </c>
      <c r="D132" s="41" t="s">
        <v>366</v>
      </c>
      <c r="E132" s="41">
        <v>14326</v>
      </c>
      <c r="F132" s="41"/>
      <c r="G132" s="41"/>
      <c r="H132" s="41"/>
      <c r="I132" s="42">
        <v>45373</v>
      </c>
      <c r="J132" s="41"/>
      <c r="K132" s="41">
        <v>0</v>
      </c>
      <c r="L132" s="43"/>
    </row>
    <row r="133" spans="2:12" outlineLevel="1">
      <c r="B133" s="7">
        <f>IF(C133="","",(B132+1))</f>
        <v>70</v>
      </c>
      <c r="C133" s="41" t="s">
        <v>9</v>
      </c>
      <c r="D133" s="41" t="s">
        <v>366</v>
      </c>
      <c r="E133" s="41" t="s">
        <v>991</v>
      </c>
      <c r="F133" s="41"/>
      <c r="G133" s="41"/>
      <c r="H133" s="41"/>
      <c r="I133" s="42">
        <v>45390</v>
      </c>
      <c r="J133" s="41"/>
      <c r="K133" s="41">
        <v>0</v>
      </c>
      <c r="L133" s="43"/>
    </row>
    <row r="134" spans="2:12" outlineLevel="1">
      <c r="B134" s="7">
        <f>IF(C134="","",(B133+1))</f>
        <v>71</v>
      </c>
      <c r="C134" s="41" t="s">
        <v>9</v>
      </c>
      <c r="D134" s="41" t="s">
        <v>366</v>
      </c>
      <c r="E134" s="58">
        <v>80000300000000</v>
      </c>
      <c r="F134" s="41"/>
      <c r="G134" s="41"/>
      <c r="H134" s="41"/>
      <c r="I134" s="42">
        <v>45398</v>
      </c>
      <c r="J134" s="41"/>
      <c r="K134" s="41">
        <v>0</v>
      </c>
      <c r="L134" s="43"/>
    </row>
    <row r="135" spans="2:12" outlineLevel="1">
      <c r="B135" s="7">
        <f>IF(C135="","",(B134+1))</f>
        <v>72</v>
      </c>
      <c r="C135" s="41" t="s">
        <v>9</v>
      </c>
      <c r="D135" s="41" t="s">
        <v>366</v>
      </c>
      <c r="E135" s="41" t="s">
        <v>992</v>
      </c>
      <c r="F135" s="41"/>
      <c r="G135" s="41"/>
      <c r="H135" s="41"/>
      <c r="I135" s="42">
        <v>45411</v>
      </c>
      <c r="J135" s="41"/>
      <c r="K135" s="41">
        <v>0</v>
      </c>
      <c r="L135" s="43"/>
    </row>
    <row r="136" spans="2:12" outlineLevel="1">
      <c r="B136" s="7">
        <f>IF(C136="","",(B135+1))</f>
        <v>73</v>
      </c>
      <c r="C136" s="41" t="s">
        <v>9</v>
      </c>
      <c r="D136" s="41" t="s">
        <v>366</v>
      </c>
      <c r="E136" s="41" t="s">
        <v>993</v>
      </c>
      <c r="F136" s="41"/>
      <c r="G136" s="41"/>
      <c r="H136" s="41"/>
      <c r="I136" s="42">
        <v>45418</v>
      </c>
      <c r="J136" s="41"/>
      <c r="K136" s="41">
        <v>0</v>
      </c>
      <c r="L136" s="43"/>
    </row>
    <row r="137" spans="2:12" outlineLevel="1">
      <c r="B137" s="7">
        <f>IF(C137="","",(B136+1))</f>
        <v>74</v>
      </c>
      <c r="C137" s="41" t="s">
        <v>9</v>
      </c>
      <c r="D137" s="41" t="s">
        <v>366</v>
      </c>
      <c r="E137" s="41" t="s">
        <v>994</v>
      </c>
      <c r="F137" s="41"/>
      <c r="G137" s="41"/>
      <c r="H137" s="41"/>
      <c r="I137" s="42">
        <v>45418</v>
      </c>
      <c r="J137" s="41"/>
      <c r="K137" s="41">
        <v>0</v>
      </c>
      <c r="L137" s="43"/>
    </row>
    <row r="138" spans="2:12" outlineLevel="1">
      <c r="B138" s="7">
        <f>IF(C138="","",(B137+1))</f>
        <v>75</v>
      </c>
      <c r="C138" s="41" t="s">
        <v>9</v>
      </c>
      <c r="D138" s="41" t="s">
        <v>366</v>
      </c>
      <c r="E138" s="41" t="s">
        <v>995</v>
      </c>
      <c r="F138" s="41"/>
      <c r="G138" s="41"/>
      <c r="H138" s="41"/>
      <c r="I138" s="42">
        <v>45453</v>
      </c>
      <c r="J138" s="41"/>
      <c r="K138" s="41">
        <v>0</v>
      </c>
      <c r="L138" s="43"/>
    </row>
    <row r="139" spans="2:12" outlineLevel="1">
      <c r="B139" s="7">
        <f>IF(C139="","",(B138+1))</f>
        <v>76</v>
      </c>
      <c r="C139" s="41" t="s">
        <v>9</v>
      </c>
      <c r="D139" s="41" t="s">
        <v>366</v>
      </c>
      <c r="E139" s="41" t="s">
        <v>996</v>
      </c>
      <c r="F139" s="41"/>
      <c r="G139" s="41"/>
      <c r="H139" s="41"/>
      <c r="I139" s="42">
        <v>45475</v>
      </c>
      <c r="J139" s="41"/>
      <c r="K139" s="41">
        <v>0</v>
      </c>
      <c r="L139" s="43"/>
    </row>
    <row r="140" spans="2:12" outlineLevel="1">
      <c r="B140" s="7">
        <f>IF(C140="","",(B139+1))</f>
        <v>77</v>
      </c>
      <c r="C140" s="41" t="s">
        <v>9</v>
      </c>
      <c r="D140" s="41" t="s">
        <v>366</v>
      </c>
      <c r="E140" s="41" t="s">
        <v>997</v>
      </c>
      <c r="F140" s="41"/>
      <c r="G140" s="41"/>
      <c r="H140" s="41"/>
      <c r="I140" s="42">
        <v>45475</v>
      </c>
      <c r="J140" s="41"/>
      <c r="K140" s="41">
        <v>0</v>
      </c>
      <c r="L140" s="43"/>
    </row>
    <row r="141" spans="2:12" outlineLevel="1">
      <c r="B141" s="7">
        <f>IF(C141="","",(B140+1))</f>
        <v>78</v>
      </c>
      <c r="C141" s="41" t="s">
        <v>9</v>
      </c>
      <c r="D141" s="41" t="s">
        <v>366</v>
      </c>
      <c r="E141" s="58">
        <v>80000600000000</v>
      </c>
      <c r="F141" s="41"/>
      <c r="G141" s="41"/>
      <c r="H141" s="41"/>
      <c r="I141" s="42">
        <v>45496</v>
      </c>
      <c r="J141" s="41"/>
      <c r="K141" s="41">
        <v>0</v>
      </c>
      <c r="L141" s="43"/>
    </row>
    <row r="142" spans="2:12" outlineLevel="1">
      <c r="B142" s="7">
        <f>IF(C142="","",(B141+1))</f>
        <v>79</v>
      </c>
      <c r="C142" s="41" t="s">
        <v>9</v>
      </c>
      <c r="D142" s="41" t="s">
        <v>366</v>
      </c>
      <c r="E142" s="41" t="s">
        <v>998</v>
      </c>
      <c r="F142" s="41"/>
      <c r="G142" s="41"/>
      <c r="H142" s="41"/>
      <c r="I142" s="42">
        <v>45496</v>
      </c>
      <c r="J142" s="41"/>
      <c r="K142" s="41">
        <v>0</v>
      </c>
      <c r="L142" s="43"/>
    </row>
    <row r="143" spans="2:12" outlineLevel="1">
      <c r="B143" s="7">
        <f>IF(C143="","",(B142+1))</f>
        <v>80</v>
      </c>
      <c r="C143" s="41" t="s">
        <v>9</v>
      </c>
      <c r="D143" s="41" t="s">
        <v>366</v>
      </c>
      <c r="E143" s="58">
        <v>80000600000000</v>
      </c>
      <c r="F143" s="41"/>
      <c r="G143" s="41"/>
      <c r="H143" s="41"/>
      <c r="I143" s="42">
        <v>45496</v>
      </c>
      <c r="J143" s="41"/>
      <c r="K143" s="41">
        <v>0</v>
      </c>
      <c r="L143" s="43"/>
    </row>
    <row r="144" spans="2:12" outlineLevel="1">
      <c r="B144" s="7">
        <f>IF(C144="","",(B143+1))</f>
        <v>81</v>
      </c>
      <c r="C144" s="41" t="s">
        <v>9</v>
      </c>
      <c r="D144" s="41" t="s">
        <v>366</v>
      </c>
      <c r="E144" s="41">
        <v>30166</v>
      </c>
      <c r="F144" s="41"/>
      <c r="G144" s="41"/>
      <c r="H144" s="41"/>
      <c r="I144" s="42">
        <v>45498</v>
      </c>
      <c r="J144" s="41"/>
      <c r="K144" s="41">
        <v>0</v>
      </c>
      <c r="L144" s="43"/>
    </row>
    <row r="145" spans="2:12" outlineLevel="1">
      <c r="B145" s="7">
        <f>IF(C145="","",(B144+1))</f>
        <v>82</v>
      </c>
      <c r="C145" s="41" t="s">
        <v>9</v>
      </c>
      <c r="D145" s="41" t="s">
        <v>366</v>
      </c>
      <c r="E145" s="41">
        <v>30170</v>
      </c>
      <c r="F145" s="41"/>
      <c r="G145" s="41"/>
      <c r="H145" s="41"/>
      <c r="I145" s="42">
        <v>45498</v>
      </c>
      <c r="J145" s="41"/>
      <c r="K145" s="41">
        <v>0</v>
      </c>
      <c r="L145" s="43"/>
    </row>
    <row r="146" spans="2:12" outlineLevel="1">
      <c r="B146" s="7">
        <f>IF(C146="","",(B145+1))</f>
        <v>83</v>
      </c>
      <c r="C146" s="41" t="s">
        <v>9</v>
      </c>
      <c r="D146" s="41" t="s">
        <v>366</v>
      </c>
      <c r="E146" s="41">
        <v>1286</v>
      </c>
      <c r="F146" s="41"/>
      <c r="G146" s="41"/>
      <c r="H146" s="41"/>
      <c r="I146" s="42">
        <v>45568</v>
      </c>
      <c r="J146" s="41"/>
      <c r="K146" s="41">
        <v>0</v>
      </c>
      <c r="L146" s="43"/>
    </row>
    <row r="147" spans="2:12" outlineLevel="1">
      <c r="B147" s="7">
        <f>IF(C147="","",(B146+1))</f>
        <v>84</v>
      </c>
      <c r="C147" s="41" t="s">
        <v>9</v>
      </c>
      <c r="D147" s="41" t="s">
        <v>366</v>
      </c>
      <c r="E147" s="41" t="s">
        <v>999</v>
      </c>
      <c r="F147" s="41"/>
      <c r="G147" s="41"/>
      <c r="H147" s="41"/>
      <c r="I147" s="42">
        <v>45568</v>
      </c>
      <c r="J147" s="41"/>
      <c r="K147" s="41">
        <v>0</v>
      </c>
      <c r="L147" s="43"/>
    </row>
    <row r="148" spans="2:12" outlineLevel="1">
      <c r="B148" s="7">
        <f>IF(C148="","",(B147+1))</f>
        <v>85</v>
      </c>
      <c r="C148" s="41" t="s">
        <v>9</v>
      </c>
      <c r="D148" s="41" t="s">
        <v>366</v>
      </c>
      <c r="E148" s="41">
        <v>98690</v>
      </c>
      <c r="F148" s="41"/>
      <c r="G148" s="41"/>
      <c r="H148" s="41"/>
      <c r="I148" s="42">
        <v>45568</v>
      </c>
      <c r="J148" s="41"/>
      <c r="K148" s="41">
        <v>29</v>
      </c>
      <c r="L148" s="43"/>
    </row>
    <row r="149" spans="2:12" outlineLevel="1">
      <c r="B149" s="7">
        <f>IF(C149="","",(B148+1))</f>
        <v>86</v>
      </c>
      <c r="C149" s="41" t="s">
        <v>9</v>
      </c>
      <c r="D149" s="41" t="s">
        <v>366</v>
      </c>
      <c r="E149" s="58">
        <v>80000400000000</v>
      </c>
      <c r="F149" s="41"/>
      <c r="G149" s="41"/>
      <c r="H149" s="41"/>
      <c r="I149" s="42">
        <v>45568</v>
      </c>
      <c r="J149" s="41"/>
      <c r="K149" s="41">
        <v>0</v>
      </c>
      <c r="L149" s="43"/>
    </row>
    <row r="150" spans="2:12" outlineLevel="1">
      <c r="B150" s="7">
        <f>IF(C150="","",(B149+1))</f>
        <v>87</v>
      </c>
      <c r="C150" s="41" t="s">
        <v>9</v>
      </c>
      <c r="D150" s="41" t="s">
        <v>366</v>
      </c>
      <c r="E150" s="41" t="s">
        <v>1000</v>
      </c>
      <c r="F150" s="41"/>
      <c r="G150" s="41"/>
      <c r="H150" s="41"/>
      <c r="I150" s="42">
        <v>45468</v>
      </c>
      <c r="J150" s="41"/>
      <c r="K150" s="41">
        <v>0</v>
      </c>
      <c r="L150" s="43"/>
    </row>
    <row r="151" spans="2:12" outlineLevel="1">
      <c r="B151" s="7">
        <f>IF(C151="","",(B150+1))</f>
        <v>88</v>
      </c>
      <c r="C151" s="41" t="s">
        <v>9</v>
      </c>
      <c r="D151" s="41" t="s">
        <v>366</v>
      </c>
      <c r="E151" s="41">
        <v>1253</v>
      </c>
      <c r="F151" s="41"/>
      <c r="G151" s="41"/>
      <c r="H151" s="41"/>
      <c r="I151" s="42">
        <v>45469</v>
      </c>
      <c r="J151" s="41"/>
      <c r="K151" s="41">
        <v>0</v>
      </c>
      <c r="L151" s="43"/>
    </row>
    <row r="152" spans="2:12" outlineLevel="1">
      <c r="B152" s="7">
        <f>IF(C152="","",(B151+1))</f>
        <v>89</v>
      </c>
      <c r="C152" s="41" t="s">
        <v>9</v>
      </c>
      <c r="D152" s="41" t="s">
        <v>366</v>
      </c>
      <c r="E152" s="41" t="s">
        <v>1001</v>
      </c>
      <c r="F152" s="41"/>
      <c r="G152" s="41"/>
      <c r="H152" s="41"/>
      <c r="I152" s="42">
        <v>45469</v>
      </c>
      <c r="J152" s="41"/>
      <c r="K152" s="41">
        <v>0</v>
      </c>
      <c r="L152" s="43"/>
    </row>
    <row r="153" spans="2:12" outlineLevel="1">
      <c r="B153" s="7">
        <f>IF(C153="","",(B152+1))</f>
        <v>90</v>
      </c>
      <c r="C153" s="41" t="s">
        <v>9</v>
      </c>
      <c r="D153" s="41" t="s">
        <v>366</v>
      </c>
      <c r="E153" s="41" t="s">
        <v>1002</v>
      </c>
      <c r="F153" s="41"/>
      <c r="G153" s="41"/>
      <c r="H153" s="41"/>
      <c r="I153" s="42">
        <v>45469</v>
      </c>
      <c r="J153" s="41"/>
      <c r="K153" s="41">
        <v>0</v>
      </c>
      <c r="L153" s="43"/>
    </row>
    <row r="154" spans="2:12" outlineLevel="1">
      <c r="B154" s="7">
        <f>IF(C154="","",(B153+1))</f>
        <v>91</v>
      </c>
      <c r="C154" s="41" t="s">
        <v>9</v>
      </c>
      <c r="D154" s="41" t="s">
        <v>366</v>
      </c>
      <c r="E154" s="58">
        <v>80000600000000</v>
      </c>
      <c r="F154" s="41"/>
      <c r="G154" s="41"/>
      <c r="H154" s="41"/>
      <c r="I154" s="42">
        <v>45469</v>
      </c>
      <c r="J154" s="41"/>
      <c r="K154" s="41">
        <v>0</v>
      </c>
      <c r="L154" s="43"/>
    </row>
    <row r="155" spans="2:12" outlineLevel="1">
      <c r="B155" s="7">
        <f>IF(C155="","",(B154+1))</f>
        <v>92</v>
      </c>
      <c r="C155" s="41" t="s">
        <v>9</v>
      </c>
      <c r="D155" s="41" t="s">
        <v>366</v>
      </c>
      <c r="E155" s="41" t="s">
        <v>1003</v>
      </c>
      <c r="F155" s="41"/>
      <c r="G155" s="41"/>
      <c r="H155" s="41"/>
      <c r="I155" s="42">
        <v>45469</v>
      </c>
      <c r="J155" s="41"/>
      <c r="K155" s="41">
        <v>0</v>
      </c>
      <c r="L155" s="43"/>
    </row>
    <row r="156" spans="2:12" outlineLevel="1">
      <c r="B156" s="7">
        <f>IF(C156="","",(B155+1))</f>
        <v>93</v>
      </c>
      <c r="C156" s="41" t="s">
        <v>9</v>
      </c>
      <c r="D156" s="41" t="s">
        <v>366</v>
      </c>
      <c r="E156" s="41">
        <v>16540</v>
      </c>
      <c r="F156" s="41"/>
      <c r="G156" s="41"/>
      <c r="H156" s="41"/>
      <c r="I156" s="42">
        <v>45568</v>
      </c>
      <c r="J156" s="41"/>
      <c r="K156" s="41">
        <v>0</v>
      </c>
      <c r="L156" s="43"/>
    </row>
    <row r="157" spans="2:12" outlineLevel="1">
      <c r="B157" s="7">
        <f>IF(C157="","",(B156+1))</f>
        <v>94</v>
      </c>
      <c r="C157" s="41" t="s">
        <v>9</v>
      </c>
      <c r="D157" s="41" t="s">
        <v>366</v>
      </c>
      <c r="E157" s="41">
        <v>1289</v>
      </c>
      <c r="F157" s="41"/>
      <c r="G157" s="41"/>
      <c r="H157" s="41"/>
      <c r="I157" s="42">
        <v>45568</v>
      </c>
      <c r="J157" s="41"/>
      <c r="K157" s="41">
        <v>0</v>
      </c>
      <c r="L157" s="43"/>
    </row>
    <row r="158" spans="2:12" outlineLevel="1">
      <c r="B158" s="7">
        <f>IF(C158="","",(B157+1))</f>
        <v>95</v>
      </c>
      <c r="C158" s="41" t="s">
        <v>9</v>
      </c>
      <c r="D158" s="41" t="s">
        <v>366</v>
      </c>
      <c r="E158" s="41" t="s">
        <v>1004</v>
      </c>
      <c r="F158" s="41"/>
      <c r="G158" s="41"/>
      <c r="H158" s="41"/>
      <c r="I158" s="42">
        <v>45568</v>
      </c>
      <c r="J158" s="41"/>
      <c r="K158" s="41">
        <v>0</v>
      </c>
      <c r="L158" s="43"/>
    </row>
    <row r="159" spans="2:12" outlineLevel="1">
      <c r="B159" s="7">
        <f>IF(C159="","",(B158+1))</f>
        <v>96</v>
      </c>
      <c r="C159" s="41" t="s">
        <v>9</v>
      </c>
      <c r="D159" s="41" t="s">
        <v>366</v>
      </c>
      <c r="E159" s="41" t="s">
        <v>1005</v>
      </c>
      <c r="F159" s="41"/>
      <c r="G159" s="41"/>
      <c r="H159" s="41"/>
      <c r="I159" s="42">
        <v>45707</v>
      </c>
      <c r="J159" s="41"/>
      <c r="K159" s="41">
        <v>0</v>
      </c>
      <c r="L159" s="43"/>
    </row>
    <row r="160" spans="2:12" outlineLevel="1">
      <c r="B160" s="7">
        <f>IF(C160="","",(B159+1))</f>
        <v>97</v>
      </c>
      <c r="C160" s="41" t="s">
        <v>9</v>
      </c>
      <c r="D160" s="41" t="s">
        <v>366</v>
      </c>
      <c r="E160" s="41" t="s">
        <v>1006</v>
      </c>
      <c r="F160" s="41"/>
      <c r="G160" s="41"/>
      <c r="H160" s="41"/>
      <c r="I160" s="42">
        <v>45707</v>
      </c>
      <c r="J160" s="41"/>
      <c r="K160" s="41">
        <v>0</v>
      </c>
      <c r="L160" s="43"/>
    </row>
    <row r="161" spans="2:12" outlineLevel="1">
      <c r="B161" s="7">
        <f>IF(C161="","",(B160+1))</f>
        <v>98</v>
      </c>
      <c r="C161" s="41" t="s">
        <v>9</v>
      </c>
      <c r="D161" s="41" t="s">
        <v>366</v>
      </c>
      <c r="E161" s="41" t="s">
        <v>1007</v>
      </c>
      <c r="F161" s="41"/>
      <c r="G161" s="41"/>
      <c r="H161" s="41"/>
      <c r="I161" s="42">
        <v>45707</v>
      </c>
      <c r="J161" s="41"/>
      <c r="K161" s="41">
        <v>0</v>
      </c>
      <c r="L161" s="43"/>
    </row>
    <row r="162" spans="2:12" outlineLevel="1">
      <c r="B162" s="7">
        <f>IF(C162="","",(B161+1))</f>
        <v>99</v>
      </c>
      <c r="C162" s="41" t="s">
        <v>9</v>
      </c>
      <c r="D162" s="41" t="s">
        <v>366</v>
      </c>
      <c r="E162" s="41" t="s">
        <v>1008</v>
      </c>
      <c r="F162" s="41"/>
      <c r="G162" s="41"/>
      <c r="H162" s="41"/>
      <c r="I162" s="42">
        <v>45707</v>
      </c>
      <c r="J162" s="41"/>
      <c r="K162" s="41">
        <v>0</v>
      </c>
      <c r="L162" s="43"/>
    </row>
    <row r="163" spans="2:12" outlineLevel="1">
      <c r="B163" s="7">
        <f>IF(C163="","",(B162+1))</f>
        <v>100</v>
      </c>
      <c r="C163" s="41" t="s">
        <v>9</v>
      </c>
      <c r="D163" s="41" t="s">
        <v>366</v>
      </c>
      <c r="E163" s="41" t="s">
        <v>1009</v>
      </c>
      <c r="F163" s="41"/>
      <c r="G163" s="41"/>
      <c r="H163" s="41"/>
      <c r="I163" s="42">
        <v>45707</v>
      </c>
      <c r="J163" s="41"/>
      <c r="K163" s="41">
        <v>0</v>
      </c>
      <c r="L163" s="43"/>
    </row>
    <row r="164" spans="2:12" outlineLevel="1">
      <c r="B164" s="7">
        <f>IF(C164="","",(B163+1))</f>
        <v>101</v>
      </c>
      <c r="C164" s="41" t="s">
        <v>9</v>
      </c>
      <c r="D164" s="41" t="s">
        <v>366</v>
      </c>
      <c r="E164" s="41" t="s">
        <v>1010</v>
      </c>
      <c r="F164" s="41"/>
      <c r="G164" s="41"/>
      <c r="H164" s="41"/>
      <c r="I164" s="42">
        <v>45707</v>
      </c>
      <c r="J164" s="41"/>
      <c r="K164" s="41">
        <v>0</v>
      </c>
      <c r="L164" s="43"/>
    </row>
    <row r="165" spans="2:12" outlineLevel="1">
      <c r="B165" s="7">
        <f>IF(C165="","",(B164+1))</f>
        <v>102</v>
      </c>
      <c r="C165" s="41" t="s">
        <v>9</v>
      </c>
      <c r="D165" s="41" t="s">
        <v>366</v>
      </c>
      <c r="E165" s="41" t="s">
        <v>1011</v>
      </c>
      <c r="F165" s="41"/>
      <c r="G165" s="41"/>
      <c r="H165" s="41"/>
      <c r="I165" s="42">
        <v>45707</v>
      </c>
      <c r="J165" s="41"/>
      <c r="K165" s="41">
        <v>0</v>
      </c>
      <c r="L165" s="43"/>
    </row>
    <row r="166" spans="2:12" outlineLevel="1">
      <c r="B166" s="7">
        <f>IF(C166="","",(B165+1))</f>
        <v>103</v>
      </c>
      <c r="C166" s="41" t="s">
        <v>9</v>
      </c>
      <c r="D166" s="41" t="s">
        <v>366</v>
      </c>
      <c r="E166" s="41" t="s">
        <v>1012</v>
      </c>
      <c r="F166" s="41"/>
      <c r="G166" s="41"/>
      <c r="H166" s="41"/>
      <c r="I166" s="42">
        <v>45707</v>
      </c>
      <c r="J166" s="41"/>
      <c r="K166" s="41">
        <v>0</v>
      </c>
      <c r="L166" s="43"/>
    </row>
    <row r="167" spans="2:12" outlineLevel="1">
      <c r="B167" s="7">
        <f>IF(C167="","",(B166+1))</f>
        <v>104</v>
      </c>
      <c r="C167" s="41" t="s">
        <v>9</v>
      </c>
      <c r="D167" s="41" t="s">
        <v>366</v>
      </c>
      <c r="E167" s="41" t="s">
        <v>1013</v>
      </c>
      <c r="F167" s="41"/>
      <c r="G167" s="41"/>
      <c r="H167" s="41"/>
      <c r="I167" s="42">
        <v>45707</v>
      </c>
      <c r="J167" s="41"/>
      <c r="K167" s="41">
        <v>0</v>
      </c>
      <c r="L167" s="43"/>
    </row>
    <row r="168" spans="2:12" outlineLevel="1">
      <c r="B168" s="7">
        <f>IF(C168="","",(B167+1))</f>
        <v>105</v>
      </c>
      <c r="C168" s="41" t="s">
        <v>9</v>
      </c>
      <c r="D168" s="41" t="s">
        <v>366</v>
      </c>
      <c r="E168" s="41" t="s">
        <v>1014</v>
      </c>
      <c r="F168" s="41"/>
      <c r="G168" s="41"/>
      <c r="H168" s="41"/>
      <c r="I168" s="42">
        <v>45707</v>
      </c>
      <c r="J168" s="41"/>
      <c r="K168" s="41">
        <v>0</v>
      </c>
      <c r="L168" s="43"/>
    </row>
    <row r="169" spans="2:12" outlineLevel="1">
      <c r="B169" s="7">
        <f>IF(C169="","",(B168+1))</f>
        <v>106</v>
      </c>
      <c r="C169" s="41" t="s">
        <v>9</v>
      </c>
      <c r="D169" s="41" t="s">
        <v>366</v>
      </c>
      <c r="E169" s="41" t="s">
        <v>1015</v>
      </c>
      <c r="F169" s="41"/>
      <c r="G169" s="41"/>
      <c r="H169" s="41"/>
      <c r="I169" s="42">
        <v>45707</v>
      </c>
      <c r="J169" s="41"/>
      <c r="K169" s="41">
        <v>0</v>
      </c>
      <c r="L169" s="43"/>
    </row>
    <row r="170" spans="2:12" outlineLevel="1">
      <c r="B170" s="7">
        <f>IF(C170="","",(B169+1))</f>
        <v>107</v>
      </c>
      <c r="C170" s="41" t="s">
        <v>9</v>
      </c>
      <c r="D170" s="41" t="s">
        <v>366</v>
      </c>
      <c r="E170" s="41" t="s">
        <v>1016</v>
      </c>
      <c r="F170" s="41"/>
      <c r="G170" s="41"/>
      <c r="H170" s="41"/>
      <c r="I170" s="42">
        <v>45707</v>
      </c>
      <c r="J170" s="41"/>
      <c r="K170" s="41">
        <v>0</v>
      </c>
      <c r="L170" s="43"/>
    </row>
    <row r="171" spans="2:12" outlineLevel="1">
      <c r="B171" s="7">
        <f>IF(C171="","",(B170+1))</f>
        <v>108</v>
      </c>
      <c r="C171" s="41" t="s">
        <v>9</v>
      </c>
      <c r="D171" s="41" t="s">
        <v>366</v>
      </c>
      <c r="E171" s="41" t="s">
        <v>1017</v>
      </c>
      <c r="F171" s="41"/>
      <c r="G171" s="41"/>
      <c r="H171" s="41"/>
      <c r="I171" s="42">
        <v>45707</v>
      </c>
      <c r="J171" s="41"/>
      <c r="K171" s="41">
        <v>0</v>
      </c>
      <c r="L171" s="43"/>
    </row>
    <row r="172" spans="2:12" outlineLevel="1">
      <c r="B172" s="7">
        <f>IF(C172="","",(B171+1))</f>
        <v>109</v>
      </c>
      <c r="C172" s="41" t="s">
        <v>9</v>
      </c>
      <c r="D172" s="41" t="s">
        <v>366</v>
      </c>
      <c r="E172" s="41" t="s">
        <v>1018</v>
      </c>
      <c r="F172" s="41"/>
      <c r="G172" s="41"/>
      <c r="H172" s="41"/>
      <c r="I172" s="42">
        <v>45707</v>
      </c>
      <c r="J172" s="41"/>
      <c r="K172" s="41">
        <v>0</v>
      </c>
      <c r="L172" s="43"/>
    </row>
    <row r="173" spans="2:12" outlineLevel="1">
      <c r="B173" s="7">
        <f>IF(C173="","",(B172+1))</f>
        <v>110</v>
      </c>
      <c r="C173" s="41" t="s">
        <v>9</v>
      </c>
      <c r="D173" s="41" t="s">
        <v>366</v>
      </c>
      <c r="E173" s="41" t="s">
        <v>1019</v>
      </c>
      <c r="F173" s="41"/>
      <c r="G173" s="41"/>
      <c r="H173" s="41"/>
      <c r="I173" s="42">
        <v>45707</v>
      </c>
      <c r="J173" s="41"/>
      <c r="K173" s="41">
        <v>0</v>
      </c>
      <c r="L173" s="43"/>
    </row>
    <row r="174" spans="2:12" outlineLevel="1">
      <c r="B174" s="7">
        <f>IF(C174="","",(B173+1))</f>
        <v>111</v>
      </c>
      <c r="C174" s="41" t="s">
        <v>9</v>
      </c>
      <c r="D174" s="41" t="s">
        <v>366</v>
      </c>
      <c r="E174" s="41" t="s">
        <v>1020</v>
      </c>
      <c r="F174" s="41"/>
      <c r="G174" s="41"/>
      <c r="H174" s="41"/>
      <c r="I174" s="42">
        <v>45707</v>
      </c>
      <c r="J174" s="41"/>
      <c r="K174" s="41">
        <v>0</v>
      </c>
      <c r="L174" s="43"/>
    </row>
    <row r="175" spans="2:12" outlineLevel="1">
      <c r="B175" s="7">
        <f>IF(C175="","",(B174+1))</f>
        <v>112</v>
      </c>
      <c r="C175" s="41" t="s">
        <v>9</v>
      </c>
      <c r="D175" s="41" t="s">
        <v>366</v>
      </c>
      <c r="E175" s="41" t="s">
        <v>1021</v>
      </c>
      <c r="F175" s="41"/>
      <c r="G175" s="41"/>
      <c r="H175" s="41"/>
      <c r="I175" s="42">
        <v>45707</v>
      </c>
      <c r="J175" s="41"/>
      <c r="K175" s="41">
        <v>0</v>
      </c>
      <c r="L175" s="43"/>
    </row>
    <row r="176" spans="2:12" outlineLevel="1">
      <c r="B176" s="7">
        <f>IF(C176="","",(B175+1))</f>
        <v>113</v>
      </c>
      <c r="C176" s="41" t="s">
        <v>9</v>
      </c>
      <c r="D176" s="41" t="s">
        <v>366</v>
      </c>
      <c r="E176" s="41" t="s">
        <v>1022</v>
      </c>
      <c r="F176" s="41"/>
      <c r="G176" s="41"/>
      <c r="H176" s="41"/>
      <c r="I176" s="42">
        <v>45707</v>
      </c>
      <c r="J176" s="41"/>
      <c r="K176" s="41">
        <v>0</v>
      </c>
      <c r="L176" s="43"/>
    </row>
    <row r="177" spans="2:12" outlineLevel="1">
      <c r="B177" s="7">
        <f>IF(C177="","",(B176+1))</f>
        <v>114</v>
      </c>
      <c r="C177" s="41" t="s">
        <v>9</v>
      </c>
      <c r="D177" s="41" t="s">
        <v>366</v>
      </c>
      <c r="E177" s="41" t="s">
        <v>1023</v>
      </c>
      <c r="F177" s="41"/>
      <c r="G177" s="41"/>
      <c r="H177" s="41"/>
      <c r="I177" s="42">
        <v>45841</v>
      </c>
      <c r="J177" s="41"/>
      <c r="K177" s="41">
        <v>0</v>
      </c>
      <c r="L177" s="43"/>
    </row>
    <row r="178" spans="2:12" outlineLevel="1">
      <c r="B178" s="7">
        <f>IF(C178="","",(B177+1))</f>
        <v>115</v>
      </c>
      <c r="C178" s="41" t="s">
        <v>9</v>
      </c>
      <c r="D178" s="41" t="s">
        <v>366</v>
      </c>
      <c r="E178" s="41" t="s">
        <v>1024</v>
      </c>
      <c r="F178" s="41"/>
      <c r="G178" s="41"/>
      <c r="H178" s="41"/>
      <c r="I178" s="42">
        <v>45841</v>
      </c>
      <c r="J178" s="41"/>
      <c r="K178" s="41">
        <v>0</v>
      </c>
      <c r="L178" s="43"/>
    </row>
    <row r="179" spans="2:12" outlineLevel="1">
      <c r="B179" s="7">
        <f>IF(C179="","",(B178+1))</f>
        <v>116</v>
      </c>
      <c r="C179" s="41" t="s">
        <v>9</v>
      </c>
      <c r="D179" s="41" t="s">
        <v>366</v>
      </c>
      <c r="E179" s="41" t="s">
        <v>1025</v>
      </c>
      <c r="F179" s="41"/>
      <c r="G179" s="41"/>
      <c r="H179" s="41"/>
      <c r="I179" s="42">
        <v>45841</v>
      </c>
      <c r="J179" s="41"/>
      <c r="K179" s="41">
        <v>0</v>
      </c>
      <c r="L179" s="43"/>
    </row>
    <row r="180" spans="2:12" outlineLevel="1">
      <c r="B180" s="7">
        <f>IF(C180="","",(B179+1))</f>
        <v>117</v>
      </c>
      <c r="C180" s="41" t="s">
        <v>9</v>
      </c>
      <c r="D180" s="41" t="s">
        <v>366</v>
      </c>
      <c r="E180" s="41" t="s">
        <v>1026</v>
      </c>
      <c r="F180" s="41"/>
      <c r="G180" s="41"/>
      <c r="H180" s="41"/>
      <c r="I180" s="42">
        <v>45841</v>
      </c>
      <c r="J180" s="41"/>
      <c r="K180" s="41">
        <v>0</v>
      </c>
      <c r="L180" s="43"/>
    </row>
    <row r="181" spans="2:12" outlineLevel="1">
      <c r="B181" s="7">
        <f>IF(C181="","",(B180+1))</f>
        <v>118</v>
      </c>
      <c r="C181" s="41" t="s">
        <v>9</v>
      </c>
      <c r="D181" s="41" t="s">
        <v>366</v>
      </c>
      <c r="E181" s="41" t="s">
        <v>1027</v>
      </c>
      <c r="F181" s="41"/>
      <c r="G181" s="41"/>
      <c r="H181" s="41"/>
      <c r="I181" s="42">
        <v>45841</v>
      </c>
      <c r="J181" s="41"/>
      <c r="K181" s="41">
        <v>0</v>
      </c>
      <c r="L181" s="43"/>
    </row>
    <row r="182" spans="2:12" outlineLevel="1">
      <c r="B182" s="7">
        <f>IF(C182="","",(B181+1))</f>
        <v>119</v>
      </c>
      <c r="C182" s="41" t="s">
        <v>9</v>
      </c>
      <c r="D182" s="41" t="s">
        <v>366</v>
      </c>
      <c r="E182" s="41" t="s">
        <v>1028</v>
      </c>
      <c r="F182" s="41"/>
      <c r="G182" s="41"/>
      <c r="H182" s="41"/>
      <c r="I182" s="42">
        <v>45841</v>
      </c>
      <c r="J182" s="41"/>
      <c r="K182" s="41">
        <v>0</v>
      </c>
      <c r="L182" s="43"/>
    </row>
    <row r="183" spans="2:12" outlineLevel="1">
      <c r="B183" s="7">
        <f>IF(C183="","",(B182+1))</f>
        <v>120</v>
      </c>
      <c r="C183" s="41" t="s">
        <v>9</v>
      </c>
      <c r="D183" s="41" t="s">
        <v>366</v>
      </c>
      <c r="E183" s="41" t="s">
        <v>1029</v>
      </c>
      <c r="F183" s="41"/>
      <c r="G183" s="41"/>
      <c r="H183" s="41"/>
      <c r="I183" s="42">
        <v>45841</v>
      </c>
      <c r="J183" s="41"/>
      <c r="K183" s="41">
        <v>0</v>
      </c>
      <c r="L183" s="43"/>
    </row>
    <row r="184" spans="2:12" outlineLevel="1">
      <c r="B184" s="7">
        <f>IF(C184="","",(B183+1))</f>
        <v>121</v>
      </c>
      <c r="C184" s="41" t="s">
        <v>9</v>
      </c>
      <c r="D184" s="41" t="s">
        <v>366</v>
      </c>
      <c r="E184" s="41" t="s">
        <v>1030</v>
      </c>
      <c r="F184" s="41"/>
      <c r="G184" s="41"/>
      <c r="H184" s="41"/>
      <c r="I184" s="42">
        <v>45841</v>
      </c>
      <c r="J184" s="41"/>
      <c r="K184" s="41">
        <v>0</v>
      </c>
      <c r="L184" s="43"/>
    </row>
    <row r="185" spans="2:12" outlineLevel="1">
      <c r="B185" s="7">
        <f>IF(C185="","",(B184+1))</f>
        <v>122</v>
      </c>
      <c r="C185" s="41" t="s">
        <v>9</v>
      </c>
      <c r="D185" s="41" t="s">
        <v>366</v>
      </c>
      <c r="E185" s="41" t="s">
        <v>1031</v>
      </c>
      <c r="F185" s="41"/>
      <c r="G185" s="41"/>
      <c r="H185" s="41"/>
      <c r="I185" s="42">
        <v>45841</v>
      </c>
      <c r="J185" s="41"/>
      <c r="K185" s="41">
        <v>0</v>
      </c>
      <c r="L185" s="43"/>
    </row>
    <row r="186" spans="2:12" outlineLevel="1">
      <c r="B186" s="7">
        <f>IF(C186="","",(B185+1))</f>
        <v>123</v>
      </c>
      <c r="C186" s="41" t="s">
        <v>9</v>
      </c>
      <c r="D186" s="41" t="s">
        <v>366</v>
      </c>
      <c r="E186" s="41" t="s">
        <v>1032</v>
      </c>
      <c r="F186" s="41"/>
      <c r="G186" s="41"/>
      <c r="H186" s="41"/>
      <c r="I186" s="42">
        <v>45841</v>
      </c>
      <c r="J186" s="41"/>
      <c r="K186" s="41">
        <v>0</v>
      </c>
      <c r="L186" s="43"/>
    </row>
    <row r="187" spans="2:12" outlineLevel="1">
      <c r="B187" s="7">
        <f>IF(C187="","",(B186+1))</f>
        <v>124</v>
      </c>
      <c r="C187" s="41" t="s">
        <v>9</v>
      </c>
      <c r="D187" s="41" t="s">
        <v>366</v>
      </c>
      <c r="E187" s="41" t="s">
        <v>1033</v>
      </c>
      <c r="F187" s="41"/>
      <c r="G187" s="41"/>
      <c r="H187" s="41"/>
      <c r="I187" s="42">
        <v>45841</v>
      </c>
      <c r="J187" s="41"/>
      <c r="K187" s="41">
        <v>0</v>
      </c>
      <c r="L187" s="43"/>
    </row>
    <row r="188" spans="2:12" outlineLevel="1">
      <c r="B188" s="7">
        <f>IF(C188="","",(B187+1))</f>
        <v>125</v>
      </c>
      <c r="C188" s="41" t="s">
        <v>9</v>
      </c>
      <c r="D188" s="41" t="s">
        <v>366</v>
      </c>
      <c r="E188" s="41" t="s">
        <v>1034</v>
      </c>
      <c r="F188" s="41"/>
      <c r="G188" s="41"/>
      <c r="H188" s="41"/>
      <c r="I188" s="42">
        <v>45841</v>
      </c>
      <c r="J188" s="41"/>
      <c r="K188" s="41">
        <v>0</v>
      </c>
      <c r="L188" s="43"/>
    </row>
    <row r="189" spans="2:12" outlineLevel="1">
      <c r="B189" s="7">
        <f>IF(C189="","",(B188+1))</f>
        <v>126</v>
      </c>
      <c r="C189" s="41" t="s">
        <v>9</v>
      </c>
      <c r="D189" s="41" t="s">
        <v>366</v>
      </c>
      <c r="E189" s="41" t="s">
        <v>1035</v>
      </c>
      <c r="F189" s="41"/>
      <c r="G189" s="41"/>
      <c r="H189" s="41"/>
      <c r="I189" s="42">
        <v>45841</v>
      </c>
      <c r="J189" s="41"/>
      <c r="K189" s="41">
        <v>0</v>
      </c>
      <c r="L189" s="43"/>
    </row>
    <row r="190" spans="2:12" outlineLevel="1">
      <c r="B190" s="7">
        <f>IF(C190="","",(B189+1))</f>
        <v>127</v>
      </c>
      <c r="C190" s="41" t="s">
        <v>9</v>
      </c>
      <c r="D190" s="41" t="s">
        <v>366</v>
      </c>
      <c r="E190" s="41" t="s">
        <v>1036</v>
      </c>
      <c r="F190" s="41"/>
      <c r="G190" s="41"/>
      <c r="H190" s="41"/>
      <c r="I190" s="42">
        <v>45841</v>
      </c>
      <c r="J190" s="41"/>
      <c r="K190" s="41">
        <v>0</v>
      </c>
      <c r="L190" s="43"/>
    </row>
    <row r="191" spans="2:12" outlineLevel="1">
      <c r="B191" s="7">
        <f>IF(C191="","",(B190+1))</f>
        <v>128</v>
      </c>
      <c r="C191" s="41" t="s">
        <v>9</v>
      </c>
      <c r="D191" s="41" t="s">
        <v>366</v>
      </c>
      <c r="E191" s="41">
        <v>10971</v>
      </c>
      <c r="F191" s="41"/>
      <c r="G191" s="41"/>
      <c r="H191" s="41"/>
      <c r="I191" s="42">
        <v>45841</v>
      </c>
      <c r="J191" s="41"/>
      <c r="K191" s="41">
        <v>0</v>
      </c>
      <c r="L191" s="43"/>
    </row>
    <row r="192" spans="2:12" outlineLevel="1">
      <c r="B192" s="7">
        <f>IF(C192="","",(B191+1))</f>
        <v>129</v>
      </c>
      <c r="C192" s="41" t="s">
        <v>9</v>
      </c>
      <c r="D192" s="41" t="s">
        <v>366</v>
      </c>
      <c r="E192" s="41">
        <v>10969</v>
      </c>
      <c r="F192" s="41"/>
      <c r="G192" s="41"/>
      <c r="H192" s="41"/>
      <c r="I192" s="42">
        <v>45841</v>
      </c>
      <c r="J192" s="41"/>
      <c r="K192" s="41">
        <v>0</v>
      </c>
      <c r="L192" s="43"/>
    </row>
    <row r="193" spans="2:12" outlineLevel="1">
      <c r="B193" s="7">
        <f>IF(C193="","",(B192+1))</f>
        <v>130</v>
      </c>
      <c r="C193" s="41" t="s">
        <v>9</v>
      </c>
      <c r="D193" s="41" t="s">
        <v>366</v>
      </c>
      <c r="E193" s="41">
        <v>10970</v>
      </c>
      <c r="F193" s="41"/>
      <c r="G193" s="41"/>
      <c r="H193" s="41"/>
      <c r="I193" s="42">
        <v>45841</v>
      </c>
      <c r="J193" s="41"/>
      <c r="K193" s="41">
        <v>0</v>
      </c>
      <c r="L193" s="43"/>
    </row>
    <row r="194" spans="2:12" outlineLevel="1">
      <c r="B194" s="7">
        <f>IF(C194="","",(B193+1))</f>
        <v>131</v>
      </c>
      <c r="C194" s="41" t="s">
        <v>9</v>
      </c>
      <c r="D194" s="41" t="s">
        <v>366</v>
      </c>
      <c r="E194" s="41" t="s">
        <v>1037</v>
      </c>
      <c r="F194" s="41"/>
      <c r="G194" s="41"/>
      <c r="H194" s="41"/>
      <c r="I194" s="42">
        <v>45841</v>
      </c>
      <c r="J194" s="41"/>
      <c r="K194" s="41">
        <v>0</v>
      </c>
      <c r="L194" s="43"/>
    </row>
    <row r="195" spans="2:12" outlineLevel="1">
      <c r="B195" s="7">
        <f>IF(C195="","",(B194+1))</f>
        <v>132</v>
      </c>
      <c r="C195" s="41" t="s">
        <v>9</v>
      </c>
      <c r="D195" s="41" t="s">
        <v>366</v>
      </c>
      <c r="E195" s="41" t="s">
        <v>1038</v>
      </c>
      <c r="F195" s="41"/>
      <c r="G195" s="41"/>
      <c r="H195" s="41"/>
      <c r="I195" s="42">
        <v>45841</v>
      </c>
      <c r="J195" s="41"/>
      <c r="K195" s="41">
        <v>0</v>
      </c>
      <c r="L195" s="43"/>
    </row>
    <row r="196" spans="2:12" outlineLevel="1">
      <c r="B196" s="7">
        <f>IF(C196="","",(B195+1))</f>
        <v>133</v>
      </c>
      <c r="C196" s="41" t="s">
        <v>9</v>
      </c>
      <c r="D196" s="41" t="s">
        <v>366</v>
      </c>
      <c r="E196" s="41">
        <v>1258</v>
      </c>
      <c r="F196" s="41"/>
      <c r="G196" s="41"/>
      <c r="H196" s="41"/>
      <c r="I196" s="42">
        <v>45841</v>
      </c>
      <c r="J196" s="41"/>
      <c r="K196" s="41">
        <v>0</v>
      </c>
      <c r="L196" s="43"/>
    </row>
    <row r="197" spans="2:12" outlineLevel="1">
      <c r="B197" s="7">
        <f>IF(C197="","",(B196+1))</f>
        <v>134</v>
      </c>
      <c r="C197" s="41" t="s">
        <v>9</v>
      </c>
      <c r="D197" s="41" t="s">
        <v>366</v>
      </c>
      <c r="E197" s="41" t="s">
        <v>1039</v>
      </c>
      <c r="F197" s="41"/>
      <c r="G197" s="41"/>
      <c r="H197" s="41"/>
      <c r="I197" s="42">
        <v>45841</v>
      </c>
      <c r="J197" s="41"/>
      <c r="K197" s="41">
        <v>0</v>
      </c>
      <c r="L197" s="43"/>
    </row>
    <row r="198" spans="2:12" outlineLevel="1">
      <c r="B198" s="7">
        <f>IF(C198="","",(B197+1))</f>
        <v>135</v>
      </c>
      <c r="C198" s="41" t="s">
        <v>69</v>
      </c>
      <c r="D198" s="41" t="s">
        <v>366</v>
      </c>
      <c r="E198" s="41"/>
      <c r="F198" s="41"/>
      <c r="G198" s="41"/>
      <c r="H198" s="41"/>
      <c r="I198" s="42">
        <v>45841</v>
      </c>
      <c r="J198" s="41"/>
      <c r="K198" s="41">
        <v>0</v>
      </c>
      <c r="L198" s="43"/>
    </row>
    <row r="199" spans="2:12" outlineLevel="1">
      <c r="B199" s="7">
        <f>IF(C199="","",(B198+1))</f>
        <v>136</v>
      </c>
      <c r="C199" s="41" t="s">
        <v>9</v>
      </c>
      <c r="D199" s="41" t="s">
        <v>366</v>
      </c>
      <c r="E199" s="41" t="s">
        <v>1040</v>
      </c>
      <c r="F199" s="41"/>
      <c r="G199" s="41"/>
      <c r="H199" s="41"/>
      <c r="I199" s="42">
        <v>45841</v>
      </c>
      <c r="J199" s="41"/>
      <c r="K199" s="41">
        <v>0</v>
      </c>
      <c r="L199" s="43"/>
    </row>
    <row r="200" spans="2:12" outlineLevel="1">
      <c r="B200" s="7">
        <f>IF(C200="","",(B199+1))</f>
        <v>137</v>
      </c>
      <c r="C200" s="41" t="s">
        <v>69</v>
      </c>
      <c r="D200" s="41" t="s">
        <v>366</v>
      </c>
      <c r="E200" s="41"/>
      <c r="F200" s="41"/>
      <c r="G200" s="41"/>
      <c r="H200" s="41"/>
      <c r="I200" s="42">
        <v>45841</v>
      </c>
      <c r="J200" s="41"/>
      <c r="K200" s="41">
        <v>0</v>
      </c>
      <c r="L200" s="43"/>
    </row>
    <row r="201" spans="2:12" outlineLevel="1">
      <c r="B201" s="7">
        <f>IF(C201="","",(B200+1))</f>
        <v>138</v>
      </c>
      <c r="C201" s="41" t="s">
        <v>9</v>
      </c>
      <c r="D201" s="41" t="s">
        <v>366</v>
      </c>
      <c r="E201" s="41">
        <v>14359</v>
      </c>
      <c r="F201" s="41"/>
      <c r="G201" s="41"/>
      <c r="H201" s="41"/>
      <c r="I201" s="42">
        <v>45841</v>
      </c>
      <c r="J201" s="41"/>
      <c r="K201" s="41">
        <v>0</v>
      </c>
      <c r="L201" s="43"/>
    </row>
    <row r="202" spans="2:12" outlineLevel="1">
      <c r="B202" s="7">
        <f>IF(C202="","",(B201+1))</f>
        <v>139</v>
      </c>
      <c r="C202" s="41" t="s">
        <v>9</v>
      </c>
      <c r="D202" s="41" t="s">
        <v>366</v>
      </c>
      <c r="E202" s="41" t="s">
        <v>1041</v>
      </c>
      <c r="F202" s="41"/>
      <c r="G202" s="41"/>
      <c r="H202" s="41"/>
      <c r="I202" s="42">
        <v>45841</v>
      </c>
      <c r="J202" s="41"/>
      <c r="K202" s="41">
        <v>0</v>
      </c>
      <c r="L202" s="43"/>
    </row>
    <row r="203" spans="2:12" outlineLevel="1">
      <c r="B203" s="7">
        <f>IF(C203="","",(B202+1))</f>
        <v>140</v>
      </c>
      <c r="C203" s="41" t="s">
        <v>9</v>
      </c>
      <c r="D203" s="41" t="s">
        <v>366</v>
      </c>
      <c r="E203" s="41" t="s">
        <v>1042</v>
      </c>
      <c r="F203" s="41"/>
      <c r="G203" s="41"/>
      <c r="H203" s="41"/>
      <c r="I203" s="42">
        <v>45841</v>
      </c>
      <c r="J203" s="41"/>
      <c r="K203" s="41">
        <v>0</v>
      </c>
      <c r="L203" s="43"/>
    </row>
    <row r="204" spans="2:12" outlineLevel="1">
      <c r="B204" s="7">
        <f>IF(C204="","",(B203+1))</f>
        <v>141</v>
      </c>
      <c r="C204" s="41" t="s">
        <v>9</v>
      </c>
      <c r="D204" s="41" t="s">
        <v>366</v>
      </c>
      <c r="E204" s="41" t="s">
        <v>988</v>
      </c>
      <c r="F204" s="41"/>
      <c r="G204" s="41"/>
      <c r="H204" s="41"/>
      <c r="I204" s="42">
        <v>45841</v>
      </c>
      <c r="J204" s="41"/>
      <c r="K204" s="41">
        <v>23</v>
      </c>
      <c r="L204" s="43"/>
    </row>
    <row r="205" spans="2:12" outlineLevel="1">
      <c r="B205" s="7">
        <f>IF(C205="","",(B204+1))</f>
        <v>142</v>
      </c>
      <c r="C205" s="41" t="s">
        <v>9</v>
      </c>
      <c r="D205" s="41" t="s">
        <v>366</v>
      </c>
      <c r="E205" s="58">
        <v>80000400000000</v>
      </c>
      <c r="F205" s="41"/>
      <c r="G205" s="41"/>
      <c r="H205" s="41"/>
      <c r="I205" s="42">
        <v>45841</v>
      </c>
      <c r="J205" s="41"/>
      <c r="K205" s="41">
        <v>0</v>
      </c>
      <c r="L205" s="43"/>
    </row>
    <row r="206" spans="2:12" outlineLevel="1">
      <c r="B206" s="7">
        <f>IF(C206="","",(B205+1))</f>
        <v>143</v>
      </c>
      <c r="C206" s="41" t="s">
        <v>9</v>
      </c>
      <c r="D206" s="41" t="s">
        <v>366</v>
      </c>
      <c r="E206" s="41">
        <v>18303</v>
      </c>
      <c r="F206" s="41"/>
      <c r="G206" s="41"/>
      <c r="H206" s="41"/>
      <c r="I206" s="42">
        <v>45841</v>
      </c>
      <c r="J206" s="41"/>
      <c r="K206" s="41">
        <v>0</v>
      </c>
      <c r="L206" s="43"/>
    </row>
    <row r="207" spans="2:12" outlineLevel="1">
      <c r="B207" s="7">
        <f>IF(C207="","",(B206+1))</f>
        <v>144</v>
      </c>
      <c r="C207" s="41" t="s">
        <v>9</v>
      </c>
      <c r="D207" s="41" t="s">
        <v>366</v>
      </c>
      <c r="E207" s="41" t="s">
        <v>1043</v>
      </c>
      <c r="F207" s="41"/>
      <c r="G207" s="41"/>
      <c r="H207" s="41"/>
      <c r="I207" s="42">
        <v>45841</v>
      </c>
      <c r="J207" s="41"/>
      <c r="K207" s="41">
        <v>0</v>
      </c>
      <c r="L207" s="43"/>
    </row>
    <row r="208" spans="2:12" outlineLevel="1">
      <c r="B208" s="7">
        <f>IF(C208="","",(B207+1))</f>
        <v>145</v>
      </c>
      <c r="C208" s="41" t="s">
        <v>9</v>
      </c>
      <c r="D208" s="41" t="s">
        <v>366</v>
      </c>
      <c r="E208" s="58">
        <v>80000400000000</v>
      </c>
      <c r="F208" s="41"/>
      <c r="G208" s="41"/>
      <c r="H208" s="41"/>
      <c r="I208" s="42">
        <v>45841</v>
      </c>
      <c r="J208" s="41"/>
      <c r="K208" s="41">
        <v>0</v>
      </c>
      <c r="L208" s="43"/>
    </row>
    <row r="209" spans="2:12" outlineLevel="1">
      <c r="B209" s="7">
        <f>IF(C209="","",(B208+1))</f>
        <v>146</v>
      </c>
      <c r="C209" s="41" t="s">
        <v>9</v>
      </c>
      <c r="D209" s="41" t="s">
        <v>366</v>
      </c>
      <c r="E209" s="41" t="s">
        <v>1044</v>
      </c>
      <c r="F209" s="41"/>
      <c r="G209" s="41"/>
      <c r="H209" s="41"/>
      <c r="I209" s="42">
        <v>45841</v>
      </c>
      <c r="J209" s="41"/>
      <c r="K209" s="41">
        <v>0</v>
      </c>
      <c r="L209" s="43"/>
    </row>
    <row r="210" spans="2:12" outlineLevel="1">
      <c r="B210" s="7">
        <f>IF(C210="","",(B209+1))</f>
        <v>147</v>
      </c>
      <c r="C210" s="41" t="s">
        <v>9</v>
      </c>
      <c r="D210" s="41" t="s">
        <v>366</v>
      </c>
      <c r="E210" s="41" t="s">
        <v>1045</v>
      </c>
      <c r="F210" s="41"/>
      <c r="G210" s="41"/>
      <c r="H210" s="41"/>
      <c r="I210" s="42">
        <v>45841</v>
      </c>
      <c r="J210" s="41"/>
      <c r="K210" s="41">
        <v>0</v>
      </c>
      <c r="L210" s="43"/>
    </row>
    <row r="211" spans="2:12" outlineLevel="1">
      <c r="B211" s="7">
        <f>IF(C211="","",(B210+1))</f>
        <v>148</v>
      </c>
      <c r="C211" s="41" t="s">
        <v>9</v>
      </c>
      <c r="D211" s="41" t="s">
        <v>366</v>
      </c>
      <c r="E211" s="41" t="s">
        <v>1046</v>
      </c>
      <c r="F211" s="41"/>
      <c r="G211" s="41"/>
      <c r="H211" s="41"/>
      <c r="I211" s="42">
        <v>45841</v>
      </c>
      <c r="J211" s="41"/>
      <c r="K211" s="41">
        <v>0</v>
      </c>
      <c r="L211" s="43"/>
    </row>
    <row r="212" spans="2:12" outlineLevel="1">
      <c r="B212" s="7">
        <f>IF(C212="","",(B211+1))</f>
        <v>149</v>
      </c>
      <c r="C212" s="41" t="s">
        <v>9</v>
      </c>
      <c r="D212" s="41" t="s">
        <v>366</v>
      </c>
      <c r="E212" s="41" t="s">
        <v>1047</v>
      </c>
      <c r="F212" s="41"/>
      <c r="G212" s="41"/>
      <c r="H212" s="41"/>
      <c r="I212" s="42">
        <v>45841</v>
      </c>
      <c r="J212" s="41"/>
      <c r="K212" s="41">
        <v>0</v>
      </c>
      <c r="L212" s="43"/>
    </row>
    <row r="213" spans="2:12" outlineLevel="1">
      <c r="B213" s="7">
        <f>IF(C213="","",(B212+1))</f>
        <v>150</v>
      </c>
      <c r="C213" s="41" t="s">
        <v>9</v>
      </c>
      <c r="D213" s="41" t="s">
        <v>366</v>
      </c>
      <c r="E213" s="41" t="s">
        <v>1048</v>
      </c>
      <c r="F213" s="41"/>
      <c r="G213" s="41"/>
      <c r="H213" s="41"/>
      <c r="I213" s="42">
        <v>45841</v>
      </c>
      <c r="J213" s="41"/>
      <c r="K213" s="41">
        <v>0</v>
      </c>
      <c r="L213" s="43"/>
    </row>
    <row r="214" spans="2:12" outlineLevel="1">
      <c r="B214" s="7">
        <f>IF(C214="","",(B213+1))</f>
        <v>151</v>
      </c>
      <c r="C214" s="41" t="s">
        <v>9</v>
      </c>
      <c r="D214" s="41" t="s">
        <v>366</v>
      </c>
      <c r="E214" s="41" t="s">
        <v>1049</v>
      </c>
      <c r="F214" s="41"/>
      <c r="G214" s="41"/>
      <c r="H214" s="41"/>
      <c r="I214" s="42">
        <v>45841</v>
      </c>
      <c r="J214" s="41"/>
      <c r="K214" s="41">
        <v>0</v>
      </c>
      <c r="L214" s="43"/>
    </row>
    <row r="215" spans="2:12" outlineLevel="1">
      <c r="B215" s="7">
        <f>IF(C215="","",(B214+1))</f>
        <v>152</v>
      </c>
      <c r="C215" s="41" t="s">
        <v>9</v>
      </c>
      <c r="D215" s="41" t="s">
        <v>366</v>
      </c>
      <c r="E215" s="41" t="s">
        <v>1050</v>
      </c>
      <c r="F215" s="41"/>
      <c r="G215" s="41"/>
      <c r="H215" s="41"/>
      <c r="I215" s="42">
        <v>45841</v>
      </c>
      <c r="J215" s="41"/>
      <c r="K215" s="41">
        <v>0</v>
      </c>
      <c r="L215" s="43"/>
    </row>
    <row r="216" spans="2:12" outlineLevel="1">
      <c r="B216" s="7">
        <f>IF(C216="","",(B215+1))</f>
        <v>153</v>
      </c>
      <c r="C216" s="41" t="s">
        <v>9</v>
      </c>
      <c r="D216" s="41" t="s">
        <v>366</v>
      </c>
      <c r="E216" s="41" t="s">
        <v>1051</v>
      </c>
      <c r="F216" s="41"/>
      <c r="G216" s="41"/>
      <c r="H216" s="41"/>
      <c r="I216" s="42">
        <v>45841</v>
      </c>
      <c r="J216" s="41"/>
      <c r="K216" s="41">
        <v>0</v>
      </c>
      <c r="L216" s="43"/>
    </row>
    <row r="217" spans="2:12" outlineLevel="1">
      <c r="B217" s="7">
        <f>IF(C217="","",(B216+1))</f>
        <v>154</v>
      </c>
      <c r="C217" s="41" t="s">
        <v>9</v>
      </c>
      <c r="D217" s="41" t="s">
        <v>366</v>
      </c>
      <c r="E217" s="41" t="s">
        <v>1052</v>
      </c>
      <c r="F217" s="41"/>
      <c r="G217" s="41"/>
      <c r="H217" s="41"/>
      <c r="I217" s="42">
        <v>45841</v>
      </c>
      <c r="J217" s="41"/>
      <c r="K217" s="41">
        <v>0</v>
      </c>
      <c r="L217" s="43"/>
    </row>
    <row r="218" spans="2:12" outlineLevel="1">
      <c r="B218" s="7">
        <f>IF(C218="","",(B217+1))</f>
        <v>155</v>
      </c>
      <c r="C218" s="41" t="s">
        <v>9</v>
      </c>
      <c r="D218" s="41" t="s">
        <v>366</v>
      </c>
      <c r="E218" s="41" t="s">
        <v>1053</v>
      </c>
      <c r="F218" s="41"/>
      <c r="G218" s="41"/>
      <c r="H218" s="41"/>
      <c r="I218" s="42">
        <v>45841</v>
      </c>
      <c r="J218" s="41"/>
      <c r="K218" s="41">
        <v>0</v>
      </c>
      <c r="L218" s="43"/>
    </row>
    <row r="219" spans="2:12" outlineLevel="1">
      <c r="B219" s="7">
        <f>IF(C219="","",(B218+1))</f>
        <v>156</v>
      </c>
      <c r="C219" s="41" t="s">
        <v>9</v>
      </c>
      <c r="D219" s="41" t="s">
        <v>366</v>
      </c>
      <c r="E219" s="41" t="s">
        <v>1054</v>
      </c>
      <c r="F219" s="41"/>
      <c r="G219" s="41"/>
      <c r="H219" s="41"/>
      <c r="I219" s="42">
        <v>45841</v>
      </c>
      <c r="J219" s="41"/>
      <c r="K219" s="41">
        <v>0</v>
      </c>
      <c r="L219" s="43"/>
    </row>
    <row r="220" spans="2:12" outlineLevel="1">
      <c r="B220" s="7">
        <f>IF(C220="","",(B219+1))</f>
        <v>157</v>
      </c>
      <c r="C220" s="41" t="s">
        <v>9</v>
      </c>
      <c r="D220" s="41" t="s">
        <v>366</v>
      </c>
      <c r="E220" s="41" t="s">
        <v>1055</v>
      </c>
      <c r="F220" s="41"/>
      <c r="G220" s="41"/>
      <c r="H220" s="41"/>
      <c r="I220" s="42">
        <v>45841</v>
      </c>
      <c r="J220" s="41"/>
      <c r="K220" s="41">
        <v>0</v>
      </c>
      <c r="L220" s="43"/>
    </row>
    <row r="221" spans="2:12" outlineLevel="1">
      <c r="B221" s="7">
        <f>IF(C221="","",(B220+1))</f>
        <v>158</v>
      </c>
      <c r="C221" s="41" t="s">
        <v>9</v>
      </c>
      <c r="D221" s="41" t="s">
        <v>366</v>
      </c>
      <c r="E221" s="41" t="s">
        <v>1056</v>
      </c>
      <c r="F221" s="41"/>
      <c r="G221" s="41"/>
      <c r="H221" s="41"/>
      <c r="I221" s="42">
        <v>45841</v>
      </c>
      <c r="J221" s="41"/>
      <c r="K221" s="41">
        <v>0</v>
      </c>
      <c r="L221" s="43"/>
    </row>
    <row r="222" spans="2:12" outlineLevel="1">
      <c r="B222" s="7">
        <f>IF(C222="","",(B221+1))</f>
        <v>159</v>
      </c>
      <c r="C222" s="41" t="s">
        <v>9</v>
      </c>
      <c r="D222" s="41" t="s">
        <v>366</v>
      </c>
      <c r="E222" s="41" t="s">
        <v>1057</v>
      </c>
      <c r="F222" s="41"/>
      <c r="G222" s="41"/>
      <c r="H222" s="41"/>
      <c r="I222" s="42">
        <v>45841</v>
      </c>
      <c r="J222" s="41"/>
      <c r="K222" s="41">
        <v>0</v>
      </c>
      <c r="L222" s="43"/>
    </row>
    <row r="223" spans="2:12" outlineLevel="1">
      <c r="B223" s="7">
        <f>IF(C223="","",(B222+1))</f>
        <v>160</v>
      </c>
      <c r="C223" s="41" t="s">
        <v>9</v>
      </c>
      <c r="D223" s="41" t="s">
        <v>366</v>
      </c>
      <c r="E223" s="41">
        <v>16520</v>
      </c>
      <c r="F223" s="41"/>
      <c r="G223" s="41"/>
      <c r="H223" s="41"/>
      <c r="I223" s="42">
        <v>45841</v>
      </c>
      <c r="J223" s="41"/>
      <c r="K223" s="41">
        <v>0</v>
      </c>
      <c r="L223" s="43"/>
    </row>
    <row r="224" spans="2:12" outlineLevel="1">
      <c r="B224" s="7">
        <f>IF(C224="","",(B223+1))</f>
        <v>161</v>
      </c>
      <c r="C224" s="41" t="s">
        <v>9</v>
      </c>
      <c r="D224" s="41" t="s">
        <v>366</v>
      </c>
      <c r="E224" s="41">
        <v>14736</v>
      </c>
      <c r="F224" s="41"/>
      <c r="G224" s="41"/>
      <c r="H224" s="41"/>
      <c r="I224" s="42">
        <v>45841</v>
      </c>
      <c r="J224" s="41"/>
      <c r="K224" s="41">
        <v>0</v>
      </c>
      <c r="L224" s="43"/>
    </row>
    <row r="225" spans="2:12" outlineLevel="1">
      <c r="B225" s="7">
        <f>IF(C225="","",(B224+1))</f>
        <v>162</v>
      </c>
      <c r="C225" s="41" t="s">
        <v>9</v>
      </c>
      <c r="D225" s="41" t="s">
        <v>366</v>
      </c>
      <c r="E225" s="58">
        <v>80000600000000</v>
      </c>
      <c r="F225" s="41"/>
      <c r="G225" s="41"/>
      <c r="H225" s="41"/>
      <c r="I225" s="42">
        <v>45841</v>
      </c>
      <c r="J225" s="41"/>
      <c r="K225" s="41">
        <v>0</v>
      </c>
      <c r="L225" s="43"/>
    </row>
    <row r="226" spans="2:12" outlineLevel="1">
      <c r="B226" s="7">
        <f>IF(C226="","",(B225+1))</f>
        <v>163</v>
      </c>
      <c r="C226" s="41" t="s">
        <v>9</v>
      </c>
      <c r="D226" s="41" t="s">
        <v>366</v>
      </c>
      <c r="E226" s="41" t="s">
        <v>1058</v>
      </c>
      <c r="F226" s="41"/>
      <c r="G226" s="41"/>
      <c r="H226" s="41"/>
      <c r="I226" s="42">
        <v>45841</v>
      </c>
      <c r="J226" s="41"/>
      <c r="K226" s="41">
        <v>0</v>
      </c>
      <c r="L226" s="43"/>
    </row>
    <row r="227" spans="2:12" outlineLevel="1">
      <c r="B227" s="7">
        <f>IF(C227="","",(B226+1))</f>
        <v>164</v>
      </c>
      <c r="C227" s="41" t="s">
        <v>9</v>
      </c>
      <c r="D227" s="41" t="s">
        <v>366</v>
      </c>
      <c r="E227" s="41" t="s">
        <v>1037</v>
      </c>
      <c r="F227" s="41"/>
      <c r="G227" s="41"/>
      <c r="H227" s="41"/>
      <c r="I227" s="42">
        <v>45841</v>
      </c>
      <c r="J227" s="41"/>
      <c r="K227" s="41">
        <v>0</v>
      </c>
      <c r="L227" s="43"/>
    </row>
    <row r="228" spans="2:12" outlineLevel="1">
      <c r="B228" s="7">
        <f>IF(C228="","",(B227+1))</f>
        <v>165</v>
      </c>
      <c r="C228" s="41" t="s">
        <v>9</v>
      </c>
      <c r="D228" s="41" t="s">
        <v>366</v>
      </c>
      <c r="E228" s="41" t="s">
        <v>990</v>
      </c>
      <c r="F228" s="41"/>
      <c r="G228" s="41"/>
      <c r="H228" s="41"/>
      <c r="I228" s="42">
        <v>45841</v>
      </c>
      <c r="J228" s="41"/>
      <c r="K228" s="41">
        <v>0</v>
      </c>
      <c r="L228" s="43"/>
    </row>
    <row r="229" spans="2:12" outlineLevel="1">
      <c r="B229" s="7">
        <f>IF(C229="","",(B228+1))</f>
        <v>166</v>
      </c>
      <c r="C229" s="41" t="s">
        <v>9</v>
      </c>
      <c r="D229" s="41" t="s">
        <v>366</v>
      </c>
      <c r="E229" s="41" t="s">
        <v>1059</v>
      </c>
      <c r="F229" s="41"/>
      <c r="G229" s="41"/>
      <c r="H229" s="41"/>
      <c r="I229" s="42">
        <v>45841</v>
      </c>
      <c r="J229" s="41"/>
      <c r="K229" s="41">
        <v>15</v>
      </c>
      <c r="L229" s="43"/>
    </row>
    <row r="230" spans="2:12" outlineLevel="1">
      <c r="B230" s="7">
        <f>IF(C230="","",(B229+1))</f>
        <v>167</v>
      </c>
      <c r="C230" s="41" t="s">
        <v>9</v>
      </c>
      <c r="D230" s="41" t="s">
        <v>366</v>
      </c>
      <c r="E230" s="41" t="s">
        <v>989</v>
      </c>
      <c r="F230" s="41"/>
      <c r="G230" s="41"/>
      <c r="H230" s="41"/>
      <c r="I230" s="42">
        <v>45841</v>
      </c>
      <c r="J230" s="41"/>
      <c r="K230" s="41">
        <v>18</v>
      </c>
      <c r="L230" s="43"/>
    </row>
    <row r="231" spans="2:12" outlineLevel="1">
      <c r="B231" s="7">
        <f>IF(C231="","",(B230+1))</f>
        <v>168</v>
      </c>
      <c r="C231" s="41" t="s">
        <v>9</v>
      </c>
      <c r="D231" s="41" t="s">
        <v>366</v>
      </c>
      <c r="E231" s="58">
        <v>80000600000000</v>
      </c>
      <c r="F231" s="41"/>
      <c r="G231" s="41"/>
      <c r="H231" s="41"/>
      <c r="I231" s="42">
        <v>45841</v>
      </c>
      <c r="J231" s="41"/>
      <c r="K231" s="41">
        <v>0</v>
      </c>
      <c r="L231" s="43"/>
    </row>
    <row r="232" spans="2:12" outlineLevel="1">
      <c r="B232" s="7">
        <f>IF(C232="","",(B231+1))</f>
        <v>169</v>
      </c>
      <c r="C232" s="41" t="s">
        <v>9</v>
      </c>
      <c r="D232" s="41" t="s">
        <v>366</v>
      </c>
      <c r="E232" s="41">
        <v>14739</v>
      </c>
      <c r="F232" s="41"/>
      <c r="G232" s="41"/>
      <c r="H232" s="41"/>
      <c r="I232" s="42">
        <v>45841</v>
      </c>
      <c r="J232" s="41"/>
      <c r="K232" s="41">
        <v>0</v>
      </c>
      <c r="L232" s="43"/>
    </row>
    <row r="233" spans="2:12" outlineLevel="1">
      <c r="B233" s="7">
        <f>IF(C233="","",(B232+1))</f>
        <v>170</v>
      </c>
      <c r="C233" s="41" t="s">
        <v>9</v>
      </c>
      <c r="D233" s="41" t="s">
        <v>366</v>
      </c>
      <c r="E233" s="41">
        <v>6555</v>
      </c>
      <c r="F233" s="41"/>
      <c r="G233" s="41"/>
      <c r="H233" s="41"/>
      <c r="I233" s="42">
        <v>45841</v>
      </c>
      <c r="J233" s="41"/>
      <c r="K233" s="41">
        <v>0</v>
      </c>
      <c r="L233" s="43"/>
    </row>
    <row r="234" spans="2:12" outlineLevel="1">
      <c r="B234" s="7">
        <f>IF(C234="","",(B233+1))</f>
        <v>171</v>
      </c>
      <c r="C234" s="41" t="s">
        <v>9</v>
      </c>
      <c r="D234" s="41" t="s">
        <v>366</v>
      </c>
      <c r="E234" s="58">
        <v>80000600000000</v>
      </c>
      <c r="F234" s="41"/>
      <c r="G234" s="41"/>
      <c r="H234" s="41"/>
      <c r="I234" s="42">
        <v>45841</v>
      </c>
      <c r="J234" s="41"/>
      <c r="K234" s="41">
        <v>0</v>
      </c>
      <c r="L234" s="43"/>
    </row>
    <row r="235" spans="2:12" outlineLevel="1">
      <c r="B235" s="7">
        <f>IF(C235="","",(B234+1))</f>
        <v>172</v>
      </c>
      <c r="C235" s="41" t="s">
        <v>9</v>
      </c>
      <c r="D235" s="41" t="s">
        <v>366</v>
      </c>
      <c r="E235" s="58">
        <v>80000600000000</v>
      </c>
      <c r="F235" s="41"/>
      <c r="G235" s="41"/>
      <c r="H235" s="41"/>
      <c r="I235" s="42">
        <v>45841</v>
      </c>
      <c r="J235" s="41"/>
      <c r="K235" s="41">
        <v>0</v>
      </c>
      <c r="L235" s="43"/>
    </row>
    <row r="236" spans="2:12" outlineLevel="1">
      <c r="B236" s="7">
        <f>IF(C236="","",(B235+1))</f>
        <v>173</v>
      </c>
      <c r="C236" s="41" t="s">
        <v>9</v>
      </c>
      <c r="D236" s="41" t="s">
        <v>366</v>
      </c>
      <c r="E236" s="58">
        <v>80000600000000</v>
      </c>
      <c r="F236" s="41"/>
      <c r="G236" s="41"/>
      <c r="H236" s="41"/>
      <c r="I236" s="42">
        <v>45841</v>
      </c>
      <c r="J236" s="41"/>
      <c r="K236" s="41">
        <v>0</v>
      </c>
      <c r="L236" s="43"/>
    </row>
    <row r="237" spans="2:12" outlineLevel="1">
      <c r="B237" s="7">
        <f>IF(C237="","",(B236+1))</f>
        <v>174</v>
      </c>
      <c r="C237" s="41" t="s">
        <v>9</v>
      </c>
      <c r="D237" s="41" t="s">
        <v>366</v>
      </c>
      <c r="E237" s="41" t="s">
        <v>1060</v>
      </c>
      <c r="F237" s="41"/>
      <c r="G237" s="41"/>
      <c r="H237" s="41"/>
      <c r="I237" s="42">
        <v>45841</v>
      </c>
      <c r="J237" s="41"/>
      <c r="K237" s="41">
        <v>0</v>
      </c>
      <c r="L237" s="43"/>
    </row>
    <row r="238" spans="2:12" outlineLevel="1">
      <c r="B238" s="7">
        <f>IF(C238="","",(B237+1))</f>
        <v>175</v>
      </c>
      <c r="C238" s="41" t="s">
        <v>9</v>
      </c>
      <c r="D238" s="41" t="s">
        <v>366</v>
      </c>
      <c r="E238" s="41" t="s">
        <v>1061</v>
      </c>
      <c r="F238" s="41"/>
      <c r="G238" s="41"/>
      <c r="H238" s="41"/>
      <c r="I238" s="42">
        <v>45841</v>
      </c>
      <c r="J238" s="41"/>
      <c r="K238" s="41">
        <v>0</v>
      </c>
      <c r="L238" s="43"/>
    </row>
    <row r="239" spans="2:12" outlineLevel="1">
      <c r="B239" s="7">
        <f>IF(C239="","",(B238+1))</f>
        <v>176</v>
      </c>
      <c r="C239" s="41" t="s">
        <v>9</v>
      </c>
      <c r="D239" s="41" t="s">
        <v>366</v>
      </c>
      <c r="E239" s="41">
        <v>13969</v>
      </c>
      <c r="F239" s="41"/>
      <c r="G239" s="41"/>
      <c r="H239" s="41"/>
      <c r="I239" s="42">
        <v>45841</v>
      </c>
      <c r="J239" s="41"/>
      <c r="K239" s="41">
        <v>0</v>
      </c>
      <c r="L239" s="43"/>
    </row>
    <row r="240" spans="2:12" outlineLevel="1">
      <c r="B240" s="7">
        <f>IF(C240="","",(B239+1))</f>
        <v>177</v>
      </c>
      <c r="C240" s="41" t="s">
        <v>9</v>
      </c>
      <c r="D240" s="41" t="s">
        <v>366</v>
      </c>
      <c r="E240" s="41" t="s">
        <v>1062</v>
      </c>
      <c r="F240" s="41"/>
      <c r="G240" s="41"/>
      <c r="H240" s="41"/>
      <c r="I240" s="42">
        <v>45841</v>
      </c>
      <c r="J240" s="41"/>
      <c r="K240" s="41">
        <v>0</v>
      </c>
      <c r="L240" s="43"/>
    </row>
    <row r="241" spans="2:12" outlineLevel="1">
      <c r="B241" s="7">
        <f>IF(C241="","",(B240+1))</f>
        <v>178</v>
      </c>
      <c r="C241" s="41" t="s">
        <v>9</v>
      </c>
      <c r="D241" s="41" t="s">
        <v>366</v>
      </c>
      <c r="E241" s="41" t="s">
        <v>1063</v>
      </c>
      <c r="F241" s="41"/>
      <c r="G241" s="41"/>
      <c r="H241" s="41"/>
      <c r="I241" s="42">
        <v>45841</v>
      </c>
      <c r="J241" s="41"/>
      <c r="K241" s="41">
        <v>0</v>
      </c>
      <c r="L241" s="43"/>
    </row>
    <row r="242" spans="2:12" outlineLevel="1">
      <c r="B242" s="7">
        <f>IF(C242="","",(B241+1))</f>
        <v>179</v>
      </c>
      <c r="C242" s="41" t="s">
        <v>9</v>
      </c>
      <c r="D242" s="41" t="s">
        <v>366</v>
      </c>
      <c r="E242" s="41">
        <v>5518</v>
      </c>
      <c r="F242" s="41"/>
      <c r="G242" s="41"/>
      <c r="H242" s="41"/>
      <c r="I242" s="42">
        <v>45841</v>
      </c>
      <c r="J242" s="41"/>
      <c r="K242" s="41">
        <v>0</v>
      </c>
      <c r="L242" s="43"/>
    </row>
    <row r="243" spans="2:12" outlineLevel="1">
      <c r="B243" s="7">
        <f>IF(C243="","",(B242+1))</f>
        <v>180</v>
      </c>
      <c r="C243" s="41" t="s">
        <v>9</v>
      </c>
      <c r="D243" s="41" t="s">
        <v>366</v>
      </c>
      <c r="E243" s="41" t="s">
        <v>1064</v>
      </c>
      <c r="F243" s="41"/>
      <c r="G243" s="41"/>
      <c r="H243" s="41"/>
      <c r="I243" s="42">
        <v>45841</v>
      </c>
      <c r="J243" s="41"/>
      <c r="K243" s="41">
        <v>0</v>
      </c>
      <c r="L243" s="43"/>
    </row>
    <row r="244" spans="2:12" outlineLevel="1">
      <c r="B244" s="7">
        <f>IF(C244="","",(B243+1))</f>
        <v>181</v>
      </c>
      <c r="C244" s="41" t="s">
        <v>9</v>
      </c>
      <c r="D244" s="41" t="s">
        <v>366</v>
      </c>
      <c r="E244" s="41" t="s">
        <v>1065</v>
      </c>
      <c r="F244" s="41"/>
      <c r="G244" s="41"/>
      <c r="H244" s="41"/>
      <c r="I244" s="42">
        <v>45841</v>
      </c>
      <c r="J244" s="41"/>
      <c r="K244" s="41">
        <v>35</v>
      </c>
      <c r="L244" s="43"/>
    </row>
    <row r="245" spans="2:12" outlineLevel="1">
      <c r="B245" s="7">
        <f>IF(C245="","",(B244+1))</f>
        <v>182</v>
      </c>
      <c r="C245" s="41" t="s">
        <v>9</v>
      </c>
      <c r="D245" s="41" t="s">
        <v>366</v>
      </c>
      <c r="E245" s="41">
        <v>6411</v>
      </c>
      <c r="F245" s="41"/>
      <c r="G245" s="41"/>
      <c r="H245" s="41"/>
      <c r="I245" s="42">
        <v>45841</v>
      </c>
      <c r="J245" s="41"/>
      <c r="K245" s="41">
        <v>0</v>
      </c>
      <c r="L245" s="43"/>
    </row>
    <row r="246" spans="2:12" outlineLevel="1">
      <c r="B246" s="7">
        <f>IF(C246="","",(B245+1))</f>
        <v>183</v>
      </c>
      <c r="C246" s="41" t="s">
        <v>9</v>
      </c>
      <c r="D246" s="41" t="s">
        <v>366</v>
      </c>
      <c r="E246" s="41" t="s">
        <v>1066</v>
      </c>
      <c r="F246" s="41"/>
      <c r="G246" s="41"/>
      <c r="H246" s="41"/>
      <c r="I246" s="42">
        <v>45841</v>
      </c>
      <c r="J246" s="41"/>
      <c r="K246" s="41">
        <v>0</v>
      </c>
      <c r="L246" s="43"/>
    </row>
    <row r="247" spans="2:12" outlineLevel="1">
      <c r="B247" s="7">
        <f>IF(C247="","",(B246+1))</f>
        <v>184</v>
      </c>
      <c r="C247" s="41" t="s">
        <v>9</v>
      </c>
      <c r="D247" s="41" t="s">
        <v>366</v>
      </c>
      <c r="E247" s="41" t="s">
        <v>1067</v>
      </c>
      <c r="F247" s="41"/>
      <c r="G247" s="41"/>
      <c r="H247" s="41"/>
      <c r="I247" s="42">
        <v>45841</v>
      </c>
      <c r="J247" s="41"/>
      <c r="K247" s="41">
        <v>0</v>
      </c>
      <c r="L247" s="43"/>
    </row>
    <row r="248" spans="2:12" outlineLevel="1">
      <c r="B248" s="7">
        <f>IF(C248="","",(B247+1))</f>
        <v>185</v>
      </c>
      <c r="C248" s="41" t="s">
        <v>9</v>
      </c>
      <c r="D248" s="41" t="s">
        <v>366</v>
      </c>
      <c r="E248" s="58">
        <v>80000600000000</v>
      </c>
      <c r="F248" s="41"/>
      <c r="G248" s="41"/>
      <c r="H248" s="41"/>
      <c r="I248" s="42">
        <v>45841</v>
      </c>
      <c r="J248" s="41"/>
      <c r="K248" s="41">
        <v>0</v>
      </c>
      <c r="L248" s="43"/>
    </row>
    <row r="249" spans="2:12" outlineLevel="1">
      <c r="B249" s="7">
        <f>IF(C249="","",(B248+1))</f>
        <v>186</v>
      </c>
      <c r="C249" s="41" t="s">
        <v>9</v>
      </c>
      <c r="D249" s="41" t="s">
        <v>366</v>
      </c>
      <c r="E249" s="41" t="s">
        <v>1068</v>
      </c>
      <c r="F249" s="41"/>
      <c r="G249" s="41"/>
      <c r="H249" s="41"/>
      <c r="I249" s="42">
        <v>45841</v>
      </c>
      <c r="J249" s="41"/>
      <c r="K249" s="41">
        <v>0</v>
      </c>
      <c r="L249" s="43"/>
    </row>
    <row r="250" spans="2:12" outlineLevel="1">
      <c r="B250" s="7">
        <f>IF(C250="","",(B249+1))</f>
        <v>187</v>
      </c>
      <c r="C250" s="41" t="s">
        <v>9</v>
      </c>
      <c r="D250" s="41" t="s">
        <v>366</v>
      </c>
      <c r="E250" s="58">
        <v>80000600000000</v>
      </c>
      <c r="F250" s="41"/>
      <c r="G250" s="41"/>
      <c r="H250" s="41"/>
      <c r="I250" s="42">
        <v>45841</v>
      </c>
      <c r="J250" s="41"/>
      <c r="K250" s="41">
        <v>0</v>
      </c>
      <c r="L250" s="43"/>
    </row>
    <row r="251" spans="2:12" outlineLevel="1">
      <c r="B251" s="7">
        <f>IF(C251="","",(B250+1))</f>
        <v>188</v>
      </c>
      <c r="C251" s="41" t="s">
        <v>9</v>
      </c>
      <c r="D251" s="41" t="s">
        <v>366</v>
      </c>
      <c r="E251" s="41" t="s">
        <v>1039</v>
      </c>
      <c r="F251" s="41"/>
      <c r="G251" s="41"/>
      <c r="H251" s="41"/>
      <c r="I251" s="42">
        <v>45841</v>
      </c>
      <c r="J251" s="41"/>
      <c r="K251" s="41">
        <v>0</v>
      </c>
      <c r="L251" s="43"/>
    </row>
    <row r="252" spans="2:12" outlineLevel="1">
      <c r="B252" s="7">
        <f>IF(C252="","",(B251+1))</f>
        <v>189</v>
      </c>
      <c r="C252" s="41" t="s">
        <v>9</v>
      </c>
      <c r="D252" s="41" t="s">
        <v>366</v>
      </c>
      <c r="E252" s="58">
        <v>80000300000000</v>
      </c>
      <c r="F252" s="41"/>
      <c r="G252" s="41"/>
      <c r="H252" s="41"/>
      <c r="I252" s="42">
        <v>45841</v>
      </c>
      <c r="J252" s="41"/>
      <c r="K252" s="41">
        <v>0</v>
      </c>
      <c r="L252" s="43"/>
    </row>
    <row r="253" spans="2:12" outlineLevel="1">
      <c r="B253" s="7">
        <f>IF(C253="","",(B252+1))</f>
        <v>190</v>
      </c>
      <c r="C253" s="41" t="s">
        <v>9</v>
      </c>
      <c r="D253" s="41" t="s">
        <v>366</v>
      </c>
      <c r="E253" s="41">
        <v>16553</v>
      </c>
      <c r="F253" s="41"/>
      <c r="G253" s="41"/>
      <c r="H253" s="41"/>
      <c r="I253" s="42">
        <v>45841</v>
      </c>
      <c r="J253" s="41"/>
      <c r="K253" s="41">
        <v>0</v>
      </c>
      <c r="L253" s="43"/>
    </row>
    <row r="254" spans="2:12" outlineLevel="1">
      <c r="B254" s="7">
        <f>IF(C254="","",(B253+1))</f>
        <v>191</v>
      </c>
      <c r="C254" s="41" t="s">
        <v>9</v>
      </c>
      <c r="D254" s="41" t="s">
        <v>366</v>
      </c>
      <c r="E254" s="58">
        <v>800003000000000</v>
      </c>
      <c r="F254" s="41"/>
      <c r="G254" s="41"/>
      <c r="H254" s="41"/>
      <c r="I254" s="42">
        <v>45841</v>
      </c>
      <c r="J254" s="41"/>
      <c r="K254" s="41">
        <v>0</v>
      </c>
      <c r="L254" s="43"/>
    </row>
    <row r="255" spans="2:12" outlineLevel="1">
      <c r="B255" s="7">
        <f>IF(C255="","",(B254+1))</f>
        <v>192</v>
      </c>
      <c r="C255" s="41" t="s">
        <v>9</v>
      </c>
      <c r="D255" s="41" t="s">
        <v>366</v>
      </c>
      <c r="E255" s="41">
        <v>5829</v>
      </c>
      <c r="F255" s="41"/>
      <c r="G255" s="41"/>
      <c r="H255" s="41"/>
      <c r="I255" s="42">
        <v>45841</v>
      </c>
      <c r="J255" s="41"/>
      <c r="K255" s="41">
        <v>0</v>
      </c>
      <c r="L255" s="43"/>
    </row>
    <row r="256" spans="2:12" outlineLevel="1">
      <c r="B256" s="7">
        <f>IF(C256="","",(B255+1))</f>
        <v>193</v>
      </c>
      <c r="C256" s="41" t="s">
        <v>9</v>
      </c>
      <c r="D256" s="41" t="s">
        <v>366</v>
      </c>
      <c r="E256" s="41" t="s">
        <v>1069</v>
      </c>
      <c r="F256" s="41"/>
      <c r="G256" s="41"/>
      <c r="H256" s="41"/>
      <c r="I256" s="42">
        <v>45841</v>
      </c>
      <c r="J256" s="41"/>
      <c r="K256" s="41">
        <v>0</v>
      </c>
      <c r="L256" s="43"/>
    </row>
    <row r="257" spans="2:12" outlineLevel="1">
      <c r="B257" s="7">
        <f>IF(C257="","",(B256+1))</f>
        <v>194</v>
      </c>
      <c r="C257" s="41" t="s">
        <v>9</v>
      </c>
      <c r="D257" s="41" t="s">
        <v>366</v>
      </c>
      <c r="E257" s="41" t="s">
        <v>1070</v>
      </c>
      <c r="F257" s="41"/>
      <c r="G257" s="41"/>
      <c r="H257" s="41"/>
      <c r="I257" s="42">
        <v>45841</v>
      </c>
      <c r="J257" s="41"/>
      <c r="K257" s="41">
        <v>0</v>
      </c>
      <c r="L257" s="43"/>
    </row>
    <row r="258" spans="2:12" outlineLevel="1">
      <c r="B258" s="7">
        <f>IF(C258="","",(B257+1))</f>
        <v>195</v>
      </c>
      <c r="C258" s="41" t="s">
        <v>9</v>
      </c>
      <c r="D258" s="41" t="s">
        <v>366</v>
      </c>
      <c r="E258" s="58">
        <v>80000600000000</v>
      </c>
      <c r="F258" s="41"/>
      <c r="G258" s="41"/>
      <c r="H258" s="41"/>
      <c r="I258" s="42">
        <v>45841</v>
      </c>
      <c r="J258" s="41"/>
      <c r="K258" s="41">
        <v>0</v>
      </c>
      <c r="L258" s="43"/>
    </row>
    <row r="259" spans="2:12" outlineLevel="1">
      <c r="B259" s="7">
        <f>IF(C259="","",(B258+1))</f>
        <v>196</v>
      </c>
      <c r="C259" s="41" t="s">
        <v>9</v>
      </c>
      <c r="D259" s="41" t="s">
        <v>366</v>
      </c>
      <c r="E259" s="41" t="s">
        <v>1071</v>
      </c>
      <c r="F259" s="41"/>
      <c r="G259" s="41"/>
      <c r="H259" s="41"/>
      <c r="I259" s="42">
        <v>45841</v>
      </c>
      <c r="J259" s="41"/>
      <c r="K259" s="41">
        <v>0</v>
      </c>
      <c r="L259" s="43"/>
    </row>
    <row r="260" spans="2:12" outlineLevel="1">
      <c r="B260" s="7">
        <f>IF(C260="","",(B259+1))</f>
        <v>197</v>
      </c>
      <c r="C260" s="41" t="s">
        <v>9</v>
      </c>
      <c r="D260" s="41" t="s">
        <v>366</v>
      </c>
      <c r="E260" s="41">
        <v>5519</v>
      </c>
      <c r="F260" s="41"/>
      <c r="G260" s="41"/>
      <c r="H260" s="41"/>
      <c r="I260" s="42">
        <v>45841</v>
      </c>
      <c r="J260" s="41"/>
      <c r="K260" s="41">
        <v>30</v>
      </c>
      <c r="L260" s="43"/>
    </row>
    <row r="261" spans="2:12" outlineLevel="1">
      <c r="B261" s="7">
        <f>IF(C261="","",(B260+1))</f>
        <v>198</v>
      </c>
      <c r="C261" s="41" t="s">
        <v>9</v>
      </c>
      <c r="D261" s="41" t="s">
        <v>366</v>
      </c>
      <c r="E261" s="58">
        <v>80000300000000</v>
      </c>
      <c r="F261" s="41"/>
      <c r="G261" s="41"/>
      <c r="H261" s="41"/>
      <c r="I261" s="42">
        <v>45841</v>
      </c>
      <c r="J261" s="41"/>
      <c r="K261" s="41">
        <v>0</v>
      </c>
      <c r="L261" s="43"/>
    </row>
    <row r="262" spans="2:12" outlineLevel="1">
      <c r="B262" s="7">
        <f>IF(C262="","",(B261+1))</f>
        <v>199</v>
      </c>
      <c r="C262" s="41" t="s">
        <v>9</v>
      </c>
      <c r="D262" s="41" t="s">
        <v>366</v>
      </c>
      <c r="E262" s="41" t="s">
        <v>1072</v>
      </c>
      <c r="F262" s="41"/>
      <c r="G262" s="41"/>
      <c r="H262" s="41"/>
      <c r="I262" s="42">
        <v>45841</v>
      </c>
      <c r="J262" s="41"/>
      <c r="K262" s="41">
        <v>26</v>
      </c>
      <c r="L262" s="43"/>
    </row>
    <row r="263" spans="2:12" outlineLevel="1">
      <c r="B263" s="7">
        <f>IF(C263="","",(B262+1))</f>
        <v>200</v>
      </c>
      <c r="C263" s="41" t="s">
        <v>9</v>
      </c>
      <c r="D263" s="41" t="s">
        <v>366</v>
      </c>
      <c r="E263" s="41" t="s">
        <v>1073</v>
      </c>
      <c r="F263" s="41"/>
      <c r="G263" s="41"/>
      <c r="H263" s="41"/>
      <c r="I263" s="42">
        <v>45841</v>
      </c>
      <c r="J263" s="41"/>
      <c r="K263" s="41">
        <v>21</v>
      </c>
      <c r="L263" s="43"/>
    </row>
    <row r="264" spans="2:12" outlineLevel="1">
      <c r="B264" s="7">
        <f>IF(C264="","",(B263+1))</f>
        <v>201</v>
      </c>
      <c r="C264" s="41" t="s">
        <v>9</v>
      </c>
      <c r="D264" s="41" t="s">
        <v>366</v>
      </c>
      <c r="E264" s="41" t="s">
        <v>1074</v>
      </c>
      <c r="F264" s="41"/>
      <c r="G264" s="41"/>
      <c r="H264" s="41"/>
      <c r="I264" s="42">
        <v>45841</v>
      </c>
      <c r="J264" s="41"/>
      <c r="K264" s="41">
        <v>0</v>
      </c>
      <c r="L264" s="43"/>
    </row>
    <row r="265" spans="2:12" outlineLevel="1">
      <c r="B265" s="7">
        <f>IF(C265="","",(B264+1))</f>
        <v>202</v>
      </c>
      <c r="C265" s="41" t="s">
        <v>9</v>
      </c>
      <c r="D265" s="41" t="s">
        <v>366</v>
      </c>
      <c r="E265" s="41">
        <v>14737</v>
      </c>
      <c r="F265" s="41"/>
      <c r="G265" s="41"/>
      <c r="H265" s="41"/>
      <c r="I265" s="42">
        <v>45841</v>
      </c>
      <c r="J265" s="41"/>
      <c r="K265" s="41">
        <v>0</v>
      </c>
      <c r="L265" s="43"/>
    </row>
    <row r="266" spans="2:12" outlineLevel="1">
      <c r="B266" s="7">
        <f>IF(C266="","",(B265+1))</f>
        <v>203</v>
      </c>
      <c r="C266" s="41" t="s">
        <v>9</v>
      </c>
      <c r="D266" s="41" t="s">
        <v>366</v>
      </c>
      <c r="E266" s="41" t="s">
        <v>1075</v>
      </c>
      <c r="F266" s="41"/>
      <c r="G266" s="41"/>
      <c r="H266" s="41"/>
      <c r="I266" s="42">
        <v>45841</v>
      </c>
      <c r="J266" s="41"/>
      <c r="K266" s="41">
        <v>0</v>
      </c>
      <c r="L266" s="43"/>
    </row>
    <row r="267" spans="2:12" outlineLevel="1">
      <c r="B267" s="7">
        <f>IF(C267="","",(B266+1))</f>
        <v>204</v>
      </c>
      <c r="C267" s="41" t="s">
        <v>9</v>
      </c>
      <c r="D267" s="41" t="s">
        <v>366</v>
      </c>
      <c r="E267" s="58">
        <v>800006000000</v>
      </c>
      <c r="F267" s="41"/>
      <c r="G267" s="41"/>
      <c r="H267" s="41"/>
      <c r="I267" s="42">
        <v>45841</v>
      </c>
      <c r="J267" s="41"/>
      <c r="K267" s="41">
        <v>0</v>
      </c>
      <c r="L267" s="43"/>
    </row>
    <row r="268" spans="2:12" outlineLevel="1">
      <c r="B268" s="7">
        <f>IF(C268="","",(B267+1))</f>
        <v>205</v>
      </c>
      <c r="C268" s="41" t="s">
        <v>9</v>
      </c>
      <c r="D268" s="41" t="s">
        <v>366</v>
      </c>
      <c r="E268" s="41" t="s">
        <v>1076</v>
      </c>
      <c r="F268" s="41"/>
      <c r="G268" s="41"/>
      <c r="H268" s="41"/>
      <c r="I268" s="42">
        <v>45841</v>
      </c>
      <c r="J268" s="41"/>
      <c r="K268" s="41">
        <v>0</v>
      </c>
      <c r="L268" s="43"/>
    </row>
    <row r="269" spans="2:12" outlineLevel="1">
      <c r="B269" s="7">
        <f>IF(C269="","",(B268+1))</f>
        <v>206</v>
      </c>
      <c r="C269" s="41" t="s">
        <v>9</v>
      </c>
      <c r="D269" s="41" t="s">
        <v>366</v>
      </c>
      <c r="E269" s="58">
        <v>80000400000000</v>
      </c>
      <c r="F269" s="41"/>
      <c r="G269" s="41"/>
      <c r="H269" s="41"/>
      <c r="I269" s="42">
        <v>45841</v>
      </c>
      <c r="J269" s="41"/>
      <c r="K269" s="41">
        <v>0</v>
      </c>
      <c r="L269" s="43"/>
    </row>
    <row r="270" spans="2:12" outlineLevel="1">
      <c r="B270" s="7">
        <f>IF(C270="","",(B269+1))</f>
        <v>207</v>
      </c>
      <c r="C270" s="41" t="s">
        <v>9</v>
      </c>
      <c r="D270" s="41" t="s">
        <v>366</v>
      </c>
      <c r="E270" s="41">
        <v>80000577064</v>
      </c>
      <c r="F270" s="41"/>
      <c r="G270" s="41"/>
      <c r="H270" s="41"/>
      <c r="I270" s="42">
        <v>45841</v>
      </c>
      <c r="J270" s="41"/>
      <c r="K270" s="41">
        <v>0</v>
      </c>
      <c r="L270" s="43"/>
    </row>
    <row r="271" spans="2:12" outlineLevel="1">
      <c r="B271" s="7">
        <f>IF(C271="","",(B270+1))</f>
        <v>208</v>
      </c>
      <c r="C271" s="41" t="s">
        <v>9</v>
      </c>
      <c r="D271" s="41" t="s">
        <v>366</v>
      </c>
      <c r="E271" s="41" t="s">
        <v>1077</v>
      </c>
      <c r="F271" s="41"/>
      <c r="G271" s="41"/>
      <c r="H271" s="41"/>
      <c r="I271" s="42">
        <v>45841</v>
      </c>
      <c r="J271" s="41"/>
      <c r="K271" s="41">
        <v>0</v>
      </c>
      <c r="L271" s="43"/>
    </row>
    <row r="272" spans="2:12" outlineLevel="1">
      <c r="B272" s="7">
        <f>IF(C272="","",(B271+1))</f>
        <v>209</v>
      </c>
      <c r="C272" s="41" t="s">
        <v>9</v>
      </c>
      <c r="D272" s="41" t="s">
        <v>366</v>
      </c>
      <c r="E272" s="41" t="s">
        <v>1078</v>
      </c>
      <c r="F272" s="41"/>
      <c r="G272" s="41"/>
      <c r="H272" s="41"/>
      <c r="I272" s="42">
        <v>45841</v>
      </c>
      <c r="J272" s="41"/>
      <c r="K272" s="41">
        <v>0</v>
      </c>
      <c r="L272" s="43"/>
    </row>
    <row r="273" spans="2:12" outlineLevel="1">
      <c r="B273" s="7">
        <f>IF(C273="","",(B272+1))</f>
        <v>210</v>
      </c>
      <c r="C273" s="41" t="s">
        <v>9</v>
      </c>
      <c r="D273" s="41" t="s">
        <v>366</v>
      </c>
      <c r="E273" s="41" t="s">
        <v>1079</v>
      </c>
      <c r="F273" s="41"/>
      <c r="G273" s="41"/>
      <c r="H273" s="41"/>
      <c r="I273" s="42">
        <v>45841</v>
      </c>
      <c r="J273" s="41"/>
      <c r="K273" s="41">
        <v>0</v>
      </c>
      <c r="L273" s="43"/>
    </row>
    <row r="274" spans="2:12" outlineLevel="1">
      <c r="B274" s="7">
        <f>IF(C274="","",(B273+1))</f>
        <v>211</v>
      </c>
      <c r="C274" s="41" t="s">
        <v>9</v>
      </c>
      <c r="D274" s="41" t="s">
        <v>366</v>
      </c>
      <c r="E274" s="41">
        <v>1255</v>
      </c>
      <c r="F274" s="41"/>
      <c r="G274" s="41"/>
      <c r="H274" s="41"/>
      <c r="I274" s="42">
        <v>45841</v>
      </c>
      <c r="J274" s="41"/>
      <c r="K274" s="41">
        <v>0</v>
      </c>
      <c r="L274" s="43"/>
    </row>
    <row r="275" spans="2:12" outlineLevel="1">
      <c r="B275" s="7">
        <f>IF(C275="","",(B274+1))</f>
        <v>212</v>
      </c>
      <c r="C275" s="41" t="s">
        <v>9</v>
      </c>
      <c r="D275" s="41" t="s">
        <v>366</v>
      </c>
      <c r="E275" s="41" t="s">
        <v>1056</v>
      </c>
      <c r="F275" s="41"/>
      <c r="G275" s="41"/>
      <c r="H275" s="41"/>
      <c r="I275" s="42">
        <v>45677</v>
      </c>
      <c r="J275" s="41"/>
      <c r="K275" s="41"/>
      <c r="L275" s="43"/>
    </row>
    <row r="276" spans="2:12" outlineLevel="1">
      <c r="B276" s="7">
        <f>IF(C276="","",(B275+1))</f>
        <v>213</v>
      </c>
      <c r="C276" s="41" t="s">
        <v>9</v>
      </c>
      <c r="D276" s="41" t="s">
        <v>366</v>
      </c>
      <c r="E276" s="41" t="s">
        <v>1046</v>
      </c>
      <c r="F276" s="41"/>
      <c r="G276" s="41"/>
      <c r="H276" s="41"/>
      <c r="I276" s="42">
        <v>45734</v>
      </c>
      <c r="J276" s="41"/>
      <c r="K276" s="41"/>
      <c r="L276" s="43"/>
    </row>
    <row r="277" spans="2:12" outlineLevel="1">
      <c r="B277" s="7">
        <f>IF(C277="","",(B276+1))</f>
        <v>214</v>
      </c>
      <c r="C277" s="41" t="s">
        <v>9</v>
      </c>
      <c r="D277" s="41" t="s">
        <v>366</v>
      </c>
      <c r="E277" s="41" t="s">
        <v>1080</v>
      </c>
      <c r="F277" s="41"/>
      <c r="G277" s="41"/>
      <c r="H277" s="41"/>
      <c r="I277" s="42">
        <v>45734</v>
      </c>
      <c r="J277" s="41"/>
      <c r="K277" s="41"/>
      <c r="L277" s="43"/>
    </row>
    <row r="278" spans="2:12" outlineLevel="1">
      <c r="B278" s="7">
        <f>IF(C278="","",(B277+1))</f>
        <v>215</v>
      </c>
      <c r="C278" s="41" t="s">
        <v>9</v>
      </c>
      <c r="D278" s="41" t="s">
        <v>366</v>
      </c>
      <c r="E278" s="41" t="s">
        <v>1081</v>
      </c>
      <c r="F278" s="41"/>
      <c r="G278" s="41"/>
      <c r="H278" s="41"/>
      <c r="I278" s="42">
        <v>45734</v>
      </c>
      <c r="J278" s="41"/>
      <c r="K278" s="41"/>
      <c r="L278" s="43"/>
    </row>
    <row r="279" spans="2:12" outlineLevel="1">
      <c r="B279" s="7">
        <f>IF(C279="","",(B278+1))</f>
        <v>216</v>
      </c>
      <c r="C279" s="41" t="s">
        <v>9</v>
      </c>
      <c r="D279" s="41" t="s">
        <v>366</v>
      </c>
      <c r="E279" s="41" t="s">
        <v>1082</v>
      </c>
      <c r="F279" s="41"/>
      <c r="G279" s="41"/>
      <c r="H279" s="41"/>
      <c r="I279" s="42">
        <v>45735</v>
      </c>
      <c r="J279" s="41"/>
      <c r="K279" s="41"/>
      <c r="L279" s="43"/>
    </row>
    <row r="280" spans="2:12" outlineLevel="1">
      <c r="B280" s="7">
        <f>IF(C280="","",(B279+1))</f>
        <v>217</v>
      </c>
      <c r="C280" s="41" t="s">
        <v>9</v>
      </c>
      <c r="D280" s="41" t="s">
        <v>366</v>
      </c>
      <c r="E280" s="41" t="s">
        <v>1055</v>
      </c>
      <c r="F280" s="41"/>
      <c r="G280" s="41"/>
      <c r="H280" s="41"/>
      <c r="I280" s="42">
        <v>45735</v>
      </c>
      <c r="J280" s="41"/>
      <c r="K280" s="41"/>
      <c r="L280" s="43"/>
    </row>
    <row r="281" spans="2:12" outlineLevel="1">
      <c r="B281" s="7">
        <f>IF(C281="","",(B280+1))</f>
        <v>218</v>
      </c>
      <c r="C281" s="41" t="s">
        <v>9</v>
      </c>
      <c r="D281" s="41" t="s">
        <v>366</v>
      </c>
      <c r="E281" s="41" t="s">
        <v>1047</v>
      </c>
      <c r="F281" s="41"/>
      <c r="G281" s="41"/>
      <c r="H281" s="41"/>
      <c r="I281" s="42">
        <v>45735</v>
      </c>
      <c r="J281" s="41"/>
      <c r="K281" s="41"/>
      <c r="L281" s="43"/>
    </row>
    <row r="282" spans="2:12" outlineLevel="1">
      <c r="B282" s="7">
        <f>IF(C282="","",(B281+1))</f>
        <v>219</v>
      </c>
      <c r="C282" s="41" t="s">
        <v>9</v>
      </c>
      <c r="D282" s="41" t="s">
        <v>366</v>
      </c>
      <c r="E282" s="41" t="s">
        <v>1049</v>
      </c>
      <c r="F282" s="41"/>
      <c r="G282" s="41"/>
      <c r="H282" s="41"/>
      <c r="I282" s="42">
        <v>45736</v>
      </c>
      <c r="J282" s="41"/>
      <c r="K282" s="41"/>
      <c r="L282" s="43"/>
    </row>
    <row r="283" spans="2:12" outlineLevel="1">
      <c r="B283" s="7">
        <f>IF(C283="","",(B282+1))</f>
        <v>220</v>
      </c>
      <c r="C283" s="41" t="s">
        <v>9</v>
      </c>
      <c r="D283" s="41" t="s">
        <v>366</v>
      </c>
      <c r="E283" s="41" t="s">
        <v>1083</v>
      </c>
      <c r="F283" s="41"/>
      <c r="G283" s="41"/>
      <c r="H283" s="41"/>
      <c r="I283" s="42">
        <v>45736</v>
      </c>
      <c r="J283" s="41"/>
      <c r="K283" s="41"/>
      <c r="L283" s="43"/>
    </row>
    <row r="284" spans="2:12" outlineLevel="1">
      <c r="B284" s="7">
        <f>IF(C284="","",(B283+1))</f>
        <v>221</v>
      </c>
      <c r="C284" s="41" t="s">
        <v>9</v>
      </c>
      <c r="D284" s="41" t="s">
        <v>366</v>
      </c>
      <c r="E284" s="41" t="s">
        <v>1043</v>
      </c>
      <c r="F284" s="41"/>
      <c r="G284" s="41"/>
      <c r="H284" s="41"/>
      <c r="I284" s="42">
        <v>45736</v>
      </c>
      <c r="J284" s="41"/>
      <c r="K284" s="41"/>
      <c r="L284" s="43"/>
    </row>
    <row r="285" spans="2:12" outlineLevel="1">
      <c r="B285" s="7">
        <f>IF(C285="","",(B284+1))</f>
        <v>222</v>
      </c>
      <c r="C285" s="41" t="s">
        <v>9</v>
      </c>
      <c r="D285" s="41" t="s">
        <v>366</v>
      </c>
      <c r="E285" s="41" t="s">
        <v>1078</v>
      </c>
      <c r="F285" s="41"/>
      <c r="G285" s="41"/>
      <c r="H285" s="41"/>
      <c r="I285" s="42">
        <v>45736</v>
      </c>
      <c r="J285" s="41"/>
      <c r="K285" s="41"/>
      <c r="L285" s="43"/>
    </row>
    <row r="286" spans="2:12" outlineLevel="1">
      <c r="B286" s="7">
        <f>IF(C286="","",(B285+1))</f>
        <v>223</v>
      </c>
      <c r="C286" s="41" t="s">
        <v>9</v>
      </c>
      <c r="D286" s="41" t="s">
        <v>366</v>
      </c>
      <c r="E286" s="41" t="s">
        <v>1067</v>
      </c>
      <c r="F286" s="41"/>
      <c r="G286" s="41"/>
      <c r="H286" s="41"/>
      <c r="I286" s="42">
        <v>45736</v>
      </c>
      <c r="J286" s="41"/>
      <c r="K286" s="41"/>
      <c r="L286" s="43"/>
    </row>
    <row r="287" spans="2:12" outlineLevel="1">
      <c r="B287" s="7">
        <f>IF(C287="","",(B286+1))</f>
        <v>224</v>
      </c>
      <c r="C287" s="41" t="s">
        <v>9</v>
      </c>
      <c r="D287" s="41" t="s">
        <v>366</v>
      </c>
      <c r="E287" s="41" t="s">
        <v>1084</v>
      </c>
      <c r="F287" s="41"/>
      <c r="G287" s="41"/>
      <c r="H287" s="41"/>
      <c r="I287" s="42">
        <v>45736</v>
      </c>
      <c r="J287" s="41"/>
      <c r="K287" s="41"/>
      <c r="L287" s="43"/>
    </row>
    <row r="288" spans="2:12" outlineLevel="1">
      <c r="B288" s="7">
        <f>IF(C288="","",(B287+1))</f>
        <v>225</v>
      </c>
      <c r="C288" s="41" t="s">
        <v>9</v>
      </c>
      <c r="D288" s="41" t="s">
        <v>366</v>
      </c>
      <c r="E288" s="41" t="s">
        <v>1079</v>
      </c>
      <c r="F288" s="41"/>
      <c r="G288" s="41"/>
      <c r="H288" s="41"/>
      <c r="I288" s="42">
        <v>45736</v>
      </c>
      <c r="J288" s="41"/>
      <c r="K288" s="41"/>
      <c r="L288" s="43"/>
    </row>
    <row r="289" spans="2:12" outlineLevel="1">
      <c r="B289" s="7">
        <f>IF(C289="","",(B288+1))</f>
        <v>226</v>
      </c>
      <c r="C289" s="41" t="s">
        <v>9</v>
      </c>
      <c r="D289" s="41" t="s">
        <v>366</v>
      </c>
      <c r="E289" s="41" t="s">
        <v>1063</v>
      </c>
      <c r="F289" s="41"/>
      <c r="G289" s="41"/>
      <c r="H289" s="41"/>
      <c r="I289" s="42">
        <v>45736</v>
      </c>
      <c r="J289" s="41"/>
      <c r="K289" s="41"/>
      <c r="L289" s="43"/>
    </row>
    <row r="290" spans="2:12" outlineLevel="1">
      <c r="B290" s="7">
        <f>IF(C290="","",(B289+1))</f>
        <v>227</v>
      </c>
      <c r="C290" s="41" t="s">
        <v>9</v>
      </c>
      <c r="D290" s="41" t="s">
        <v>366</v>
      </c>
      <c r="E290" s="41" t="s">
        <v>1051</v>
      </c>
      <c r="F290" s="41"/>
      <c r="G290" s="41"/>
      <c r="H290" s="41"/>
      <c r="I290" s="42">
        <v>45737</v>
      </c>
      <c r="J290" s="41"/>
      <c r="K290" s="41"/>
      <c r="L290" s="43"/>
    </row>
    <row r="291" spans="2:12" outlineLevel="1">
      <c r="B291" s="7">
        <f>IF(C291="","",(B290+1))</f>
        <v>228</v>
      </c>
      <c r="C291" s="41" t="s">
        <v>9</v>
      </c>
      <c r="D291" s="41" t="s">
        <v>366</v>
      </c>
      <c r="E291" s="41" t="s">
        <v>1053</v>
      </c>
      <c r="F291" s="41"/>
      <c r="G291" s="41"/>
      <c r="H291" s="41"/>
      <c r="I291" s="42">
        <v>45737</v>
      </c>
      <c r="J291" s="41"/>
      <c r="K291" s="41"/>
      <c r="L291" s="43"/>
    </row>
    <row r="292" spans="2:12" outlineLevel="1">
      <c r="B292" s="7">
        <f>IF(C292="","",(B291+1))</f>
        <v>229</v>
      </c>
      <c r="C292" s="41" t="s">
        <v>9</v>
      </c>
      <c r="D292" s="41" t="s">
        <v>366</v>
      </c>
      <c r="E292" s="41" t="s">
        <v>1052</v>
      </c>
      <c r="F292" s="41"/>
      <c r="G292" s="41"/>
      <c r="H292" s="41"/>
      <c r="I292" s="42">
        <v>45737</v>
      </c>
      <c r="J292" s="41"/>
      <c r="K292" s="41"/>
      <c r="L292" s="43"/>
    </row>
    <row r="293" spans="2:12" outlineLevel="1">
      <c r="B293" s="7">
        <f>IF(C293="","",(B292+1))</f>
        <v>230</v>
      </c>
      <c r="C293" s="41" t="s">
        <v>9</v>
      </c>
      <c r="D293" s="41" t="s">
        <v>366</v>
      </c>
      <c r="E293" s="41" t="s">
        <v>1069</v>
      </c>
      <c r="F293" s="41"/>
      <c r="G293" s="41"/>
      <c r="H293" s="41"/>
      <c r="I293" s="42">
        <v>45737</v>
      </c>
      <c r="J293" s="41"/>
      <c r="K293" s="41"/>
      <c r="L293" s="43"/>
    </row>
    <row r="294" spans="2:12" outlineLevel="1">
      <c r="B294" s="7">
        <f>IF(C294="","",(B293+1))</f>
        <v>231</v>
      </c>
      <c r="C294" s="41" t="s">
        <v>9</v>
      </c>
      <c r="D294" s="41" t="s">
        <v>366</v>
      </c>
      <c r="E294" s="41" t="s">
        <v>1077</v>
      </c>
      <c r="F294" s="41"/>
      <c r="G294" s="41"/>
      <c r="H294" s="41"/>
      <c r="I294" s="42">
        <v>45737</v>
      </c>
      <c r="J294" s="41"/>
      <c r="K294" s="41"/>
      <c r="L294" s="43"/>
    </row>
    <row r="295" spans="2:12" outlineLevel="1">
      <c r="B295" s="7">
        <f>IF(C295="","",(B294+1))</f>
        <v>232</v>
      </c>
      <c r="C295" s="41" t="s">
        <v>9</v>
      </c>
      <c r="D295" s="41" t="s">
        <v>366</v>
      </c>
      <c r="E295" s="41" t="s">
        <v>1085</v>
      </c>
      <c r="F295" s="41"/>
      <c r="G295" s="41"/>
      <c r="H295" s="41"/>
      <c r="I295" s="42">
        <v>45737</v>
      </c>
      <c r="J295" s="41"/>
      <c r="K295" s="41"/>
      <c r="L295" s="43"/>
    </row>
    <row r="296" spans="2:12" outlineLevel="1">
      <c r="B296" s="7">
        <f>IF(C296="","",(B295+1))</f>
        <v>233</v>
      </c>
      <c r="C296" s="41" t="s">
        <v>9</v>
      </c>
      <c r="D296" s="41" t="s">
        <v>366</v>
      </c>
      <c r="E296" s="41" t="s">
        <v>1086</v>
      </c>
      <c r="F296" s="41"/>
      <c r="G296" s="41"/>
      <c r="H296" s="41"/>
      <c r="I296" s="42">
        <v>45778</v>
      </c>
      <c r="J296" s="41"/>
      <c r="K296" s="41"/>
      <c r="L296" s="43"/>
    </row>
    <row r="297" spans="2:12" outlineLevel="1">
      <c r="B297" s="7">
        <f>IF(C297="","",(B296+1))</f>
        <v>234</v>
      </c>
      <c r="C297" s="41" t="s">
        <v>9</v>
      </c>
      <c r="D297" s="41" t="s">
        <v>366</v>
      </c>
      <c r="E297" s="41" t="s">
        <v>1087</v>
      </c>
      <c r="F297" s="41"/>
      <c r="G297" s="41"/>
      <c r="H297" s="41"/>
      <c r="I297" s="42">
        <v>45778</v>
      </c>
      <c r="J297" s="41"/>
      <c r="K297" s="41"/>
      <c r="L297" s="43"/>
    </row>
    <row r="298" spans="2:12" outlineLevel="1">
      <c r="B298" s="7">
        <f>IF(C298="","",(B297+1))</f>
        <v>235</v>
      </c>
      <c r="C298" s="41" t="s">
        <v>9</v>
      </c>
      <c r="D298" s="41" t="s">
        <v>366</v>
      </c>
      <c r="E298" s="41" t="s">
        <v>1088</v>
      </c>
      <c r="F298" s="41"/>
      <c r="G298" s="41"/>
      <c r="H298" s="41"/>
      <c r="I298" s="42">
        <v>45778</v>
      </c>
      <c r="J298" s="41"/>
      <c r="K298" s="41"/>
      <c r="L298" s="43"/>
    </row>
    <row r="299" spans="2:12" outlineLevel="1">
      <c r="B299" s="7">
        <f>IF(C299="","",(B298+1))</f>
        <v>236</v>
      </c>
      <c r="C299" s="41" t="s">
        <v>9</v>
      </c>
      <c r="D299" s="41" t="s">
        <v>366</v>
      </c>
      <c r="E299" s="41">
        <v>6873</v>
      </c>
      <c r="F299" s="41"/>
      <c r="G299" s="41"/>
      <c r="H299" s="41"/>
      <c r="I299" s="42">
        <v>45784</v>
      </c>
      <c r="J299" s="41"/>
      <c r="K299" s="41"/>
      <c r="L299" s="43"/>
    </row>
    <row r="300" spans="2:12" outlineLevel="1">
      <c r="B300" s="7">
        <f>IF(C300="","",(B299+1))</f>
        <v>237</v>
      </c>
      <c r="C300" s="41" t="s">
        <v>9</v>
      </c>
      <c r="D300" s="41" t="s">
        <v>366</v>
      </c>
      <c r="E300" s="41">
        <v>6873</v>
      </c>
      <c r="F300" s="41"/>
      <c r="G300" s="41"/>
      <c r="H300" s="41"/>
      <c r="I300" s="42">
        <v>45784</v>
      </c>
      <c r="J300" s="41"/>
      <c r="K300" s="41"/>
      <c r="L300" s="43"/>
    </row>
    <row r="301" spans="2:12" outlineLevel="1">
      <c r="B301" s="7">
        <f>IF(C301="","",(B300+1))</f>
        <v>238</v>
      </c>
      <c r="C301" s="41" t="s">
        <v>9</v>
      </c>
      <c r="D301" s="41" t="s">
        <v>366</v>
      </c>
      <c r="E301" s="41">
        <v>6873</v>
      </c>
      <c r="F301" s="41"/>
      <c r="G301" s="41"/>
      <c r="H301" s="41"/>
      <c r="I301" s="42">
        <v>45784</v>
      </c>
      <c r="J301" s="41"/>
      <c r="K301" s="41"/>
      <c r="L301" s="43"/>
    </row>
    <row r="302" spans="2:12" outlineLevel="1">
      <c r="B302" s="7">
        <f>IF(C302="","",(B301+1))</f>
        <v>239</v>
      </c>
      <c r="C302" s="41" t="s">
        <v>9</v>
      </c>
      <c r="D302" s="41" t="s">
        <v>366</v>
      </c>
      <c r="E302" s="41">
        <v>93808</v>
      </c>
      <c r="F302" s="41"/>
      <c r="G302" s="41"/>
      <c r="H302" s="41"/>
      <c r="I302" s="42">
        <v>45784</v>
      </c>
      <c r="J302" s="41"/>
      <c r="K302" s="41"/>
      <c r="L302" s="43"/>
    </row>
    <row r="303" spans="2:12" outlineLevel="1">
      <c r="B303" s="7">
        <f>IF(C303="","",(B302+1))</f>
        <v>240</v>
      </c>
      <c r="C303" s="41" t="s">
        <v>9</v>
      </c>
      <c r="D303" s="41" t="s">
        <v>366</v>
      </c>
      <c r="E303" s="41">
        <v>93808</v>
      </c>
      <c r="F303" s="41"/>
      <c r="G303" s="41"/>
      <c r="H303" s="41"/>
      <c r="I303" s="42">
        <v>45784</v>
      </c>
      <c r="J303" s="41"/>
      <c r="K303" s="41"/>
      <c r="L303" s="43"/>
    </row>
    <row r="304" spans="2:12" outlineLevel="1">
      <c r="B304" s="7">
        <f>IF(C304="","",(B303+1))</f>
        <v>241</v>
      </c>
      <c r="C304" s="41" t="s">
        <v>9</v>
      </c>
      <c r="D304" s="41" t="s">
        <v>366</v>
      </c>
      <c r="E304" s="41">
        <v>93808</v>
      </c>
      <c r="F304" s="41"/>
      <c r="G304" s="41"/>
      <c r="H304" s="41"/>
      <c r="I304" s="42">
        <v>45784</v>
      </c>
      <c r="J304" s="41"/>
      <c r="K304" s="41"/>
      <c r="L304" s="43"/>
    </row>
    <row r="305" spans="2:12" outlineLevel="1">
      <c r="B305" s="7">
        <f>IF(C305="","",(B304+1))</f>
        <v>242</v>
      </c>
      <c r="C305" s="41" t="s">
        <v>9</v>
      </c>
      <c r="D305" s="41" t="s">
        <v>366</v>
      </c>
      <c r="E305" s="41">
        <v>19158</v>
      </c>
      <c r="F305" s="41"/>
      <c r="G305" s="41"/>
      <c r="H305" s="41"/>
      <c r="I305" s="42">
        <v>45784</v>
      </c>
      <c r="J305" s="41"/>
      <c r="K305" s="41"/>
      <c r="L305" s="43"/>
    </row>
    <row r="306" spans="2:12" outlineLevel="1">
      <c r="B306" s="7">
        <f>IF(C306="","",(B305+1))</f>
        <v>243</v>
      </c>
      <c r="C306" s="41" t="s">
        <v>9</v>
      </c>
      <c r="D306" s="41" t="s">
        <v>366</v>
      </c>
      <c r="E306" s="41">
        <v>19158</v>
      </c>
      <c r="F306" s="41"/>
      <c r="G306" s="41"/>
      <c r="H306" s="41"/>
      <c r="I306" s="42">
        <v>45784</v>
      </c>
      <c r="J306" s="41"/>
      <c r="K306" s="41"/>
      <c r="L306" s="43"/>
    </row>
    <row r="307" spans="2:12" outlineLevel="1">
      <c r="B307" s="7">
        <f>IF(C307="","",(B306+1))</f>
        <v>244</v>
      </c>
      <c r="C307" s="41" t="s">
        <v>9</v>
      </c>
      <c r="D307" s="41" t="s">
        <v>366</v>
      </c>
      <c r="E307" s="41">
        <v>93057</v>
      </c>
      <c r="F307" s="41"/>
      <c r="G307" s="41"/>
      <c r="H307" s="41"/>
      <c r="I307" s="42">
        <v>45784</v>
      </c>
      <c r="J307" s="41"/>
      <c r="K307" s="41"/>
      <c r="L307" s="43"/>
    </row>
    <row r="308" spans="2:12" outlineLevel="1">
      <c r="B308" s="7">
        <f>IF(C308="","",(B307+1))</f>
        <v>245</v>
      </c>
      <c r="C308" s="41" t="s">
        <v>9</v>
      </c>
      <c r="D308" s="41" t="s">
        <v>366</v>
      </c>
      <c r="E308" s="41">
        <v>93057</v>
      </c>
      <c r="F308" s="41"/>
      <c r="G308" s="41"/>
      <c r="H308" s="41"/>
      <c r="I308" s="42">
        <v>45784</v>
      </c>
      <c r="J308" s="41"/>
      <c r="K308" s="41"/>
      <c r="L308" s="43"/>
    </row>
    <row r="309" spans="2:12" outlineLevel="1">
      <c r="B309" s="7">
        <f>IF(C309="","",(B308+1))</f>
        <v>246</v>
      </c>
      <c r="C309" s="41" t="s">
        <v>9</v>
      </c>
      <c r="D309" s="41" t="s">
        <v>366</v>
      </c>
      <c r="E309" s="41">
        <v>93057</v>
      </c>
      <c r="F309" s="41"/>
      <c r="G309" s="41"/>
      <c r="H309" s="41"/>
      <c r="I309" s="42">
        <v>45784</v>
      </c>
      <c r="J309" s="41"/>
      <c r="K309" s="41"/>
      <c r="L309" s="43"/>
    </row>
    <row r="310" spans="2:12" outlineLevel="1">
      <c r="B310" s="7">
        <f>IF(C310="","",(B309+1))</f>
        <v>247</v>
      </c>
      <c r="C310" s="41" t="s">
        <v>9</v>
      </c>
      <c r="D310" s="41" t="s">
        <v>366</v>
      </c>
      <c r="E310" s="41">
        <v>19158</v>
      </c>
      <c r="F310" s="41"/>
      <c r="G310" s="41"/>
      <c r="H310" s="41"/>
      <c r="I310" s="42">
        <v>45784</v>
      </c>
      <c r="J310" s="41"/>
      <c r="K310" s="41"/>
      <c r="L310" s="43"/>
    </row>
    <row r="311" spans="2:12" outlineLevel="1">
      <c r="B311" s="7">
        <f>IF(C311="","",(B310+1))</f>
        <v>248</v>
      </c>
      <c r="C311" s="41" t="s">
        <v>9</v>
      </c>
      <c r="D311" s="41" t="s">
        <v>366</v>
      </c>
      <c r="E311" s="41">
        <v>93073</v>
      </c>
      <c r="F311" s="41"/>
      <c r="G311" s="41"/>
      <c r="H311" s="41"/>
      <c r="I311" s="42">
        <v>45784</v>
      </c>
      <c r="J311" s="41"/>
      <c r="K311" s="41"/>
      <c r="L311" s="43"/>
    </row>
    <row r="312" spans="2:12" outlineLevel="1">
      <c r="B312" s="7">
        <f>IF(C312="","",(B311+1))</f>
        <v>249</v>
      </c>
      <c r="C312" s="41" t="s">
        <v>9</v>
      </c>
      <c r="D312" s="41" t="s">
        <v>366</v>
      </c>
      <c r="E312" s="41">
        <v>69485</v>
      </c>
      <c r="F312" s="41"/>
      <c r="G312" s="41"/>
      <c r="H312" s="41"/>
      <c r="I312" s="42">
        <v>45784</v>
      </c>
      <c r="J312" s="41"/>
      <c r="K312" s="41"/>
      <c r="L312" s="43"/>
    </row>
    <row r="313" spans="2:12" outlineLevel="1">
      <c r="B313" s="7">
        <f>IF(C313="","",(B312+1))</f>
        <v>250</v>
      </c>
      <c r="C313" s="41" t="s">
        <v>9</v>
      </c>
      <c r="D313" s="41" t="s">
        <v>366</v>
      </c>
      <c r="E313" s="41">
        <v>69485</v>
      </c>
      <c r="F313" s="41"/>
      <c r="G313" s="41"/>
      <c r="H313" s="41"/>
      <c r="I313" s="42">
        <v>45784</v>
      </c>
      <c r="J313" s="41"/>
      <c r="K313" s="41"/>
      <c r="L313" s="43"/>
    </row>
    <row r="314" spans="2:12" outlineLevel="1">
      <c r="B314" s="7">
        <f>IF(C314="","",(B313+1))</f>
        <v>251</v>
      </c>
      <c r="C314" s="41" t="s">
        <v>69</v>
      </c>
      <c r="D314" s="41" t="s">
        <v>366</v>
      </c>
      <c r="E314" s="41"/>
      <c r="F314" s="41"/>
      <c r="G314" s="41"/>
      <c r="H314" s="41"/>
      <c r="I314" s="42">
        <v>45785</v>
      </c>
      <c r="J314" s="41"/>
      <c r="K314" s="41"/>
      <c r="L314" s="43"/>
    </row>
    <row r="315" spans="2:12" outlineLevel="1">
      <c r="B315" s="7">
        <f>IF(C315="","",(B314+1))</f>
        <v>252</v>
      </c>
      <c r="C315" s="41" t="s">
        <v>69</v>
      </c>
      <c r="D315" s="41" t="s">
        <v>366</v>
      </c>
      <c r="E315" s="41"/>
      <c r="F315" s="41"/>
      <c r="G315" s="41"/>
      <c r="H315" s="41"/>
      <c r="I315" s="42">
        <v>45785</v>
      </c>
      <c r="J315" s="41"/>
      <c r="K315" s="41"/>
      <c r="L315" s="43"/>
    </row>
    <row r="316" spans="2:12" outlineLevel="1">
      <c r="B316" s="7">
        <f>IF(C316="","",(B315+1))</f>
        <v>253</v>
      </c>
      <c r="C316" s="41" t="s">
        <v>69</v>
      </c>
      <c r="D316" s="41" t="s">
        <v>366</v>
      </c>
      <c r="E316" s="41"/>
      <c r="F316" s="41"/>
      <c r="G316" s="41"/>
      <c r="H316" s="41"/>
      <c r="I316" s="42">
        <v>45785</v>
      </c>
      <c r="J316" s="41"/>
      <c r="K316" s="41"/>
      <c r="L316" s="43"/>
    </row>
    <row r="317" spans="2:12" outlineLevel="1">
      <c r="B317" s="7">
        <f>IF(C317="","",(B316+1))</f>
        <v>254</v>
      </c>
      <c r="C317" s="41" t="s">
        <v>9</v>
      </c>
      <c r="D317" s="41" t="s">
        <v>366</v>
      </c>
      <c r="E317" s="41">
        <v>8000577061002</v>
      </c>
      <c r="F317" s="41"/>
      <c r="G317" s="41"/>
      <c r="H317" s="41"/>
      <c r="I317" s="42">
        <v>45792</v>
      </c>
      <c r="J317" s="41"/>
      <c r="K317" s="41"/>
      <c r="L317" s="43"/>
    </row>
    <row r="318" spans="2:12" outlineLevel="1">
      <c r="B318" s="7">
        <f>IF(C318="","",(B317+1))</f>
        <v>255</v>
      </c>
      <c r="C318" s="41" t="s">
        <v>9</v>
      </c>
      <c r="D318" s="41" t="s">
        <v>366</v>
      </c>
      <c r="E318" s="41">
        <v>1284</v>
      </c>
      <c r="F318" s="41"/>
      <c r="G318" s="41"/>
      <c r="H318" s="41"/>
      <c r="I318" s="42">
        <v>45792</v>
      </c>
      <c r="J318" s="41"/>
      <c r="K318" s="41"/>
      <c r="L318" s="43"/>
    </row>
    <row r="319" spans="2:12" outlineLevel="1">
      <c r="B319" s="7">
        <f>IF(C319="","",(B318+1))</f>
        <v>256</v>
      </c>
      <c r="C319" s="41" t="s">
        <v>9</v>
      </c>
      <c r="D319" s="41" t="s">
        <v>366</v>
      </c>
      <c r="E319" s="41">
        <v>18304</v>
      </c>
      <c r="F319" s="41"/>
      <c r="G319" s="41"/>
      <c r="H319" s="41"/>
      <c r="I319" s="42">
        <v>45792</v>
      </c>
      <c r="J319" s="41"/>
      <c r="K319" s="41"/>
      <c r="L319" s="43"/>
    </row>
    <row r="320" spans="2:12" outlineLevel="1">
      <c r="B320" s="7">
        <f>IF(C320="","",(B319+1))</f>
        <v>257</v>
      </c>
      <c r="C320" s="41" t="s">
        <v>9</v>
      </c>
      <c r="D320" s="41" t="s">
        <v>366</v>
      </c>
      <c r="E320" s="41" t="s">
        <v>1089</v>
      </c>
      <c r="F320" s="41"/>
      <c r="G320" s="41"/>
      <c r="H320" s="41"/>
      <c r="I320" s="42">
        <v>45793</v>
      </c>
      <c r="J320" s="41"/>
      <c r="K320" s="41"/>
      <c r="L320" s="43"/>
    </row>
    <row r="321" spans="2:12" outlineLevel="1">
      <c r="B321" s="7">
        <f>IF(C321="","",(B320+1))</f>
        <v>258</v>
      </c>
      <c r="C321" s="41" t="s">
        <v>9</v>
      </c>
      <c r="D321" s="41" t="s">
        <v>366</v>
      </c>
      <c r="E321" s="41">
        <v>969100666</v>
      </c>
      <c r="F321" s="41"/>
      <c r="G321" s="41"/>
      <c r="H321" s="41"/>
      <c r="I321" s="42">
        <v>45793</v>
      </c>
      <c r="J321" s="41"/>
      <c r="K321" s="41"/>
      <c r="L321" s="43"/>
    </row>
    <row r="322" spans="2:12" outlineLevel="1">
      <c r="B322" s="7">
        <f>IF(C322="","",(B321+1))</f>
        <v>259</v>
      </c>
      <c r="C322" s="41" t="s">
        <v>9</v>
      </c>
      <c r="D322" s="41" t="s">
        <v>366</v>
      </c>
      <c r="E322" s="41" t="s">
        <v>1090</v>
      </c>
      <c r="F322" s="41"/>
      <c r="G322" s="41"/>
      <c r="H322" s="41"/>
      <c r="I322" s="42">
        <v>45793</v>
      </c>
      <c r="J322" s="41"/>
      <c r="K322" s="41"/>
      <c r="L322" s="43"/>
    </row>
    <row r="323" spans="2:12" outlineLevel="1">
      <c r="B323" s="7">
        <f>IF(C323="","",(B322+1))</f>
        <v>260</v>
      </c>
      <c r="C323" s="41" t="s">
        <v>9</v>
      </c>
      <c r="D323" s="41" t="s">
        <v>366</v>
      </c>
      <c r="E323" s="41">
        <v>14359</v>
      </c>
      <c r="F323" s="41"/>
      <c r="G323" s="41"/>
      <c r="H323" s="41"/>
      <c r="I323" s="42">
        <v>45807</v>
      </c>
      <c r="J323" s="41"/>
      <c r="K323" s="41"/>
      <c r="L323" s="43"/>
    </row>
    <row r="324" spans="2:12" outlineLevel="1">
      <c r="B324" s="7">
        <f>IF(C324="","",(B323+1))</f>
        <v>261</v>
      </c>
      <c r="C324" s="41" t="s">
        <v>9</v>
      </c>
      <c r="D324" s="41" t="s">
        <v>366</v>
      </c>
      <c r="E324" s="41">
        <v>1255</v>
      </c>
      <c r="F324" s="41"/>
      <c r="G324" s="41"/>
      <c r="H324" s="41"/>
      <c r="I324" s="42">
        <v>45807</v>
      </c>
      <c r="J324" s="41"/>
      <c r="K324" s="41"/>
      <c r="L324" s="43"/>
    </row>
    <row r="325" spans="2:12" outlineLevel="1">
      <c r="B325" s="7">
        <f>IF(C325="","",(B324+1))</f>
        <v>262</v>
      </c>
      <c r="C325" s="41" t="s">
        <v>9</v>
      </c>
      <c r="D325" s="41" t="s">
        <v>366</v>
      </c>
      <c r="E325" s="41" t="s">
        <v>1057</v>
      </c>
      <c r="F325" s="41"/>
      <c r="G325" s="41"/>
      <c r="H325" s="41"/>
      <c r="I325" s="42">
        <v>45807</v>
      </c>
      <c r="J325" s="41"/>
      <c r="K325" s="41"/>
      <c r="L325" s="43"/>
    </row>
    <row r="326" spans="2:12" outlineLevel="1">
      <c r="B326" s="7">
        <f>IF(C326="","",(B325+1))</f>
        <v>263</v>
      </c>
      <c r="C326" s="41" t="s">
        <v>9</v>
      </c>
      <c r="D326" s="41" t="s">
        <v>366</v>
      </c>
      <c r="E326" s="41">
        <v>16553</v>
      </c>
      <c r="F326" s="41"/>
      <c r="G326" s="41"/>
      <c r="H326" s="41"/>
      <c r="I326" s="42">
        <v>45807</v>
      </c>
      <c r="J326" s="41"/>
      <c r="K326" s="41"/>
      <c r="L326" s="43"/>
    </row>
    <row r="327" spans="2:12" outlineLevel="1">
      <c r="B327" s="7">
        <f>IF(C327="","",(B326+1))</f>
        <v>264</v>
      </c>
      <c r="C327" s="41" t="s">
        <v>9</v>
      </c>
      <c r="D327" s="41" t="s">
        <v>366</v>
      </c>
      <c r="E327" s="41" t="s">
        <v>1039</v>
      </c>
      <c r="F327" s="41"/>
      <c r="G327" s="41"/>
      <c r="H327" s="41"/>
      <c r="I327" s="42">
        <v>45807</v>
      </c>
      <c r="J327" s="41"/>
      <c r="K327" s="41"/>
      <c r="L327" s="43"/>
    </row>
    <row r="328" spans="2:12" outlineLevel="1">
      <c r="B328" s="7">
        <f>IF(C328="","",(B327+1))</f>
        <v>265</v>
      </c>
      <c r="C328" s="41" t="s">
        <v>9</v>
      </c>
      <c r="D328" s="41" t="s">
        <v>366</v>
      </c>
      <c r="E328" s="41">
        <v>16520</v>
      </c>
      <c r="F328" s="41"/>
      <c r="G328" s="41"/>
      <c r="H328" s="41"/>
      <c r="I328" s="42">
        <v>45807</v>
      </c>
      <c r="J328" s="41"/>
      <c r="K328" s="41"/>
      <c r="L328" s="43"/>
    </row>
    <row r="329" spans="2:12" outlineLevel="1">
      <c r="B329" s="7">
        <f>IF(C329="","",(B328+1))</f>
        <v>266</v>
      </c>
      <c r="C329" s="41" t="s">
        <v>9</v>
      </c>
      <c r="D329" s="41" t="s">
        <v>366</v>
      </c>
      <c r="E329" s="41" t="s">
        <v>1061</v>
      </c>
      <c r="F329" s="41"/>
      <c r="G329" s="41"/>
      <c r="H329" s="41"/>
      <c r="I329" s="42">
        <v>45838</v>
      </c>
      <c r="J329" s="41"/>
      <c r="K329" s="41"/>
      <c r="L329" s="43"/>
    </row>
    <row r="330" spans="2:12" outlineLevel="1">
      <c r="B330" s="7">
        <f>IF(C330="","",(B329+1))</f>
        <v>267</v>
      </c>
      <c r="C330" s="41" t="s">
        <v>9</v>
      </c>
      <c r="D330" s="41" t="s">
        <v>366</v>
      </c>
      <c r="E330" s="41" t="s">
        <v>1013</v>
      </c>
      <c r="F330" s="41"/>
      <c r="G330" s="41"/>
      <c r="H330" s="41"/>
      <c r="I330" s="42">
        <v>45873</v>
      </c>
      <c r="J330" s="41"/>
      <c r="K330" s="41"/>
      <c r="L330" s="43"/>
    </row>
    <row r="331" spans="2:12" outlineLevel="1">
      <c r="B331" s="7">
        <f>IF(C331="","",(B330+1))</f>
        <v>268</v>
      </c>
      <c r="C331" s="41" t="s">
        <v>9</v>
      </c>
      <c r="D331" s="41" t="s">
        <v>366</v>
      </c>
      <c r="E331" s="41">
        <v>5190</v>
      </c>
      <c r="F331" s="41"/>
      <c r="G331" s="41"/>
      <c r="H331" s="41"/>
      <c r="I331" s="42">
        <v>45873</v>
      </c>
      <c r="J331" s="41"/>
      <c r="K331" s="41"/>
      <c r="L331" s="43"/>
    </row>
    <row r="332" spans="2:12" outlineLevel="1">
      <c r="B332" s="7">
        <f>IF(C332="","",(B331+1))</f>
        <v>269</v>
      </c>
      <c r="C332" s="41" t="s">
        <v>9</v>
      </c>
      <c r="D332" s="41" t="s">
        <v>366</v>
      </c>
      <c r="E332" s="41" t="s">
        <v>1091</v>
      </c>
      <c r="F332" s="41"/>
      <c r="G332" s="41"/>
      <c r="H332" s="41"/>
      <c r="I332" s="42">
        <v>45873</v>
      </c>
      <c r="J332" s="41"/>
      <c r="K332" s="41"/>
      <c r="L332" s="43"/>
    </row>
    <row r="333" spans="2:12" outlineLevel="1">
      <c r="B333" s="7">
        <f>IF(C333="","",(B332+1))</f>
        <v>270</v>
      </c>
      <c r="C333" s="41" t="s">
        <v>9</v>
      </c>
      <c r="D333" s="41" t="s">
        <v>366</v>
      </c>
      <c r="E333" s="41" t="s">
        <v>1092</v>
      </c>
      <c r="F333" s="41"/>
      <c r="G333" s="41"/>
      <c r="H333" s="41"/>
      <c r="I333" s="42">
        <v>45877</v>
      </c>
      <c r="J333" s="41"/>
      <c r="K333" s="41"/>
      <c r="L333" s="43"/>
    </row>
    <row r="334" spans="2:12" outlineLevel="1">
      <c r="B334" s="7">
        <f>IF(C334="","",(B333+1))</f>
        <v>271</v>
      </c>
      <c r="C334" s="41" t="s">
        <v>9</v>
      </c>
      <c r="D334" s="41" t="s">
        <v>366</v>
      </c>
      <c r="E334" s="41" t="s">
        <v>1093</v>
      </c>
      <c r="F334" s="41"/>
      <c r="G334" s="41"/>
      <c r="H334" s="41"/>
      <c r="I334" s="42">
        <v>45877</v>
      </c>
      <c r="J334" s="41"/>
      <c r="K334" s="41"/>
      <c r="L334" s="43"/>
    </row>
    <row r="335" spans="2:12" outlineLevel="1">
      <c r="B335" s="7">
        <f>IF(C335="","",(B334+1))</f>
        <v>272</v>
      </c>
      <c r="C335" s="41" t="s">
        <v>9</v>
      </c>
      <c r="D335" s="41" t="s">
        <v>366</v>
      </c>
      <c r="E335" s="41" t="s">
        <v>1094</v>
      </c>
      <c r="F335" s="41"/>
      <c r="G335" s="41"/>
      <c r="H335" s="41"/>
      <c r="I335" s="42">
        <v>45877</v>
      </c>
      <c r="J335" s="41"/>
      <c r="K335" s="41"/>
      <c r="L335" s="43"/>
    </row>
    <row r="336" spans="2:12" outlineLevel="1">
      <c r="B336" s="7">
        <f>IF(C336="","",(B335+1))</f>
        <v>273</v>
      </c>
      <c r="C336" s="41" t="s">
        <v>9</v>
      </c>
      <c r="D336" s="41" t="s">
        <v>366</v>
      </c>
      <c r="E336" s="41" t="s">
        <v>969</v>
      </c>
      <c r="F336" s="41"/>
      <c r="G336" s="41"/>
      <c r="H336" s="41"/>
      <c r="I336" s="42">
        <v>45887</v>
      </c>
      <c r="J336" s="41"/>
      <c r="K336" s="41"/>
      <c r="L336" s="43"/>
    </row>
    <row r="337" spans="2:12" outlineLevel="1">
      <c r="B337" s="7">
        <f>IF(C337="","",(B336+1))</f>
        <v>274</v>
      </c>
      <c r="C337" s="41" t="s">
        <v>9</v>
      </c>
      <c r="D337" s="41" t="s">
        <v>366</v>
      </c>
      <c r="E337" s="41" t="s">
        <v>1095</v>
      </c>
      <c r="F337" s="41"/>
      <c r="G337" s="41"/>
      <c r="H337" s="41"/>
      <c r="I337" s="42">
        <v>45888</v>
      </c>
      <c r="J337" s="41"/>
      <c r="K337" s="41"/>
      <c r="L337" s="43"/>
    </row>
    <row r="338" spans="2:12" outlineLevel="1">
      <c r="B338" s="7">
        <f>IF(C338="","",(B337+1))</f>
        <v>275</v>
      </c>
      <c r="C338" s="41" t="s">
        <v>9</v>
      </c>
      <c r="D338" s="41" t="s">
        <v>366</v>
      </c>
      <c r="E338" s="41" t="s">
        <v>1096</v>
      </c>
      <c r="F338" s="41"/>
      <c r="G338" s="41"/>
      <c r="H338" s="41"/>
      <c r="I338" s="42">
        <v>45888</v>
      </c>
      <c r="J338" s="41"/>
      <c r="K338" s="41"/>
      <c r="L338" s="43"/>
    </row>
    <row r="339" spans="2:12" outlineLevel="1">
      <c r="B339" s="7">
        <f>IF(C339="","",(B338+1))</f>
        <v>276</v>
      </c>
      <c r="C339" s="41" t="s">
        <v>9</v>
      </c>
      <c r="D339" s="41" t="s">
        <v>366</v>
      </c>
      <c r="E339" s="41" t="s">
        <v>1097</v>
      </c>
      <c r="F339" s="41"/>
      <c r="G339" s="41"/>
      <c r="H339" s="41"/>
      <c r="I339" s="42">
        <v>45888</v>
      </c>
      <c r="J339" s="41"/>
      <c r="K339" s="41"/>
      <c r="L339" s="43"/>
    </row>
    <row r="340" spans="2:12" outlineLevel="1">
      <c r="B340" s="7">
        <f>IF(C340="","",(B339+1))</f>
        <v>277</v>
      </c>
      <c r="C340" s="41" t="s">
        <v>9</v>
      </c>
      <c r="D340" s="41" t="s">
        <v>366</v>
      </c>
      <c r="E340" s="41" t="s">
        <v>1098</v>
      </c>
      <c r="F340" s="41"/>
      <c r="G340" s="41"/>
      <c r="H340" s="41"/>
      <c r="I340" s="42">
        <v>45888</v>
      </c>
      <c r="J340" s="41"/>
      <c r="K340" s="41"/>
      <c r="L340" s="43"/>
    </row>
    <row r="341" spans="2:12" outlineLevel="1">
      <c r="B341" s="7">
        <f>IF(C341="","",(B340+1))</f>
        <v>278</v>
      </c>
      <c r="C341" s="41" t="s">
        <v>9</v>
      </c>
      <c r="D341" s="41" t="s">
        <v>366</v>
      </c>
      <c r="E341" s="41">
        <v>4838</v>
      </c>
      <c r="F341" s="41"/>
      <c r="G341" s="41"/>
      <c r="H341" s="41"/>
      <c r="I341" s="42">
        <v>45888</v>
      </c>
      <c r="J341" s="41"/>
      <c r="K341" s="41"/>
      <c r="L341" s="43"/>
    </row>
    <row r="342" spans="2:12" outlineLevel="1">
      <c r="B342" s="7">
        <f>IF(C342="","",(B341+1))</f>
        <v>279</v>
      </c>
      <c r="C342" s="41" t="s">
        <v>9</v>
      </c>
      <c r="D342" s="41" t="s">
        <v>366</v>
      </c>
      <c r="E342" s="41" t="s">
        <v>1099</v>
      </c>
      <c r="F342" s="41"/>
      <c r="G342" s="41"/>
      <c r="H342" s="41"/>
      <c r="I342" s="42">
        <v>45888</v>
      </c>
      <c r="J342" s="41"/>
      <c r="K342" s="41"/>
      <c r="L342" s="43"/>
    </row>
    <row r="343" spans="2:12" outlineLevel="1">
      <c r="B343" s="7">
        <f>IF(C343="","",(B342+1))</f>
        <v>280</v>
      </c>
      <c r="C343" s="41" t="s">
        <v>9</v>
      </c>
      <c r="D343" s="41" t="s">
        <v>366</v>
      </c>
      <c r="E343" s="41" t="s">
        <v>1100</v>
      </c>
      <c r="F343" s="41"/>
      <c r="G343" s="41"/>
      <c r="H343" s="41"/>
      <c r="I343" s="42">
        <v>45888</v>
      </c>
      <c r="J343" s="41"/>
      <c r="K343" s="41"/>
      <c r="L343" s="43"/>
    </row>
    <row r="344" spans="2:12" outlineLevel="1">
      <c r="B344" s="7">
        <f>IF(C344="","",(B343+1))</f>
        <v>281</v>
      </c>
      <c r="C344" s="41" t="s">
        <v>9</v>
      </c>
      <c r="D344" s="41" t="s">
        <v>366</v>
      </c>
      <c r="E344" s="41" t="s">
        <v>1101</v>
      </c>
      <c r="F344" s="41"/>
      <c r="G344" s="41"/>
      <c r="H344" s="41"/>
      <c r="I344" s="42">
        <v>45888</v>
      </c>
      <c r="J344" s="41"/>
      <c r="K344" s="41"/>
      <c r="L344" s="43"/>
    </row>
    <row r="345" spans="2:12" outlineLevel="1">
      <c r="B345" s="7">
        <f>IF(C345="","",(B344+1))</f>
        <v>282</v>
      </c>
      <c r="C345" s="41" t="s">
        <v>9</v>
      </c>
      <c r="D345" s="41" t="s">
        <v>366</v>
      </c>
      <c r="E345" s="41" t="s">
        <v>1012</v>
      </c>
      <c r="F345" s="41"/>
      <c r="G345" s="41"/>
      <c r="H345" s="41"/>
      <c r="I345" s="42">
        <v>45888</v>
      </c>
      <c r="J345" s="41"/>
      <c r="K345" s="41"/>
      <c r="L345" s="43"/>
    </row>
    <row r="346" spans="2:12" outlineLevel="1">
      <c r="B346" s="7">
        <f>IF(C346="","",(B345+1))</f>
        <v>283</v>
      </c>
      <c r="C346" s="41" t="s">
        <v>9</v>
      </c>
      <c r="D346" s="41" t="s">
        <v>366</v>
      </c>
      <c r="E346" s="41" t="s">
        <v>1102</v>
      </c>
      <c r="F346" s="41"/>
      <c r="G346" s="41"/>
      <c r="H346" s="41"/>
      <c r="I346" s="42">
        <v>45888</v>
      </c>
      <c r="J346" s="41"/>
      <c r="K346" s="41"/>
      <c r="L346" s="43"/>
    </row>
    <row r="347" spans="2:12" outlineLevel="1">
      <c r="B347" s="7">
        <f>IF(C347="","",(B346+1))</f>
        <v>284</v>
      </c>
      <c r="C347" s="41" t="s">
        <v>9</v>
      </c>
      <c r="D347" s="41" t="s">
        <v>366</v>
      </c>
      <c r="E347" s="41" t="s">
        <v>1103</v>
      </c>
      <c r="F347" s="41"/>
      <c r="G347" s="41"/>
      <c r="H347" s="41"/>
      <c r="I347" s="42"/>
      <c r="J347" s="41"/>
      <c r="K347" s="41"/>
      <c r="L347" s="43"/>
    </row>
    <row r="348" spans="2:12" outlineLevel="1">
      <c r="B348" s="7">
        <f>IF(C348="","",(B347+1))</f>
        <v>285</v>
      </c>
      <c r="C348" s="41" t="s">
        <v>9</v>
      </c>
      <c r="D348" s="41" t="s">
        <v>366</v>
      </c>
      <c r="E348" s="41" t="s">
        <v>1104</v>
      </c>
      <c r="F348" s="41"/>
      <c r="G348" s="41"/>
      <c r="H348" s="41"/>
      <c r="I348" s="42"/>
      <c r="J348" s="41"/>
      <c r="K348" s="41"/>
      <c r="L348" s="43"/>
    </row>
    <row r="349" spans="2:12" outlineLevel="1">
      <c r="B349" s="7">
        <f>IF(C349="","",(B348+1))</f>
        <v>286</v>
      </c>
      <c r="C349" s="41" t="s">
        <v>9</v>
      </c>
      <c r="D349" s="41" t="s">
        <v>366</v>
      </c>
      <c r="E349" s="41" t="s">
        <v>1004</v>
      </c>
      <c r="F349" s="41"/>
      <c r="G349" s="41"/>
      <c r="H349" s="41"/>
      <c r="I349" s="42"/>
      <c r="J349" s="41"/>
      <c r="K349" s="41"/>
      <c r="L349" s="43"/>
    </row>
    <row r="350" spans="2:12" outlineLevel="1">
      <c r="B350" s="7">
        <f>IF(C350="","",(B349+1))</f>
        <v>287</v>
      </c>
      <c r="C350" s="41" t="s">
        <v>69</v>
      </c>
      <c r="D350" s="41" t="s">
        <v>366</v>
      </c>
      <c r="E350" s="41"/>
      <c r="F350" s="41"/>
      <c r="G350" s="41"/>
      <c r="H350" s="41"/>
      <c r="I350" s="42"/>
      <c r="J350" s="41"/>
      <c r="K350" s="41"/>
      <c r="L350" s="43"/>
    </row>
    <row r="351" spans="2:12" outlineLevel="1">
      <c r="B351" s="7">
        <f>IF(C351="","",(B350+1))</f>
        <v>288</v>
      </c>
      <c r="C351" s="41" t="s">
        <v>69</v>
      </c>
      <c r="D351" s="41" t="s">
        <v>366</v>
      </c>
      <c r="E351" s="41"/>
      <c r="F351" s="41"/>
      <c r="G351" s="41"/>
      <c r="H351" s="41"/>
      <c r="I351" s="42"/>
      <c r="J351" s="41"/>
      <c r="K351" s="41"/>
      <c r="L351" s="43"/>
    </row>
    <row r="352" spans="2:12" outlineLevel="1">
      <c r="B352" s="7" t="str">
        <f>IF(C352="","",(B351+1))</f>
        <v/>
      </c>
      <c r="C352" s="41"/>
      <c r="D352" s="41"/>
      <c r="E352" s="41"/>
      <c r="F352" s="41"/>
      <c r="G352" s="41"/>
      <c r="H352" s="41"/>
      <c r="I352" s="42"/>
      <c r="J352" s="41"/>
      <c r="K352" s="41"/>
      <c r="L352" s="43"/>
    </row>
    <row r="353" spans="2:12" outlineLevel="1">
      <c r="B353" s="7" t="str">
        <f>IF(C353="","",(B352+1))</f>
        <v/>
      </c>
      <c r="C353" s="41"/>
      <c r="D353" s="41"/>
      <c r="E353" s="41"/>
      <c r="F353" s="41"/>
      <c r="G353" s="41"/>
      <c r="H353" s="41"/>
      <c r="I353" s="42"/>
      <c r="J353" s="41"/>
      <c r="K353" s="41"/>
      <c r="L353" s="43"/>
    </row>
    <row r="354" spans="2:12" outlineLevel="1">
      <c r="B354" s="7" t="str">
        <f>IF(C354="","",(B353+1))</f>
        <v/>
      </c>
      <c r="C354" s="41"/>
      <c r="D354" s="41"/>
      <c r="E354" s="41"/>
      <c r="F354" s="41"/>
      <c r="G354" s="41"/>
      <c r="H354" s="41"/>
      <c r="I354" s="42"/>
      <c r="J354" s="41"/>
      <c r="K354" s="41"/>
      <c r="L354" s="43"/>
    </row>
    <row r="355" spans="2:12" outlineLevel="1">
      <c r="B355" s="7" t="str">
        <f>IF(C355="","",(B354+1))</f>
        <v/>
      </c>
      <c r="C355" s="1"/>
      <c r="D355" s="1"/>
      <c r="E355" s="1"/>
      <c r="F355" s="1"/>
      <c r="G355" s="1"/>
      <c r="H355" s="1"/>
      <c r="I355" s="36"/>
      <c r="J355" s="1"/>
      <c r="K355" s="1"/>
      <c r="L355" s="2"/>
    </row>
    <row r="356" spans="2:12" ht="15.75" outlineLevel="1" thickBot="1">
      <c r="B356" s="7" t="str">
        <f>IF(C356="","",(B355+1))</f>
        <v/>
      </c>
      <c r="C356" s="38"/>
      <c r="D356" s="38"/>
      <c r="E356" s="38"/>
      <c r="F356" s="38"/>
      <c r="G356" s="38"/>
      <c r="H356" s="38"/>
      <c r="I356" s="38"/>
      <c r="J356" s="38"/>
      <c r="K356" s="38"/>
      <c r="L356" s="39"/>
    </row>
    <row r="357" spans="2:12" ht="24" customHeight="1" thickBot="1">
      <c r="B357" s="320" t="s">
        <v>59</v>
      </c>
      <c r="C357" s="321"/>
      <c r="D357" s="321"/>
      <c r="E357" s="321"/>
      <c r="F357" s="321"/>
      <c r="G357" s="321"/>
      <c r="H357" s="321"/>
      <c r="I357" s="321"/>
      <c r="J357" s="321"/>
      <c r="K357" s="321"/>
      <c r="L357" s="322"/>
    </row>
    <row r="358" spans="2:12" ht="24" customHeight="1" thickBot="1">
      <c r="B358" s="26" t="s">
        <v>49</v>
      </c>
      <c r="C358" s="27" t="s">
        <v>60</v>
      </c>
      <c r="D358" s="27" t="s">
        <v>62</v>
      </c>
      <c r="E358" s="27" t="s">
        <v>63</v>
      </c>
      <c r="F358" s="27" t="s">
        <v>64</v>
      </c>
      <c r="G358" s="27" t="s">
        <v>65</v>
      </c>
      <c r="H358" s="27" t="s">
        <v>66</v>
      </c>
      <c r="I358" s="27" t="s">
        <v>67</v>
      </c>
      <c r="J358" s="27" t="s">
        <v>6</v>
      </c>
      <c r="K358" s="27" t="s">
        <v>7</v>
      </c>
      <c r="L358" s="28" t="s">
        <v>68</v>
      </c>
    </row>
    <row r="359" spans="2:12">
      <c r="B359" s="46" t="s">
        <v>8</v>
      </c>
      <c r="C359" s="41">
        <f>COUNTIFS(B64:B356,"&gt;"&amp;0,C64:C356,"="&amp;B359)</f>
        <v>0</v>
      </c>
      <c r="D359" s="41">
        <f>COUNTIFS(B64:B356,"&gt;="&amp;1,C64:C356,B359,K64:K356,"&gt;="&amp;0,K64:K356,"&lt;"&amp;50)</f>
        <v>0</v>
      </c>
      <c r="E359" s="41">
        <f>COUNTIFS(B64:B356,"&gt;="&amp;1,C64:C356,B359,K64:K356,"&gt;="&amp;50,K64:K356,"&lt;"&amp;500)</f>
        <v>0</v>
      </c>
      <c r="F359" s="41">
        <f>COUNTIFS(B64:B356,"&gt;="&amp;1,C64:C356,B359,K64:K356,"&gt;="&amp;500)</f>
        <v>0</v>
      </c>
      <c r="G359" s="41">
        <f>COUNTIFS(B64:B356,"&gt;="&amp;1,C64:C356,B359,K64:K356,"&gt;="&amp;0,I64:I356,"&gt;"&amp;DATE(2021,1,1))</f>
        <v>0</v>
      </c>
      <c r="H359" s="47" t="str">
        <f>IF(G359=0,"-",(SUM(E359,F359)/G359))</f>
        <v>-</v>
      </c>
      <c r="I359" s="41">
        <f>IF((COUNTIFS(B64:B356,"&gt;="&amp;1,C64:C356,"="&amp;B359))&gt;228,228,(COUNTIFS(B64:B356,"&gt;="&amp;1,C64:C356,"="&amp;B359)))</f>
        <v>0</v>
      </c>
      <c r="J359" s="47" t="str">
        <f>IF(I359=0,"-",(COUNTIFS(C64:C356,"="&amp;B359,I64:I356,"&lt;="&amp;DATE(2024,12,31),K64:K356,"&gt;="&amp;0)/I359))</f>
        <v>-</v>
      </c>
      <c r="K359" s="47" t="str">
        <f>IF(I359=0,"-",IF(J359=1,"-",(COUNTIFS(B64:B356,"&gt;"&amp;0,C64:C356,"="&amp;B359,I64:I356,"&gt;"&amp;DATE(2024,12,31),K64:K356,"&gt;="&amp;0)-COUNTIFS(B64:B356,"&gt;"&amp;0,C64:C356,"="&amp;B359,I64:I356,"&lt;="&amp;DATE(2024,12,31),K64:K356,"&gt;="&amp;0))/I359))</f>
        <v>-</v>
      </c>
      <c r="L359" s="48" t="str">
        <f>IF(I359=0,"-",G359/I359)</f>
        <v>-</v>
      </c>
    </row>
    <row r="360" spans="2:12">
      <c r="B360" s="7" t="s">
        <v>9</v>
      </c>
      <c r="C360" s="1">
        <f>COUNTIFS(B64:B356,"&gt;"&amp;0,C64:C356,"="&amp;B360)</f>
        <v>281</v>
      </c>
      <c r="D360" s="1">
        <f>COUNTIFS(B64:B356,"&gt;="&amp;1,C64:C356,B360,K64:K356,"&gt;="&amp;0,K64:K356,"&lt;"&amp;50)</f>
        <v>208</v>
      </c>
      <c r="E360" s="1">
        <f>COUNTIFS(B64:B356,"&gt;="&amp;1,C64:C356,B360,K64:K356,"&gt;="&amp;50,K64:K356,"&lt;"&amp;500)</f>
        <v>1</v>
      </c>
      <c r="F360" s="1">
        <f>COUNTIFS(B64:B356,"&gt;="&amp;1,C64:C356,B360,K64:K356,"&gt;="&amp;500)</f>
        <v>0</v>
      </c>
      <c r="G360" s="1">
        <f>COUNTIFS(B64:B356,"&gt;="&amp;1,C64:C356,B360,K64:K356,"&gt;="&amp;0,I64:I356,"&gt;"&amp;DATE(2021,1,1))</f>
        <v>209</v>
      </c>
      <c r="H360" s="44">
        <f>IF(G360=0,"-",(SUM(E360,F360)/G360))</f>
        <v>4.7846889952153108E-3</v>
      </c>
      <c r="I360" s="1">
        <f>IF((COUNTIFS(B64:B356,"&gt;="&amp;1,C64:C356,"="&amp;B360))&gt;228,228,(COUNTIFS(B64:B356,"&gt;="&amp;1,C64:C356,"="&amp;B360)))</f>
        <v>228</v>
      </c>
      <c r="J360" s="44">
        <f>IF(I360=0,"-",(COUNTIFS(C64:C356,"="&amp;B360,I64:I356,"&lt;="&amp;DATE(2024,12,31),K64:K356,"&gt;="&amp;0)/I360))</f>
        <v>0.41666666666666669</v>
      </c>
      <c r="K360" s="44">
        <f>IF(I360=0,"-",IF(J360=1,"-",(COUNTIFS(B64:B356,"&gt;"&amp;0,C64:C356,"="&amp;B360,I64:I356,"&gt;"&amp;DATE(2024,12,31),K64:K356,"&gt;="&amp;0)-COUNTIFS(B64:B356,"&gt;"&amp;0,C64:C356,"="&amp;B360,I64:I356,"&lt;="&amp;DATE(2024,12,31),K64:K356,"&gt;="&amp;0))/I360))</f>
        <v>8.3333333333333329E-2</v>
      </c>
      <c r="L360" s="45">
        <f>IF(I360=0,"-",G360/I360)</f>
        <v>0.91666666666666663</v>
      </c>
    </row>
    <row r="361" spans="2:12">
      <c r="B361" s="7" t="s">
        <v>69</v>
      </c>
      <c r="C361" s="1">
        <f>COUNTIFS(B64:B356,"&gt;"&amp;0,C64:C356,"="&amp;B361)</f>
        <v>7</v>
      </c>
      <c r="D361" s="1">
        <f>COUNTIFS(B64:B356,"&gt;="&amp;1,C64:C356,B361,K64:K356,"&gt;="&amp;0,K64:K356,"&lt;"&amp;50)</f>
        <v>2</v>
      </c>
      <c r="E361" s="1">
        <f>COUNTIFS(B64:B356,"&gt;="&amp;1,C64:C356,B361,K64:K356,"&gt;="&amp;50,K64:K356,"&lt;"&amp;500)</f>
        <v>0</v>
      </c>
      <c r="F361" s="1">
        <f>COUNTIFS(B64:B355,"&gt;="&amp;1,C64:C355,B361,K64:K355,"&gt;="&amp;500)</f>
        <v>0</v>
      </c>
      <c r="G361" s="1">
        <f>COUNTIFS(B64:B356,"&gt;="&amp;1,C64:C356,B361,K64:K356,"&gt;="&amp;0,I64:I356,"&gt;"&amp;DATE(2021,1,1))</f>
        <v>2</v>
      </c>
      <c r="H361" s="44">
        <f>IF(G361=0,"-",(SUM(E361,F361)/G361))</f>
        <v>0</v>
      </c>
      <c r="I361" s="1">
        <f>IF((COUNTIFS(B64:B355,"&gt;="&amp;1,C64:C355,"="&amp;B361))&gt;228,228,(COUNTIFS(B64:B355,"&gt;="&amp;1,C64:C355,"="&amp;B361)))</f>
        <v>7</v>
      </c>
      <c r="J361" s="44">
        <f>IF(I361=0,"-",(COUNTIFS(C64:C356,"="&amp;B361,I64:I356,"&lt;="&amp;DATE(2024,12,31),K64:K356,"&gt;="&amp;0)/I361))</f>
        <v>0</v>
      </c>
      <c r="K361" s="44">
        <f>IF(I361=0,"-",IF(J361=1,"-",(COUNTIFS(B64:B356,"&gt;"&amp;0,C64:C356,"="&amp;B361,I64:I356,"&gt;"&amp;DATE(2024,12,31),K64:K356,"&gt;="&amp;0)-COUNTIFS(B64:B356,"&gt;"&amp;0,C64:C356,"="&amp;B361,I64:I356,"&lt;="&amp;DATE(2024,12,31),K64:K356,"&gt;="&amp;0))/I361))</f>
        <v>0.2857142857142857</v>
      </c>
      <c r="L361" s="45">
        <f>IF(I361=0,"-",G361/I361)</f>
        <v>0.2857142857142857</v>
      </c>
    </row>
    <row r="362" spans="2:12" ht="24" customHeight="1" thickBot="1">
      <c r="B362" s="49" t="s">
        <v>59</v>
      </c>
      <c r="C362" s="50">
        <f>SUM(C359:C361)</f>
        <v>288</v>
      </c>
      <c r="D362" s="50">
        <f>SUM(D359:D361)</f>
        <v>210</v>
      </c>
      <c r="E362" s="50">
        <f>SUM(E359:E361)</f>
        <v>1</v>
      </c>
      <c r="F362" s="50">
        <f>SUM(F359:F361)</f>
        <v>0</v>
      </c>
      <c r="G362" s="50">
        <f>SUM(G359:G361)</f>
        <v>211</v>
      </c>
      <c r="H362" s="51">
        <f>IF(G362=0,"-",(SUM(E362,F362)/G362))</f>
        <v>4.7393364928909956E-3</v>
      </c>
      <c r="I362" s="50">
        <f>SUM(I359:I361)</f>
        <v>235</v>
      </c>
      <c r="J362" s="51">
        <f>IF(I362=0,"-",(COUNTIFS(I64:I356,"&lt;="&amp;DATE(2024,12,31),K64:K356,"&gt;="&amp;0)/I362))</f>
        <v>0.40425531914893614</v>
      </c>
      <c r="K362" s="51">
        <f>IF(I362=0,"-",IF(J362=1,"-",(COUNTIFS(B64:B356,"&gt;"&amp;0,I64:I356,"&gt;"&amp;DATE(2024,12,31),K64:K356,"&gt;="&amp;0)-COUNTIFS(B64:B356,"&gt;"&amp;0,I64:I356,"&lt;="&amp;DATE(2024,12,31),K64:K356,"&gt;="&amp;0))/I362))</f>
        <v>8.9361702127659579E-2</v>
      </c>
      <c r="L362" s="52">
        <f>IF(I362=0,"-",G362/I362)</f>
        <v>0.89787234042553188</v>
      </c>
    </row>
    <row r="364" spans="2:12" ht="15.75" thickBot="1"/>
    <row r="365" spans="2:12" ht="32.25" customHeight="1" thickBot="1">
      <c r="B365" s="320" t="str">
        <f>_xlfn.CONCAT("Outros Equipamentos ( TSAs,Chaves a Óleo entre Outros)",TEXT(IF(SUM(I469:I471)=0," ",(SUM(G469:G471)/SUM(I469:I471))), " 0,00%"))</f>
        <v>Outros Equipamentos ( TSAs,Chaves a Óleo entre Outros) 77,55%</v>
      </c>
      <c r="C365" s="321"/>
      <c r="D365" s="321"/>
      <c r="E365" s="321"/>
      <c r="F365" s="321"/>
      <c r="G365" s="321"/>
      <c r="H365" s="321"/>
      <c r="I365" s="321"/>
      <c r="J365" s="321"/>
      <c r="K365" s="321"/>
      <c r="L365" s="322"/>
    </row>
    <row r="366" spans="2:12" ht="24" customHeight="1" outlineLevel="1" thickBot="1">
      <c r="B366" s="26" t="s">
        <v>48</v>
      </c>
      <c r="C366" s="27" t="s">
        <v>49</v>
      </c>
      <c r="D366" s="27" t="s">
        <v>50</v>
      </c>
      <c r="E366" s="27" t="s">
        <v>51</v>
      </c>
      <c r="F366" s="27" t="s">
        <v>52</v>
      </c>
      <c r="G366" s="27" t="s">
        <v>53</v>
      </c>
      <c r="H366" s="27" t="s">
        <v>54</v>
      </c>
      <c r="I366" s="27" t="s">
        <v>55</v>
      </c>
      <c r="J366" s="27" t="s">
        <v>56</v>
      </c>
      <c r="K366" s="27" t="s">
        <v>57</v>
      </c>
      <c r="L366" s="28" t="s">
        <v>58</v>
      </c>
    </row>
    <row r="367" spans="2:12" outlineLevel="1">
      <c r="B367" s="40">
        <f>IF(C367="","",ROW($A$1))</f>
        <v>1</v>
      </c>
      <c r="C367" s="41" t="s">
        <v>8</v>
      </c>
      <c r="D367" s="41" t="s">
        <v>1105</v>
      </c>
      <c r="E367" s="41"/>
      <c r="F367" s="41"/>
      <c r="G367" s="41"/>
      <c r="H367" s="41"/>
      <c r="I367" s="42"/>
      <c r="J367" s="41"/>
      <c r="K367" s="41"/>
      <c r="L367" s="43"/>
    </row>
    <row r="368" spans="2:12" outlineLevel="1">
      <c r="B368" s="35">
        <f>IF(C368="","",(B367+1))</f>
        <v>2</v>
      </c>
      <c r="C368" s="41" t="s">
        <v>8</v>
      </c>
      <c r="D368" s="41" t="s">
        <v>1105</v>
      </c>
      <c r="E368" s="41"/>
      <c r="F368" s="41"/>
      <c r="G368" s="41"/>
      <c r="H368" s="41"/>
      <c r="I368" s="42"/>
      <c r="J368" s="41"/>
      <c r="K368" s="41"/>
      <c r="L368" s="43"/>
    </row>
    <row r="369" spans="2:12" outlineLevel="1">
      <c r="B369" s="35">
        <f>IF(C369="","",(B368+1))</f>
        <v>3</v>
      </c>
      <c r="C369" s="41" t="s">
        <v>8</v>
      </c>
      <c r="D369" s="41" t="s">
        <v>1105</v>
      </c>
      <c r="E369" s="41"/>
      <c r="F369" s="41"/>
      <c r="G369" s="41"/>
      <c r="H369" s="41"/>
      <c r="I369" s="42"/>
      <c r="J369" s="41"/>
      <c r="K369" s="41"/>
      <c r="L369" s="43"/>
    </row>
    <row r="370" spans="2:12" outlineLevel="1">
      <c r="B370" s="35">
        <f>IF(C370="","",(B369+1))</f>
        <v>4</v>
      </c>
      <c r="C370" s="41" t="s">
        <v>8</v>
      </c>
      <c r="D370" s="41" t="s">
        <v>1105</v>
      </c>
      <c r="E370" s="41"/>
      <c r="F370" s="41"/>
      <c r="G370" s="41"/>
      <c r="H370" s="41"/>
      <c r="I370" s="42"/>
      <c r="J370" s="41"/>
      <c r="K370" s="41"/>
      <c r="L370" s="43"/>
    </row>
    <row r="371" spans="2:12" outlineLevel="1">
      <c r="B371" s="35">
        <f>IF(C371="","",(B370+1))</f>
        <v>5</v>
      </c>
      <c r="C371" s="41" t="s">
        <v>8</v>
      </c>
      <c r="D371" s="41" t="s">
        <v>1105</v>
      </c>
      <c r="E371" s="41"/>
      <c r="F371" s="41"/>
      <c r="G371" s="41"/>
      <c r="H371" s="41"/>
      <c r="I371" s="42"/>
      <c r="J371" s="41"/>
      <c r="K371" s="41"/>
      <c r="L371" s="43"/>
    </row>
    <row r="372" spans="2:12" outlineLevel="1">
      <c r="B372" s="35">
        <f>IF(C372="","",(B371+1))</f>
        <v>6</v>
      </c>
      <c r="C372" s="41" t="s">
        <v>8</v>
      </c>
      <c r="D372" s="41" t="s">
        <v>1105</v>
      </c>
      <c r="E372" s="41"/>
      <c r="F372" s="41"/>
      <c r="G372" s="41"/>
      <c r="H372" s="41"/>
      <c r="I372" s="42"/>
      <c r="J372" s="41"/>
      <c r="K372" s="41"/>
      <c r="L372" s="43"/>
    </row>
    <row r="373" spans="2:12" outlineLevel="1">
      <c r="B373" s="35">
        <f>IF(C373="","",(B372+1))</f>
        <v>7</v>
      </c>
      <c r="C373" s="41" t="s">
        <v>8</v>
      </c>
      <c r="D373" s="41" t="s">
        <v>1105</v>
      </c>
      <c r="E373" s="41"/>
      <c r="F373" s="41"/>
      <c r="G373" s="41"/>
      <c r="H373" s="41"/>
      <c r="I373" s="42"/>
      <c r="J373" s="41"/>
      <c r="K373" s="41"/>
      <c r="L373" s="43"/>
    </row>
    <row r="374" spans="2:12" outlineLevel="1">
      <c r="B374" s="35">
        <f>IF(C374="","",(B373+1))</f>
        <v>8</v>
      </c>
      <c r="C374" s="41" t="s">
        <v>8</v>
      </c>
      <c r="D374" s="41" t="s">
        <v>1105</v>
      </c>
      <c r="E374" s="41"/>
      <c r="F374" s="41"/>
      <c r="G374" s="41"/>
      <c r="H374" s="41"/>
      <c r="I374" s="42"/>
      <c r="J374" s="41"/>
      <c r="K374" s="41"/>
      <c r="L374" s="43"/>
    </row>
    <row r="375" spans="2:12" outlineLevel="1">
      <c r="B375" s="35">
        <f>IF(C375="","",(B374+1))</f>
        <v>9</v>
      </c>
      <c r="C375" s="41" t="s">
        <v>8</v>
      </c>
      <c r="D375" s="41" t="s">
        <v>1105</v>
      </c>
      <c r="E375" s="41"/>
      <c r="F375" s="41"/>
      <c r="G375" s="41"/>
      <c r="H375" s="41"/>
      <c r="I375" s="42"/>
      <c r="J375" s="41"/>
      <c r="K375" s="41"/>
      <c r="L375" s="43"/>
    </row>
    <row r="376" spans="2:12" outlineLevel="1">
      <c r="B376" s="35">
        <f>IF(C376="","",(B375+1))</f>
        <v>10</v>
      </c>
      <c r="C376" s="41" t="s">
        <v>69</v>
      </c>
      <c r="D376" s="41" t="s">
        <v>1105</v>
      </c>
      <c r="E376" s="41"/>
      <c r="F376" s="41"/>
      <c r="G376" s="41"/>
      <c r="H376" s="41"/>
      <c r="I376" s="42"/>
      <c r="J376" s="41"/>
      <c r="K376" s="41"/>
      <c r="L376" s="43"/>
    </row>
    <row r="377" spans="2:12" outlineLevel="1">
      <c r="B377" s="35">
        <f>IF(C377="","",(B376+1))</f>
        <v>11</v>
      </c>
      <c r="C377" s="41" t="s">
        <v>69</v>
      </c>
      <c r="D377" s="41" t="s">
        <v>1105</v>
      </c>
      <c r="E377" s="41"/>
      <c r="F377" s="41"/>
      <c r="G377" s="41"/>
      <c r="H377" s="41"/>
      <c r="I377" s="42"/>
      <c r="J377" s="41"/>
      <c r="K377" s="41"/>
      <c r="L377" s="43"/>
    </row>
    <row r="378" spans="2:12" outlineLevel="1">
      <c r="B378" s="40">
        <f>IF(C378="","",(B377+1))</f>
        <v>12</v>
      </c>
      <c r="C378" s="41" t="s">
        <v>9</v>
      </c>
      <c r="D378" s="41" t="s">
        <v>1105</v>
      </c>
      <c r="E378" s="41">
        <v>76542</v>
      </c>
      <c r="F378" s="41"/>
      <c r="G378" s="41"/>
      <c r="H378" s="41"/>
      <c r="I378" s="42">
        <v>45464</v>
      </c>
      <c r="J378" s="41" t="s">
        <v>1106</v>
      </c>
      <c r="K378" s="41">
        <v>0</v>
      </c>
      <c r="L378" s="43"/>
    </row>
    <row r="379" spans="2:12" outlineLevel="1">
      <c r="B379" s="40">
        <f>IF(C379="","",(B378+1))</f>
        <v>13</v>
      </c>
      <c r="C379" s="41" t="s">
        <v>9</v>
      </c>
      <c r="D379" s="41" t="s">
        <v>1105</v>
      </c>
      <c r="E379" s="41">
        <v>9011035</v>
      </c>
      <c r="F379" s="41"/>
      <c r="G379" s="41"/>
      <c r="H379" s="41"/>
      <c r="I379" s="42">
        <v>45464</v>
      </c>
      <c r="J379" s="41" t="s">
        <v>1106</v>
      </c>
      <c r="K379" s="41">
        <v>0</v>
      </c>
      <c r="L379" s="43"/>
    </row>
    <row r="380" spans="2:12" outlineLevel="1">
      <c r="B380" s="40">
        <f>IF(C380="","",(B379+1))</f>
        <v>14</v>
      </c>
      <c r="C380" s="41" t="s">
        <v>9</v>
      </c>
      <c r="D380" s="41" t="s">
        <v>1105</v>
      </c>
      <c r="E380" s="41">
        <v>8416733</v>
      </c>
      <c r="F380" s="41"/>
      <c r="G380" s="41"/>
      <c r="H380" s="41"/>
      <c r="I380" s="42">
        <v>45518</v>
      </c>
      <c r="J380" s="41" t="s">
        <v>1107</v>
      </c>
      <c r="K380" s="41">
        <v>0</v>
      </c>
      <c r="L380" s="43"/>
    </row>
    <row r="381" spans="2:12" outlineLevel="1">
      <c r="B381" s="40">
        <f>IF(C381="","",(B380+1))</f>
        <v>15</v>
      </c>
      <c r="C381" s="41" t="s">
        <v>9</v>
      </c>
      <c r="D381" s="41" t="s">
        <v>1105</v>
      </c>
      <c r="E381" s="41">
        <v>8739254</v>
      </c>
      <c r="F381" s="41"/>
      <c r="G381" s="41"/>
      <c r="H381" s="41"/>
      <c r="I381" s="42">
        <v>45568</v>
      </c>
      <c r="J381" s="41" t="s">
        <v>1107</v>
      </c>
      <c r="K381" s="41">
        <v>40</v>
      </c>
      <c r="L381" s="43"/>
    </row>
    <row r="382" spans="2:12" outlineLevel="1">
      <c r="B382" s="40">
        <f>IF(C382="","",(B381+1))</f>
        <v>16</v>
      </c>
      <c r="C382" s="41" t="s">
        <v>9</v>
      </c>
      <c r="D382" s="41" t="s">
        <v>1105</v>
      </c>
      <c r="E382" s="41">
        <v>954433</v>
      </c>
      <c r="F382" s="41"/>
      <c r="G382" s="41"/>
      <c r="H382" s="41"/>
      <c r="I382" s="42">
        <v>45568</v>
      </c>
      <c r="J382" s="41" t="s">
        <v>1107</v>
      </c>
      <c r="K382" s="41">
        <v>0</v>
      </c>
      <c r="L382" s="43"/>
    </row>
    <row r="383" spans="2:12" outlineLevel="1">
      <c r="B383" s="40">
        <f>IF(C383="","",(B382+1))</f>
        <v>17</v>
      </c>
      <c r="C383" s="41" t="s">
        <v>9</v>
      </c>
      <c r="D383" s="41" t="s">
        <v>1105</v>
      </c>
      <c r="E383" s="41">
        <v>57193</v>
      </c>
      <c r="F383" s="41"/>
      <c r="G383" s="41"/>
      <c r="H383" s="41"/>
      <c r="I383" s="42">
        <v>45460</v>
      </c>
      <c r="J383" s="41" t="s">
        <v>1106</v>
      </c>
      <c r="K383" s="41">
        <v>0</v>
      </c>
      <c r="L383" s="43"/>
    </row>
    <row r="384" spans="2:12" outlineLevel="1">
      <c r="B384" s="40">
        <f>IF(C384="","",(B383+1))</f>
        <v>18</v>
      </c>
      <c r="C384" s="41" t="s">
        <v>9</v>
      </c>
      <c r="D384" s="41" t="s">
        <v>1105</v>
      </c>
      <c r="E384" s="41">
        <v>31883</v>
      </c>
      <c r="F384" s="41"/>
      <c r="G384" s="41"/>
      <c r="H384" s="41"/>
      <c r="I384" s="42">
        <v>45460</v>
      </c>
      <c r="J384" s="41" t="s">
        <v>1106</v>
      </c>
      <c r="K384" s="41">
        <v>0</v>
      </c>
      <c r="L384" s="43"/>
    </row>
    <row r="385" spans="2:12" outlineLevel="1">
      <c r="B385" s="40">
        <f>IF(C385="","",(B384+1))</f>
        <v>19</v>
      </c>
      <c r="C385" s="41" t="s">
        <v>9</v>
      </c>
      <c r="D385" s="41" t="s">
        <v>1105</v>
      </c>
      <c r="E385" s="41">
        <v>9020817</v>
      </c>
      <c r="F385" s="41"/>
      <c r="G385" s="41"/>
      <c r="H385" s="41"/>
      <c r="I385" s="42">
        <v>45568</v>
      </c>
      <c r="J385" s="41" t="s">
        <v>1107</v>
      </c>
      <c r="K385" s="41">
        <v>43</v>
      </c>
      <c r="L385" s="43"/>
    </row>
    <row r="386" spans="2:12" outlineLevel="1">
      <c r="B386" s="40">
        <f>IF(C386="","",(B385+1))</f>
        <v>20</v>
      </c>
      <c r="C386" s="41" t="s">
        <v>9</v>
      </c>
      <c r="D386" s="41" t="s">
        <v>1105</v>
      </c>
      <c r="E386" s="41">
        <v>161073</v>
      </c>
      <c r="F386" s="41"/>
      <c r="G386" s="41"/>
      <c r="H386" s="41"/>
      <c r="I386" s="42">
        <v>45568</v>
      </c>
      <c r="J386" s="41" t="s">
        <v>1107</v>
      </c>
      <c r="K386" s="41">
        <v>80</v>
      </c>
      <c r="L386" s="43"/>
    </row>
    <row r="387" spans="2:12" outlineLevel="1">
      <c r="B387" s="40">
        <f>IF(C387="","",(B386+1))</f>
        <v>21</v>
      </c>
      <c r="C387" s="41" t="s">
        <v>9</v>
      </c>
      <c r="D387" s="41" t="s">
        <v>1105</v>
      </c>
      <c r="E387" s="41">
        <v>46360</v>
      </c>
      <c r="F387" s="41"/>
      <c r="G387" s="41"/>
      <c r="H387" s="41"/>
      <c r="I387" s="42">
        <v>45463</v>
      </c>
      <c r="J387" s="41" t="s">
        <v>1106</v>
      </c>
      <c r="K387" s="41">
        <v>0</v>
      </c>
      <c r="L387" s="43"/>
    </row>
    <row r="388" spans="2:12" outlineLevel="1">
      <c r="B388" s="40">
        <f>IF(C388="","",(B387+1))</f>
        <v>22</v>
      </c>
      <c r="C388" s="41" t="s">
        <v>9</v>
      </c>
      <c r="D388" s="41" t="s">
        <v>1105</v>
      </c>
      <c r="E388" s="41">
        <v>140894</v>
      </c>
      <c r="F388" s="41"/>
      <c r="G388" s="41"/>
      <c r="H388" s="41"/>
      <c r="I388" s="42">
        <v>45376</v>
      </c>
      <c r="J388" s="41" t="s">
        <v>1106</v>
      </c>
      <c r="K388" s="41">
        <v>0</v>
      </c>
      <c r="L388" s="43"/>
    </row>
    <row r="389" spans="2:12" outlineLevel="1">
      <c r="B389" s="40">
        <f>IF(C389="","",(B388+1))</f>
        <v>23</v>
      </c>
      <c r="C389" s="41" t="s">
        <v>9</v>
      </c>
      <c r="D389" s="41" t="s">
        <v>1105</v>
      </c>
      <c r="E389" s="41">
        <v>51018</v>
      </c>
      <c r="F389" s="41"/>
      <c r="G389" s="41"/>
      <c r="H389" s="41"/>
      <c r="I389" s="42">
        <v>45450</v>
      </c>
      <c r="J389" s="41" t="s">
        <v>1106</v>
      </c>
      <c r="K389" s="41">
        <v>0</v>
      </c>
      <c r="L389" s="43"/>
    </row>
    <row r="390" spans="2:12" outlineLevel="1">
      <c r="B390" s="40">
        <f>IF(C390="","",(B389+1))</f>
        <v>24</v>
      </c>
      <c r="C390" s="41" t="s">
        <v>9</v>
      </c>
      <c r="D390" s="41" t="s">
        <v>1105</v>
      </c>
      <c r="E390" s="41">
        <v>97693</v>
      </c>
      <c r="F390" s="41"/>
      <c r="G390" s="41"/>
      <c r="H390" s="41"/>
      <c r="I390" s="42">
        <v>45450</v>
      </c>
      <c r="J390" s="41" t="s">
        <v>1106</v>
      </c>
      <c r="K390" s="41">
        <v>0</v>
      </c>
      <c r="L390" s="43"/>
    </row>
    <row r="391" spans="2:12" outlineLevel="1">
      <c r="B391" s="40">
        <f>IF(C391="","",(B390+1))</f>
        <v>25</v>
      </c>
      <c r="C391" s="41" t="s">
        <v>9</v>
      </c>
      <c r="D391" s="41" t="s">
        <v>1105</v>
      </c>
      <c r="E391" s="41">
        <v>4966175</v>
      </c>
      <c r="F391" s="41"/>
      <c r="G391" s="41"/>
      <c r="H391" s="41"/>
      <c r="I391" s="42">
        <v>45475</v>
      </c>
      <c r="J391" s="41" t="s">
        <v>1106</v>
      </c>
      <c r="K391" s="41">
        <v>0</v>
      </c>
      <c r="L391" s="43"/>
    </row>
    <row r="392" spans="2:12" outlineLevel="1">
      <c r="B392" s="40">
        <f>IF(C392="","",(B391+1))</f>
        <v>26</v>
      </c>
      <c r="C392" s="41" t="s">
        <v>9</v>
      </c>
      <c r="D392" s="41" t="s">
        <v>1105</v>
      </c>
      <c r="E392" s="41">
        <v>3940</v>
      </c>
      <c r="F392" s="41"/>
      <c r="G392" s="41"/>
      <c r="H392" s="41"/>
      <c r="I392" s="42">
        <v>45475</v>
      </c>
      <c r="J392" s="41" t="s">
        <v>1106</v>
      </c>
      <c r="K392" s="41">
        <v>0</v>
      </c>
      <c r="L392" s="43"/>
    </row>
    <row r="393" spans="2:12" outlineLevel="1">
      <c r="B393" s="40">
        <f>IF(C393="","",(B392+1))</f>
        <v>27</v>
      </c>
      <c r="C393" s="41" t="s">
        <v>9</v>
      </c>
      <c r="D393" s="41" t="s">
        <v>1105</v>
      </c>
      <c r="E393" s="41">
        <v>122520130</v>
      </c>
      <c r="F393" s="41"/>
      <c r="G393" s="41"/>
      <c r="H393" s="41"/>
      <c r="I393" s="42">
        <v>45568</v>
      </c>
      <c r="J393" s="41" t="s">
        <v>1107</v>
      </c>
      <c r="K393" s="41">
        <v>10</v>
      </c>
      <c r="L393" s="43"/>
    </row>
    <row r="394" spans="2:12" outlineLevel="1">
      <c r="B394" s="40">
        <f>IF(C394="","",(B393+1))</f>
        <v>28</v>
      </c>
      <c r="C394" s="41" t="s">
        <v>9</v>
      </c>
      <c r="D394" s="41" t="s">
        <v>1105</v>
      </c>
      <c r="E394" s="41">
        <v>979289</v>
      </c>
      <c r="F394" s="41"/>
      <c r="G394" s="41"/>
      <c r="H394" s="41"/>
      <c r="I394" s="42">
        <v>45568</v>
      </c>
      <c r="J394" s="41" t="s">
        <v>1107</v>
      </c>
      <c r="K394" s="41">
        <v>0</v>
      </c>
      <c r="L394" s="43"/>
    </row>
    <row r="395" spans="2:12" outlineLevel="1">
      <c r="B395" s="40">
        <f>IF(C395="","",(B394+1))</f>
        <v>29</v>
      </c>
      <c r="C395" s="41" t="s">
        <v>9</v>
      </c>
      <c r="D395" s="41" t="s">
        <v>1105</v>
      </c>
      <c r="E395" s="41">
        <v>4966175</v>
      </c>
      <c r="F395" s="41"/>
      <c r="G395" s="41"/>
      <c r="H395" s="41"/>
      <c r="I395" s="42">
        <v>45608</v>
      </c>
      <c r="J395" s="41" t="s">
        <v>1107</v>
      </c>
      <c r="K395" s="41">
        <v>0</v>
      </c>
      <c r="L395" s="43"/>
    </row>
    <row r="396" spans="2:12" outlineLevel="1">
      <c r="B396" s="40">
        <f>IF(C396="","",(B395+1))</f>
        <v>30</v>
      </c>
      <c r="C396" s="41" t="s">
        <v>9</v>
      </c>
      <c r="D396" s="41" t="s">
        <v>1105</v>
      </c>
      <c r="E396" s="41">
        <v>384788</v>
      </c>
      <c r="F396" s="41"/>
      <c r="G396" s="41"/>
      <c r="H396" s="41"/>
      <c r="I396" s="42">
        <v>45707</v>
      </c>
      <c r="J396" s="41" t="s">
        <v>1107</v>
      </c>
      <c r="K396" s="41">
        <v>0</v>
      </c>
      <c r="L396" s="43"/>
    </row>
    <row r="397" spans="2:12" outlineLevel="1">
      <c r="B397" s="40">
        <f>IF(C397="","",(B396+1))</f>
        <v>31</v>
      </c>
      <c r="C397" s="41" t="s">
        <v>9</v>
      </c>
      <c r="D397" s="41" t="s">
        <v>1105</v>
      </c>
      <c r="E397" s="41">
        <v>22781</v>
      </c>
      <c r="F397" s="41"/>
      <c r="G397" s="41"/>
      <c r="H397" s="41"/>
      <c r="I397" s="42">
        <v>45707</v>
      </c>
      <c r="J397" s="41" t="s">
        <v>1107</v>
      </c>
      <c r="K397" s="41">
        <v>0</v>
      </c>
      <c r="L397" s="43"/>
    </row>
    <row r="398" spans="2:12" outlineLevel="1">
      <c r="B398" s="40">
        <f>IF(C398="","",(B397+1))</f>
        <v>32</v>
      </c>
      <c r="C398" s="41" t="s">
        <v>9</v>
      </c>
      <c r="D398" s="41" t="s">
        <v>1105</v>
      </c>
      <c r="E398" s="41">
        <v>1046079</v>
      </c>
      <c r="F398" s="41"/>
      <c r="G398" s="41"/>
      <c r="H398" s="41"/>
      <c r="I398" s="42">
        <v>45707</v>
      </c>
      <c r="J398" s="41" t="s">
        <v>1107</v>
      </c>
      <c r="K398" s="41">
        <v>0</v>
      </c>
      <c r="L398" s="43"/>
    </row>
    <row r="399" spans="2:12" outlineLevel="1">
      <c r="B399" s="40">
        <f>IF(C399="","",(B398+1))</f>
        <v>33</v>
      </c>
      <c r="C399" s="41" t="s">
        <v>9</v>
      </c>
      <c r="D399" s="41" t="s">
        <v>1105</v>
      </c>
      <c r="E399" s="41">
        <v>1348917</v>
      </c>
      <c r="F399" s="41"/>
      <c r="G399" s="41"/>
      <c r="H399" s="41"/>
      <c r="I399" s="42">
        <v>45707</v>
      </c>
      <c r="J399" s="41" t="s">
        <v>1107</v>
      </c>
      <c r="K399" s="41">
        <v>0</v>
      </c>
      <c r="L399" s="43"/>
    </row>
    <row r="400" spans="2:12" outlineLevel="1">
      <c r="B400" s="40">
        <f>IF(C400="","",(B399+1))</f>
        <v>34</v>
      </c>
      <c r="C400" s="41" t="s">
        <v>9</v>
      </c>
      <c r="D400" s="41" t="s">
        <v>1105</v>
      </c>
      <c r="E400" s="41">
        <v>598359</v>
      </c>
      <c r="F400" s="41"/>
      <c r="G400" s="41"/>
      <c r="H400" s="41"/>
      <c r="I400" s="42">
        <v>45707</v>
      </c>
      <c r="J400" s="41" t="s">
        <v>1107</v>
      </c>
      <c r="K400" s="41">
        <v>0</v>
      </c>
      <c r="L400" s="43"/>
    </row>
    <row r="401" spans="2:12" outlineLevel="1">
      <c r="B401" s="40">
        <f>IF(C401="","",(B400+1))</f>
        <v>35</v>
      </c>
      <c r="C401" s="41" t="s">
        <v>9</v>
      </c>
      <c r="D401" s="41" t="s">
        <v>1105</v>
      </c>
      <c r="E401" s="41">
        <v>453025</v>
      </c>
      <c r="F401" s="41"/>
      <c r="G401" s="41"/>
      <c r="H401" s="41"/>
      <c r="I401" s="42">
        <v>45707</v>
      </c>
      <c r="J401" s="41" t="s">
        <v>1107</v>
      </c>
      <c r="K401" s="41">
        <v>0</v>
      </c>
      <c r="L401" s="43"/>
    </row>
    <row r="402" spans="2:12" outlineLevel="1">
      <c r="B402" s="40">
        <f>IF(C402="","",(B401+1))</f>
        <v>36</v>
      </c>
      <c r="C402" s="41" t="s">
        <v>9</v>
      </c>
      <c r="D402" s="41" t="s">
        <v>1105</v>
      </c>
      <c r="E402" s="41">
        <v>219231</v>
      </c>
      <c r="F402" s="41"/>
      <c r="G402" s="41"/>
      <c r="H402" s="41"/>
      <c r="I402" s="42">
        <v>45707</v>
      </c>
      <c r="J402" s="41" t="s">
        <v>1107</v>
      </c>
      <c r="K402" s="41">
        <v>0</v>
      </c>
      <c r="L402" s="43"/>
    </row>
    <row r="403" spans="2:12" outlineLevel="1">
      <c r="B403" s="40">
        <f>IF(C403="","",(B402+1))</f>
        <v>37</v>
      </c>
      <c r="C403" s="41" t="s">
        <v>9</v>
      </c>
      <c r="D403" s="41" t="s">
        <v>1105</v>
      </c>
      <c r="E403" s="41">
        <v>170825</v>
      </c>
      <c r="F403" s="41"/>
      <c r="G403" s="41"/>
      <c r="H403" s="41"/>
      <c r="I403" s="42">
        <v>45707</v>
      </c>
      <c r="J403" s="41" t="s">
        <v>1107</v>
      </c>
      <c r="K403" s="41">
        <v>0</v>
      </c>
      <c r="L403" s="43"/>
    </row>
    <row r="404" spans="2:12" outlineLevel="1">
      <c r="B404" s="40">
        <f>IF(C404="","",(B403+1))</f>
        <v>38</v>
      </c>
      <c r="C404" s="41" t="s">
        <v>9</v>
      </c>
      <c r="D404" s="41" t="s">
        <v>1105</v>
      </c>
      <c r="E404" s="41">
        <v>369969</v>
      </c>
      <c r="F404" s="41"/>
      <c r="G404" s="41"/>
      <c r="H404" s="41"/>
      <c r="I404" s="42">
        <v>45707</v>
      </c>
      <c r="J404" s="41" t="s">
        <v>1107</v>
      </c>
      <c r="K404" s="41">
        <v>0</v>
      </c>
      <c r="L404" s="43"/>
    </row>
    <row r="405" spans="2:12" outlineLevel="1">
      <c r="B405" s="40">
        <f>IF(C405="","",(B404+1))</f>
        <v>39</v>
      </c>
      <c r="C405" s="41" t="s">
        <v>9</v>
      </c>
      <c r="D405" s="41" t="s">
        <v>1105</v>
      </c>
      <c r="E405" s="41">
        <v>740630</v>
      </c>
      <c r="F405" s="41"/>
      <c r="G405" s="41"/>
      <c r="H405" s="41"/>
      <c r="I405" s="42">
        <v>45707</v>
      </c>
      <c r="J405" s="41" t="s">
        <v>1107</v>
      </c>
      <c r="K405" s="41">
        <v>0</v>
      </c>
      <c r="L405" s="43"/>
    </row>
    <row r="406" spans="2:12" outlineLevel="1">
      <c r="B406" s="40">
        <f>IF(C406="","",(B405+1))</f>
        <v>40</v>
      </c>
      <c r="C406" s="41" t="s">
        <v>9</v>
      </c>
      <c r="D406" s="41" t="s">
        <v>1105</v>
      </c>
      <c r="E406" s="41">
        <v>933301</v>
      </c>
      <c r="F406" s="41"/>
      <c r="G406" s="41"/>
      <c r="H406" s="41"/>
      <c r="I406" s="42">
        <v>45707</v>
      </c>
      <c r="J406" s="41" t="s">
        <v>1107</v>
      </c>
      <c r="K406" s="41">
        <v>0</v>
      </c>
      <c r="L406" s="43"/>
    </row>
    <row r="407" spans="2:12" outlineLevel="1">
      <c r="B407" s="40">
        <f>IF(C407="","",(B406+1))</f>
        <v>41</v>
      </c>
      <c r="C407" s="41" t="s">
        <v>9</v>
      </c>
      <c r="D407" s="41" t="s">
        <v>1105</v>
      </c>
      <c r="E407" s="41" t="s">
        <v>1108</v>
      </c>
      <c r="F407" s="41"/>
      <c r="G407" s="41"/>
      <c r="H407" s="41"/>
      <c r="I407" s="42">
        <v>45707</v>
      </c>
      <c r="J407" s="41" t="s">
        <v>1107</v>
      </c>
      <c r="K407" s="41">
        <v>0</v>
      </c>
      <c r="L407" s="43"/>
    </row>
    <row r="408" spans="2:12" outlineLevel="1">
      <c r="B408" s="40">
        <f>IF(C408="","",(B407+1))</f>
        <v>42</v>
      </c>
      <c r="C408" s="41" t="s">
        <v>9</v>
      </c>
      <c r="D408" s="41" t="s">
        <v>1105</v>
      </c>
      <c r="E408" s="41">
        <v>141585</v>
      </c>
      <c r="F408" s="41"/>
      <c r="G408" s="41"/>
      <c r="H408" s="41"/>
      <c r="I408" s="42">
        <v>45707</v>
      </c>
      <c r="J408" s="41" t="s">
        <v>1107</v>
      </c>
      <c r="K408" s="41">
        <v>33</v>
      </c>
      <c r="L408" s="43"/>
    </row>
    <row r="409" spans="2:12" outlineLevel="1">
      <c r="B409" s="40">
        <f>IF(C409="","",(B408+1))</f>
        <v>43</v>
      </c>
      <c r="C409" s="41" t="s">
        <v>9</v>
      </c>
      <c r="D409" s="41" t="s">
        <v>1105</v>
      </c>
      <c r="E409" s="41" t="s">
        <v>1109</v>
      </c>
      <c r="F409" s="41"/>
      <c r="G409" s="41"/>
      <c r="H409" s="41"/>
      <c r="I409" s="42">
        <v>45707</v>
      </c>
      <c r="J409" s="41" t="s">
        <v>1107</v>
      </c>
      <c r="K409" s="41">
        <v>54</v>
      </c>
      <c r="L409" s="43"/>
    </row>
    <row r="410" spans="2:12" outlineLevel="1">
      <c r="B410" s="40">
        <f>IF(C410="","",(B409+1))</f>
        <v>44</v>
      </c>
      <c r="C410" s="41" t="s">
        <v>9</v>
      </c>
      <c r="D410" s="41" t="s">
        <v>1105</v>
      </c>
      <c r="E410" s="41">
        <v>1046081</v>
      </c>
      <c r="F410" s="41"/>
      <c r="G410" s="41"/>
      <c r="H410" s="41"/>
      <c r="I410" s="42">
        <v>45707</v>
      </c>
      <c r="J410" s="41" t="s">
        <v>1107</v>
      </c>
      <c r="K410" s="41">
        <v>0</v>
      </c>
      <c r="L410" s="43"/>
    </row>
    <row r="411" spans="2:12" outlineLevel="1">
      <c r="B411" s="40">
        <f>IF(C411="","",(B410+1))</f>
        <v>45</v>
      </c>
      <c r="C411" s="41" t="s">
        <v>9</v>
      </c>
      <c r="D411" s="41" t="s">
        <v>1105</v>
      </c>
      <c r="E411" s="41">
        <v>6689</v>
      </c>
      <c r="F411" s="41"/>
      <c r="G411" s="41"/>
      <c r="H411" s="41"/>
      <c r="I411" s="42">
        <v>45707</v>
      </c>
      <c r="J411" s="41" t="s">
        <v>1107</v>
      </c>
      <c r="K411" s="41">
        <v>52</v>
      </c>
      <c r="L411" s="43"/>
    </row>
    <row r="412" spans="2:12" outlineLevel="1">
      <c r="B412" s="40">
        <f>IF(C412="","",(B411+1))</f>
        <v>46</v>
      </c>
      <c r="C412" s="41" t="s">
        <v>9</v>
      </c>
      <c r="D412" s="41" t="s">
        <v>1105</v>
      </c>
      <c r="E412" s="41">
        <v>295318</v>
      </c>
      <c r="F412" s="41"/>
      <c r="G412" s="41"/>
      <c r="H412" s="41"/>
      <c r="I412" s="42">
        <v>45707</v>
      </c>
      <c r="J412" s="41" t="s">
        <v>1107</v>
      </c>
      <c r="K412" s="41">
        <v>0</v>
      </c>
      <c r="L412" s="43"/>
    </row>
    <row r="413" spans="2:12" outlineLevel="1">
      <c r="B413" s="40">
        <f>IF(C413="","",(B412+1))</f>
        <v>47</v>
      </c>
      <c r="C413" s="41" t="s">
        <v>9</v>
      </c>
      <c r="D413" s="41" t="s">
        <v>1105</v>
      </c>
      <c r="E413" s="41">
        <v>660266</v>
      </c>
      <c r="F413" s="41"/>
      <c r="G413" s="41"/>
      <c r="H413" s="41"/>
      <c r="I413" s="42">
        <v>45707</v>
      </c>
      <c r="J413" s="41" t="s">
        <v>1107</v>
      </c>
      <c r="K413" s="41">
        <v>32</v>
      </c>
      <c r="L413" s="43"/>
    </row>
    <row r="414" spans="2:12" outlineLevel="1">
      <c r="B414" s="40">
        <f>IF(C414="","",(B413+1))</f>
        <v>48</v>
      </c>
      <c r="C414" s="41" t="s">
        <v>9</v>
      </c>
      <c r="D414" s="41" t="s">
        <v>1105</v>
      </c>
      <c r="E414" s="41">
        <v>19352</v>
      </c>
      <c r="F414" s="41"/>
      <c r="G414" s="41"/>
      <c r="H414" s="41"/>
      <c r="I414" s="42">
        <v>45707</v>
      </c>
      <c r="J414" s="41" t="s">
        <v>1107</v>
      </c>
      <c r="K414" s="41">
        <v>0</v>
      </c>
      <c r="L414" s="43"/>
    </row>
    <row r="415" spans="2:12" outlineLevel="1">
      <c r="B415" s="40">
        <f>IF(C415="","",(B414+1))</f>
        <v>49</v>
      </c>
      <c r="C415" s="41" t="s">
        <v>9</v>
      </c>
      <c r="D415" s="41" t="s">
        <v>1105</v>
      </c>
      <c r="E415" s="41">
        <v>200009</v>
      </c>
      <c r="F415" s="41"/>
      <c r="G415" s="41"/>
      <c r="H415" s="41"/>
      <c r="I415" s="42">
        <v>45707</v>
      </c>
      <c r="J415" s="41" t="s">
        <v>1107</v>
      </c>
      <c r="K415" s="41">
        <v>0</v>
      </c>
      <c r="L415" s="43"/>
    </row>
    <row r="416" spans="2:12" outlineLevel="1">
      <c r="B416" s="40">
        <f>IF(C416="","",(B415+1))</f>
        <v>50</v>
      </c>
      <c r="C416" s="41" t="s">
        <v>9</v>
      </c>
      <c r="D416" s="41" t="s">
        <v>1105</v>
      </c>
      <c r="E416" s="41">
        <v>940636</v>
      </c>
      <c r="F416" s="41"/>
      <c r="G416" s="41"/>
      <c r="H416" s="41"/>
      <c r="I416" s="42">
        <v>45707</v>
      </c>
      <c r="J416" s="41" t="s">
        <v>1107</v>
      </c>
      <c r="K416" s="41">
        <v>0</v>
      </c>
      <c r="L416" s="43"/>
    </row>
    <row r="417" spans="2:12" outlineLevel="1">
      <c r="B417" s="40">
        <f>IF(C417="","",(B416+1))</f>
        <v>51</v>
      </c>
      <c r="C417" s="41" t="s">
        <v>9</v>
      </c>
      <c r="D417" s="41" t="s">
        <v>1105</v>
      </c>
      <c r="E417" s="41">
        <v>1097</v>
      </c>
      <c r="F417" s="41"/>
      <c r="G417" s="41"/>
      <c r="H417" s="41"/>
      <c r="I417" s="42">
        <v>45707</v>
      </c>
      <c r="J417" s="41" t="s">
        <v>1107</v>
      </c>
      <c r="K417" s="41">
        <v>41</v>
      </c>
      <c r="L417" s="43"/>
    </row>
    <row r="418" spans="2:12" outlineLevel="1">
      <c r="B418" s="40">
        <f>IF(C418="","",(B417+1))</f>
        <v>52</v>
      </c>
      <c r="C418" s="41" t="s">
        <v>9</v>
      </c>
      <c r="D418" s="41" t="s">
        <v>1105</v>
      </c>
      <c r="E418" s="41">
        <v>9850733</v>
      </c>
      <c r="F418" s="41"/>
      <c r="G418" s="41"/>
      <c r="H418" s="41"/>
      <c r="I418" s="42">
        <v>45707</v>
      </c>
      <c r="J418" s="41" t="s">
        <v>1107</v>
      </c>
      <c r="K418" s="41">
        <v>38</v>
      </c>
      <c r="L418" s="43"/>
    </row>
    <row r="419" spans="2:12" outlineLevel="1">
      <c r="B419" s="40">
        <f>IF(C419="","",(B418+1))</f>
        <v>53</v>
      </c>
      <c r="C419" s="41" t="s">
        <v>9</v>
      </c>
      <c r="D419" s="41" t="s">
        <v>1105</v>
      </c>
      <c r="E419" s="41">
        <v>1046076</v>
      </c>
      <c r="F419" s="41"/>
      <c r="G419" s="41"/>
      <c r="H419" s="41"/>
      <c r="I419" s="42">
        <v>45707</v>
      </c>
      <c r="J419" s="41" t="s">
        <v>1107</v>
      </c>
      <c r="K419" s="41">
        <v>0</v>
      </c>
      <c r="L419" s="43"/>
    </row>
    <row r="420" spans="2:12" outlineLevel="1">
      <c r="B420" s="40">
        <f>IF(C420="","",(B419+1))</f>
        <v>54</v>
      </c>
      <c r="C420" s="41" t="s">
        <v>9</v>
      </c>
      <c r="D420" s="41" t="s">
        <v>1105</v>
      </c>
      <c r="E420" s="41">
        <v>576205</v>
      </c>
      <c r="F420" s="41"/>
      <c r="G420" s="41"/>
      <c r="H420" s="41"/>
      <c r="I420" s="42">
        <v>45707</v>
      </c>
      <c r="J420" s="41" t="s">
        <v>1107</v>
      </c>
      <c r="K420" s="41">
        <v>16</v>
      </c>
      <c r="L420" s="43"/>
    </row>
    <row r="421" spans="2:12" outlineLevel="1">
      <c r="B421" s="40">
        <f>IF(C421="","",(B420+1))</f>
        <v>55</v>
      </c>
      <c r="C421" s="41" t="s">
        <v>9</v>
      </c>
      <c r="D421" s="41" t="s">
        <v>1105</v>
      </c>
      <c r="E421" s="41">
        <v>200008</v>
      </c>
      <c r="F421" s="41"/>
      <c r="G421" s="41"/>
      <c r="H421" s="41"/>
      <c r="I421" s="42">
        <v>45707</v>
      </c>
      <c r="J421" s="41" t="s">
        <v>1107</v>
      </c>
      <c r="K421" s="41">
        <v>0</v>
      </c>
      <c r="L421" s="43"/>
    </row>
    <row r="422" spans="2:12" outlineLevel="1">
      <c r="B422" s="40">
        <f>IF(C422="","",(B421+1))</f>
        <v>56</v>
      </c>
      <c r="C422" s="41" t="s">
        <v>9</v>
      </c>
      <c r="D422" s="41" t="s">
        <v>1105</v>
      </c>
      <c r="E422" s="41">
        <v>150894</v>
      </c>
      <c r="F422" s="41"/>
      <c r="G422" s="41"/>
      <c r="H422" s="41"/>
      <c r="I422" s="42">
        <v>45707</v>
      </c>
      <c r="J422" s="41" t="s">
        <v>1107</v>
      </c>
      <c r="K422" s="41">
        <v>13</v>
      </c>
      <c r="L422" s="43"/>
    </row>
    <row r="423" spans="2:12" outlineLevel="1">
      <c r="B423" s="40">
        <f>IF(C423="","",(B422+1))</f>
        <v>57</v>
      </c>
      <c r="C423" s="41" t="s">
        <v>9</v>
      </c>
      <c r="D423" s="41" t="s">
        <v>1105</v>
      </c>
      <c r="E423" s="41">
        <v>1046082</v>
      </c>
      <c r="F423" s="41"/>
      <c r="G423" s="41"/>
      <c r="H423" s="41"/>
      <c r="I423" s="42">
        <v>45707</v>
      </c>
      <c r="J423" s="41" t="s">
        <v>1107</v>
      </c>
      <c r="K423" s="41">
        <v>0</v>
      </c>
      <c r="L423" s="43"/>
    </row>
    <row r="424" spans="2:12" outlineLevel="1">
      <c r="B424" s="40">
        <f>IF(C424="","",(B423+1))</f>
        <v>58</v>
      </c>
      <c r="C424" s="41" t="s">
        <v>9</v>
      </c>
      <c r="D424" s="41" t="s">
        <v>1105</v>
      </c>
      <c r="E424" s="41">
        <v>740631</v>
      </c>
      <c r="F424" s="41"/>
      <c r="G424" s="41"/>
      <c r="H424" s="41"/>
      <c r="I424" s="42">
        <v>45707</v>
      </c>
      <c r="J424" s="41" t="s">
        <v>1107</v>
      </c>
      <c r="K424" s="41">
        <v>0</v>
      </c>
      <c r="L424" s="43"/>
    </row>
    <row r="425" spans="2:12" outlineLevel="1">
      <c r="B425" s="40">
        <f>IF(C425="","",(B424+1))</f>
        <v>59</v>
      </c>
      <c r="C425" s="41" t="s">
        <v>9</v>
      </c>
      <c r="D425" s="41" t="s">
        <v>1105</v>
      </c>
      <c r="E425" s="41">
        <v>122380</v>
      </c>
      <c r="F425" s="41"/>
      <c r="G425" s="41"/>
      <c r="H425" s="41"/>
      <c r="I425" s="42">
        <v>45707</v>
      </c>
      <c r="J425" s="41" t="s">
        <v>1107</v>
      </c>
      <c r="K425" s="41">
        <v>0</v>
      </c>
      <c r="L425" s="43"/>
    </row>
    <row r="426" spans="2:12" outlineLevel="1">
      <c r="B426" s="40">
        <f>IF(C426="","",(B425+1))</f>
        <v>60</v>
      </c>
      <c r="C426" s="41" t="s">
        <v>9</v>
      </c>
      <c r="D426" s="41" t="s">
        <v>1105</v>
      </c>
      <c r="E426" s="41">
        <v>881233</v>
      </c>
      <c r="F426" s="41"/>
      <c r="G426" s="41"/>
      <c r="H426" s="41"/>
      <c r="I426" s="42">
        <v>45707</v>
      </c>
      <c r="J426" s="41" t="s">
        <v>1107</v>
      </c>
      <c r="K426" s="41">
        <v>0</v>
      </c>
      <c r="L426" s="43"/>
    </row>
    <row r="427" spans="2:12" outlineLevel="1">
      <c r="B427" s="40">
        <f>IF(C427="","",(B426+1))</f>
        <v>61</v>
      </c>
      <c r="C427" s="41" t="s">
        <v>9</v>
      </c>
      <c r="D427" s="41" t="s">
        <v>1105</v>
      </c>
      <c r="E427" s="41">
        <v>189037</v>
      </c>
      <c r="F427" s="41"/>
      <c r="G427" s="41"/>
      <c r="H427" s="41"/>
      <c r="I427" s="42">
        <v>45707</v>
      </c>
      <c r="J427" s="41" t="s">
        <v>1107</v>
      </c>
      <c r="K427" s="41">
        <v>0</v>
      </c>
      <c r="L427" s="43"/>
    </row>
    <row r="428" spans="2:12" outlineLevel="1">
      <c r="B428" s="40">
        <f>IF(C428="","",(B427+1))</f>
        <v>62</v>
      </c>
      <c r="C428" s="41" t="s">
        <v>9</v>
      </c>
      <c r="D428" s="41" t="s">
        <v>1105</v>
      </c>
      <c r="E428" s="41">
        <v>1088395</v>
      </c>
      <c r="F428" s="41"/>
      <c r="G428" s="41"/>
      <c r="H428" s="41"/>
      <c r="I428" s="42">
        <v>45707</v>
      </c>
      <c r="J428" s="41" t="s">
        <v>1107</v>
      </c>
      <c r="K428" s="41">
        <v>0</v>
      </c>
      <c r="L428" s="43"/>
    </row>
    <row r="429" spans="2:12" outlineLevel="1">
      <c r="B429" s="40">
        <f>IF(C429="","",(B428+1))</f>
        <v>63</v>
      </c>
      <c r="C429" s="41" t="s">
        <v>9</v>
      </c>
      <c r="D429" s="41" t="s">
        <v>1105</v>
      </c>
      <c r="E429" s="41">
        <v>295317</v>
      </c>
      <c r="F429" s="41"/>
      <c r="G429" s="41"/>
      <c r="H429" s="41"/>
      <c r="I429" s="42">
        <v>45707</v>
      </c>
      <c r="J429" s="41" t="s">
        <v>1107</v>
      </c>
      <c r="K429" s="41">
        <v>0</v>
      </c>
      <c r="L429" s="43"/>
    </row>
    <row r="430" spans="2:12" outlineLevel="1">
      <c r="B430" s="40">
        <f>IF(C430="","",(B429+1))</f>
        <v>64</v>
      </c>
      <c r="C430" s="41" t="s">
        <v>9</v>
      </c>
      <c r="D430" s="41" t="s">
        <v>1105</v>
      </c>
      <c r="E430" s="41">
        <v>256784</v>
      </c>
      <c r="F430" s="41"/>
      <c r="G430" s="41"/>
      <c r="H430" s="41"/>
      <c r="I430" s="42">
        <v>45841</v>
      </c>
      <c r="J430" s="41" t="s">
        <v>1107</v>
      </c>
      <c r="K430" s="41">
        <v>89</v>
      </c>
      <c r="L430" s="43"/>
    </row>
    <row r="431" spans="2:12" outlineLevel="1">
      <c r="B431" s="40">
        <f>IF(C431="","",(B430+1))</f>
        <v>65</v>
      </c>
      <c r="C431" s="41" t="s">
        <v>9</v>
      </c>
      <c r="D431" s="41" t="s">
        <v>1105</v>
      </c>
      <c r="E431" s="41">
        <v>259998</v>
      </c>
      <c r="F431" s="41"/>
      <c r="G431" s="41"/>
      <c r="H431" s="41"/>
      <c r="I431" s="42">
        <v>45841</v>
      </c>
      <c r="J431" s="41" t="s">
        <v>1107</v>
      </c>
      <c r="K431" s="41">
        <v>69</v>
      </c>
      <c r="L431" s="43"/>
    </row>
    <row r="432" spans="2:12" outlineLevel="1">
      <c r="B432" s="40">
        <f>IF(C432="","",(B431+1))</f>
        <v>66</v>
      </c>
      <c r="C432" s="41" t="s">
        <v>9</v>
      </c>
      <c r="D432" s="41" t="s">
        <v>1105</v>
      </c>
      <c r="E432" s="41">
        <v>9851314</v>
      </c>
      <c r="F432" s="41"/>
      <c r="G432" s="41"/>
      <c r="H432" s="41"/>
      <c r="I432" s="42">
        <v>45841</v>
      </c>
      <c r="J432" s="41" t="s">
        <v>1107</v>
      </c>
      <c r="K432" s="41">
        <v>150</v>
      </c>
      <c r="L432" s="43"/>
    </row>
    <row r="433" spans="2:12" outlineLevel="1">
      <c r="B433" s="40">
        <f>IF(C433="","",(B432+1))</f>
        <v>67</v>
      </c>
      <c r="C433" s="41" t="s">
        <v>9</v>
      </c>
      <c r="D433" s="41" t="s">
        <v>1105</v>
      </c>
      <c r="E433" s="41">
        <v>138909</v>
      </c>
      <c r="F433" s="41"/>
      <c r="G433" s="41"/>
      <c r="H433" s="41"/>
      <c r="I433" s="42">
        <v>45841</v>
      </c>
      <c r="J433" s="41" t="s">
        <v>1107</v>
      </c>
      <c r="K433" s="41">
        <v>19</v>
      </c>
      <c r="L433" s="43"/>
    </row>
    <row r="434" spans="2:12" outlineLevel="1">
      <c r="B434" s="40">
        <f>IF(C434="","",(B433+1))</f>
        <v>68</v>
      </c>
      <c r="C434" s="41" t="s">
        <v>9</v>
      </c>
      <c r="D434" s="41" t="s">
        <v>1105</v>
      </c>
      <c r="E434" s="41">
        <v>9959327</v>
      </c>
      <c r="F434" s="41"/>
      <c r="G434" s="41"/>
      <c r="H434" s="41"/>
      <c r="I434" s="42">
        <v>45841</v>
      </c>
      <c r="J434" s="41" t="s">
        <v>1107</v>
      </c>
      <c r="K434" s="41">
        <v>106</v>
      </c>
      <c r="L434" s="43"/>
    </row>
    <row r="435" spans="2:12" outlineLevel="1">
      <c r="B435" s="40">
        <f>IF(C435="","",(B434+1))</f>
        <v>69</v>
      </c>
      <c r="C435" s="41" t="s">
        <v>9</v>
      </c>
      <c r="D435" s="41" t="s">
        <v>1105</v>
      </c>
      <c r="E435" s="41" t="s">
        <v>1110</v>
      </c>
      <c r="F435" s="41"/>
      <c r="G435" s="41"/>
      <c r="H435" s="41"/>
      <c r="I435" s="42">
        <v>45841</v>
      </c>
      <c r="J435" s="41" t="s">
        <v>1107</v>
      </c>
      <c r="K435" s="41">
        <v>0</v>
      </c>
      <c r="L435" s="43"/>
    </row>
    <row r="436" spans="2:12" outlineLevel="1">
      <c r="B436" s="40">
        <f>IF(C436="","",(B435+1))</f>
        <v>70</v>
      </c>
      <c r="C436" s="41" t="s">
        <v>9</v>
      </c>
      <c r="D436" s="41" t="s">
        <v>1105</v>
      </c>
      <c r="E436" s="41">
        <v>750926352</v>
      </c>
      <c r="F436" s="41"/>
      <c r="G436" s="41"/>
      <c r="H436" s="41"/>
      <c r="I436" s="42">
        <v>45841</v>
      </c>
      <c r="J436" s="41" t="s">
        <v>1107</v>
      </c>
      <c r="K436" s="41">
        <v>13</v>
      </c>
      <c r="L436" s="43"/>
    </row>
    <row r="437" spans="2:12" outlineLevel="1">
      <c r="B437" s="40">
        <f>IF(C437="","",(B436+1))</f>
        <v>71</v>
      </c>
      <c r="C437" s="41" t="s">
        <v>9</v>
      </c>
      <c r="D437" s="41" t="s">
        <v>1105</v>
      </c>
      <c r="E437" s="41">
        <v>571553</v>
      </c>
      <c r="F437" s="41"/>
      <c r="G437" s="41"/>
      <c r="H437" s="41"/>
      <c r="I437" s="42">
        <v>45841</v>
      </c>
      <c r="J437" s="41" t="s">
        <v>1107</v>
      </c>
      <c r="K437" s="41">
        <v>35</v>
      </c>
      <c r="L437" s="43"/>
    </row>
    <row r="438" spans="2:12" outlineLevel="1">
      <c r="B438" s="40">
        <f>IF(C438="","",(B437+1))</f>
        <v>72</v>
      </c>
      <c r="C438" s="41" t="s">
        <v>9</v>
      </c>
      <c r="D438" s="41" t="s">
        <v>1105</v>
      </c>
      <c r="E438" s="41">
        <v>608318</v>
      </c>
      <c r="F438" s="41"/>
      <c r="G438" s="41"/>
      <c r="H438" s="41"/>
      <c r="I438" s="42">
        <v>45841</v>
      </c>
      <c r="J438" s="41" t="s">
        <v>1107</v>
      </c>
      <c r="K438" s="41">
        <v>0</v>
      </c>
      <c r="L438" s="43"/>
    </row>
    <row r="439" spans="2:12" outlineLevel="1">
      <c r="B439" s="40">
        <f>IF(C439="","",(B438+1))</f>
        <v>73</v>
      </c>
      <c r="C439" s="41" t="s">
        <v>9</v>
      </c>
      <c r="D439" s="41" t="s">
        <v>1105</v>
      </c>
      <c r="E439" s="41">
        <v>201083</v>
      </c>
      <c r="F439" s="41"/>
      <c r="G439" s="41"/>
      <c r="H439" s="41"/>
      <c r="I439" s="42">
        <v>45841</v>
      </c>
      <c r="J439" s="41" t="s">
        <v>1107</v>
      </c>
      <c r="K439" s="41">
        <v>0</v>
      </c>
      <c r="L439" s="43"/>
    </row>
    <row r="440" spans="2:12" outlineLevel="1">
      <c r="B440" s="40">
        <f>IF(C440="","",(B439+1))</f>
        <v>74</v>
      </c>
      <c r="C440" s="41" t="s">
        <v>9</v>
      </c>
      <c r="D440" s="41" t="s">
        <v>1105</v>
      </c>
      <c r="E440" s="41">
        <v>1046080</v>
      </c>
      <c r="F440" s="41"/>
      <c r="G440" s="41"/>
      <c r="H440" s="41"/>
      <c r="I440" s="42">
        <v>45841</v>
      </c>
      <c r="J440" s="41" t="s">
        <v>1107</v>
      </c>
      <c r="K440" s="41">
        <v>0</v>
      </c>
      <c r="L440" s="43"/>
    </row>
    <row r="441" spans="2:12" outlineLevel="1">
      <c r="B441" s="40">
        <f>IF(C441="","",(B440+1))</f>
        <v>75</v>
      </c>
      <c r="C441" s="41" t="s">
        <v>9</v>
      </c>
      <c r="D441" s="41" t="s">
        <v>1105</v>
      </c>
      <c r="E441" s="41">
        <v>122368</v>
      </c>
      <c r="F441" s="41"/>
      <c r="G441" s="41"/>
      <c r="H441" s="41"/>
      <c r="I441" s="42">
        <v>45841</v>
      </c>
      <c r="J441" s="41" t="s">
        <v>1107</v>
      </c>
      <c r="K441" s="41">
        <v>0</v>
      </c>
      <c r="L441" s="43"/>
    </row>
    <row r="442" spans="2:12" outlineLevel="1">
      <c r="B442" s="40">
        <f>IF(C442="","",(B441+1))</f>
        <v>76</v>
      </c>
      <c r="C442" s="41" t="s">
        <v>9</v>
      </c>
      <c r="D442" s="41" t="s">
        <v>1105</v>
      </c>
      <c r="E442" s="41">
        <v>140695</v>
      </c>
      <c r="F442" s="41"/>
      <c r="G442" s="41"/>
      <c r="H442" s="41"/>
      <c r="I442" s="42">
        <v>45841</v>
      </c>
      <c r="J442" s="41" t="s">
        <v>1107</v>
      </c>
      <c r="K442" s="41">
        <v>0</v>
      </c>
      <c r="L442" s="43"/>
    </row>
    <row r="443" spans="2:12" outlineLevel="1">
      <c r="B443" s="40">
        <f>IF(C443="","",(B442+1))</f>
        <v>77</v>
      </c>
      <c r="C443" s="41" t="s">
        <v>9</v>
      </c>
      <c r="D443" s="41" t="s">
        <v>1105</v>
      </c>
      <c r="E443" s="41">
        <v>764961</v>
      </c>
      <c r="F443" s="41"/>
      <c r="G443" s="41"/>
      <c r="H443" s="41"/>
      <c r="I443" s="42">
        <v>45841</v>
      </c>
      <c r="J443" s="41" t="s">
        <v>1107</v>
      </c>
      <c r="K443" s="41">
        <v>0</v>
      </c>
      <c r="L443" s="43"/>
    </row>
    <row r="444" spans="2:12" outlineLevel="1">
      <c r="B444" s="40">
        <f>IF(C444="","",(B443+1))</f>
        <v>78</v>
      </c>
      <c r="C444" s="41" t="s">
        <v>9</v>
      </c>
      <c r="D444" s="41" t="s">
        <v>1105</v>
      </c>
      <c r="E444" s="41">
        <v>984758</v>
      </c>
      <c r="F444" s="41"/>
      <c r="G444" s="41"/>
      <c r="H444" s="41"/>
      <c r="I444" s="42">
        <v>45841</v>
      </c>
      <c r="J444" s="41" t="s">
        <v>1107</v>
      </c>
      <c r="K444" s="41">
        <v>21</v>
      </c>
      <c r="L444" s="43"/>
    </row>
    <row r="445" spans="2:12" outlineLevel="1">
      <c r="B445" s="40">
        <f>IF(C445="","",(B444+1))</f>
        <v>79</v>
      </c>
      <c r="C445" s="41" t="s">
        <v>9</v>
      </c>
      <c r="D445" s="41" t="s">
        <v>1105</v>
      </c>
      <c r="E445" s="41">
        <v>143971</v>
      </c>
      <c r="F445" s="41"/>
      <c r="G445" s="41"/>
      <c r="H445" s="41"/>
      <c r="I445" s="42">
        <v>45841</v>
      </c>
      <c r="J445" s="41" t="s">
        <v>1107</v>
      </c>
      <c r="K445" s="41">
        <v>0</v>
      </c>
      <c r="L445" s="43"/>
    </row>
    <row r="446" spans="2:12" outlineLevel="1">
      <c r="B446" s="40">
        <f>IF(C446="","",(B445+1))</f>
        <v>80</v>
      </c>
      <c r="C446" s="41" t="s">
        <v>9</v>
      </c>
      <c r="D446" s="41" t="s">
        <v>1105</v>
      </c>
      <c r="E446" s="41">
        <v>26786</v>
      </c>
      <c r="F446" s="41"/>
      <c r="G446" s="41"/>
      <c r="H446" s="41"/>
      <c r="I446" s="42">
        <v>45841</v>
      </c>
      <c r="J446" s="41" t="s">
        <v>1107</v>
      </c>
      <c r="K446" s="41">
        <v>0</v>
      </c>
      <c r="L446" s="43"/>
    </row>
    <row r="447" spans="2:12" outlineLevel="1">
      <c r="B447" s="40">
        <f>IF(C447="","",(B446+1))</f>
        <v>81</v>
      </c>
      <c r="C447" s="41" t="s">
        <v>9</v>
      </c>
      <c r="D447" s="41" t="s">
        <v>1105</v>
      </c>
      <c r="E447" s="41">
        <v>143972</v>
      </c>
      <c r="F447" s="41"/>
      <c r="G447" s="41"/>
      <c r="H447" s="41"/>
      <c r="I447" s="42">
        <v>45841</v>
      </c>
      <c r="J447" s="41" t="s">
        <v>1107</v>
      </c>
      <c r="K447" s="41">
        <v>0</v>
      </c>
      <c r="L447" s="43"/>
    </row>
    <row r="448" spans="2:12" outlineLevel="1">
      <c r="B448" s="40">
        <f>IF(C448="","",(B447+1))</f>
        <v>82</v>
      </c>
      <c r="C448" s="41" t="s">
        <v>9</v>
      </c>
      <c r="D448" s="41" t="s">
        <v>1105</v>
      </c>
      <c r="E448" s="41">
        <v>29470</v>
      </c>
      <c r="F448" s="41"/>
      <c r="G448" s="41"/>
      <c r="H448" s="41"/>
      <c r="I448" s="42">
        <v>45841</v>
      </c>
      <c r="J448" s="41" t="s">
        <v>1107</v>
      </c>
      <c r="K448" s="41">
        <v>0</v>
      </c>
      <c r="L448" s="43"/>
    </row>
    <row r="449" spans="2:12" outlineLevel="1">
      <c r="B449" s="40">
        <f>IF(C449="","",(B448+1))</f>
        <v>83</v>
      </c>
      <c r="C449" s="41" t="s">
        <v>9</v>
      </c>
      <c r="D449" s="41" t="s">
        <v>1105</v>
      </c>
      <c r="E449" s="41">
        <v>764962</v>
      </c>
      <c r="F449" s="41"/>
      <c r="G449" s="41"/>
      <c r="H449" s="41"/>
      <c r="I449" s="42">
        <v>45841</v>
      </c>
      <c r="J449" s="41" t="s">
        <v>1107</v>
      </c>
      <c r="K449" s="41">
        <v>0</v>
      </c>
      <c r="L449" s="43"/>
    </row>
    <row r="450" spans="2:12" outlineLevel="1">
      <c r="B450" s="40">
        <f>IF(C450="","",(B449+1))</f>
        <v>84</v>
      </c>
      <c r="C450" s="41" t="s">
        <v>9</v>
      </c>
      <c r="D450" s="41" t="s">
        <v>1105</v>
      </c>
      <c r="E450" s="41">
        <v>608319</v>
      </c>
      <c r="F450" s="41"/>
      <c r="G450" s="41"/>
      <c r="H450" s="41"/>
      <c r="I450" s="42">
        <v>45841</v>
      </c>
      <c r="J450" s="41" t="s">
        <v>1107</v>
      </c>
      <c r="K450" s="41">
        <v>0</v>
      </c>
      <c r="L450" s="43"/>
    </row>
    <row r="451" spans="2:12" outlineLevel="1">
      <c r="B451" s="40">
        <f>IF(C451="","",(B450+1))</f>
        <v>85</v>
      </c>
      <c r="C451" s="41" t="s">
        <v>9</v>
      </c>
      <c r="D451" s="41" t="s">
        <v>1105</v>
      </c>
      <c r="E451" s="41">
        <v>216676</v>
      </c>
      <c r="F451" s="41"/>
      <c r="G451" s="41"/>
      <c r="H451" s="41"/>
      <c r="I451" s="42">
        <v>45841</v>
      </c>
      <c r="J451" s="41" t="s">
        <v>1107</v>
      </c>
      <c r="K451" s="41">
        <v>0</v>
      </c>
      <c r="L451" s="43"/>
    </row>
    <row r="452" spans="2:12" outlineLevel="1">
      <c r="B452" s="40">
        <f>IF(C452="","",(B451+1))</f>
        <v>86</v>
      </c>
      <c r="C452" s="41" t="s">
        <v>9</v>
      </c>
      <c r="D452" s="41" t="s">
        <v>1105</v>
      </c>
      <c r="E452" s="41">
        <v>881232</v>
      </c>
      <c r="F452" s="41"/>
      <c r="G452" s="41"/>
      <c r="H452" s="41"/>
      <c r="I452" s="42">
        <v>45841</v>
      </c>
      <c r="J452" s="41" t="s">
        <v>1107</v>
      </c>
      <c r="K452" s="41">
        <v>0</v>
      </c>
      <c r="L452" s="43"/>
    </row>
    <row r="453" spans="2:12" outlineLevel="1">
      <c r="B453" s="40">
        <f>IF(C453="","",(B452+1))</f>
        <v>87</v>
      </c>
      <c r="C453" s="41" t="s">
        <v>9</v>
      </c>
      <c r="D453" s="41" t="s">
        <v>1105</v>
      </c>
      <c r="E453" s="41">
        <v>159213</v>
      </c>
      <c r="F453" s="41"/>
      <c r="G453" s="41"/>
      <c r="H453" s="41"/>
      <c r="I453" s="42">
        <v>45841</v>
      </c>
      <c r="J453" s="41" t="s">
        <v>1107</v>
      </c>
      <c r="K453" s="41">
        <v>0</v>
      </c>
      <c r="L453" s="43"/>
    </row>
    <row r="454" spans="2:12" outlineLevel="1">
      <c r="B454" s="40">
        <f>IF(C454="","",(B453+1))</f>
        <v>88</v>
      </c>
      <c r="C454" s="41" t="s">
        <v>9</v>
      </c>
      <c r="D454" s="41" t="s">
        <v>1105</v>
      </c>
      <c r="E454" s="41"/>
      <c r="F454" s="41"/>
      <c r="G454" s="41"/>
      <c r="H454" s="41"/>
      <c r="I454" s="42"/>
      <c r="J454" s="41"/>
      <c r="K454" s="41"/>
      <c r="L454" s="43"/>
    </row>
    <row r="455" spans="2:12" outlineLevel="1">
      <c r="B455" s="40">
        <f>IF(C455="","",(B454+1))</f>
        <v>89</v>
      </c>
      <c r="C455" s="41" t="s">
        <v>9</v>
      </c>
      <c r="D455" s="41" t="s">
        <v>1105</v>
      </c>
      <c r="E455" s="41"/>
      <c r="F455" s="41"/>
      <c r="G455" s="41"/>
      <c r="H455" s="41"/>
      <c r="I455" s="42"/>
      <c r="J455" s="41"/>
      <c r="K455" s="41"/>
      <c r="L455" s="43"/>
    </row>
    <row r="456" spans="2:12" outlineLevel="1">
      <c r="B456" s="40">
        <f>IF(C456="","",(B455+1))</f>
        <v>90</v>
      </c>
      <c r="C456" s="41" t="s">
        <v>9</v>
      </c>
      <c r="D456" s="41" t="s">
        <v>1105</v>
      </c>
      <c r="E456" s="41"/>
      <c r="F456" s="41"/>
      <c r="G456" s="41"/>
      <c r="H456" s="41"/>
      <c r="I456" s="42"/>
      <c r="J456" s="41"/>
      <c r="K456" s="41"/>
      <c r="L456" s="43"/>
    </row>
    <row r="457" spans="2:12" outlineLevel="1">
      <c r="B457" s="40">
        <f>IF(C457="","",(B456+1))</f>
        <v>91</v>
      </c>
      <c r="C457" s="41" t="s">
        <v>9</v>
      </c>
      <c r="D457" s="41" t="s">
        <v>1105</v>
      </c>
      <c r="E457" s="41"/>
      <c r="F457" s="41"/>
      <c r="G457" s="41"/>
      <c r="H457" s="41"/>
      <c r="I457" s="42"/>
      <c r="J457" s="41"/>
      <c r="K457" s="41"/>
      <c r="L457" s="43"/>
    </row>
    <row r="458" spans="2:12" outlineLevel="1">
      <c r="B458" s="40">
        <f>IF(C458="","",(B457+1))</f>
        <v>92</v>
      </c>
      <c r="C458" s="41" t="s">
        <v>9</v>
      </c>
      <c r="D458" s="41" t="s">
        <v>1105</v>
      </c>
      <c r="E458" s="41"/>
      <c r="F458" s="41"/>
      <c r="G458" s="41"/>
      <c r="H458" s="41"/>
      <c r="I458" s="42"/>
      <c r="J458" s="41"/>
      <c r="K458" s="41"/>
      <c r="L458" s="43"/>
    </row>
    <row r="459" spans="2:12" outlineLevel="1">
      <c r="B459" s="40">
        <f>IF(C459="","",(B458+1))</f>
        <v>93</v>
      </c>
      <c r="C459" s="41" t="s">
        <v>9</v>
      </c>
      <c r="D459" s="41" t="s">
        <v>1105</v>
      </c>
      <c r="E459" s="41"/>
      <c r="F459" s="41"/>
      <c r="G459" s="41"/>
      <c r="H459" s="41"/>
      <c r="I459" s="42"/>
      <c r="J459" s="41"/>
      <c r="K459" s="41"/>
      <c r="L459" s="43"/>
    </row>
    <row r="460" spans="2:12" outlineLevel="1">
      <c r="B460" s="40">
        <f>IF(C460="","",(B459+1))</f>
        <v>94</v>
      </c>
      <c r="C460" s="41" t="s">
        <v>9</v>
      </c>
      <c r="D460" s="41" t="s">
        <v>1105</v>
      </c>
      <c r="E460" s="41"/>
      <c r="F460" s="41"/>
      <c r="G460" s="41"/>
      <c r="H460" s="41"/>
      <c r="I460" s="42"/>
      <c r="J460" s="41"/>
      <c r="K460" s="41"/>
      <c r="L460" s="43"/>
    </row>
    <row r="461" spans="2:12" outlineLevel="1">
      <c r="B461" s="40">
        <f>IF(C461="","",(B460+1))</f>
        <v>95</v>
      </c>
      <c r="C461" s="41" t="s">
        <v>9</v>
      </c>
      <c r="D461" s="41" t="s">
        <v>1105</v>
      </c>
      <c r="E461" s="41"/>
      <c r="F461" s="41"/>
      <c r="G461" s="41"/>
      <c r="H461" s="41"/>
      <c r="I461" s="42"/>
      <c r="J461" s="41"/>
      <c r="K461" s="41"/>
      <c r="L461" s="43"/>
    </row>
    <row r="462" spans="2:12" outlineLevel="1">
      <c r="B462" s="40">
        <f>IF(C462="","",(B461+1))</f>
        <v>96</v>
      </c>
      <c r="C462" s="41" t="s">
        <v>9</v>
      </c>
      <c r="D462" s="41" t="s">
        <v>1105</v>
      </c>
      <c r="E462" s="41"/>
      <c r="F462" s="41"/>
      <c r="G462" s="41"/>
      <c r="H462" s="41"/>
      <c r="I462" s="42"/>
      <c r="J462" s="41"/>
      <c r="K462" s="41"/>
      <c r="L462" s="43"/>
    </row>
    <row r="463" spans="2:12" outlineLevel="1">
      <c r="B463" s="40">
        <f>IF(C463="","",(B462+1))</f>
        <v>97</v>
      </c>
      <c r="C463" s="41" t="s">
        <v>9</v>
      </c>
      <c r="D463" s="41" t="s">
        <v>1105</v>
      </c>
      <c r="E463" s="41"/>
      <c r="F463" s="41"/>
      <c r="G463" s="41"/>
      <c r="H463" s="41"/>
      <c r="I463" s="42"/>
      <c r="J463" s="41"/>
      <c r="K463" s="41"/>
      <c r="L463" s="43"/>
    </row>
    <row r="464" spans="2:12" outlineLevel="1">
      <c r="B464" s="40">
        <f>IF(C464="","",(B463+1))</f>
        <v>98</v>
      </c>
      <c r="C464" s="41" t="s">
        <v>9</v>
      </c>
      <c r="D464" s="41" t="s">
        <v>1105</v>
      </c>
      <c r="E464" s="41"/>
      <c r="F464" s="41"/>
      <c r="G464" s="41"/>
      <c r="H464" s="41"/>
      <c r="I464" s="42"/>
      <c r="J464" s="41"/>
      <c r="K464" s="41"/>
      <c r="L464" s="43"/>
    </row>
    <row r="465" spans="2:12" outlineLevel="1">
      <c r="B465" s="35" t="str">
        <f>IF(C465="","",(B464+1))</f>
        <v/>
      </c>
      <c r="C465" s="41"/>
      <c r="D465" s="1"/>
      <c r="E465" s="1"/>
      <c r="F465" s="1"/>
      <c r="G465" s="1"/>
      <c r="H465" s="1"/>
      <c r="I465" s="36"/>
      <c r="J465" s="1"/>
      <c r="K465" s="1"/>
      <c r="L465" s="2"/>
    </row>
    <row r="466" spans="2:12" ht="15.75" outlineLevel="1" thickBot="1">
      <c r="B466" s="37" t="str">
        <f>IF(C466="","",(B465+1))</f>
        <v/>
      </c>
      <c r="C466" s="38"/>
      <c r="D466" s="38"/>
      <c r="E466" s="38"/>
      <c r="F466" s="38"/>
      <c r="G466" s="38"/>
      <c r="H466" s="38"/>
      <c r="I466" s="38"/>
      <c r="J466" s="38"/>
      <c r="K466" s="38"/>
      <c r="L466" s="39"/>
    </row>
    <row r="467" spans="2:12" ht="24" customHeight="1" thickBot="1">
      <c r="B467" s="320" t="s">
        <v>59</v>
      </c>
      <c r="C467" s="321"/>
      <c r="D467" s="321"/>
      <c r="E467" s="321"/>
      <c r="F467" s="321"/>
      <c r="G467" s="321"/>
      <c r="H467" s="321"/>
      <c r="I467" s="321"/>
      <c r="J467" s="321"/>
      <c r="K467" s="321"/>
      <c r="L467" s="322"/>
    </row>
    <row r="468" spans="2:12" ht="24" customHeight="1" thickBot="1">
      <c r="B468" s="26" t="s">
        <v>49</v>
      </c>
      <c r="C468" s="27" t="s">
        <v>60</v>
      </c>
      <c r="D468" s="27" t="s">
        <v>62</v>
      </c>
      <c r="E468" s="27" t="s">
        <v>63</v>
      </c>
      <c r="F468" s="27" t="s">
        <v>64</v>
      </c>
      <c r="G468" s="27" t="s">
        <v>65</v>
      </c>
      <c r="H468" s="27" t="s">
        <v>66</v>
      </c>
      <c r="I468" s="27" t="s">
        <v>67</v>
      </c>
      <c r="J468" s="27" t="s">
        <v>6</v>
      </c>
      <c r="K468" s="27" t="s">
        <v>7</v>
      </c>
      <c r="L468" s="28" t="s">
        <v>68</v>
      </c>
    </row>
    <row r="469" spans="2:12">
      <c r="B469" s="46" t="s">
        <v>8</v>
      </c>
      <c r="C469" s="41">
        <f>COUNTIFS(B367:B466,"&gt;"&amp;0,C367:C466,"="&amp;B469)</f>
        <v>9</v>
      </c>
      <c r="D469" s="41">
        <f>COUNTIFS(B367:B466,"&gt;="&amp;1,C367:C466,B469,K367:K466,"&gt;="&amp;0,K367:K466,"&lt;"&amp;50)</f>
        <v>0</v>
      </c>
      <c r="E469" s="41">
        <f>COUNTIFS(B367:B466,"&gt;="&amp;1,C367:C466,B469,K367:K466,"&gt;="&amp;50,K367:K466,"&lt;"&amp;500)</f>
        <v>0</v>
      </c>
      <c r="F469" s="41">
        <f>COUNTIFS(B367:B466,"&gt;="&amp;1,C367:C466,B469,K367:K466,"&gt;="&amp;500)</f>
        <v>0</v>
      </c>
      <c r="G469" s="41">
        <f>COUNTIFS(B367:B466,"&gt;="&amp;1,C367:C466,B469,K367:K466,"&gt;="&amp;0,I367:I466,"&gt;"&amp;DATE(2021,1,1))</f>
        <v>0</v>
      </c>
      <c r="H469" s="47" t="str">
        <f>IF(G469=0,"-",(SUM(E469,F469)/G469))</f>
        <v>-</v>
      </c>
      <c r="I469" s="41">
        <f>IF((COUNTIFS(B367:B466,"&gt;="&amp;1,C367:C466,"="&amp;B469))&gt;228,228,(COUNTIFS(B367:B466,"&gt;="&amp;1,C367:C466,"="&amp;B469)))</f>
        <v>9</v>
      </c>
      <c r="J469" s="47">
        <f>IF(I469=0,"-",(COUNTIFS(C367:C466,"="&amp;B469,I367:I466,"&lt;="&amp;DATE(2024,12,31),K367:K466,"&gt;="&amp;0)/I469))</f>
        <v>0</v>
      </c>
      <c r="K469" s="47">
        <f>IF(I469=0,"-",IF(J469=1,"-",(COUNTIFS(B367:B466,"&gt;"&amp;0,C367:C466,"="&amp;B469,I367:I466,"&gt;"&amp;DATE(2024,12,31),K367:K466,"&gt;="&amp;0)-COUNTIFS(B367:B466,"&gt;"&amp;0,C367:C466,"="&amp;B469,I367:I466,"&lt;="&amp;DATE(2024,12,31),K367:K466,"&gt;="&amp;0))/I469))</f>
        <v>0</v>
      </c>
      <c r="L469" s="48">
        <f>IF(I469=0,"-",G469/I469)</f>
        <v>0</v>
      </c>
    </row>
    <row r="470" spans="2:12">
      <c r="B470" s="7" t="s">
        <v>9</v>
      </c>
      <c r="C470" s="1">
        <f>COUNTIFS(B367:B466,"&gt;"&amp;0,C367:C466,"="&amp;B470)</f>
        <v>87</v>
      </c>
      <c r="D470" s="1">
        <f>COUNTIFS(B367:B466,"&gt;="&amp;1,C367:C466,B470,K367:K466,"&gt;="&amp;0,K367:K466,"&lt;"&amp;50)</f>
        <v>69</v>
      </c>
      <c r="E470" s="1">
        <f>COUNTIFS(B367:B466,"&gt;="&amp;1,C367:C466,B470,K367:K466,"&gt;="&amp;50,K367:K466,"&lt;"&amp;500)</f>
        <v>7</v>
      </c>
      <c r="F470" s="1">
        <f>COUNTIFS(B367:B466,"&gt;="&amp;1,C367:C466,B470,K367:K466,"&gt;="&amp;500)</f>
        <v>0</v>
      </c>
      <c r="G470" s="1">
        <f>COUNTIFS(B367:B466,"&gt;="&amp;1,C367:C466,B470,K367:K466,"&gt;="&amp;0,I367:I466,"&gt;"&amp;DATE(2021,1,1))</f>
        <v>76</v>
      </c>
      <c r="H470" s="44">
        <f>IF(G470=0,"-",(SUM(E470,F470)/G470))</f>
        <v>9.2105263157894732E-2</v>
      </c>
      <c r="I470" s="1">
        <f>IF((COUNTIFS(B367:B466,"&gt;="&amp;1,C367:C466,"="&amp;B470))&gt;228,228,(COUNTIFS(B367:B466,"&gt;="&amp;1,C367:C466,"="&amp;B470)))</f>
        <v>87</v>
      </c>
      <c r="J470" s="44">
        <f>IF(I470=0,"-",(COUNTIFS(C367:C466,"="&amp;B470,I367:I466,"&lt;="&amp;DATE(2024,12,31),K367:K466,"&gt;="&amp;0)/I470))</f>
        <v>0.20689655172413793</v>
      </c>
      <c r="K470" s="44">
        <f>IF(I470=0,"-",IF(J470=1,"-",(COUNTIFS(B367:B466,"&gt;"&amp;0,C367:C466,"="&amp;B470,I367:I466,"&gt;"&amp;DATE(2024,12,31),K367:K466,"&gt;="&amp;0)-COUNTIFS(B367:B466,"&gt;"&amp;0,C367:C466,"="&amp;B470,I367:I466,"&lt;="&amp;DATE(2024,12,31),K367:K466,"&gt;="&amp;0))/I470))</f>
        <v>0.45977011494252873</v>
      </c>
      <c r="L470" s="45">
        <f>IF(I470=0,"-",G470/I470)</f>
        <v>0.87356321839080464</v>
      </c>
    </row>
    <row r="471" spans="2:12">
      <c r="B471" s="7" t="s">
        <v>69</v>
      </c>
      <c r="C471" s="1">
        <f>COUNTIFS(B367:B466,"&gt;"&amp;0,C367:C466,"="&amp;B471)</f>
        <v>2</v>
      </c>
      <c r="D471" s="1">
        <f>COUNTIFS(B367:B466,"&gt;="&amp;1,C367:C466,B471,K367:K466,"&gt;="&amp;0,K367:K466,"&lt;"&amp;50)</f>
        <v>0</v>
      </c>
      <c r="E471" s="1">
        <f>COUNTIFS(B367:B466,"&gt;="&amp;1,C367:C466,B471,K367:K466,"&gt;="&amp;50,K367:K466,"&lt;"&amp;500)</f>
        <v>0</v>
      </c>
      <c r="F471" s="1">
        <f>COUNTIFS(B367:B465,"&gt;="&amp;1,C367:C465,B471,K367:K465,"&gt;="&amp;500)</f>
        <v>0</v>
      </c>
      <c r="G471" s="1">
        <f>COUNTIFS(B367:B466,"&gt;="&amp;1,C367:C466,B471,K367:K466,"&gt;="&amp;0,I367:I466,"&gt;"&amp;DATE(2021,1,1))</f>
        <v>0</v>
      </c>
      <c r="H471" s="44" t="str">
        <f>IF(G471=0,"-",(SUM(E471,F471)/G471))</f>
        <v>-</v>
      </c>
      <c r="I471" s="1">
        <f>IF((COUNTIFS(B367:B465,"&gt;="&amp;1,C367:C465,"="&amp;B471))&gt;228,228,(COUNTIFS(B367:B465,"&gt;="&amp;1,C367:C465,"="&amp;B471)))</f>
        <v>2</v>
      </c>
      <c r="J471" s="44">
        <f>IF(I471=0,"-",(COUNTIFS(C367:C466,"="&amp;B471,I367:I466,"&lt;="&amp;DATE(2024,12,31),K367:K466,"&gt;="&amp;0)/I471))</f>
        <v>0</v>
      </c>
      <c r="K471" s="44">
        <f>IF(I471=0,"-",IF(J471=1,"-",(COUNTIFS(B367:B466,"&gt;"&amp;0,C367:C466,"="&amp;B471,I367:I466,"&gt;"&amp;DATE(2024,12,31),K367:K466,"&gt;="&amp;0)-COUNTIFS(B367:B466,"&gt;"&amp;0,C367:C466,"="&amp;B471,I367:I466,"&lt;="&amp;DATE(2024,12,31),K367:K466,"&gt;="&amp;0))/I471))</f>
        <v>0</v>
      </c>
      <c r="L471" s="45">
        <f>IF(I471=0,"-",G471/I471)</f>
        <v>0</v>
      </c>
    </row>
    <row r="472" spans="2:12" ht="15.75" customHeight="1" thickBot="1">
      <c r="B472" s="49" t="s">
        <v>59</v>
      </c>
      <c r="C472" s="50">
        <f>SUM(C469:C471)</f>
        <v>98</v>
      </c>
      <c r="D472" s="50">
        <f>SUM(D469:D471)</f>
        <v>69</v>
      </c>
      <c r="E472" s="50">
        <f>SUM(E469:E471)</f>
        <v>7</v>
      </c>
      <c r="F472" s="50">
        <f>SUM(F469:F471)</f>
        <v>0</v>
      </c>
      <c r="G472" s="50">
        <f>SUM(G469:G471)</f>
        <v>76</v>
      </c>
      <c r="H472" s="51">
        <f>IF(G472=0,"-",(SUM(E472,F472)/G472))</f>
        <v>9.2105263157894732E-2</v>
      </c>
      <c r="I472" s="50">
        <f>SUM(I469:I471)</f>
        <v>98</v>
      </c>
      <c r="J472" s="51">
        <f>IF(I472=0,"-",(COUNTIFS(I367:I466,"&lt;="&amp;DATE(2024,12,31),K367:K466,"&gt;="&amp;0)/I472))</f>
        <v>0.18367346938775511</v>
      </c>
      <c r="K472" s="51">
        <f>IF(I472=0,"-",IF(J472=1,"-",(COUNTIFS(B367:B466,"&gt;"&amp;0,I367:I466,"&gt;"&amp;DATE(2024,12,31),K367:K466,"&gt;="&amp;0)-COUNTIFS(B367:B466,"&gt;"&amp;0,I367:I466,"&lt;="&amp;DATE(2024,12,31),K367:K466,"&gt;="&amp;0))/I472))</f>
        <v>0.40816326530612246</v>
      </c>
      <c r="L472" s="52">
        <f>IF(I472=0,"-",G472/I472)</f>
        <v>0.77551020408163263</v>
      </c>
    </row>
    <row r="473" spans="2:12" ht="12" customHeight="1"/>
    <row r="474" spans="2:12" ht="8.25" customHeight="1"/>
    <row r="477" spans="2:12" outlineLevel="2"/>
    <row r="478" spans="2:12" outlineLevel="2"/>
    <row r="479" spans="2:12" outlineLevel="2"/>
    <row r="480" spans="2:12" outlineLevel="2"/>
    <row r="481" outlineLevel="2"/>
    <row r="482" outlineLevel="2"/>
    <row r="483" outlineLevel="2"/>
    <row r="484" outlineLevel="2"/>
    <row r="485" outlineLevel="2"/>
    <row r="486" outlineLevel="2"/>
    <row r="487" outlineLevel="2"/>
    <row r="488" outlineLevel="2"/>
    <row r="489" outlineLevel="2"/>
    <row r="490" outlineLevel="2"/>
    <row r="491" outlineLevel="2"/>
    <row r="492" outlineLevel="2"/>
    <row r="493" outlineLevel="2"/>
    <row r="494" outlineLevel="2"/>
    <row r="495" outlineLevel="2"/>
    <row r="496" outlineLevel="2"/>
    <row r="497" outlineLevel="2"/>
    <row r="498" outlineLevel="2"/>
    <row r="499" outlineLevel="2"/>
    <row r="500" outlineLevel="2"/>
    <row r="501" outlineLevel="2"/>
    <row r="502" outlineLevel="2"/>
    <row r="503" outlineLevel="2"/>
    <row r="504" outlineLevel="2"/>
    <row r="505" outlineLevel="2"/>
    <row r="506" outlineLevel="2"/>
    <row r="507" outlineLevel="2"/>
    <row r="508" outlineLevel="2"/>
    <row r="509" outlineLevel="2"/>
    <row r="510" outlineLevel="2"/>
    <row r="511" outlineLevel="2"/>
    <row r="512" outlineLevel="2"/>
    <row r="513" outlineLevel="2"/>
    <row r="514" outlineLevel="2"/>
    <row r="515" outlineLevel="2"/>
    <row r="516" outlineLevel="2"/>
    <row r="517" outlineLevel="2"/>
    <row r="518" outlineLevel="2"/>
    <row r="519" outlineLevel="2"/>
    <row r="520" outlineLevel="2"/>
    <row r="521" outlineLevel="2"/>
    <row r="522" outlineLevel="2"/>
    <row r="523" outlineLevel="2"/>
    <row r="524" outlineLevel="2"/>
    <row r="525" outlineLevel="2"/>
    <row r="526" outlineLevel="2"/>
    <row r="527" outlineLevel="2"/>
    <row r="528" outlineLevel="2"/>
    <row r="529" outlineLevel="2"/>
    <row r="530" outlineLevel="2"/>
    <row r="531" outlineLevel="2"/>
    <row r="532" outlineLevel="2"/>
    <row r="533" outlineLevel="2"/>
    <row r="534" outlineLevel="2"/>
    <row r="535" outlineLevel="2"/>
    <row r="536" outlineLevel="2"/>
    <row r="537" outlineLevel="2"/>
    <row r="538" outlineLevel="2"/>
    <row r="539" outlineLevel="2"/>
    <row r="540" outlineLevel="2"/>
    <row r="541" outlineLevel="2"/>
    <row r="542" outlineLevel="2"/>
    <row r="543" outlineLevel="2"/>
    <row r="544" outlineLevel="2"/>
    <row r="545" outlineLevel="2"/>
    <row r="546" outlineLevel="2"/>
    <row r="547" outlineLevel="2"/>
    <row r="548" outlineLevel="2"/>
    <row r="549" outlineLevel="2"/>
    <row r="550" outlineLevel="2"/>
    <row r="551" outlineLevel="2"/>
    <row r="552" outlineLevel="2"/>
    <row r="553" outlineLevel="2"/>
    <row r="554" outlineLevel="2"/>
    <row r="555" outlineLevel="2"/>
    <row r="556" outlineLevel="2"/>
    <row r="557" outlineLevel="2"/>
    <row r="558" outlineLevel="2"/>
    <row r="559" outlineLevel="2"/>
    <row r="560" outlineLevel="2"/>
    <row r="561" outlineLevel="2"/>
    <row r="562" outlineLevel="2"/>
    <row r="563" outlineLevel="2"/>
    <row r="564" outlineLevel="2"/>
    <row r="565" outlineLevel="2"/>
    <row r="566" outlineLevel="2"/>
    <row r="567" outlineLevel="2"/>
    <row r="568" outlineLevel="2"/>
    <row r="569" outlineLevel="2"/>
    <row r="570" outlineLevel="2"/>
    <row r="571" outlineLevel="2"/>
    <row r="572" outlineLevel="2"/>
    <row r="573" outlineLevel="2"/>
    <row r="574" outlineLevel="2"/>
    <row r="575" outlineLevel="2"/>
    <row r="576" outlineLevel="2"/>
    <row r="577" outlineLevel="2"/>
    <row r="578" outlineLevel="2"/>
    <row r="579" outlineLevel="2"/>
    <row r="580" outlineLevel="2"/>
    <row r="581" outlineLevel="2"/>
    <row r="582" outlineLevel="2"/>
    <row r="583" outlineLevel="2"/>
    <row r="584" outlineLevel="2"/>
    <row r="585" outlineLevel="2"/>
    <row r="586" outlineLevel="2"/>
    <row r="587" outlineLevel="2"/>
    <row r="588" outlineLevel="2"/>
    <row r="589" outlineLevel="2"/>
    <row r="590" outlineLevel="2"/>
    <row r="591" outlineLevel="2"/>
    <row r="592" outlineLevel="2"/>
    <row r="593" outlineLevel="2"/>
    <row r="594" outlineLevel="2"/>
    <row r="595" outlineLevel="2"/>
    <row r="596" outlineLevel="2"/>
    <row r="597" outlineLevel="2"/>
    <row r="598" outlineLevel="2"/>
    <row r="599" outlineLevel="2"/>
    <row r="600" outlineLevel="2"/>
    <row r="601" outlineLevel="2"/>
    <row r="602" outlineLevel="2"/>
    <row r="603" outlineLevel="2"/>
    <row r="604" outlineLevel="2"/>
    <row r="605" outlineLevel="2"/>
    <row r="606" outlineLevel="2"/>
    <row r="607" outlineLevel="2"/>
    <row r="608" outlineLevel="2"/>
    <row r="609" outlineLevel="2"/>
    <row r="610" outlineLevel="2"/>
    <row r="611" outlineLevel="2"/>
    <row r="612" outlineLevel="2"/>
    <row r="613" outlineLevel="2"/>
    <row r="614" outlineLevel="2"/>
    <row r="615" outlineLevel="2"/>
    <row r="616" outlineLevel="2"/>
    <row r="617" outlineLevel="2"/>
    <row r="618" outlineLevel="2"/>
    <row r="619" outlineLevel="2"/>
    <row r="620" outlineLevel="2"/>
    <row r="621" outlineLevel="2"/>
    <row r="622" outlineLevel="2"/>
    <row r="623" outlineLevel="2"/>
    <row r="624" outlineLevel="2"/>
    <row r="625" outlineLevel="2"/>
    <row r="626" outlineLevel="2"/>
    <row r="627" outlineLevel="2"/>
    <row r="628" outlineLevel="2"/>
    <row r="629" outlineLevel="2"/>
    <row r="630" outlineLevel="2"/>
    <row r="631" outlineLevel="2"/>
    <row r="632" outlineLevel="2"/>
    <row r="633" outlineLevel="2"/>
    <row r="634" outlineLevel="2"/>
    <row r="635" outlineLevel="2"/>
    <row r="636" outlineLevel="2"/>
    <row r="637" outlineLevel="2"/>
    <row r="638" outlineLevel="2"/>
    <row r="639" outlineLevel="2"/>
    <row r="640" outlineLevel="2"/>
    <row r="641" outlineLevel="2"/>
    <row r="642" outlineLevel="2"/>
    <row r="643" outlineLevel="2"/>
    <row r="644" outlineLevel="2"/>
    <row r="645" outlineLevel="2"/>
    <row r="646" outlineLevel="2"/>
    <row r="647" outlineLevel="2"/>
    <row r="648" outlineLevel="2"/>
    <row r="649" outlineLevel="2"/>
    <row r="650" outlineLevel="2"/>
    <row r="651" outlineLevel="2"/>
    <row r="652" outlineLevel="2"/>
    <row r="653" outlineLevel="2"/>
    <row r="654" outlineLevel="2"/>
    <row r="655" outlineLevel="2"/>
    <row r="656" outlineLevel="2"/>
    <row r="657" outlineLevel="2"/>
    <row r="658" outlineLevel="2"/>
    <row r="659" outlineLevel="2"/>
    <row r="660" outlineLevel="2"/>
    <row r="661" outlineLevel="2"/>
    <row r="662" outlineLevel="2"/>
    <row r="663" outlineLevel="2"/>
    <row r="664" outlineLevel="2"/>
    <row r="665" outlineLevel="2"/>
    <row r="666" outlineLevel="2"/>
    <row r="667" outlineLevel="2"/>
    <row r="668" outlineLevel="2"/>
    <row r="669" outlineLevel="2"/>
    <row r="670" outlineLevel="2"/>
    <row r="671" outlineLevel="2"/>
    <row r="672" outlineLevel="2"/>
    <row r="673" outlineLevel="2"/>
    <row r="674" outlineLevel="2"/>
    <row r="675" outlineLevel="2"/>
    <row r="676" outlineLevel="2"/>
    <row r="677" outlineLevel="2"/>
    <row r="678" outlineLevel="2"/>
    <row r="679" outlineLevel="2"/>
    <row r="680" outlineLevel="2"/>
    <row r="681" outlineLevel="2"/>
    <row r="682" outlineLevel="2"/>
    <row r="683" outlineLevel="2"/>
    <row r="684" outlineLevel="2"/>
    <row r="685" outlineLevel="2"/>
    <row r="686" outlineLevel="2"/>
    <row r="687" outlineLevel="2"/>
    <row r="688" outlineLevel="2"/>
    <row r="689" outlineLevel="2"/>
    <row r="690" outlineLevel="2"/>
    <row r="691" outlineLevel="2"/>
    <row r="692" outlineLevel="2"/>
    <row r="693" outlineLevel="2"/>
    <row r="694" outlineLevel="2"/>
    <row r="695" outlineLevel="2"/>
    <row r="696" outlineLevel="2"/>
    <row r="697" outlineLevel="2"/>
    <row r="698" outlineLevel="2"/>
    <row r="699" outlineLevel="2"/>
    <row r="700" outlineLevel="2"/>
    <row r="701" outlineLevel="2"/>
    <row r="702" outlineLevel="2"/>
    <row r="703" outlineLevel="2"/>
    <row r="704" outlineLevel="2"/>
    <row r="705" outlineLevel="1"/>
    <row r="706" outlineLevel="2"/>
    <row r="707" outlineLevel="2"/>
    <row r="708" outlineLevel="2"/>
    <row r="709" outlineLevel="2"/>
    <row r="710" outlineLevel="2"/>
    <row r="711" outlineLevel="2"/>
    <row r="712" outlineLevel="2"/>
    <row r="713" outlineLevel="2"/>
    <row r="714" outlineLevel="2"/>
    <row r="715" outlineLevel="2"/>
    <row r="716" outlineLevel="2"/>
    <row r="717" outlineLevel="2"/>
    <row r="718" outlineLevel="2"/>
    <row r="719" outlineLevel="2"/>
    <row r="720" outlineLevel="2"/>
    <row r="721" outlineLevel="2"/>
    <row r="722" outlineLevel="2"/>
    <row r="723" outlineLevel="2"/>
    <row r="724" outlineLevel="2"/>
    <row r="725" outlineLevel="2"/>
    <row r="726" outlineLevel="2"/>
    <row r="727" outlineLevel="2"/>
    <row r="728" outlineLevel="2"/>
    <row r="729" outlineLevel="2"/>
    <row r="730" outlineLevel="2"/>
    <row r="731" outlineLevel="2"/>
    <row r="732" outlineLevel="2"/>
    <row r="733" outlineLevel="2"/>
    <row r="734" outlineLevel="2"/>
    <row r="735" outlineLevel="2"/>
    <row r="736" outlineLevel="2"/>
    <row r="737" outlineLevel="2"/>
    <row r="738" outlineLevel="2"/>
    <row r="739" outlineLevel="2"/>
    <row r="740" outlineLevel="2"/>
    <row r="741" outlineLevel="2"/>
    <row r="742" outlineLevel="2"/>
    <row r="743" outlineLevel="2"/>
    <row r="744" outlineLevel="2"/>
    <row r="745" outlineLevel="2"/>
    <row r="746" outlineLevel="2"/>
    <row r="747" outlineLevel="2"/>
    <row r="748" outlineLevel="2"/>
    <row r="749" outlineLevel="2"/>
    <row r="750" outlineLevel="2"/>
    <row r="751" outlineLevel="2"/>
    <row r="752" outlineLevel="2"/>
    <row r="753" outlineLevel="2"/>
    <row r="754" outlineLevel="2"/>
    <row r="755" outlineLevel="2"/>
    <row r="756" outlineLevel="2"/>
    <row r="757" outlineLevel="2"/>
    <row r="758" outlineLevel="2"/>
    <row r="759" outlineLevel="2"/>
    <row r="760" outlineLevel="2"/>
    <row r="761" outlineLevel="2"/>
    <row r="762" outlineLevel="2"/>
    <row r="763" outlineLevel="2"/>
    <row r="764" outlineLevel="2"/>
    <row r="765" outlineLevel="2"/>
    <row r="766" outlineLevel="2"/>
    <row r="767" outlineLevel="2"/>
    <row r="768" outlineLevel="2"/>
    <row r="769" outlineLevel="2"/>
    <row r="770" outlineLevel="2"/>
    <row r="771" outlineLevel="2"/>
    <row r="772" outlineLevel="2"/>
    <row r="773" outlineLevel="2"/>
    <row r="774" outlineLevel="2"/>
    <row r="775" outlineLevel="2"/>
    <row r="776" outlineLevel="2"/>
    <row r="777" outlineLevel="2"/>
    <row r="778" outlineLevel="2"/>
    <row r="779" outlineLevel="2"/>
    <row r="780" outlineLevel="2"/>
    <row r="781" outlineLevel="2"/>
    <row r="782" outlineLevel="2"/>
    <row r="783" outlineLevel="2"/>
    <row r="784" outlineLevel="2"/>
    <row r="785" outlineLevel="2"/>
    <row r="786" outlineLevel="2"/>
    <row r="787" outlineLevel="2"/>
    <row r="788" outlineLevel="2"/>
    <row r="789" outlineLevel="2"/>
    <row r="790" outlineLevel="2"/>
    <row r="791" outlineLevel="2"/>
    <row r="792" outlineLevel="2"/>
    <row r="793" outlineLevel="2"/>
    <row r="794" outlineLevel="2"/>
    <row r="795" outlineLevel="2"/>
    <row r="796" outlineLevel="2"/>
    <row r="797" outlineLevel="2"/>
    <row r="798" outlineLevel="2"/>
    <row r="799" outlineLevel="2"/>
    <row r="800" outlineLevel="2"/>
    <row r="801" outlineLevel="2"/>
    <row r="802" outlineLevel="2"/>
    <row r="803" outlineLevel="2"/>
    <row r="804" outlineLevel="2"/>
    <row r="805" outlineLevel="2"/>
    <row r="806" outlineLevel="2"/>
    <row r="807" outlineLevel="2"/>
    <row r="808" outlineLevel="2"/>
    <row r="809" outlineLevel="2"/>
    <row r="810" outlineLevel="2"/>
    <row r="811" outlineLevel="2"/>
    <row r="812" outlineLevel="2"/>
    <row r="813" outlineLevel="2"/>
    <row r="814" outlineLevel="2"/>
    <row r="815" outlineLevel="2"/>
    <row r="816" outlineLevel="2"/>
    <row r="817" outlineLevel="2"/>
    <row r="818" outlineLevel="2"/>
    <row r="819" outlineLevel="2"/>
    <row r="820" outlineLevel="2"/>
    <row r="821" outlineLevel="2"/>
    <row r="822" outlineLevel="2"/>
    <row r="823" outlineLevel="2"/>
    <row r="824" outlineLevel="2"/>
    <row r="825" outlineLevel="2"/>
    <row r="826" outlineLevel="2"/>
    <row r="827" outlineLevel="2"/>
    <row r="828" outlineLevel="2"/>
    <row r="829" outlineLevel="2"/>
    <row r="830" outlineLevel="2"/>
    <row r="831" outlineLevel="2"/>
    <row r="832" outlineLevel="2"/>
    <row r="833" outlineLevel="2"/>
    <row r="834" outlineLevel="2"/>
    <row r="835" outlineLevel="2"/>
    <row r="836" outlineLevel="2"/>
    <row r="837" outlineLevel="2"/>
    <row r="838" outlineLevel="2"/>
    <row r="839" outlineLevel="2"/>
    <row r="840" outlineLevel="2"/>
    <row r="841" outlineLevel="2"/>
    <row r="842" outlineLevel="2"/>
    <row r="843" outlineLevel="2"/>
    <row r="844" outlineLevel="2"/>
    <row r="845" outlineLevel="2"/>
    <row r="846" outlineLevel="2"/>
    <row r="847" outlineLevel="2"/>
    <row r="848" outlineLevel="2"/>
    <row r="849" outlineLevel="2"/>
    <row r="850" outlineLevel="2"/>
    <row r="851" outlineLevel="2"/>
    <row r="852" outlineLevel="2"/>
    <row r="853" outlineLevel="2"/>
    <row r="854" outlineLevel="2"/>
    <row r="855" outlineLevel="2"/>
    <row r="856" outlineLevel="2"/>
    <row r="857" outlineLevel="2"/>
    <row r="858" outlineLevel="2"/>
    <row r="859" outlineLevel="2"/>
    <row r="860" outlineLevel="2"/>
    <row r="861" outlineLevel="2"/>
    <row r="862" outlineLevel="2"/>
    <row r="863" outlineLevel="2"/>
    <row r="864" outlineLevel="2"/>
    <row r="865" outlineLevel="2"/>
    <row r="866" outlineLevel="2"/>
    <row r="867" outlineLevel="2"/>
    <row r="868" outlineLevel="2"/>
    <row r="869" outlineLevel="2"/>
    <row r="870" outlineLevel="2"/>
    <row r="871" outlineLevel="2"/>
    <row r="872" outlineLevel="2"/>
    <row r="873" outlineLevel="2"/>
    <row r="874" outlineLevel="2"/>
    <row r="875" outlineLevel="2"/>
    <row r="876" outlineLevel="2"/>
    <row r="877" outlineLevel="2"/>
    <row r="878" outlineLevel="2"/>
    <row r="879" outlineLevel="2"/>
    <row r="880" outlineLevel="2"/>
    <row r="881" outlineLevel="2"/>
    <row r="882" outlineLevel="2"/>
    <row r="883" outlineLevel="2"/>
    <row r="884" outlineLevel="2"/>
    <row r="885" outlineLevel="2"/>
    <row r="886" outlineLevel="2"/>
    <row r="887" outlineLevel="2"/>
    <row r="888" outlineLevel="2"/>
    <row r="889" outlineLevel="2"/>
    <row r="890" outlineLevel="2"/>
    <row r="891" outlineLevel="2"/>
    <row r="892" outlineLevel="2"/>
    <row r="893" outlineLevel="2"/>
    <row r="894" outlineLevel="2"/>
    <row r="895" outlineLevel="2"/>
    <row r="896" outlineLevel="2"/>
    <row r="897" outlineLevel="2"/>
    <row r="898" outlineLevel="2"/>
    <row r="899" outlineLevel="2"/>
    <row r="900" outlineLevel="2"/>
    <row r="901" outlineLevel="2"/>
    <row r="902" outlineLevel="2"/>
    <row r="903" outlineLevel="2"/>
    <row r="904" outlineLevel="2"/>
    <row r="905" outlineLevel="2"/>
    <row r="906" outlineLevel="2"/>
    <row r="907" outlineLevel="2"/>
    <row r="908" outlineLevel="2"/>
    <row r="909" outlineLevel="2"/>
    <row r="910" outlineLevel="2"/>
    <row r="911" outlineLevel="2"/>
    <row r="912" outlineLevel="2"/>
    <row r="913" outlineLevel="2"/>
    <row r="914" outlineLevel="2"/>
    <row r="915" outlineLevel="2"/>
    <row r="916" outlineLevel="2"/>
    <row r="917" outlineLevel="2"/>
    <row r="918" outlineLevel="2"/>
    <row r="919" outlineLevel="2"/>
    <row r="920" outlineLevel="2"/>
    <row r="921" outlineLevel="2"/>
    <row r="922" outlineLevel="2"/>
    <row r="923" outlineLevel="2"/>
    <row r="924" outlineLevel="2"/>
    <row r="925" outlineLevel="2"/>
    <row r="926" outlineLevel="2"/>
    <row r="927" outlineLevel="2"/>
    <row r="928" outlineLevel="2"/>
    <row r="929" outlineLevel="2"/>
    <row r="930" outlineLevel="2"/>
    <row r="931" outlineLevel="2"/>
    <row r="932" outlineLevel="2"/>
    <row r="933" outlineLevel="2"/>
    <row r="934" outlineLevel="1"/>
    <row r="935" outlineLevel="2"/>
    <row r="936" outlineLevel="2"/>
    <row r="937" outlineLevel="2"/>
    <row r="938" outlineLevel="2"/>
    <row r="939" outlineLevel="2"/>
    <row r="940" outlineLevel="2"/>
    <row r="941" outlineLevel="2"/>
    <row r="942" outlineLevel="2"/>
    <row r="943" outlineLevel="2"/>
    <row r="944" outlineLevel="2"/>
    <row r="945" outlineLevel="2"/>
    <row r="946" outlineLevel="2"/>
    <row r="947" outlineLevel="2"/>
    <row r="948" outlineLevel="2"/>
    <row r="949" outlineLevel="2"/>
    <row r="950" outlineLevel="2"/>
    <row r="951" outlineLevel="2"/>
    <row r="952" outlineLevel="2"/>
    <row r="953" outlineLevel="2"/>
    <row r="954" outlineLevel="2"/>
    <row r="955" outlineLevel="2"/>
    <row r="956" outlineLevel="2"/>
    <row r="957" outlineLevel="2"/>
    <row r="958" outlineLevel="2"/>
    <row r="959" outlineLevel="2"/>
    <row r="960" outlineLevel="2"/>
    <row r="961" outlineLevel="2"/>
    <row r="962" outlineLevel="2"/>
    <row r="963" outlineLevel="2"/>
    <row r="964" outlineLevel="2"/>
    <row r="965" outlineLevel="2"/>
    <row r="966" outlineLevel="2"/>
    <row r="967" outlineLevel="2"/>
    <row r="968" outlineLevel="2"/>
    <row r="969" outlineLevel="2"/>
    <row r="970" outlineLevel="2"/>
    <row r="971" outlineLevel="2"/>
    <row r="972" outlineLevel="2"/>
    <row r="973" outlineLevel="2"/>
    <row r="974" outlineLevel="2"/>
    <row r="975" outlineLevel="2"/>
    <row r="976" outlineLevel="2"/>
    <row r="977" outlineLevel="2"/>
    <row r="978" outlineLevel="2"/>
    <row r="979" outlineLevel="2"/>
    <row r="980" outlineLevel="2"/>
    <row r="981" outlineLevel="2"/>
    <row r="982" outlineLevel="2"/>
    <row r="983" outlineLevel="2"/>
    <row r="984" outlineLevel="2"/>
    <row r="985" outlineLevel="2"/>
    <row r="986" outlineLevel="2"/>
    <row r="987" outlineLevel="2"/>
    <row r="988" outlineLevel="2"/>
    <row r="989" outlineLevel="2"/>
    <row r="990" outlineLevel="2"/>
    <row r="991" outlineLevel="2"/>
    <row r="992" outlineLevel="2"/>
    <row r="993" outlineLevel="2"/>
    <row r="994" outlineLevel="2"/>
    <row r="995" outlineLevel="2"/>
    <row r="996" outlineLevel="2"/>
    <row r="997" outlineLevel="2"/>
    <row r="998" outlineLevel="2"/>
    <row r="999" outlineLevel="2"/>
    <row r="1000" outlineLevel="2"/>
    <row r="1001" outlineLevel="2"/>
    <row r="1002" outlineLevel="2"/>
    <row r="1003" outlineLevel="2"/>
    <row r="1004" outlineLevel="2"/>
    <row r="1005" outlineLevel="2"/>
    <row r="1006" outlineLevel="2"/>
    <row r="1007" outlineLevel="2"/>
    <row r="1008" outlineLevel="2"/>
    <row r="1009" outlineLevel="2"/>
    <row r="1010" outlineLevel="2"/>
    <row r="1011" outlineLevel="2"/>
    <row r="1012" outlineLevel="2"/>
    <row r="1013" outlineLevel="2"/>
    <row r="1014" outlineLevel="2"/>
    <row r="1015" outlineLevel="2"/>
    <row r="1016" outlineLevel="2"/>
    <row r="1017" outlineLevel="2"/>
    <row r="1018" outlineLevel="2"/>
    <row r="1019" outlineLevel="2"/>
    <row r="1020" outlineLevel="2"/>
    <row r="1021" outlineLevel="2"/>
    <row r="1022" outlineLevel="2"/>
    <row r="1023" outlineLevel="2"/>
    <row r="1024" outlineLevel="2"/>
    <row r="1025" outlineLevel="2"/>
    <row r="1026" outlineLevel="2"/>
    <row r="1027" outlineLevel="2"/>
    <row r="1028" outlineLevel="2"/>
    <row r="1029" outlineLevel="2"/>
    <row r="1030" outlineLevel="2"/>
    <row r="1031" outlineLevel="2"/>
    <row r="1032" outlineLevel="2"/>
    <row r="1033" outlineLevel="2"/>
    <row r="1034" outlineLevel="2"/>
    <row r="1035" outlineLevel="2"/>
    <row r="1036" outlineLevel="2"/>
    <row r="1037" outlineLevel="2"/>
    <row r="1038" outlineLevel="2"/>
    <row r="1039" outlineLevel="2"/>
    <row r="1040" outlineLevel="2"/>
    <row r="1041" outlineLevel="2"/>
    <row r="1042" outlineLevel="2"/>
    <row r="1043" outlineLevel="2"/>
    <row r="1044" outlineLevel="2"/>
    <row r="1045" outlineLevel="2"/>
    <row r="1046" outlineLevel="2"/>
    <row r="1047" outlineLevel="2"/>
    <row r="1048" outlineLevel="2"/>
    <row r="1049" outlineLevel="2"/>
    <row r="1050" outlineLevel="2"/>
    <row r="1051" outlineLevel="2"/>
    <row r="1052" outlineLevel="2"/>
    <row r="1053" outlineLevel="2"/>
    <row r="1054" outlineLevel="2"/>
    <row r="1055" outlineLevel="2"/>
    <row r="1056" outlineLevel="2"/>
    <row r="1057" outlineLevel="2"/>
    <row r="1058" outlineLevel="2"/>
    <row r="1059" outlineLevel="2"/>
    <row r="1060" outlineLevel="2"/>
    <row r="1061" outlineLevel="2"/>
    <row r="1062" outlineLevel="2"/>
    <row r="1063" outlineLevel="2"/>
    <row r="1064" outlineLevel="2"/>
    <row r="1065" outlineLevel="2"/>
    <row r="1066" outlineLevel="2"/>
    <row r="1067" outlineLevel="2"/>
    <row r="1068" outlineLevel="2"/>
    <row r="1069" outlineLevel="2"/>
    <row r="1070" outlineLevel="2"/>
    <row r="1071" outlineLevel="2"/>
    <row r="1072" outlineLevel="2"/>
    <row r="1073" outlineLevel="2"/>
    <row r="1074" outlineLevel="2"/>
    <row r="1075" outlineLevel="2"/>
    <row r="1076" outlineLevel="2"/>
    <row r="1077" outlineLevel="2"/>
    <row r="1078" outlineLevel="2"/>
    <row r="1079" outlineLevel="2"/>
    <row r="1080" outlineLevel="2"/>
    <row r="1081" outlineLevel="2"/>
    <row r="1082" outlineLevel="2"/>
    <row r="1083" outlineLevel="2"/>
    <row r="1084" outlineLevel="2"/>
    <row r="1085" outlineLevel="2"/>
    <row r="1086" outlineLevel="2"/>
    <row r="1087" outlineLevel="2"/>
    <row r="1088" outlineLevel="2"/>
    <row r="1089" outlineLevel="2"/>
    <row r="1090" outlineLevel="2"/>
    <row r="1091" outlineLevel="2"/>
    <row r="1092" outlineLevel="2"/>
    <row r="1093" outlineLevel="2"/>
    <row r="1094" outlineLevel="2"/>
    <row r="1095" outlineLevel="2"/>
    <row r="1096" outlineLevel="2"/>
    <row r="1097" outlineLevel="2"/>
    <row r="1098" outlineLevel="2"/>
    <row r="1099" outlineLevel="2"/>
    <row r="1100" outlineLevel="2"/>
    <row r="1101" outlineLevel="2"/>
    <row r="1102" outlineLevel="2"/>
    <row r="1103" outlineLevel="2"/>
    <row r="1104" outlineLevel="2"/>
    <row r="1105" outlineLevel="2"/>
    <row r="1106" outlineLevel="2"/>
    <row r="1107" outlineLevel="2"/>
    <row r="1108" outlineLevel="2"/>
    <row r="1109" outlineLevel="2"/>
    <row r="1110" outlineLevel="2"/>
    <row r="1111" outlineLevel="2"/>
    <row r="1112" outlineLevel="2"/>
    <row r="1113" outlineLevel="2"/>
    <row r="1114" outlineLevel="2"/>
    <row r="1115" outlineLevel="2"/>
    <row r="1116" outlineLevel="2"/>
    <row r="1117" outlineLevel="2"/>
    <row r="1118" outlineLevel="2"/>
    <row r="1119" outlineLevel="2"/>
    <row r="1120" outlineLevel="2"/>
    <row r="1121" outlineLevel="2"/>
    <row r="1122" outlineLevel="2"/>
    <row r="1123" outlineLevel="2"/>
    <row r="1124" outlineLevel="2"/>
    <row r="1125" outlineLevel="2"/>
    <row r="1126" outlineLevel="2"/>
    <row r="1127" outlineLevel="2"/>
    <row r="1128" outlineLevel="2"/>
    <row r="1129" outlineLevel="2"/>
    <row r="1130" outlineLevel="2"/>
    <row r="1131" outlineLevel="2"/>
    <row r="1132" outlineLevel="2"/>
    <row r="1133" outlineLevel="2"/>
    <row r="1134" outlineLevel="2"/>
    <row r="1135" outlineLevel="2"/>
    <row r="1136" outlineLevel="2"/>
    <row r="1137" outlineLevel="2"/>
    <row r="1138" outlineLevel="2"/>
    <row r="1139" outlineLevel="2"/>
    <row r="1140" outlineLevel="2"/>
    <row r="1141" outlineLevel="2"/>
    <row r="1142" outlineLevel="2"/>
    <row r="1143" outlineLevel="2"/>
    <row r="1144" outlineLevel="2"/>
    <row r="1145" outlineLevel="2"/>
    <row r="1146" outlineLevel="2"/>
    <row r="1147" outlineLevel="2"/>
    <row r="1148" outlineLevel="2"/>
    <row r="1149" outlineLevel="2"/>
    <row r="1150" outlineLevel="2"/>
    <row r="1151" outlineLevel="2"/>
    <row r="1152" outlineLevel="2"/>
    <row r="1153" outlineLevel="2"/>
    <row r="1154" outlineLevel="2"/>
    <row r="1155" outlineLevel="2"/>
    <row r="1156" outlineLevel="2"/>
    <row r="1157" outlineLevel="2"/>
    <row r="1158" outlineLevel="2"/>
    <row r="1159" outlineLevel="2"/>
    <row r="1160" outlineLevel="2"/>
    <row r="1161" outlineLevel="2"/>
    <row r="1162" outlineLevel="2"/>
    <row r="1163" outlineLevel="1"/>
    <row r="1164" outlineLevel="2"/>
    <row r="1165" outlineLevel="2"/>
    <row r="1166" outlineLevel="2"/>
    <row r="1167" outlineLevel="2"/>
    <row r="1168" outlineLevel="2"/>
    <row r="1169" outlineLevel="2"/>
    <row r="1170" outlineLevel="2"/>
    <row r="1171" outlineLevel="2"/>
    <row r="1172" outlineLevel="2"/>
    <row r="1173" outlineLevel="2"/>
    <row r="1174" outlineLevel="2"/>
    <row r="1175" outlineLevel="2"/>
    <row r="1176" outlineLevel="2"/>
    <row r="1177" outlineLevel="2"/>
    <row r="1178" outlineLevel="2"/>
    <row r="1179" outlineLevel="2"/>
    <row r="1180" outlineLevel="2"/>
    <row r="1181" outlineLevel="2"/>
    <row r="1182" outlineLevel="2"/>
    <row r="1183" outlineLevel="2"/>
    <row r="1184" outlineLevel="2"/>
    <row r="1185" outlineLevel="2"/>
    <row r="1186" outlineLevel="2"/>
    <row r="1187" outlineLevel="2"/>
    <row r="1188" outlineLevel="2"/>
    <row r="1189" outlineLevel="2"/>
    <row r="1190" outlineLevel="2"/>
    <row r="1191" outlineLevel="2"/>
    <row r="1192" outlineLevel="2"/>
    <row r="1193" outlineLevel="2"/>
    <row r="1194" outlineLevel="2"/>
    <row r="1195" outlineLevel="2"/>
    <row r="1196" outlineLevel="2"/>
    <row r="1197" outlineLevel="2"/>
    <row r="1198" outlineLevel="2"/>
    <row r="1199" outlineLevel="2"/>
    <row r="1200" outlineLevel="2"/>
    <row r="1201" outlineLevel="2"/>
    <row r="1202" outlineLevel="2"/>
    <row r="1203" outlineLevel="2"/>
    <row r="1204" outlineLevel="2"/>
    <row r="1205" outlineLevel="2"/>
    <row r="1206" outlineLevel="2"/>
    <row r="1207" outlineLevel="2"/>
    <row r="1208" outlineLevel="2"/>
    <row r="1209" outlineLevel="2"/>
    <row r="1210" outlineLevel="2"/>
    <row r="1211" outlineLevel="2"/>
    <row r="1212" outlineLevel="2"/>
    <row r="1213" outlineLevel="2"/>
    <row r="1214" outlineLevel="2"/>
    <row r="1215" outlineLevel="2"/>
    <row r="1216" outlineLevel="2"/>
    <row r="1217" outlineLevel="2"/>
    <row r="1218" outlineLevel="2"/>
    <row r="1219" outlineLevel="2"/>
    <row r="1220" outlineLevel="2"/>
    <row r="1221" outlineLevel="2"/>
    <row r="1222" outlineLevel="2"/>
    <row r="1223" outlineLevel="2"/>
    <row r="1224" outlineLevel="2"/>
    <row r="1225" outlineLevel="2"/>
    <row r="1226" outlineLevel="2"/>
    <row r="1227" outlineLevel="2"/>
    <row r="1228" outlineLevel="2"/>
    <row r="1229" outlineLevel="2"/>
    <row r="1230" outlineLevel="2"/>
    <row r="1231" outlineLevel="2"/>
    <row r="1232" outlineLevel="2"/>
    <row r="1233" outlineLevel="2"/>
    <row r="1234" outlineLevel="2"/>
    <row r="1235" outlineLevel="2"/>
    <row r="1236" outlineLevel="2"/>
    <row r="1237" outlineLevel="2"/>
    <row r="1238" outlineLevel="2"/>
    <row r="1239" outlineLevel="2"/>
    <row r="1240" outlineLevel="2"/>
    <row r="1241" outlineLevel="2"/>
    <row r="1242" outlineLevel="2"/>
    <row r="1243" outlineLevel="2"/>
    <row r="1244" outlineLevel="2"/>
    <row r="1245" outlineLevel="2"/>
    <row r="1246" outlineLevel="2"/>
    <row r="1247" outlineLevel="2"/>
    <row r="1248" outlineLevel="2"/>
    <row r="1249" outlineLevel="2"/>
    <row r="1250" outlineLevel="2"/>
    <row r="1251" outlineLevel="2"/>
    <row r="1252" outlineLevel="2"/>
    <row r="1253" outlineLevel="2"/>
    <row r="1254" outlineLevel="2"/>
    <row r="1255" outlineLevel="2"/>
    <row r="1256" outlineLevel="2"/>
    <row r="1257" outlineLevel="2"/>
    <row r="1258" outlineLevel="2"/>
    <row r="1259" outlineLevel="2"/>
    <row r="1260" outlineLevel="2"/>
    <row r="1261" outlineLevel="2"/>
    <row r="1262" outlineLevel="2"/>
    <row r="1263" outlineLevel="2"/>
    <row r="1264" outlineLevel="2"/>
    <row r="1265" outlineLevel="2"/>
    <row r="1266" outlineLevel="2"/>
    <row r="1267" outlineLevel="2"/>
    <row r="1268" outlineLevel="2"/>
    <row r="1269" outlineLevel="2"/>
    <row r="1270" outlineLevel="2"/>
    <row r="1271" outlineLevel="2"/>
    <row r="1272" outlineLevel="2"/>
    <row r="1273" outlineLevel="2"/>
    <row r="1274" outlineLevel="2"/>
    <row r="1275" outlineLevel="2"/>
    <row r="1276" outlineLevel="2"/>
    <row r="1277" outlineLevel="2"/>
    <row r="1278" outlineLevel="2"/>
    <row r="1279" outlineLevel="2"/>
    <row r="1280" outlineLevel="2"/>
    <row r="1281" outlineLevel="2"/>
    <row r="1282" outlineLevel="2"/>
    <row r="1283" outlineLevel="2"/>
    <row r="1284" outlineLevel="2"/>
    <row r="1285" outlineLevel="2"/>
    <row r="1286" outlineLevel="2"/>
    <row r="1287" outlineLevel="2"/>
    <row r="1288" outlineLevel="2"/>
    <row r="1289" outlineLevel="2"/>
    <row r="1290" outlineLevel="2"/>
    <row r="1291" outlineLevel="2"/>
    <row r="1292" outlineLevel="2"/>
    <row r="1293" outlineLevel="2"/>
    <row r="1294" outlineLevel="2"/>
    <row r="1295" outlineLevel="2"/>
    <row r="1296" outlineLevel="2"/>
    <row r="1297" outlineLevel="2"/>
    <row r="1298" outlineLevel="2"/>
    <row r="1299" outlineLevel="2"/>
    <row r="1300" outlineLevel="2"/>
    <row r="1301" outlineLevel="2"/>
    <row r="1302" outlineLevel="2"/>
    <row r="1303" outlineLevel="2"/>
    <row r="1304" outlineLevel="2"/>
    <row r="1305" outlineLevel="2"/>
    <row r="1306" outlineLevel="2"/>
    <row r="1307" outlineLevel="2"/>
    <row r="1308" outlineLevel="2"/>
    <row r="1309" outlineLevel="2"/>
    <row r="1310" outlineLevel="2"/>
    <row r="1311" outlineLevel="2"/>
    <row r="1312" outlineLevel="2"/>
    <row r="1313" outlineLevel="2"/>
    <row r="1314" outlineLevel="2"/>
    <row r="1315" outlineLevel="2"/>
    <row r="1316" outlineLevel="2"/>
    <row r="1317" outlineLevel="2"/>
    <row r="1318" outlineLevel="2"/>
    <row r="1319" outlineLevel="2"/>
    <row r="1320" outlineLevel="2"/>
    <row r="1321" outlineLevel="2"/>
    <row r="1322" outlineLevel="2"/>
    <row r="1323" outlineLevel="2"/>
    <row r="1324" outlineLevel="2"/>
    <row r="1325" outlineLevel="2"/>
    <row r="1326" outlineLevel="2"/>
    <row r="1327" outlineLevel="2"/>
    <row r="1328" outlineLevel="2"/>
    <row r="1329" outlineLevel="2"/>
    <row r="1330" outlineLevel="2"/>
    <row r="1331" outlineLevel="2"/>
    <row r="1332" outlineLevel="2"/>
    <row r="1333" outlineLevel="2"/>
    <row r="1334" outlineLevel="2"/>
    <row r="1335" outlineLevel="2"/>
    <row r="1336" outlineLevel="2"/>
    <row r="1337" outlineLevel="2"/>
    <row r="1338" outlineLevel="2"/>
    <row r="1339" outlineLevel="2"/>
    <row r="1340" outlineLevel="2"/>
    <row r="1341" outlineLevel="2"/>
    <row r="1342" outlineLevel="2"/>
    <row r="1343" outlineLevel="2"/>
    <row r="1344" outlineLevel="2"/>
    <row r="1345" outlineLevel="2"/>
    <row r="1346" outlineLevel="2"/>
    <row r="1347" outlineLevel="2"/>
    <row r="1348" outlineLevel="2"/>
    <row r="1349" outlineLevel="2"/>
    <row r="1350" outlineLevel="2"/>
    <row r="1351" outlineLevel="2"/>
    <row r="1352" outlineLevel="2"/>
    <row r="1353" outlineLevel="2"/>
    <row r="1354" outlineLevel="2"/>
    <row r="1355" outlineLevel="2"/>
    <row r="1356" outlineLevel="2"/>
    <row r="1357" outlineLevel="2"/>
    <row r="1358" outlineLevel="2"/>
    <row r="1359" outlineLevel="2"/>
    <row r="1360" outlineLevel="2"/>
    <row r="1361" outlineLevel="2"/>
    <row r="1362" outlineLevel="2"/>
    <row r="1363" outlineLevel="2"/>
    <row r="1364" outlineLevel="2"/>
    <row r="1365" outlineLevel="2"/>
    <row r="1366" outlineLevel="2"/>
    <row r="1367" outlineLevel="2"/>
    <row r="1368" outlineLevel="2"/>
    <row r="1369" outlineLevel="2"/>
    <row r="1370" outlineLevel="2"/>
    <row r="1371" outlineLevel="2"/>
    <row r="1372" outlineLevel="2"/>
    <row r="1373" outlineLevel="2"/>
    <row r="1374" outlineLevel="2"/>
    <row r="1375" outlineLevel="2"/>
    <row r="1376" outlineLevel="2"/>
    <row r="1377" outlineLevel="2"/>
    <row r="1378" outlineLevel="2"/>
    <row r="1379" outlineLevel="2"/>
    <row r="1380" outlineLevel="2"/>
    <row r="1381" outlineLevel="2"/>
    <row r="1382" outlineLevel="2"/>
    <row r="1383" outlineLevel="2"/>
    <row r="1384" outlineLevel="2"/>
    <row r="1385" outlineLevel="2"/>
    <row r="1386" outlineLevel="2"/>
    <row r="1387" outlineLevel="2"/>
    <row r="1388" outlineLevel="2"/>
    <row r="1389" outlineLevel="2"/>
    <row r="1390" outlineLevel="2"/>
    <row r="1391" outlineLevel="2"/>
    <row r="1392" outlineLevel="1"/>
    <row r="1393" spans="2:12" ht="36" customHeight="1"/>
    <row r="1394" spans="2:12" ht="15.75" customHeight="1">
      <c r="B1394" s="320" t="s">
        <v>59</v>
      </c>
      <c r="C1394" s="321"/>
      <c r="D1394" s="321"/>
      <c r="E1394" s="321"/>
      <c r="F1394" s="321"/>
      <c r="G1394" s="321"/>
      <c r="H1394" s="321"/>
      <c r="I1394" s="321"/>
      <c r="J1394" s="321"/>
      <c r="K1394" s="321"/>
      <c r="L1394" s="322"/>
    </row>
    <row r="1395" spans="2:12" ht="15.75" customHeight="1">
      <c r="B1395" s="26" t="s">
        <v>49</v>
      </c>
      <c r="C1395" s="27" t="s">
        <v>60</v>
      </c>
      <c r="D1395" s="27" t="s">
        <v>62</v>
      </c>
      <c r="E1395" s="27" t="s">
        <v>63</v>
      </c>
      <c r="F1395" s="27" t="s">
        <v>64</v>
      </c>
      <c r="G1395" s="27" t="s">
        <v>65</v>
      </c>
      <c r="H1395" s="27" t="s">
        <v>66</v>
      </c>
      <c r="I1395" s="27" t="s">
        <v>67</v>
      </c>
      <c r="J1395" s="27" t="s">
        <v>6</v>
      </c>
      <c r="K1395" s="27" t="s">
        <v>7</v>
      </c>
      <c r="L1395" s="28" t="s">
        <v>68</v>
      </c>
    </row>
    <row r="1396" spans="2:12">
      <c r="B1396" s="46" t="s">
        <v>8</v>
      </c>
      <c r="C1396" s="41">
        <f>COUNTIFS(Planilha3!A2:A916,"&gt;"&amp;0,Planilha3!B2:B916,"="&amp;B1396)</f>
        <v>228</v>
      </c>
      <c r="D1396" s="41">
        <f>COUNTIFS(Planilha3!A2:A916,"&gt;="&amp;1,Planilha3!B2:B916,B1396,Planilha3!J2:J916,"&gt;="&amp;0,Planilha3!J2:J916,"&lt;"&amp;50)</f>
        <v>191</v>
      </c>
      <c r="E1396" s="41">
        <f>COUNTIFS(Planilha3!A2:A916,"&gt;="&amp;1,Planilha3!B2:B916,B1396,Planilha3!J2:J916,"&gt;="&amp;50,Planilha3!J2:J916,"&lt;"&amp;500)</f>
        <v>12</v>
      </c>
      <c r="F1396" s="41">
        <f>COUNTIFS(Planilha3!A2:A916,"&gt;="&amp;1,Planilha3!B2:B916,B1396,Planilha3!J2:J916,"&gt;="&amp;500)</f>
        <v>2</v>
      </c>
      <c r="G1396" s="41">
        <f>COUNTIFS(Planilha3!A2:A916,"&gt;="&amp;1,Planilha3!B2:B916,B1396,Planilha3!J2:J916,"&gt;="&amp;0,Planilha3!H2:H916,"&gt;"&amp;DATE(2021,1,1))</f>
        <v>24</v>
      </c>
      <c r="H1396" s="47">
        <f>IF(G1396=0,"-",(SUM(E1396,F1396)/G1396))</f>
        <v>0.58333333333333337</v>
      </c>
      <c r="I1396" s="41">
        <f>IF((COUNTIFS(Planilha3!A2:A916,"&gt;="&amp;1,Planilha3!B2:B916,"="&amp;B1396))&gt;228,228,(COUNTIFS(Planilha3!A2:A916,"&gt;="&amp;1,Planilha3!B2:B916,"="&amp;B1396)))</f>
        <v>228</v>
      </c>
      <c r="J1396" s="47">
        <f>IF(I1396=0,"-",(COUNTIFS(Planilha3!B2:B916,"="&amp;B1396,Planilha3!H2:H916,"&lt;="&amp;DATE(2024,12,31),Planilha3!J2:J916,"&gt;="&amp;0)/I1396))</f>
        <v>0.10526315789473684</v>
      </c>
      <c r="K1396" s="47">
        <f>IF(I1396=0,"-",IF(J1396=1,"-",(COUNTIFS(Planilha3!A2:A916,"&gt;"&amp;0,Planilha3!B2:B916,"="&amp;B1396,Planilha3!H2:H916,"&gt;"&amp;DATE(2024,12,31),Planilha3!J2:J916,"&gt;="&amp;0)/(I1396-COUNTIFS(Planilha3!A2:A916,"&gt;"&amp;0,Planilha3!B2:B916,"="&amp;B1396,Planilha3!H2:H916,"&lt;="&amp;DATE(2024,12,31),Planilha3!J2:J916,"&gt;="&amp;0)))))</f>
        <v>0</v>
      </c>
      <c r="L1396" s="48">
        <f>IF(I1396=0,"-",G1396/I1396)</f>
        <v>0.10526315789473684</v>
      </c>
    </row>
    <row r="1397" spans="2:12">
      <c r="B1397" s="7" t="s">
        <v>9</v>
      </c>
      <c r="C1397" s="1">
        <f>COUNTIFS(Planilha3!A2:A916,"&gt;"&amp;0,Planilha3!B2:B916,"="&amp;B1397)</f>
        <v>228</v>
      </c>
      <c r="D1397" s="1">
        <f>COUNTIFS(Planilha3!A2:A916,"&gt;="&amp;1,Planilha3!B2:B916,B1397,Planilha3!J2:J916,"&gt;="&amp;0,Planilha3!J2:J916,"&lt;"&amp;50)</f>
        <v>211</v>
      </c>
      <c r="E1397" s="1">
        <f>COUNTIFS(Planilha3!A2:A916,"&gt;="&amp;1,Planilha3!B2:B916,B1397,Planilha3!J2:J916,"&gt;="&amp;50,Planilha3!J2:J916,"&lt;"&amp;500)</f>
        <v>1</v>
      </c>
      <c r="F1397" s="1">
        <f>COUNTIFS(Planilha3!A2:A916,"&gt;="&amp;1,Planilha3!B2:B916,B1397,Planilha3!J2:J916,"&gt;="&amp;500)</f>
        <v>1</v>
      </c>
      <c r="G1397" s="1">
        <f>COUNTIFS(Planilha3!A2:A916,"&gt;="&amp;1,Planilha3!B2:B916,B1397,Planilha3!J2:J916,"&gt;="&amp;0,Planilha3!H2:H916,"&gt;"&amp;DATE(2021,1,1))</f>
        <v>0</v>
      </c>
      <c r="H1397" s="44" t="str">
        <f t="shared" ref="H1397:H1400" si="0">IF(G1397=0,"-",(SUM(E1397,F1397)/G1397))</f>
        <v>-</v>
      </c>
      <c r="I1397" s="1">
        <f>IF((COUNTIFS(Planilha3!A2:A916,"&gt;="&amp;1,Planilha3!B2:B916,"="&amp;B1397))&gt;228,228,(COUNTIFS(Planilha3!A2:A916,"&gt;="&amp;1,Planilha3!B2:B916,"="&amp;B1397)))</f>
        <v>228</v>
      </c>
      <c r="J1397" s="44">
        <f>IF(I1397=0,"-",(COUNTIFS(Planilha3!B2:B916,"="&amp;B1397,Planilha3!H2:H916,"&lt;="&amp;DATE(2024,12,31),Planilha3!J2:J916,"&gt;="&amp;0)/I1397))</f>
        <v>0</v>
      </c>
      <c r="K1397" s="47">
        <f>IF(I1397=0,"-",IF(J1397=1,"-",(COUNTIFS(Planilha3!A2:A916,"&gt;"&amp;0,Planilha3!B2:B916,"="&amp;B1397,Planilha3!H2:H916,"&gt;"&amp;DATE(2024,12,31),Planilha3!J2:J916,"&gt;="&amp;0)/(I1397-COUNTIFS(Planilha3!A2:A916,"&gt;"&amp;0,Planilha3!B2:B916,"="&amp;B1397,Planilha3!H2:H916,"&lt;="&amp;DATE(2024,12,31),Planilha3!J2:J916,"&gt;="&amp;0)))))</f>
        <v>0</v>
      </c>
      <c r="L1397" s="45">
        <f t="shared" ref="L1397:L1400" si="1">IF(I1397=0,"-",G1397/I1397)</f>
        <v>0</v>
      </c>
    </row>
    <row r="1398" spans="2:12">
      <c r="B1398" s="7" t="s">
        <v>175</v>
      </c>
      <c r="C1398" s="1">
        <f>COUNTIFS(Planilha3!A2:A916,"&gt;"&amp;0,Planilha3!B2:B916,"="&amp;B1398)</f>
        <v>228</v>
      </c>
      <c r="D1398" s="1">
        <f>COUNTIFS(Planilha3!A2:A916,"&gt;="&amp;1,Planilha3!B2:B916,B1398,Planilha3!J2:J916,"&gt;="&amp;0,Planilha3!J2:J916,"&lt;"&amp;50)</f>
        <v>215</v>
      </c>
      <c r="E1398" s="1">
        <f>COUNTIFS(Planilha3!A2:A916,"&gt;="&amp;1,Planilha3!B2:B916,B1398,Planilha3!J2:J916,"&gt;="&amp;50,Planilha3!J2:J916,"&lt;"&amp;500)</f>
        <v>0</v>
      </c>
      <c r="F1398" s="1">
        <f>COUNTIFS(Planilha3!A2:A916,"&gt;="&amp;1,Planilha3!B2:B916,B1398,Planilha3!J2:J916,"&gt;="&amp;500)</f>
        <v>0</v>
      </c>
      <c r="G1398" s="1">
        <f>COUNTIFS(Planilha3!A2:A916,"&gt;="&amp;1,Planilha3!B2:B916,B1398,Planilha3!J2:J916,"&gt;="&amp;0,Planilha3!H2:H916,"&gt;"&amp;DATE(2021,1,1))</f>
        <v>0</v>
      </c>
      <c r="H1398" s="44" t="str">
        <f t="shared" si="0"/>
        <v>-</v>
      </c>
      <c r="I1398" s="1">
        <f>IF((COUNTIFS(Planilha3!A2:A916,"&gt;="&amp;1,Planilha3!B2:B916,"="&amp;B1398))&gt;228,228,(COUNTIFS(Planilha3!A2:A916,"&gt;="&amp;1,Planilha3!B2:B916,"="&amp;B1398)))</f>
        <v>228</v>
      </c>
      <c r="J1398" s="44">
        <f>IF(I1398=0,"-",(COUNTIFS(Planilha3!B2:B916,"="&amp;B1398,Planilha3!H2:H916,"&lt;="&amp;DATE(2024,12,31),Planilha3!J2:J916,"&gt;="&amp;0)/I1398))</f>
        <v>0</v>
      </c>
      <c r="K1398" s="47">
        <f>IF(I1398=0,"-",IF(J1398=1,"-",(COUNTIFS(Planilha3!A2:A916,"&gt;"&amp;0,Planilha3!B2:B916,"="&amp;B1398,Planilha3!H2:H916,"&gt;"&amp;DATE(2024,12,31),Planilha3!J2:J916,"&gt;="&amp;0)/(I1398-COUNTIFS(Planilha3!A2:A916,"&gt;"&amp;0,Planilha3!B2:B916,"="&amp;B1398,Planilha3!H2:H916,"&lt;="&amp;DATE(2024,12,31),Planilha3!J2:J916,"&gt;="&amp;0)))))</f>
        <v>0</v>
      </c>
      <c r="L1398" s="45">
        <f t="shared" si="1"/>
        <v>0</v>
      </c>
    </row>
    <row r="1399" spans="2:12">
      <c r="B1399" s="7" t="s">
        <v>69</v>
      </c>
      <c r="C1399" s="1">
        <f>COUNTIFS(Planilha3!A2:A916,"&gt;"&amp;0,Planilha3!B2:B916,"="&amp;B1399)</f>
        <v>228</v>
      </c>
      <c r="D1399" s="1">
        <f>COUNTIFS(Planilha3!A2:A916,"&gt;="&amp;1,Planilha3!B2:B916,B1399,Planilha3!J2:J916,"&gt;="&amp;0,Planilha3!J2:J916,"&lt;"&amp;50)</f>
        <v>197</v>
      </c>
      <c r="E1399" s="1">
        <f>COUNTIFS(Planilha3!A2:A916,"&gt;="&amp;1,Planilha3!B2:B916,B1399,Planilha3!J2:J916,"&gt;="&amp;50,Planilha3!J2:J916,"&lt;"&amp;500)</f>
        <v>0</v>
      </c>
      <c r="F1399" s="1">
        <f>COUNTIFS(Planilha3!A2:A916,"&gt;="&amp;1,Planilha3!B2:B916,B1399,Planilha3!J2:J916,"&gt;="&amp;500)</f>
        <v>0</v>
      </c>
      <c r="G1399" s="1">
        <f>COUNTIFS(Planilha3!A2:A916,"&gt;="&amp;1,Planilha3!B2:B916,B1399,Planilha3!J2:J916,"&gt;="&amp;0,Planilha3!H2:H916,"&gt;"&amp;DATE(2021,1,1))</f>
        <v>0</v>
      </c>
      <c r="H1399" s="44" t="str">
        <f t="shared" si="0"/>
        <v>-</v>
      </c>
      <c r="I1399" s="1">
        <f>IF((COUNTIFS(Planilha3!A2:A916,"&gt;="&amp;1,Planilha3!B2:B916,"="&amp;B1399))&gt;228,228,(COUNTIFS(Planilha3!A2:A916,"&gt;="&amp;1,Planilha3!B2:B916,"="&amp;B1399)))</f>
        <v>228</v>
      </c>
      <c r="J1399" s="44">
        <f>IF(I1399=0,"-",(COUNTIFS(Planilha3!B2:B916,"="&amp;B1399,Planilha3!H2:H916,"&lt;="&amp;DATE(2024,12,31),Planilha3!J2:J916,"&gt;="&amp;0)/I1399))</f>
        <v>0</v>
      </c>
      <c r="K1399" s="47">
        <f>IF(I1399=0,"-",IF(J1399=1,"-",(COUNTIFS(Planilha3!A2:A916,"&gt;"&amp;0,Planilha3!B2:B916,"="&amp;B1399,Planilha3!H2:H916,"&gt;"&amp;DATE(2024,12,31),Planilha3!J2:J916,"&gt;="&amp;0)/(I1399-COUNTIFS(Planilha3!A2:A916,"&gt;"&amp;0,Planilha3!B2:B916,"="&amp;B1399,Planilha3!H2:H916,"&lt;="&amp;DATE(2024,12,31),Planilha3!J2:J916,"&gt;="&amp;0)))))</f>
        <v>0</v>
      </c>
      <c r="L1399" s="45">
        <f t="shared" si="1"/>
        <v>0</v>
      </c>
    </row>
    <row r="1400" spans="2:12" ht="15.75" customHeight="1">
      <c r="B1400" s="49" t="s">
        <v>59</v>
      </c>
      <c r="C1400" s="50">
        <f>SUM(C1396:C1399)</f>
        <v>912</v>
      </c>
      <c r="D1400" s="50">
        <f>SUM(D1396:D1399)</f>
        <v>814</v>
      </c>
      <c r="E1400" s="50">
        <f>SUM(E1396:E1399)</f>
        <v>13</v>
      </c>
      <c r="F1400" s="50">
        <f>SUM(F1396:F1399)</f>
        <v>3</v>
      </c>
      <c r="G1400" s="50">
        <f>SUM(G1396:G1399)</f>
        <v>24</v>
      </c>
      <c r="H1400" s="51">
        <f t="shared" si="0"/>
        <v>0.66666666666666663</v>
      </c>
      <c r="I1400" s="50">
        <f>SUM(I1396:I1399)</f>
        <v>912</v>
      </c>
      <c r="J1400" s="51">
        <f>IF(I1400=0,"-",(COUNTIFS(Planilha3!H2:H916,"&lt;="&amp;DATE(2024,12,31),Planilha3!J2:J916,"&gt;="&amp;0)/I1400))</f>
        <v>2.6315789473684209E-2</v>
      </c>
      <c r="K1400" s="51">
        <f>IF(I1400=0,"-",IF(J1400=1,"-",(COUNTIFS(Planilha3!A2:A916,"&gt;"&amp;0,Planilha3!H2:H916,"&gt;"&amp;DATE(2024,12,31),Planilha3!J2:J916,"&gt;="&amp;0)/(I1400-COUNTIFS(Planilha3!A2:A916,"&gt;"&amp;0,Planilha3!H2:H916,"&lt;="&amp;DATE(2024,12,31),Planilha3!J2:J916,"&gt;="&amp;0)))))</f>
        <v>0</v>
      </c>
      <c r="L1400" s="52">
        <f t="shared" si="1"/>
        <v>2.6315789473684209E-2</v>
      </c>
    </row>
  </sheetData>
  <mergeCells count="12">
    <mergeCell ref="B1394:L1394"/>
    <mergeCell ref="B4:L4"/>
    <mergeCell ref="B1:L2"/>
    <mergeCell ref="B9:L9"/>
    <mergeCell ref="B62:L62"/>
    <mergeCell ref="B357:L357"/>
    <mergeCell ref="B365:L365"/>
    <mergeCell ref="B467:L467"/>
    <mergeCell ref="B17:L17"/>
    <mergeCell ref="B22:L22"/>
    <mergeCell ref="B30:L30"/>
    <mergeCell ref="B54:L54"/>
  </mergeCells>
  <phoneticPr fontId="6" type="noConversion"/>
  <dataValidations count="2">
    <dataValidation type="list" allowBlank="1" showInputMessage="1" showErrorMessage="1" promptTitle="Selecionar a Sub-Família" sqref="C8:D8 C21:D21 C356 C53 C466" xr:uid="{B5AEE880-4139-483E-A516-A6DBAF16249C}">
      <formula1>"Até 1988, Após 1988, Sem Info"</formula1>
    </dataValidation>
    <dataValidation type="list" allowBlank="1" showInputMessage="1" showErrorMessage="1" promptTitle="Selecionar a Sub-Família" sqref="C6:D7 C367:C465 C32:C52 C64:C355 C19:D20" xr:uid="{5062D2E8-BEAF-4F13-9E8E-3C9DE38B4172}">
      <formula1>$B$11:$B$13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BA7E-AAD8-4E64-B0CC-DF83B659A2D5}">
  <dimension ref="A1:K918"/>
  <sheetViews>
    <sheetView tabSelected="1" workbookViewId="0">
      <selection activeCell="O15" sqref="O15"/>
    </sheetView>
  </sheetViews>
  <sheetFormatPr defaultRowHeight="15"/>
  <cols>
    <col min="1" max="1" width="21.85546875" bestFit="1" customWidth="1"/>
    <col min="2" max="2" width="11.7109375" bestFit="1" customWidth="1"/>
    <col min="3" max="3" width="58.5703125" bestFit="1" customWidth="1"/>
    <col min="4" max="4" width="14.28515625" bestFit="1" customWidth="1"/>
    <col min="5" max="5" width="12.85546875" bestFit="1" customWidth="1"/>
    <col min="6" max="6" width="17.7109375" bestFit="1" customWidth="1"/>
    <col min="7" max="7" width="12.140625" bestFit="1" customWidth="1"/>
    <col min="8" max="8" width="12.28515625" bestFit="1" customWidth="1"/>
    <col min="9" max="9" width="14.5703125" bestFit="1" customWidth="1"/>
    <col min="10" max="10" width="12.140625" bestFit="1" customWidth="1"/>
    <col min="11" max="11" width="22.42578125" bestFit="1" customWidth="1"/>
  </cols>
  <sheetData>
    <row r="1" spans="1:11">
      <c r="A1" s="206" t="s">
        <v>48</v>
      </c>
      <c r="B1" s="207" t="s">
        <v>49</v>
      </c>
      <c r="C1" s="207" t="s">
        <v>50</v>
      </c>
      <c r="D1" s="207" t="s">
        <v>51</v>
      </c>
      <c r="E1" s="207" t="s">
        <v>52</v>
      </c>
      <c r="F1" s="207" t="s">
        <v>53</v>
      </c>
      <c r="G1" s="207" t="s">
        <v>54</v>
      </c>
      <c r="H1" s="207" t="s">
        <v>55</v>
      </c>
      <c r="I1" s="207" t="s">
        <v>56</v>
      </c>
      <c r="J1" s="207" t="s">
        <v>57</v>
      </c>
      <c r="K1" s="208" t="s">
        <v>58</v>
      </c>
    </row>
    <row r="2" spans="1:11">
      <c r="A2" s="111">
        <f>ROW(EPB!A1)</f>
        <v>1</v>
      </c>
      <c r="B2" s="112" t="s">
        <v>8</v>
      </c>
      <c r="C2" s="191" t="s">
        <v>130</v>
      </c>
      <c r="D2" s="192">
        <v>111350</v>
      </c>
      <c r="E2" s="112" t="s">
        <v>172</v>
      </c>
      <c r="F2" s="193">
        <v>1971</v>
      </c>
      <c r="G2" s="112"/>
      <c r="H2" s="113">
        <v>44771</v>
      </c>
      <c r="I2" s="112" t="s">
        <v>72</v>
      </c>
      <c r="J2" s="194">
        <v>8</v>
      </c>
      <c r="K2" s="195">
        <v>44304</v>
      </c>
    </row>
    <row r="3" spans="1:11">
      <c r="A3" s="106">
        <f>A2+1</f>
        <v>2</v>
      </c>
      <c r="B3" s="41" t="s">
        <v>8</v>
      </c>
      <c r="C3" s="92" t="s">
        <v>193</v>
      </c>
      <c r="D3" s="95">
        <v>5478</v>
      </c>
      <c r="E3" s="41" t="s">
        <v>172</v>
      </c>
      <c r="F3" s="96">
        <v>1986</v>
      </c>
      <c r="G3" s="41"/>
      <c r="H3" s="42">
        <v>44509</v>
      </c>
      <c r="I3" s="41" t="s">
        <v>72</v>
      </c>
      <c r="J3" s="116">
        <v>20</v>
      </c>
      <c r="K3" s="117">
        <v>25348</v>
      </c>
    </row>
    <row r="4" spans="1:11">
      <c r="A4" s="106">
        <f>A3+1</f>
        <v>3</v>
      </c>
      <c r="B4" s="41" t="s">
        <v>8</v>
      </c>
      <c r="C4" s="92" t="s">
        <v>127</v>
      </c>
      <c r="D4" s="84">
        <v>3701</v>
      </c>
      <c r="E4" s="41" t="s">
        <v>172</v>
      </c>
      <c r="F4" s="89">
        <v>1983</v>
      </c>
      <c r="G4" s="41"/>
      <c r="H4" s="42">
        <v>44831</v>
      </c>
      <c r="I4" s="41" t="s">
        <v>72</v>
      </c>
      <c r="J4" s="98">
        <v>26</v>
      </c>
      <c r="K4" s="107">
        <v>48322</v>
      </c>
    </row>
    <row r="5" spans="1:11">
      <c r="A5" s="106">
        <f>A4+1</f>
        <v>4</v>
      </c>
      <c r="B5" s="41" t="s">
        <v>8</v>
      </c>
      <c r="C5" s="159" t="s">
        <v>131</v>
      </c>
      <c r="D5" s="88">
        <v>1146011</v>
      </c>
      <c r="E5" s="41">
        <v>111283</v>
      </c>
      <c r="F5" s="97">
        <v>1984</v>
      </c>
      <c r="G5" s="41"/>
      <c r="H5" s="42">
        <v>45026</v>
      </c>
      <c r="I5" s="41" t="s">
        <v>72</v>
      </c>
      <c r="J5" s="98">
        <v>377</v>
      </c>
      <c r="K5" s="107">
        <v>62949</v>
      </c>
    </row>
    <row r="6" spans="1:11">
      <c r="A6" s="106">
        <f>A5+1</f>
        <v>5</v>
      </c>
      <c r="B6" s="41" t="s">
        <v>8</v>
      </c>
      <c r="C6" s="41"/>
      <c r="D6" s="118"/>
      <c r="E6" s="41" t="s">
        <v>172</v>
      </c>
      <c r="F6" s="119"/>
      <c r="G6" s="41"/>
      <c r="H6" s="42"/>
      <c r="I6" s="41"/>
      <c r="J6" s="120"/>
      <c r="K6" s="158"/>
    </row>
    <row r="7" spans="1:11">
      <c r="A7" s="106">
        <f>A6+1</f>
        <v>6</v>
      </c>
      <c r="B7" s="41" t="s">
        <v>8</v>
      </c>
      <c r="C7" s="92" t="s">
        <v>127</v>
      </c>
      <c r="D7" s="84">
        <v>26902</v>
      </c>
      <c r="E7" s="41" t="s">
        <v>172</v>
      </c>
      <c r="F7" s="89">
        <v>1972</v>
      </c>
      <c r="G7" s="41"/>
      <c r="H7" s="42">
        <v>44692</v>
      </c>
      <c r="I7" s="41" t="s">
        <v>72</v>
      </c>
      <c r="J7" s="98">
        <v>26</v>
      </c>
      <c r="K7" s="107">
        <v>39019</v>
      </c>
    </row>
    <row r="8" spans="1:11">
      <c r="A8" s="106">
        <f>A7+1</f>
        <v>7</v>
      </c>
      <c r="B8" s="41" t="s">
        <v>8</v>
      </c>
      <c r="C8" s="159"/>
      <c r="D8" s="88"/>
      <c r="E8" s="41" t="s">
        <v>172</v>
      </c>
      <c r="F8" s="96"/>
      <c r="G8" s="41"/>
      <c r="H8" s="42"/>
      <c r="I8" s="41"/>
      <c r="J8" s="41"/>
      <c r="K8" s="107"/>
    </row>
    <row r="9" spans="1:11">
      <c r="A9" s="106">
        <f>A8+1</f>
        <v>8</v>
      </c>
      <c r="B9" s="41" t="s">
        <v>8</v>
      </c>
      <c r="C9" s="161" t="s">
        <v>127</v>
      </c>
      <c r="D9" s="84">
        <v>9016</v>
      </c>
      <c r="E9" s="41" t="s">
        <v>172</v>
      </c>
      <c r="F9" s="96">
        <v>1986</v>
      </c>
      <c r="G9" s="41"/>
      <c r="H9" s="42">
        <v>44692</v>
      </c>
      <c r="I9" s="41" t="s">
        <v>72</v>
      </c>
      <c r="J9" s="98">
        <v>38</v>
      </c>
      <c r="K9" s="107">
        <v>39073</v>
      </c>
    </row>
    <row r="10" spans="1:11">
      <c r="A10" s="106">
        <f>A9+1</f>
        <v>9</v>
      </c>
      <c r="B10" s="41" t="s">
        <v>8</v>
      </c>
      <c r="C10" s="137" t="s">
        <v>128</v>
      </c>
      <c r="D10" s="82">
        <v>8536625</v>
      </c>
      <c r="E10" s="41" t="s">
        <v>172</v>
      </c>
      <c r="F10" s="89">
        <v>1985</v>
      </c>
      <c r="G10" s="41"/>
      <c r="H10" s="42">
        <v>44692</v>
      </c>
      <c r="I10" s="41" t="s">
        <v>72</v>
      </c>
      <c r="J10" s="41"/>
      <c r="K10" s="121">
        <v>39074</v>
      </c>
    </row>
    <row r="11" spans="1:11">
      <c r="A11" s="106">
        <f>A10+1</f>
        <v>10</v>
      </c>
      <c r="B11" s="41" t="s">
        <v>8</v>
      </c>
      <c r="C11" s="92" t="s">
        <v>130</v>
      </c>
      <c r="D11" s="84">
        <v>75644</v>
      </c>
      <c r="E11" s="41" t="s">
        <v>172</v>
      </c>
      <c r="F11" s="97">
        <v>1984</v>
      </c>
      <c r="G11" s="41"/>
      <c r="H11" s="42">
        <v>44692</v>
      </c>
      <c r="I11" s="41" t="s">
        <v>72</v>
      </c>
      <c r="J11" s="98">
        <v>45</v>
      </c>
      <c r="K11" s="107">
        <v>39082</v>
      </c>
    </row>
    <row r="12" spans="1:11">
      <c r="A12" s="106">
        <f>A11+1</f>
        <v>11</v>
      </c>
      <c r="B12" s="41" t="s">
        <v>8</v>
      </c>
      <c r="C12" s="92" t="s">
        <v>130</v>
      </c>
      <c r="D12" s="84" t="s">
        <v>1111</v>
      </c>
      <c r="E12" s="41" t="s">
        <v>172</v>
      </c>
      <c r="F12" s="86">
        <v>1988</v>
      </c>
      <c r="G12" s="41"/>
      <c r="H12" s="42">
        <v>44692</v>
      </c>
      <c r="I12" s="41" t="s">
        <v>72</v>
      </c>
      <c r="J12" s="41"/>
      <c r="K12" s="107">
        <v>39045</v>
      </c>
    </row>
    <row r="13" spans="1:11">
      <c r="A13" s="106">
        <f>A12+1</f>
        <v>12</v>
      </c>
      <c r="B13" s="41" t="s">
        <v>8</v>
      </c>
      <c r="C13" s="92" t="s">
        <v>166</v>
      </c>
      <c r="D13" s="84">
        <v>103752</v>
      </c>
      <c r="E13" s="41" t="s">
        <v>172</v>
      </c>
      <c r="F13" s="86">
        <v>1988</v>
      </c>
      <c r="G13" s="41"/>
      <c r="H13" s="42">
        <v>44692</v>
      </c>
      <c r="I13" s="41" t="s">
        <v>72</v>
      </c>
      <c r="J13" s="98">
        <v>9</v>
      </c>
      <c r="K13" s="107">
        <v>39065</v>
      </c>
    </row>
    <row r="14" spans="1:11">
      <c r="A14" s="106">
        <f>A13+1</f>
        <v>13</v>
      </c>
      <c r="B14" s="41" t="s">
        <v>8</v>
      </c>
      <c r="C14" s="161" t="s">
        <v>903</v>
      </c>
      <c r="D14" s="84">
        <v>309213</v>
      </c>
      <c r="E14" s="41">
        <v>65449</v>
      </c>
      <c r="F14" s="96">
        <v>1977</v>
      </c>
      <c r="G14" s="41"/>
      <c r="H14" s="42">
        <v>44838</v>
      </c>
      <c r="I14" s="41" t="s">
        <v>72</v>
      </c>
      <c r="J14" s="98">
        <v>27</v>
      </c>
      <c r="K14" s="107">
        <v>48907</v>
      </c>
    </row>
    <row r="15" spans="1:11">
      <c r="A15" s="106">
        <f>A14+1</f>
        <v>14</v>
      </c>
      <c r="B15" s="41" t="s">
        <v>8</v>
      </c>
      <c r="C15" s="159" t="s">
        <v>191</v>
      </c>
      <c r="D15" s="92">
        <v>138362</v>
      </c>
      <c r="E15" s="41" t="s">
        <v>172</v>
      </c>
      <c r="F15" s="89">
        <v>1979</v>
      </c>
      <c r="G15" s="41"/>
      <c r="H15" s="42">
        <v>44838</v>
      </c>
      <c r="I15" s="41" t="s">
        <v>72</v>
      </c>
      <c r="J15" s="98">
        <v>24</v>
      </c>
      <c r="K15" s="107">
        <v>48930</v>
      </c>
    </row>
    <row r="16" spans="1:11">
      <c r="A16" s="106">
        <f>A15+1</f>
        <v>15</v>
      </c>
      <c r="B16" s="41" t="s">
        <v>8</v>
      </c>
      <c r="C16" s="159" t="s">
        <v>130</v>
      </c>
      <c r="D16" s="92">
        <v>41943</v>
      </c>
      <c r="E16" s="41">
        <v>9023</v>
      </c>
      <c r="F16" s="89">
        <v>1985</v>
      </c>
      <c r="G16" s="41"/>
      <c r="H16" s="42">
        <v>44769</v>
      </c>
      <c r="I16" s="41" t="s">
        <v>72</v>
      </c>
      <c r="J16" s="98">
        <v>42</v>
      </c>
      <c r="K16" s="107">
        <v>44228</v>
      </c>
    </row>
    <row r="17" spans="1:11">
      <c r="A17" s="106">
        <f>A16+1</f>
        <v>16</v>
      </c>
      <c r="B17" s="41" t="s">
        <v>8</v>
      </c>
      <c r="C17" s="159" t="s">
        <v>128</v>
      </c>
      <c r="D17" s="92">
        <v>8620502</v>
      </c>
      <c r="E17" s="41" t="s">
        <v>172</v>
      </c>
      <c r="F17" s="96">
        <v>1986</v>
      </c>
      <c r="G17" s="41"/>
      <c r="H17" s="42">
        <v>44770</v>
      </c>
      <c r="I17" s="41" t="s">
        <v>72</v>
      </c>
      <c r="J17" s="98">
        <v>35</v>
      </c>
      <c r="K17" s="107">
        <v>44242</v>
      </c>
    </row>
    <row r="18" spans="1:11">
      <c r="A18" s="106">
        <f>A17+1</f>
        <v>17</v>
      </c>
      <c r="B18" s="41" t="s">
        <v>8</v>
      </c>
      <c r="C18" s="159" t="s">
        <v>128</v>
      </c>
      <c r="D18" s="92">
        <v>603742</v>
      </c>
      <c r="E18" s="41" t="s">
        <v>172</v>
      </c>
      <c r="F18" s="89">
        <v>1983</v>
      </c>
      <c r="G18" s="41"/>
      <c r="H18" s="42">
        <v>44776</v>
      </c>
      <c r="I18" s="41" t="s">
        <v>72</v>
      </c>
      <c r="J18" s="98">
        <v>45</v>
      </c>
      <c r="K18" s="107">
        <v>44707</v>
      </c>
    </row>
    <row r="19" spans="1:11">
      <c r="A19" s="106">
        <f>A18+1</f>
        <v>18</v>
      </c>
      <c r="B19" s="41" t="s">
        <v>8</v>
      </c>
      <c r="C19" s="159" t="s">
        <v>127</v>
      </c>
      <c r="D19" s="92">
        <v>2742</v>
      </c>
      <c r="E19" s="41">
        <v>8611558</v>
      </c>
      <c r="F19" s="96">
        <v>1986</v>
      </c>
      <c r="G19" s="41"/>
      <c r="H19" s="42">
        <v>44775</v>
      </c>
      <c r="I19" s="41" t="s">
        <v>72</v>
      </c>
      <c r="J19" s="98">
        <v>26</v>
      </c>
      <c r="K19" s="107">
        <v>44674</v>
      </c>
    </row>
    <row r="20" spans="1:11">
      <c r="A20" s="106">
        <f>A19+1</f>
        <v>19</v>
      </c>
      <c r="B20" s="41" t="s">
        <v>8</v>
      </c>
      <c r="C20" s="159" t="s">
        <v>191</v>
      </c>
      <c r="D20" s="92">
        <v>123188</v>
      </c>
      <c r="E20" s="41">
        <v>2525306</v>
      </c>
      <c r="F20" s="89">
        <v>1972</v>
      </c>
      <c r="G20" s="41"/>
      <c r="H20" s="42">
        <v>44776</v>
      </c>
      <c r="I20" s="41" t="s">
        <v>72</v>
      </c>
      <c r="J20" s="98">
        <v>20</v>
      </c>
      <c r="K20" s="107">
        <v>44704</v>
      </c>
    </row>
    <row r="21" spans="1:11">
      <c r="A21" s="106">
        <f>A20+1</f>
        <v>20</v>
      </c>
      <c r="B21" s="41" t="s">
        <v>8</v>
      </c>
      <c r="C21" s="92" t="s">
        <v>128</v>
      </c>
      <c r="D21" s="84">
        <v>21252</v>
      </c>
      <c r="E21" s="41" t="s">
        <v>172</v>
      </c>
      <c r="F21" s="89">
        <v>1978</v>
      </c>
      <c r="G21" s="41"/>
      <c r="H21" s="42">
        <v>44811</v>
      </c>
      <c r="I21" s="41" t="s">
        <v>72</v>
      </c>
      <c r="J21" s="98">
        <v>44</v>
      </c>
      <c r="K21" s="107">
        <v>47053</v>
      </c>
    </row>
    <row r="22" spans="1:11">
      <c r="A22" s="106">
        <f>A21+1</f>
        <v>21</v>
      </c>
      <c r="B22" s="41" t="s">
        <v>8</v>
      </c>
      <c r="C22" s="92" t="s">
        <v>166</v>
      </c>
      <c r="D22" s="84" t="s">
        <v>1112</v>
      </c>
      <c r="E22" s="41" t="s">
        <v>172</v>
      </c>
      <c r="F22" s="89">
        <v>1983</v>
      </c>
      <c r="G22" s="41"/>
      <c r="H22" s="42">
        <v>44811</v>
      </c>
      <c r="I22" s="41" t="s">
        <v>72</v>
      </c>
      <c r="J22" s="98">
        <v>17</v>
      </c>
      <c r="K22" s="107">
        <v>47059</v>
      </c>
    </row>
    <row r="23" spans="1:11">
      <c r="A23" s="106">
        <f>A22+1</f>
        <v>22</v>
      </c>
      <c r="B23" s="41" t="s">
        <v>8</v>
      </c>
      <c r="C23" s="92" t="s">
        <v>166</v>
      </c>
      <c r="D23" s="84">
        <v>43701</v>
      </c>
      <c r="E23" s="41" t="s">
        <v>172</v>
      </c>
      <c r="F23" s="96">
        <v>1986</v>
      </c>
      <c r="G23" s="41"/>
      <c r="H23" s="42">
        <v>44811</v>
      </c>
      <c r="I23" s="41" t="s">
        <v>72</v>
      </c>
      <c r="J23" s="98">
        <v>16</v>
      </c>
      <c r="K23" s="107">
        <v>47063</v>
      </c>
    </row>
    <row r="24" spans="1:11">
      <c r="A24" s="106">
        <f>A23+1</f>
        <v>23</v>
      </c>
      <c r="B24" s="41" t="s">
        <v>8</v>
      </c>
      <c r="C24" s="92" t="s">
        <v>166</v>
      </c>
      <c r="D24" s="84">
        <v>73289</v>
      </c>
      <c r="E24" s="41" t="s">
        <v>172</v>
      </c>
      <c r="F24" s="89">
        <v>1983</v>
      </c>
      <c r="G24" s="41"/>
      <c r="H24" s="42">
        <v>44811</v>
      </c>
      <c r="I24" s="41" t="s">
        <v>72</v>
      </c>
      <c r="J24" s="98">
        <v>32</v>
      </c>
      <c r="K24" s="107">
        <v>47047</v>
      </c>
    </row>
    <row r="25" spans="1:11">
      <c r="A25" s="106">
        <f>A24+1</f>
        <v>24</v>
      </c>
      <c r="B25" s="41" t="s">
        <v>8</v>
      </c>
      <c r="C25" s="135" t="s">
        <v>128</v>
      </c>
      <c r="D25" s="94">
        <v>588545</v>
      </c>
      <c r="E25" s="41" t="s">
        <v>172</v>
      </c>
      <c r="F25" s="89">
        <v>1982</v>
      </c>
      <c r="G25" s="41"/>
      <c r="H25" s="42">
        <v>44824</v>
      </c>
      <c r="I25" s="41" t="s">
        <v>72</v>
      </c>
      <c r="J25" s="41"/>
      <c r="K25" s="122">
        <v>48058</v>
      </c>
    </row>
    <row r="26" spans="1:11">
      <c r="A26" s="106">
        <f>A25+1</f>
        <v>25</v>
      </c>
      <c r="B26" s="41" t="s">
        <v>8</v>
      </c>
      <c r="C26" s="135" t="s">
        <v>127</v>
      </c>
      <c r="D26" s="94">
        <v>869717</v>
      </c>
      <c r="E26" s="41" t="s">
        <v>172</v>
      </c>
      <c r="F26" s="96">
        <v>1986</v>
      </c>
      <c r="G26" s="41"/>
      <c r="H26" s="42">
        <v>44825</v>
      </c>
      <c r="I26" s="41" t="s">
        <v>72</v>
      </c>
      <c r="J26" s="99">
        <v>32</v>
      </c>
      <c r="K26" s="122">
        <v>47987</v>
      </c>
    </row>
    <row r="27" spans="1:11">
      <c r="A27" s="106">
        <f>A26+1</f>
        <v>26</v>
      </c>
      <c r="B27" s="41" t="s">
        <v>8</v>
      </c>
      <c r="C27" s="135" t="s">
        <v>193</v>
      </c>
      <c r="D27" s="94">
        <v>26937</v>
      </c>
      <c r="E27" s="41" t="s">
        <v>172</v>
      </c>
      <c r="F27" s="89">
        <v>1980</v>
      </c>
      <c r="G27" s="41"/>
      <c r="H27" s="42">
        <v>44825</v>
      </c>
      <c r="I27" s="41" t="s">
        <v>72</v>
      </c>
      <c r="J27" s="99">
        <v>40</v>
      </c>
      <c r="K27" s="122">
        <v>47964</v>
      </c>
    </row>
    <row r="28" spans="1:11">
      <c r="A28" s="106">
        <f>A27+1</f>
        <v>27</v>
      </c>
      <c r="B28" s="41" t="s">
        <v>8</v>
      </c>
      <c r="C28" s="135" t="s">
        <v>130</v>
      </c>
      <c r="D28" s="94">
        <v>43808</v>
      </c>
      <c r="E28" s="41" t="s">
        <v>172</v>
      </c>
      <c r="F28" s="96">
        <v>1986</v>
      </c>
      <c r="G28" s="41"/>
      <c r="H28" s="42">
        <v>44826</v>
      </c>
      <c r="I28" s="41" t="s">
        <v>72</v>
      </c>
      <c r="J28" s="99">
        <v>22</v>
      </c>
      <c r="K28" s="122">
        <v>48030</v>
      </c>
    </row>
    <row r="29" spans="1:11">
      <c r="A29" s="106">
        <f>A28+1</f>
        <v>28</v>
      </c>
      <c r="B29" s="41" t="s">
        <v>8</v>
      </c>
      <c r="C29" s="135" t="s">
        <v>193</v>
      </c>
      <c r="D29" s="94">
        <v>43456</v>
      </c>
      <c r="E29" s="41" t="s">
        <v>172</v>
      </c>
      <c r="F29" s="89">
        <v>1978</v>
      </c>
      <c r="G29" s="41"/>
      <c r="H29" s="42">
        <v>44824</v>
      </c>
      <c r="I29" s="41"/>
      <c r="J29" s="41"/>
      <c r="K29" s="122">
        <v>48057</v>
      </c>
    </row>
    <row r="30" spans="1:11">
      <c r="A30" s="106">
        <f>A29+1</f>
        <v>29</v>
      </c>
      <c r="B30" s="41" t="s">
        <v>8</v>
      </c>
      <c r="C30" s="135" t="s">
        <v>193</v>
      </c>
      <c r="D30" s="94">
        <v>8236</v>
      </c>
      <c r="E30" s="41" t="s">
        <v>172</v>
      </c>
      <c r="F30" s="89">
        <v>1985</v>
      </c>
      <c r="G30" s="41"/>
      <c r="H30" s="42">
        <v>44832</v>
      </c>
      <c r="I30" s="41" t="s">
        <v>72</v>
      </c>
      <c r="J30" s="99">
        <v>34</v>
      </c>
      <c r="K30" s="122">
        <v>48344</v>
      </c>
    </row>
    <row r="31" spans="1:11">
      <c r="A31" s="106">
        <f>A30+1</f>
        <v>30</v>
      </c>
      <c r="B31" s="41" t="s">
        <v>8</v>
      </c>
      <c r="C31" s="135" t="s">
        <v>191</v>
      </c>
      <c r="D31" s="94">
        <v>24813</v>
      </c>
      <c r="E31" s="41" t="s">
        <v>172</v>
      </c>
      <c r="F31" s="89">
        <v>1982</v>
      </c>
      <c r="G31" s="41"/>
      <c r="H31" s="42">
        <v>44832</v>
      </c>
      <c r="I31" s="41" t="s">
        <v>72</v>
      </c>
      <c r="J31" s="99">
        <v>15</v>
      </c>
      <c r="K31" s="122">
        <v>48359</v>
      </c>
    </row>
    <row r="32" spans="1:11">
      <c r="A32" s="106">
        <f>A31+1</f>
        <v>31</v>
      </c>
      <c r="B32" s="41" t="s">
        <v>8</v>
      </c>
      <c r="C32" s="135" t="s">
        <v>130</v>
      </c>
      <c r="D32" s="94">
        <v>24974</v>
      </c>
      <c r="E32" s="41">
        <v>23777</v>
      </c>
      <c r="F32" s="85">
        <v>1980</v>
      </c>
      <c r="G32" s="41"/>
      <c r="H32" s="42"/>
      <c r="I32" s="41"/>
      <c r="J32" s="138">
        <v>48</v>
      </c>
      <c r="K32" s="122">
        <v>48342</v>
      </c>
    </row>
    <row r="33" spans="1:11">
      <c r="A33" s="106">
        <f>A32+1</f>
        <v>32</v>
      </c>
      <c r="B33" s="41" t="s">
        <v>8</v>
      </c>
      <c r="C33" s="135" t="s">
        <v>191</v>
      </c>
      <c r="D33" s="94">
        <v>6189</v>
      </c>
      <c r="E33" s="41" t="s">
        <v>172</v>
      </c>
      <c r="F33" s="85">
        <v>1980</v>
      </c>
      <c r="G33" s="41"/>
      <c r="H33" s="42"/>
      <c r="I33" s="41"/>
      <c r="J33" s="138">
        <v>29</v>
      </c>
      <c r="K33" s="155">
        <v>48345</v>
      </c>
    </row>
    <row r="34" spans="1:11">
      <c r="A34" s="106">
        <f>A33+1</f>
        <v>33</v>
      </c>
      <c r="B34" s="41" t="s">
        <v>8</v>
      </c>
      <c r="C34" s="135" t="s">
        <v>128</v>
      </c>
      <c r="D34" s="94">
        <v>18484</v>
      </c>
      <c r="E34" s="41" t="s">
        <v>172</v>
      </c>
      <c r="F34" s="127">
        <v>1986</v>
      </c>
      <c r="G34" s="41"/>
      <c r="H34" s="42"/>
      <c r="I34" s="41"/>
      <c r="J34" s="138" t="s">
        <v>172</v>
      </c>
      <c r="K34" s="155">
        <v>48431</v>
      </c>
    </row>
    <row r="35" spans="1:11">
      <c r="A35" s="106">
        <f>A34+1</f>
        <v>34</v>
      </c>
      <c r="B35" s="41" t="s">
        <v>8</v>
      </c>
      <c r="C35" s="135" t="s">
        <v>191</v>
      </c>
      <c r="D35" s="94">
        <v>4420</v>
      </c>
      <c r="E35" s="41" t="s">
        <v>172</v>
      </c>
      <c r="F35" s="85">
        <v>1980</v>
      </c>
      <c r="G35" s="41"/>
      <c r="H35" s="42"/>
      <c r="I35" s="41"/>
      <c r="J35" s="138">
        <v>41</v>
      </c>
      <c r="K35" s="155">
        <v>48410</v>
      </c>
    </row>
    <row r="36" spans="1:11">
      <c r="A36" s="106">
        <f>A35+1</f>
        <v>35</v>
      </c>
      <c r="B36" s="41" t="s">
        <v>8</v>
      </c>
      <c r="C36" s="135" t="s">
        <v>127</v>
      </c>
      <c r="D36" s="94">
        <v>8615250</v>
      </c>
      <c r="E36" s="41" t="s">
        <v>172</v>
      </c>
      <c r="F36" s="127">
        <v>1986</v>
      </c>
      <c r="G36" s="41"/>
      <c r="H36" s="42"/>
      <c r="I36" s="41"/>
      <c r="J36" s="138">
        <v>5</v>
      </c>
      <c r="K36" s="155">
        <v>48376</v>
      </c>
    </row>
    <row r="37" spans="1:11">
      <c r="A37" s="106">
        <f>A36+1</f>
        <v>36</v>
      </c>
      <c r="B37" s="41" t="s">
        <v>8</v>
      </c>
      <c r="C37" s="135" t="s">
        <v>193</v>
      </c>
      <c r="D37" s="94">
        <v>43459</v>
      </c>
      <c r="E37" s="41" t="s">
        <v>172</v>
      </c>
      <c r="F37" s="124">
        <v>1978</v>
      </c>
      <c r="G37" s="41"/>
      <c r="H37" s="42"/>
      <c r="I37" s="41"/>
      <c r="J37" s="138" t="s">
        <v>172</v>
      </c>
      <c r="K37" s="155">
        <v>48427</v>
      </c>
    </row>
    <row r="38" spans="1:11">
      <c r="A38" s="106">
        <f>A37+1</f>
        <v>37</v>
      </c>
      <c r="B38" s="41" t="s">
        <v>8</v>
      </c>
      <c r="C38" s="135" t="s">
        <v>192</v>
      </c>
      <c r="D38" s="94">
        <v>9748</v>
      </c>
      <c r="E38" s="41" t="s">
        <v>172</v>
      </c>
      <c r="F38" s="127">
        <v>1986</v>
      </c>
      <c r="G38" s="41"/>
      <c r="H38" s="42"/>
      <c r="I38" s="41"/>
      <c r="J38" s="138">
        <v>43</v>
      </c>
      <c r="K38" s="155">
        <v>48406</v>
      </c>
    </row>
    <row r="39" spans="1:11">
      <c r="A39" s="106">
        <f>A38+1</f>
        <v>38</v>
      </c>
      <c r="B39" s="41" t="s">
        <v>8</v>
      </c>
      <c r="C39" s="163" t="s">
        <v>196</v>
      </c>
      <c r="D39" s="94">
        <v>191698</v>
      </c>
      <c r="E39" s="41">
        <v>50799</v>
      </c>
      <c r="F39" s="127">
        <v>1986</v>
      </c>
      <c r="G39" s="41"/>
      <c r="H39" s="42"/>
      <c r="I39" s="41"/>
      <c r="J39" s="138">
        <v>39</v>
      </c>
      <c r="K39" s="155">
        <v>61223</v>
      </c>
    </row>
    <row r="40" spans="1:11">
      <c r="A40" s="106">
        <f>A39+1</f>
        <v>39</v>
      </c>
      <c r="B40" s="41" t="s">
        <v>8</v>
      </c>
      <c r="C40" s="163" t="s">
        <v>131</v>
      </c>
      <c r="D40" s="94">
        <v>662</v>
      </c>
      <c r="E40" s="41">
        <v>0</v>
      </c>
      <c r="F40" s="124">
        <v>1974</v>
      </c>
      <c r="G40" s="41"/>
      <c r="H40" s="42"/>
      <c r="I40" s="41"/>
      <c r="J40" s="138">
        <v>16</v>
      </c>
      <c r="K40" s="155">
        <v>61248</v>
      </c>
    </row>
    <row r="41" spans="1:11">
      <c r="A41" s="106">
        <f>A40+1</f>
        <v>40</v>
      </c>
      <c r="B41" s="41" t="s">
        <v>8</v>
      </c>
      <c r="C41" s="163" t="s">
        <v>193</v>
      </c>
      <c r="D41" s="94">
        <v>397903</v>
      </c>
      <c r="E41" s="41">
        <v>71872</v>
      </c>
      <c r="F41" s="124">
        <v>1984</v>
      </c>
      <c r="G41" s="41"/>
      <c r="H41" s="42"/>
      <c r="I41" s="41"/>
      <c r="J41" s="138">
        <v>26</v>
      </c>
      <c r="K41" s="155">
        <v>61459</v>
      </c>
    </row>
    <row r="42" spans="1:11">
      <c r="A42" s="106">
        <f>A41+1</f>
        <v>41</v>
      </c>
      <c r="B42" s="41" t="s">
        <v>8</v>
      </c>
      <c r="C42" s="163" t="s">
        <v>193</v>
      </c>
      <c r="D42" s="94">
        <v>328845</v>
      </c>
      <c r="E42" s="41">
        <v>66311</v>
      </c>
      <c r="F42" s="131">
        <v>1987</v>
      </c>
      <c r="G42" s="41"/>
      <c r="H42" s="42"/>
      <c r="I42" s="41"/>
      <c r="J42" s="138">
        <v>2</v>
      </c>
      <c r="K42" s="155">
        <v>61528</v>
      </c>
    </row>
    <row r="43" spans="1:11">
      <c r="A43" s="106">
        <f>A42+1</f>
        <v>42</v>
      </c>
      <c r="B43" s="41" t="s">
        <v>8</v>
      </c>
      <c r="C43" s="163" t="s">
        <v>130</v>
      </c>
      <c r="D43" s="94" t="s">
        <v>1113</v>
      </c>
      <c r="E43" s="41">
        <v>78484</v>
      </c>
      <c r="F43" s="127">
        <v>1973</v>
      </c>
      <c r="G43" s="41"/>
      <c r="H43" s="42"/>
      <c r="I43" s="41"/>
      <c r="J43" s="138">
        <v>42</v>
      </c>
      <c r="K43" s="155">
        <v>61599</v>
      </c>
    </row>
    <row r="44" spans="1:11">
      <c r="A44" s="106">
        <f>A43+1</f>
        <v>43</v>
      </c>
      <c r="B44" s="41" t="s">
        <v>8</v>
      </c>
      <c r="C44" s="163" t="s">
        <v>130</v>
      </c>
      <c r="D44" s="94">
        <v>82020</v>
      </c>
      <c r="E44" s="41">
        <v>0</v>
      </c>
      <c r="F44" s="131">
        <v>1988</v>
      </c>
      <c r="G44" s="41"/>
      <c r="H44" s="42"/>
      <c r="I44" s="41"/>
      <c r="J44" s="138">
        <v>2</v>
      </c>
      <c r="K44" s="155">
        <v>61602</v>
      </c>
    </row>
    <row r="45" spans="1:11">
      <c r="A45" s="106">
        <f>A44+1</f>
        <v>44</v>
      </c>
      <c r="B45" s="41" t="s">
        <v>8</v>
      </c>
      <c r="C45" s="163" t="s">
        <v>127</v>
      </c>
      <c r="D45" s="94">
        <v>147655</v>
      </c>
      <c r="E45" s="41">
        <v>0</v>
      </c>
      <c r="F45" s="124">
        <v>1984</v>
      </c>
      <c r="G45" s="41"/>
      <c r="H45" s="42"/>
      <c r="I45" s="41"/>
      <c r="J45" s="138">
        <v>28</v>
      </c>
      <c r="K45" s="155">
        <v>61617</v>
      </c>
    </row>
    <row r="46" spans="1:11">
      <c r="A46" s="106">
        <f>A45+1</f>
        <v>45</v>
      </c>
      <c r="B46" s="41" t="s">
        <v>8</v>
      </c>
      <c r="C46" s="163" t="s">
        <v>131</v>
      </c>
      <c r="D46" s="94">
        <v>159900</v>
      </c>
      <c r="E46" s="41">
        <v>0</v>
      </c>
      <c r="F46" s="124">
        <v>1984</v>
      </c>
      <c r="G46" s="41"/>
      <c r="H46" s="42"/>
      <c r="I46" s="41"/>
      <c r="J46" s="138">
        <v>4</v>
      </c>
      <c r="K46" s="155">
        <v>61628</v>
      </c>
    </row>
    <row r="47" spans="1:11">
      <c r="A47" s="106">
        <f>A46+1</f>
        <v>46</v>
      </c>
      <c r="B47" s="41" t="s">
        <v>8</v>
      </c>
      <c r="C47" s="163" t="s">
        <v>131</v>
      </c>
      <c r="D47" s="94">
        <v>416884</v>
      </c>
      <c r="E47" s="41">
        <v>29810</v>
      </c>
      <c r="F47" s="124">
        <v>1972</v>
      </c>
      <c r="G47" s="41"/>
      <c r="H47" s="42"/>
      <c r="I47" s="41"/>
      <c r="J47" s="138">
        <v>10</v>
      </c>
      <c r="K47" s="155">
        <v>61636</v>
      </c>
    </row>
    <row r="48" spans="1:11">
      <c r="A48" s="106">
        <f>A47+1</f>
        <v>47</v>
      </c>
      <c r="B48" s="41" t="s">
        <v>8</v>
      </c>
      <c r="C48" s="163" t="s">
        <v>181</v>
      </c>
      <c r="D48" s="94" t="s">
        <v>1114</v>
      </c>
      <c r="E48" s="41">
        <v>1</v>
      </c>
      <c r="F48" s="124">
        <v>1978</v>
      </c>
      <c r="G48" s="41"/>
      <c r="H48" s="42"/>
      <c r="I48" s="41"/>
      <c r="J48" s="138">
        <v>45</v>
      </c>
      <c r="K48" s="155">
        <v>62708</v>
      </c>
    </row>
    <row r="49" spans="1:11">
      <c r="A49" s="106">
        <f>A48+1</f>
        <v>48</v>
      </c>
      <c r="B49" s="41" t="s">
        <v>8</v>
      </c>
      <c r="C49" s="163" t="s">
        <v>193</v>
      </c>
      <c r="D49" s="94">
        <v>162809</v>
      </c>
      <c r="E49" s="41">
        <v>1</v>
      </c>
      <c r="F49" s="85">
        <v>1980</v>
      </c>
      <c r="G49" s="41"/>
      <c r="H49" s="42"/>
      <c r="I49" s="41"/>
      <c r="J49" s="138">
        <v>26</v>
      </c>
      <c r="K49" s="155">
        <v>62719</v>
      </c>
    </row>
    <row r="50" spans="1:11">
      <c r="A50" s="106">
        <f>A49+1</f>
        <v>49</v>
      </c>
      <c r="B50" s="41" t="s">
        <v>8</v>
      </c>
      <c r="C50" s="163" t="s">
        <v>130</v>
      </c>
      <c r="D50" s="94">
        <v>181384</v>
      </c>
      <c r="E50" s="41">
        <v>78171</v>
      </c>
      <c r="F50" s="124">
        <v>1985</v>
      </c>
      <c r="G50" s="41"/>
      <c r="H50" s="42"/>
      <c r="I50" s="41"/>
      <c r="J50" s="138">
        <v>13</v>
      </c>
      <c r="K50" s="155">
        <v>62727</v>
      </c>
    </row>
    <row r="51" spans="1:11">
      <c r="A51" s="106">
        <f>A50+1</f>
        <v>50</v>
      </c>
      <c r="B51" s="41" t="s">
        <v>8</v>
      </c>
      <c r="C51" s="163" t="s">
        <v>130</v>
      </c>
      <c r="D51" s="94">
        <v>149694</v>
      </c>
      <c r="E51" s="41">
        <v>78486</v>
      </c>
      <c r="F51" s="127">
        <v>1973</v>
      </c>
      <c r="G51" s="41"/>
      <c r="H51" s="42"/>
      <c r="I51" s="41"/>
      <c r="J51" s="138">
        <v>41</v>
      </c>
      <c r="K51" s="155">
        <v>62730</v>
      </c>
    </row>
    <row r="52" spans="1:11">
      <c r="A52" s="106">
        <f>A51+1</f>
        <v>51</v>
      </c>
      <c r="B52" s="41" t="s">
        <v>8</v>
      </c>
      <c r="C52" s="163" t="s">
        <v>128</v>
      </c>
      <c r="D52" s="94">
        <v>163895</v>
      </c>
      <c r="E52" s="41">
        <v>78510</v>
      </c>
      <c r="F52" s="131">
        <v>1987</v>
      </c>
      <c r="G52" s="41"/>
      <c r="H52" s="42"/>
      <c r="I52" s="41"/>
      <c r="J52" s="138">
        <v>18</v>
      </c>
      <c r="K52" s="155">
        <v>62733</v>
      </c>
    </row>
    <row r="53" spans="1:11">
      <c r="A53" s="106">
        <f>A52+1</f>
        <v>52</v>
      </c>
      <c r="B53" s="41" t="s">
        <v>8</v>
      </c>
      <c r="C53" s="163" t="s">
        <v>130</v>
      </c>
      <c r="D53" s="94">
        <v>426209</v>
      </c>
      <c r="E53" s="41">
        <v>74086</v>
      </c>
      <c r="F53" s="127">
        <v>1973</v>
      </c>
      <c r="G53" s="41"/>
      <c r="H53" s="42"/>
      <c r="I53" s="41"/>
      <c r="J53" s="138">
        <v>34</v>
      </c>
      <c r="K53" s="155">
        <v>62736</v>
      </c>
    </row>
    <row r="54" spans="1:11">
      <c r="A54" s="106">
        <f>A53+1</f>
        <v>53</v>
      </c>
      <c r="B54" s="41" t="s">
        <v>8</v>
      </c>
      <c r="C54" s="163" t="s">
        <v>127</v>
      </c>
      <c r="D54" s="94">
        <v>165277</v>
      </c>
      <c r="E54" s="41">
        <v>45269</v>
      </c>
      <c r="F54" s="131">
        <v>1987</v>
      </c>
      <c r="G54" s="41"/>
      <c r="H54" s="42"/>
      <c r="I54" s="41"/>
      <c r="J54" s="138">
        <v>38</v>
      </c>
      <c r="K54" s="155">
        <v>62739</v>
      </c>
    </row>
    <row r="55" spans="1:11">
      <c r="A55" s="106">
        <f>A54+1</f>
        <v>54</v>
      </c>
      <c r="B55" s="41" t="s">
        <v>8</v>
      </c>
      <c r="C55" s="163" t="s">
        <v>129</v>
      </c>
      <c r="D55" s="94">
        <v>69081</v>
      </c>
      <c r="E55" s="41">
        <v>28768</v>
      </c>
      <c r="F55" s="124">
        <v>1976</v>
      </c>
      <c r="G55" s="41"/>
      <c r="H55" s="42"/>
      <c r="I55" s="41"/>
      <c r="J55" s="138">
        <v>6</v>
      </c>
      <c r="K55" s="155">
        <v>62746</v>
      </c>
    </row>
    <row r="56" spans="1:11">
      <c r="A56" s="106">
        <f>A55+1</f>
        <v>55</v>
      </c>
      <c r="B56" s="41" t="s">
        <v>8</v>
      </c>
      <c r="C56" s="92" t="s">
        <v>128</v>
      </c>
      <c r="D56" s="84">
        <v>5007</v>
      </c>
      <c r="E56" s="41">
        <v>1</v>
      </c>
      <c r="F56" s="124">
        <v>1983</v>
      </c>
      <c r="G56" s="41"/>
      <c r="H56" s="42"/>
      <c r="I56" s="41"/>
      <c r="J56" s="139" t="s">
        <v>172</v>
      </c>
      <c r="K56" s="151">
        <v>63314</v>
      </c>
    </row>
    <row r="57" spans="1:11">
      <c r="A57" s="106">
        <f>A56+1</f>
        <v>56</v>
      </c>
      <c r="B57" s="41" t="s">
        <v>8</v>
      </c>
      <c r="C57" s="92" t="s">
        <v>129</v>
      </c>
      <c r="D57" s="84">
        <v>167653</v>
      </c>
      <c r="E57" s="41">
        <v>44215</v>
      </c>
      <c r="F57" s="85">
        <v>1981</v>
      </c>
      <c r="G57" s="41"/>
      <c r="H57" s="42"/>
      <c r="I57" s="41"/>
      <c r="J57" s="139" t="s">
        <v>172</v>
      </c>
      <c r="K57" s="151">
        <v>63318</v>
      </c>
    </row>
    <row r="58" spans="1:11">
      <c r="A58" s="106">
        <f>A57+1</f>
        <v>57</v>
      </c>
      <c r="B58" s="41" t="s">
        <v>8</v>
      </c>
      <c r="C58" s="92" t="s">
        <v>131</v>
      </c>
      <c r="D58" s="84">
        <v>41686</v>
      </c>
      <c r="E58" s="41">
        <v>78444</v>
      </c>
      <c r="F58" s="124">
        <v>1978</v>
      </c>
      <c r="G58" s="41"/>
      <c r="H58" s="42"/>
      <c r="I58" s="41"/>
      <c r="J58" s="139" t="s">
        <v>172</v>
      </c>
      <c r="K58" s="151">
        <v>63329</v>
      </c>
    </row>
    <row r="59" spans="1:11">
      <c r="A59" s="106">
        <f>A58+1</f>
        <v>58</v>
      </c>
      <c r="B59" s="41" t="s">
        <v>8</v>
      </c>
      <c r="C59" s="92" t="s">
        <v>128</v>
      </c>
      <c r="D59" s="84">
        <v>128326</v>
      </c>
      <c r="E59" s="41">
        <v>78676</v>
      </c>
      <c r="F59" s="124">
        <v>1982</v>
      </c>
      <c r="G59" s="41"/>
      <c r="H59" s="42"/>
      <c r="I59" s="41"/>
      <c r="J59" s="139" t="s">
        <v>172</v>
      </c>
      <c r="K59" s="151">
        <v>63333</v>
      </c>
    </row>
    <row r="60" spans="1:11">
      <c r="A60" s="106">
        <f>A59+1</f>
        <v>59</v>
      </c>
      <c r="B60" s="41" t="s">
        <v>8</v>
      </c>
      <c r="C60" s="92" t="s">
        <v>130</v>
      </c>
      <c r="D60" s="84">
        <v>165065</v>
      </c>
      <c r="E60" s="41">
        <v>44902</v>
      </c>
      <c r="F60" s="85">
        <v>1981</v>
      </c>
      <c r="G60" s="41"/>
      <c r="H60" s="42"/>
      <c r="I60" s="41"/>
      <c r="J60" s="139" t="s">
        <v>172</v>
      </c>
      <c r="K60" s="151">
        <v>63340</v>
      </c>
    </row>
    <row r="61" spans="1:11">
      <c r="A61" s="106">
        <f>A60+1</f>
        <v>60</v>
      </c>
      <c r="B61" s="41" t="s">
        <v>8</v>
      </c>
      <c r="C61" s="92" t="s">
        <v>129</v>
      </c>
      <c r="D61" s="84">
        <v>1823000121</v>
      </c>
      <c r="E61" s="41">
        <v>1</v>
      </c>
      <c r="F61" s="85">
        <v>1981</v>
      </c>
      <c r="G61" s="41"/>
      <c r="H61" s="42"/>
      <c r="I61" s="41"/>
      <c r="J61" s="139" t="s">
        <v>172</v>
      </c>
      <c r="K61" s="151">
        <v>63343</v>
      </c>
    </row>
    <row r="62" spans="1:11">
      <c r="A62" s="106">
        <f>A61+1</f>
        <v>61</v>
      </c>
      <c r="B62" s="41" t="s">
        <v>8</v>
      </c>
      <c r="C62" s="92" t="s">
        <v>191</v>
      </c>
      <c r="D62" s="84">
        <v>8611557</v>
      </c>
      <c r="E62" s="41">
        <v>2742</v>
      </c>
      <c r="F62" s="127">
        <v>1986</v>
      </c>
      <c r="G62" s="41"/>
      <c r="H62" s="42"/>
      <c r="I62" s="41"/>
      <c r="J62" s="139" t="s">
        <v>172</v>
      </c>
      <c r="K62" s="151">
        <v>63345</v>
      </c>
    </row>
    <row r="63" spans="1:11">
      <c r="A63" s="106">
        <f>A62+1</f>
        <v>62</v>
      </c>
      <c r="B63" s="41" t="s">
        <v>8</v>
      </c>
      <c r="C63" s="136" t="s">
        <v>128</v>
      </c>
      <c r="D63" s="90">
        <v>137671</v>
      </c>
      <c r="E63" s="41">
        <v>27134</v>
      </c>
      <c r="F63" s="124">
        <v>1976</v>
      </c>
      <c r="G63" s="41"/>
      <c r="H63" s="42"/>
      <c r="I63" s="41"/>
      <c r="J63" s="140">
        <v>45</v>
      </c>
      <c r="K63" s="153">
        <v>63778</v>
      </c>
    </row>
    <row r="64" spans="1:11">
      <c r="A64" s="106">
        <f>A63+1</f>
        <v>63</v>
      </c>
      <c r="B64" s="41" t="s">
        <v>8</v>
      </c>
      <c r="C64" s="92" t="s">
        <v>167</v>
      </c>
      <c r="D64" s="84">
        <v>107044</v>
      </c>
      <c r="E64" s="41">
        <v>2023198475</v>
      </c>
      <c r="F64" s="127">
        <v>1986</v>
      </c>
      <c r="G64" s="41"/>
      <c r="H64" s="42"/>
      <c r="I64" s="41"/>
      <c r="J64" s="139">
        <v>23</v>
      </c>
      <c r="K64" s="151">
        <v>63792</v>
      </c>
    </row>
    <row r="65" spans="1:11">
      <c r="A65" s="106">
        <f>A64+1</f>
        <v>64</v>
      </c>
      <c r="B65" s="41" t="s">
        <v>8</v>
      </c>
      <c r="C65" s="137" t="s">
        <v>131</v>
      </c>
      <c r="D65" s="82">
        <v>178589</v>
      </c>
      <c r="E65" s="41">
        <v>17921</v>
      </c>
      <c r="F65" s="124">
        <v>1985</v>
      </c>
      <c r="G65" s="41"/>
      <c r="H65" s="42"/>
      <c r="I65" s="41"/>
      <c r="J65" s="141">
        <v>38</v>
      </c>
      <c r="K65" s="152">
        <v>63794</v>
      </c>
    </row>
    <row r="66" spans="1:11">
      <c r="A66" s="106">
        <f>A65+1</f>
        <v>65</v>
      </c>
      <c r="B66" s="41" t="s">
        <v>8</v>
      </c>
      <c r="C66" s="92" t="s">
        <v>128</v>
      </c>
      <c r="D66" s="84" t="s">
        <v>1115</v>
      </c>
      <c r="E66" s="41">
        <v>78812</v>
      </c>
      <c r="F66" s="86">
        <v>1987</v>
      </c>
      <c r="G66" s="41"/>
      <c r="H66" s="42"/>
      <c r="I66" s="41"/>
      <c r="J66" s="139">
        <v>10</v>
      </c>
      <c r="K66" s="151">
        <v>63795</v>
      </c>
    </row>
    <row r="67" spans="1:11">
      <c r="A67" s="106">
        <f>A66+1</f>
        <v>66</v>
      </c>
      <c r="B67" s="41" t="s">
        <v>8</v>
      </c>
      <c r="C67" s="100" t="s">
        <v>1116</v>
      </c>
      <c r="D67" s="100">
        <v>4763</v>
      </c>
      <c r="E67" s="41">
        <v>78951</v>
      </c>
      <c r="F67" s="85">
        <v>1981</v>
      </c>
      <c r="G67" s="41"/>
      <c r="H67" s="42"/>
      <c r="I67" s="41"/>
      <c r="J67" s="142" t="s">
        <v>172</v>
      </c>
      <c r="K67" s="196">
        <v>65756</v>
      </c>
    </row>
    <row r="68" spans="1:11">
      <c r="A68" s="106">
        <f>A67+1</f>
        <v>67</v>
      </c>
      <c r="B68" s="41" t="s">
        <v>8</v>
      </c>
      <c r="C68" s="100" t="s">
        <v>1117</v>
      </c>
      <c r="D68" s="100">
        <v>47579</v>
      </c>
      <c r="E68" s="41">
        <v>79132</v>
      </c>
      <c r="F68" s="124">
        <v>1985</v>
      </c>
      <c r="G68" s="41"/>
      <c r="H68" s="42"/>
      <c r="I68" s="41"/>
      <c r="J68" s="142" t="s">
        <v>172</v>
      </c>
      <c r="K68" s="196">
        <v>65764</v>
      </c>
    </row>
    <row r="69" spans="1:11">
      <c r="A69" s="106">
        <f>A68+1</f>
        <v>68</v>
      </c>
      <c r="B69" s="41" t="s">
        <v>8</v>
      </c>
      <c r="C69" s="100" t="s">
        <v>1118</v>
      </c>
      <c r="D69" s="100">
        <v>355984</v>
      </c>
      <c r="E69" s="41">
        <v>34169</v>
      </c>
      <c r="F69" s="124">
        <v>1983</v>
      </c>
      <c r="G69" s="41"/>
      <c r="H69" s="42"/>
      <c r="I69" s="41"/>
      <c r="J69" s="142" t="s">
        <v>172</v>
      </c>
      <c r="K69" s="196">
        <v>65773</v>
      </c>
    </row>
    <row r="70" spans="1:11">
      <c r="A70" s="106">
        <f>A69+1</f>
        <v>69</v>
      </c>
      <c r="B70" s="41" t="s">
        <v>8</v>
      </c>
      <c r="C70" s="100" t="s">
        <v>1117</v>
      </c>
      <c r="D70" s="100">
        <v>59591</v>
      </c>
      <c r="E70" s="41">
        <v>79133</v>
      </c>
      <c r="F70" s="85">
        <v>1981</v>
      </c>
      <c r="G70" s="41"/>
      <c r="H70" s="42"/>
      <c r="I70" s="41"/>
      <c r="J70" s="142" t="s">
        <v>172</v>
      </c>
      <c r="K70" s="196">
        <v>65775</v>
      </c>
    </row>
    <row r="71" spans="1:11">
      <c r="A71" s="106">
        <f>A70+1</f>
        <v>70</v>
      </c>
      <c r="B71" s="41" t="s">
        <v>8</v>
      </c>
      <c r="C71" s="100" t="s">
        <v>1118</v>
      </c>
      <c r="D71" s="100">
        <v>31890</v>
      </c>
      <c r="E71" s="41">
        <v>79131</v>
      </c>
      <c r="F71" s="124">
        <v>1982</v>
      </c>
      <c r="G71" s="41"/>
      <c r="H71" s="42"/>
      <c r="I71" s="41"/>
      <c r="J71" s="142">
        <v>5</v>
      </c>
      <c r="K71" s="196">
        <v>66473</v>
      </c>
    </row>
    <row r="72" spans="1:11">
      <c r="A72" s="106">
        <f>A71+1</f>
        <v>71</v>
      </c>
      <c r="B72" s="41" t="s">
        <v>8</v>
      </c>
      <c r="C72" s="100" t="s">
        <v>1119</v>
      </c>
      <c r="D72" s="100">
        <v>18341</v>
      </c>
      <c r="E72" s="41">
        <v>79093</v>
      </c>
      <c r="F72" s="101">
        <v>1987</v>
      </c>
      <c r="G72" s="41"/>
      <c r="H72" s="42"/>
      <c r="I72" s="41"/>
      <c r="J72" s="142">
        <v>3</v>
      </c>
      <c r="K72" s="196">
        <v>66477</v>
      </c>
    </row>
    <row r="73" spans="1:11">
      <c r="A73" s="106">
        <f>A72+1</f>
        <v>72</v>
      </c>
      <c r="B73" s="41" t="s">
        <v>8</v>
      </c>
      <c r="C73" s="100" t="s">
        <v>1116</v>
      </c>
      <c r="D73" s="100">
        <v>36813</v>
      </c>
      <c r="E73" s="41">
        <v>1</v>
      </c>
      <c r="F73" s="124">
        <v>1982</v>
      </c>
      <c r="G73" s="41"/>
      <c r="H73" s="42"/>
      <c r="I73" s="41"/>
      <c r="J73" s="142" t="s">
        <v>172</v>
      </c>
      <c r="K73" s="196">
        <v>66485</v>
      </c>
    </row>
    <row r="74" spans="1:11">
      <c r="A74" s="106">
        <f>A73+1</f>
        <v>73</v>
      </c>
      <c r="B74" s="41" t="s">
        <v>8</v>
      </c>
      <c r="C74" s="100" t="s">
        <v>1120</v>
      </c>
      <c r="D74" s="100">
        <v>8522381</v>
      </c>
      <c r="E74" s="41">
        <v>1</v>
      </c>
      <c r="F74" s="124">
        <v>1985</v>
      </c>
      <c r="G74" s="41"/>
      <c r="H74" s="42"/>
      <c r="I74" s="41"/>
      <c r="J74" s="142" t="s">
        <v>172</v>
      </c>
      <c r="K74" s="196">
        <v>66486</v>
      </c>
    </row>
    <row r="75" spans="1:11">
      <c r="A75" s="106">
        <f>A74+1</f>
        <v>74</v>
      </c>
      <c r="B75" s="41" t="s">
        <v>8</v>
      </c>
      <c r="C75" s="100" t="s">
        <v>1121</v>
      </c>
      <c r="D75" s="100">
        <v>4430</v>
      </c>
      <c r="E75" s="41">
        <v>79430</v>
      </c>
      <c r="F75" s="85">
        <v>1980</v>
      </c>
      <c r="G75" s="41"/>
      <c r="H75" s="42"/>
      <c r="I75" s="41"/>
      <c r="J75" s="142" t="s">
        <v>172</v>
      </c>
      <c r="K75" s="196">
        <v>66490</v>
      </c>
    </row>
    <row r="76" spans="1:11">
      <c r="A76" s="106">
        <f>A75+1</f>
        <v>75</v>
      </c>
      <c r="B76" s="41" t="s">
        <v>8</v>
      </c>
      <c r="C76" s="100" t="s">
        <v>1122</v>
      </c>
      <c r="D76" s="100">
        <v>8716325</v>
      </c>
      <c r="E76" s="41">
        <v>6557</v>
      </c>
      <c r="F76" s="101">
        <v>1987</v>
      </c>
      <c r="G76" s="41"/>
      <c r="H76" s="42"/>
      <c r="I76" s="41"/>
      <c r="J76" s="142" t="s">
        <v>172</v>
      </c>
      <c r="K76" s="196">
        <v>66509</v>
      </c>
    </row>
    <row r="77" spans="1:11">
      <c r="A77" s="106">
        <f>A76+1</f>
        <v>76</v>
      </c>
      <c r="B77" s="41" t="s">
        <v>8</v>
      </c>
      <c r="C77" s="129" t="s">
        <v>1120</v>
      </c>
      <c r="D77" s="129">
        <v>26550</v>
      </c>
      <c r="E77" s="41">
        <v>23199</v>
      </c>
      <c r="F77" s="124">
        <v>1974</v>
      </c>
      <c r="G77" s="41"/>
      <c r="H77" s="42"/>
      <c r="I77" s="41"/>
      <c r="J77" s="143">
        <v>36</v>
      </c>
      <c r="K77" s="197">
        <v>45125</v>
      </c>
    </row>
    <row r="78" spans="1:11">
      <c r="A78" s="106">
        <f>A77+1</f>
        <v>77</v>
      </c>
      <c r="B78" s="41" t="s">
        <v>8</v>
      </c>
      <c r="C78" s="129" t="s">
        <v>1117</v>
      </c>
      <c r="D78" s="129">
        <v>6791</v>
      </c>
      <c r="E78" s="41">
        <v>79941</v>
      </c>
      <c r="F78" s="85">
        <v>1981</v>
      </c>
      <c r="G78" s="41"/>
      <c r="H78" s="42"/>
      <c r="I78" s="41"/>
      <c r="J78" s="143">
        <v>36</v>
      </c>
      <c r="K78" s="197">
        <v>45125</v>
      </c>
    </row>
    <row r="79" spans="1:11">
      <c r="A79" s="106">
        <f>A78+1</f>
        <v>78</v>
      </c>
      <c r="B79" s="41" t="s">
        <v>8</v>
      </c>
      <c r="C79" s="129" t="s">
        <v>1123</v>
      </c>
      <c r="D79" s="129">
        <v>25549</v>
      </c>
      <c r="E79" s="41">
        <v>2608</v>
      </c>
      <c r="F79" s="132">
        <v>1967</v>
      </c>
      <c r="G79" s="41"/>
      <c r="H79" s="42"/>
      <c r="I79" s="41"/>
      <c r="J79" s="143">
        <v>8</v>
      </c>
      <c r="K79" s="197">
        <v>45125</v>
      </c>
    </row>
    <row r="80" spans="1:11">
      <c r="A80" s="106">
        <f>A79+1</f>
        <v>79</v>
      </c>
      <c r="B80" s="41" t="s">
        <v>8</v>
      </c>
      <c r="C80" s="129" t="s">
        <v>1116</v>
      </c>
      <c r="D80" s="129">
        <v>4504</v>
      </c>
      <c r="E80" s="41">
        <v>79349</v>
      </c>
      <c r="F80" s="124">
        <v>1985</v>
      </c>
      <c r="G80" s="41"/>
      <c r="H80" s="42"/>
      <c r="I80" s="41"/>
      <c r="J80" s="143">
        <v>112</v>
      </c>
      <c r="K80" s="197">
        <v>45125</v>
      </c>
    </row>
    <row r="81" spans="1:11">
      <c r="A81" s="106">
        <f>A80+1</f>
        <v>80</v>
      </c>
      <c r="B81" s="41" t="s">
        <v>8</v>
      </c>
      <c r="C81" s="129" t="s">
        <v>1116</v>
      </c>
      <c r="D81" s="129">
        <v>5041</v>
      </c>
      <c r="E81" s="41">
        <v>79350</v>
      </c>
      <c r="F81" s="133">
        <v>1987</v>
      </c>
      <c r="G81" s="41"/>
      <c r="H81" s="42"/>
      <c r="I81" s="41"/>
      <c r="J81" s="143">
        <v>19</v>
      </c>
      <c r="K81" s="197">
        <v>45125</v>
      </c>
    </row>
    <row r="82" spans="1:11">
      <c r="A82" s="106">
        <f>A81+1</f>
        <v>81</v>
      </c>
      <c r="B82" s="41" t="s">
        <v>8</v>
      </c>
      <c r="C82" s="129" t="s">
        <v>1117</v>
      </c>
      <c r="D82" s="129">
        <v>7084</v>
      </c>
      <c r="E82" s="41">
        <v>79122</v>
      </c>
      <c r="F82" s="124">
        <v>1984</v>
      </c>
      <c r="G82" s="41"/>
      <c r="H82" s="42"/>
      <c r="I82" s="41"/>
      <c r="J82" s="143">
        <v>11</v>
      </c>
      <c r="K82" s="197">
        <v>45125</v>
      </c>
    </row>
    <row r="83" spans="1:11">
      <c r="A83" s="106">
        <f>A82+1</f>
        <v>82</v>
      </c>
      <c r="B83" s="41" t="s">
        <v>8</v>
      </c>
      <c r="C83" s="129" t="s">
        <v>1124</v>
      </c>
      <c r="D83" s="129">
        <v>43274</v>
      </c>
      <c r="E83" s="41">
        <v>79301</v>
      </c>
      <c r="F83" s="127">
        <v>1971</v>
      </c>
      <c r="G83" s="41"/>
      <c r="H83" s="42"/>
      <c r="I83" s="41"/>
      <c r="J83" s="143">
        <v>19</v>
      </c>
      <c r="K83" s="197">
        <v>45125</v>
      </c>
    </row>
    <row r="84" spans="1:11">
      <c r="A84" s="106">
        <f>A83+1</f>
        <v>83</v>
      </c>
      <c r="B84" s="41" t="s">
        <v>8</v>
      </c>
      <c r="C84" s="129" t="s">
        <v>1117</v>
      </c>
      <c r="D84" s="129">
        <v>1583</v>
      </c>
      <c r="E84" s="41">
        <v>1</v>
      </c>
      <c r="F84" s="124">
        <v>1978</v>
      </c>
      <c r="G84" s="41"/>
      <c r="H84" s="42"/>
      <c r="I84" s="41"/>
      <c r="J84" s="143">
        <v>9</v>
      </c>
      <c r="K84" s="197">
        <v>45125</v>
      </c>
    </row>
    <row r="85" spans="1:11">
      <c r="A85" s="106">
        <f>A84+1</f>
        <v>84</v>
      </c>
      <c r="B85" s="41" t="s">
        <v>8</v>
      </c>
      <c r="C85" s="129" t="s">
        <v>1122</v>
      </c>
      <c r="D85" s="129">
        <v>19732</v>
      </c>
      <c r="E85" s="41">
        <v>1</v>
      </c>
      <c r="F85" s="127">
        <v>1973</v>
      </c>
      <c r="G85" s="41"/>
      <c r="H85" s="42"/>
      <c r="I85" s="41"/>
      <c r="J85" s="143">
        <v>9</v>
      </c>
      <c r="K85" s="197">
        <v>45125</v>
      </c>
    </row>
    <row r="86" spans="1:11">
      <c r="A86" s="106">
        <f>A85+1</f>
        <v>85</v>
      </c>
      <c r="B86" s="41" t="s">
        <v>8</v>
      </c>
      <c r="C86" s="129" t="s">
        <v>1117</v>
      </c>
      <c r="D86" s="129">
        <v>8919660</v>
      </c>
      <c r="E86" s="41">
        <v>1</v>
      </c>
      <c r="F86" s="133">
        <v>1988</v>
      </c>
      <c r="G86" s="41"/>
      <c r="H86" s="42"/>
      <c r="I86" s="41"/>
      <c r="J86" s="143">
        <v>7</v>
      </c>
      <c r="K86" s="197">
        <v>45142</v>
      </c>
    </row>
    <row r="87" spans="1:11">
      <c r="A87" s="106">
        <f>A86+1</f>
        <v>86</v>
      </c>
      <c r="B87" s="41" t="s">
        <v>8</v>
      </c>
      <c r="C87" s="129" t="s">
        <v>1120</v>
      </c>
      <c r="D87" s="129">
        <v>5188</v>
      </c>
      <c r="E87" s="41">
        <v>1</v>
      </c>
      <c r="F87" s="133">
        <v>1988</v>
      </c>
      <c r="G87" s="41"/>
      <c r="H87" s="42"/>
      <c r="I87" s="41"/>
      <c r="J87" s="143">
        <v>15</v>
      </c>
      <c r="K87" s="197">
        <v>45142</v>
      </c>
    </row>
    <row r="88" spans="1:11">
      <c r="A88" s="106">
        <f>A87+1</f>
        <v>87</v>
      </c>
      <c r="B88" s="41" t="s">
        <v>8</v>
      </c>
      <c r="C88" s="129" t="s">
        <v>1125</v>
      </c>
      <c r="D88" s="129" t="s">
        <v>1126</v>
      </c>
      <c r="E88" s="41">
        <v>1</v>
      </c>
      <c r="F88" s="124">
        <v>1983</v>
      </c>
      <c r="G88" s="41"/>
      <c r="H88" s="42"/>
      <c r="I88" s="41"/>
      <c r="J88" s="143">
        <v>44</v>
      </c>
      <c r="K88" s="197">
        <v>45142</v>
      </c>
    </row>
    <row r="89" spans="1:11">
      <c r="A89" s="106">
        <f>A88+1</f>
        <v>88</v>
      </c>
      <c r="B89" s="41" t="s">
        <v>8</v>
      </c>
      <c r="C89" s="129" t="s">
        <v>1125</v>
      </c>
      <c r="D89" s="129">
        <v>8540236</v>
      </c>
      <c r="E89" s="41">
        <v>1</v>
      </c>
      <c r="F89" s="124">
        <v>1985</v>
      </c>
      <c r="G89" s="41"/>
      <c r="H89" s="42"/>
      <c r="I89" s="41"/>
      <c r="J89" s="143">
        <v>3</v>
      </c>
      <c r="K89" s="197">
        <v>45142</v>
      </c>
    </row>
    <row r="90" spans="1:11">
      <c r="A90" s="106">
        <f>A89+1</f>
        <v>89</v>
      </c>
      <c r="B90" s="41" t="s">
        <v>8</v>
      </c>
      <c r="C90" s="129" t="s">
        <v>1122</v>
      </c>
      <c r="D90" s="129">
        <v>8726015</v>
      </c>
      <c r="E90" s="41">
        <v>1</v>
      </c>
      <c r="F90" s="133">
        <v>1987</v>
      </c>
      <c r="G90" s="41"/>
      <c r="H90" s="42"/>
      <c r="I90" s="41"/>
      <c r="J90" s="143">
        <v>20</v>
      </c>
      <c r="K90" s="197">
        <v>45142</v>
      </c>
    </row>
    <row r="91" spans="1:11">
      <c r="A91" s="106">
        <f>A90+1</f>
        <v>90</v>
      </c>
      <c r="B91" s="41" t="s">
        <v>8</v>
      </c>
      <c r="C91" s="129" t="s">
        <v>1122</v>
      </c>
      <c r="D91" s="129">
        <v>80732</v>
      </c>
      <c r="E91" s="41">
        <v>1</v>
      </c>
      <c r="F91" s="85">
        <v>1981</v>
      </c>
      <c r="G91" s="41"/>
      <c r="H91" s="42"/>
      <c r="I91" s="41"/>
      <c r="J91" s="143">
        <v>3</v>
      </c>
      <c r="K91" s="197">
        <v>45142</v>
      </c>
    </row>
    <row r="92" spans="1:11">
      <c r="A92" s="106">
        <f>A91+1</f>
        <v>91</v>
      </c>
      <c r="B92" s="41" t="s">
        <v>8</v>
      </c>
      <c r="C92" s="123" t="s">
        <v>1122</v>
      </c>
      <c r="D92" s="123">
        <v>59616</v>
      </c>
      <c r="E92" s="41">
        <v>80238</v>
      </c>
      <c r="F92" s="85">
        <v>1981</v>
      </c>
      <c r="G92" s="41"/>
      <c r="H92" s="42"/>
      <c r="I92" s="41"/>
      <c r="J92" s="125">
        <v>36</v>
      </c>
      <c r="K92" s="198">
        <v>72537</v>
      </c>
    </row>
    <row r="93" spans="1:11">
      <c r="A93" s="106">
        <f>A92+1</f>
        <v>92</v>
      </c>
      <c r="B93" s="41" t="s">
        <v>8</v>
      </c>
      <c r="C93" s="123" t="s">
        <v>1116</v>
      </c>
      <c r="D93" s="123">
        <v>43403</v>
      </c>
      <c r="E93" s="41">
        <v>80237</v>
      </c>
      <c r="F93" s="124">
        <v>1978</v>
      </c>
      <c r="G93" s="41"/>
      <c r="H93" s="42"/>
      <c r="I93" s="41"/>
      <c r="J93" s="125">
        <v>8</v>
      </c>
      <c r="K93" s="198">
        <v>72526</v>
      </c>
    </row>
    <row r="94" spans="1:11">
      <c r="A94" s="106">
        <f>A93+1</f>
        <v>93</v>
      </c>
      <c r="B94" s="41" t="s">
        <v>8</v>
      </c>
      <c r="C94" s="123" t="s">
        <v>1122</v>
      </c>
      <c r="D94" s="123">
        <v>22645</v>
      </c>
      <c r="E94" s="41">
        <v>80236</v>
      </c>
      <c r="F94" s="127">
        <v>1986</v>
      </c>
      <c r="G94" s="41"/>
      <c r="H94" s="42"/>
      <c r="I94" s="41"/>
      <c r="J94" s="125">
        <v>2</v>
      </c>
      <c r="K94" s="198">
        <v>72525</v>
      </c>
    </row>
    <row r="95" spans="1:11">
      <c r="A95" s="106">
        <f>A94+1</f>
        <v>94</v>
      </c>
      <c r="B95" s="41" t="s">
        <v>8</v>
      </c>
      <c r="C95" s="123" t="s">
        <v>1117</v>
      </c>
      <c r="D95" s="123">
        <v>8620655</v>
      </c>
      <c r="E95" s="41">
        <v>80054</v>
      </c>
      <c r="F95" s="127">
        <v>1986</v>
      </c>
      <c r="G95" s="41"/>
      <c r="H95" s="42"/>
      <c r="I95" s="41"/>
      <c r="J95" s="125">
        <v>16</v>
      </c>
      <c r="K95" s="198">
        <v>72522</v>
      </c>
    </row>
    <row r="96" spans="1:11">
      <c r="A96" s="106">
        <f>A95+1</f>
        <v>95</v>
      </c>
      <c r="B96" s="41" t="s">
        <v>8</v>
      </c>
      <c r="C96" s="123" t="s">
        <v>1118</v>
      </c>
      <c r="D96" s="123">
        <v>8827870</v>
      </c>
      <c r="E96" s="41">
        <v>0</v>
      </c>
      <c r="F96" s="134">
        <v>1988</v>
      </c>
      <c r="G96" s="41"/>
      <c r="H96" s="42"/>
      <c r="I96" s="41"/>
      <c r="J96" s="125">
        <v>172</v>
      </c>
      <c r="K96" s="198">
        <v>72520</v>
      </c>
    </row>
    <row r="97" spans="1:11">
      <c r="A97" s="106">
        <f>A96+1</f>
        <v>96</v>
      </c>
      <c r="B97" s="41" t="s">
        <v>8</v>
      </c>
      <c r="C97" s="123" t="s">
        <v>1125</v>
      </c>
      <c r="D97" s="123">
        <v>8615310</v>
      </c>
      <c r="E97" s="41">
        <v>80233</v>
      </c>
      <c r="F97" s="127">
        <v>1986</v>
      </c>
      <c r="G97" s="41"/>
      <c r="H97" s="42"/>
      <c r="I97" s="41"/>
      <c r="J97" s="125">
        <v>16</v>
      </c>
      <c r="K97" s="198">
        <v>72506</v>
      </c>
    </row>
    <row r="98" spans="1:11">
      <c r="A98" s="106">
        <f>A97+1</f>
        <v>97</v>
      </c>
      <c r="B98" s="41" t="s">
        <v>8</v>
      </c>
      <c r="C98" s="102" t="s">
        <v>1120</v>
      </c>
      <c r="D98" s="102">
        <v>232393</v>
      </c>
      <c r="E98" s="41">
        <v>0</v>
      </c>
      <c r="F98" s="124">
        <v>1978</v>
      </c>
      <c r="G98" s="41"/>
      <c r="H98" s="42"/>
      <c r="I98" s="41"/>
      <c r="J98" s="144">
        <v>2</v>
      </c>
      <c r="K98" s="199">
        <v>83082</v>
      </c>
    </row>
    <row r="99" spans="1:11">
      <c r="A99" s="106">
        <f>A98+1</f>
        <v>98</v>
      </c>
      <c r="B99" s="41" t="s">
        <v>8</v>
      </c>
      <c r="C99" s="102" t="s">
        <v>1122</v>
      </c>
      <c r="D99" s="102">
        <v>23859</v>
      </c>
      <c r="E99" s="41">
        <v>91513</v>
      </c>
      <c r="F99" s="124">
        <v>1975</v>
      </c>
      <c r="G99" s="41"/>
      <c r="H99" s="42"/>
      <c r="I99" s="41"/>
      <c r="J99" s="144">
        <v>16</v>
      </c>
      <c r="K99" s="199">
        <v>83054</v>
      </c>
    </row>
    <row r="100" spans="1:11">
      <c r="A100" s="106">
        <f>A99+1</f>
        <v>99</v>
      </c>
      <c r="B100" s="41" t="s">
        <v>8</v>
      </c>
      <c r="C100" s="102" t="s">
        <v>1122</v>
      </c>
      <c r="D100" s="102">
        <v>31378</v>
      </c>
      <c r="E100" s="41">
        <v>0</v>
      </c>
      <c r="F100" s="124">
        <v>1975</v>
      </c>
      <c r="G100" s="41"/>
      <c r="H100" s="42"/>
      <c r="I100" s="41"/>
      <c r="J100" s="144">
        <v>15</v>
      </c>
      <c r="K100" s="199">
        <v>83047</v>
      </c>
    </row>
    <row r="101" spans="1:11">
      <c r="A101" s="106">
        <f>A100+1</f>
        <v>100</v>
      </c>
      <c r="B101" s="41" t="s">
        <v>8</v>
      </c>
      <c r="C101" s="102" t="s">
        <v>1122</v>
      </c>
      <c r="D101" s="102">
        <v>84557</v>
      </c>
      <c r="E101" s="41">
        <v>0</v>
      </c>
      <c r="F101" s="127">
        <v>1986</v>
      </c>
      <c r="G101" s="41"/>
      <c r="H101" s="42"/>
      <c r="I101" s="41"/>
      <c r="J101" s="144">
        <v>19</v>
      </c>
      <c r="K101" s="199">
        <v>83045</v>
      </c>
    </row>
    <row r="102" spans="1:11">
      <c r="A102" s="106">
        <f>A101+1</f>
        <v>101</v>
      </c>
      <c r="B102" s="41" t="s">
        <v>8</v>
      </c>
      <c r="C102" s="102" t="s">
        <v>1117</v>
      </c>
      <c r="D102" s="102">
        <v>8726243</v>
      </c>
      <c r="E102" s="41">
        <v>0</v>
      </c>
      <c r="F102" s="102">
        <v>1987</v>
      </c>
      <c r="G102" s="41"/>
      <c r="H102" s="42"/>
      <c r="I102" s="41"/>
      <c r="J102" s="144">
        <v>2</v>
      </c>
      <c r="K102" s="199">
        <v>83620</v>
      </c>
    </row>
    <row r="103" spans="1:11">
      <c r="A103" s="106">
        <f>A102+1</f>
        <v>102</v>
      </c>
      <c r="B103" s="41" t="s">
        <v>8</v>
      </c>
      <c r="C103" s="102" t="s">
        <v>1116</v>
      </c>
      <c r="D103" s="102">
        <v>47442</v>
      </c>
      <c r="E103" s="41">
        <v>0</v>
      </c>
      <c r="F103" s="124">
        <v>1983</v>
      </c>
      <c r="G103" s="41"/>
      <c r="H103" s="42"/>
      <c r="I103" s="41"/>
      <c r="J103" s="144">
        <v>2</v>
      </c>
      <c r="K103" s="199">
        <v>85436</v>
      </c>
    </row>
    <row r="104" spans="1:11">
      <c r="A104" s="106">
        <f>A103+1</f>
        <v>103</v>
      </c>
      <c r="B104" s="41" t="s">
        <v>8</v>
      </c>
      <c r="C104" s="102" t="s">
        <v>1116</v>
      </c>
      <c r="D104" s="102">
        <v>8534303</v>
      </c>
      <c r="E104" s="41">
        <v>0</v>
      </c>
      <c r="F104" s="124">
        <v>1985</v>
      </c>
      <c r="G104" s="41"/>
      <c r="H104" s="42"/>
      <c r="I104" s="41"/>
      <c r="J104" s="144">
        <v>2</v>
      </c>
      <c r="K104" s="199">
        <v>85435</v>
      </c>
    </row>
    <row r="105" spans="1:11">
      <c r="A105" s="106">
        <f>A104+1</f>
        <v>104</v>
      </c>
      <c r="B105" s="41" t="s">
        <v>8</v>
      </c>
      <c r="C105" s="102" t="s">
        <v>1117</v>
      </c>
      <c r="D105" s="102">
        <v>59588</v>
      </c>
      <c r="E105" s="41">
        <v>0</v>
      </c>
      <c r="F105" s="85">
        <v>1981</v>
      </c>
      <c r="G105" s="41"/>
      <c r="H105" s="42"/>
      <c r="I105" s="41"/>
      <c r="J105" s="144">
        <v>25</v>
      </c>
      <c r="K105" s="199">
        <v>85425</v>
      </c>
    </row>
    <row r="106" spans="1:11">
      <c r="A106" s="106">
        <f>A105+1</f>
        <v>105</v>
      </c>
      <c r="B106" s="41" t="s">
        <v>8</v>
      </c>
      <c r="C106" s="102" t="s">
        <v>1127</v>
      </c>
      <c r="D106" s="102">
        <v>5256</v>
      </c>
      <c r="E106" s="41">
        <v>0</v>
      </c>
      <c r="F106" s="102">
        <v>1988</v>
      </c>
      <c r="G106" s="41"/>
      <c r="H106" s="42"/>
      <c r="I106" s="41"/>
      <c r="J106" s="144">
        <v>44</v>
      </c>
      <c r="K106" s="199">
        <v>85409</v>
      </c>
    </row>
    <row r="107" spans="1:11">
      <c r="A107" s="106">
        <f>A106+1</f>
        <v>106</v>
      </c>
      <c r="B107" s="41" t="s">
        <v>8</v>
      </c>
      <c r="C107" s="102" t="s">
        <v>1117</v>
      </c>
      <c r="D107" s="102">
        <v>143497</v>
      </c>
      <c r="E107" s="41">
        <v>0</v>
      </c>
      <c r="F107" s="124">
        <v>1974</v>
      </c>
      <c r="G107" s="41"/>
      <c r="H107" s="42"/>
      <c r="I107" s="41"/>
      <c r="J107" s="144">
        <v>17</v>
      </c>
      <c r="K107" s="199">
        <v>85407</v>
      </c>
    </row>
    <row r="108" spans="1:11">
      <c r="A108" s="106">
        <f>A107+1</f>
        <v>107</v>
      </c>
      <c r="B108" s="41" t="s">
        <v>8</v>
      </c>
      <c r="C108" s="102" t="s">
        <v>1118</v>
      </c>
      <c r="D108" s="102">
        <v>5425</v>
      </c>
      <c r="E108" s="41">
        <v>0</v>
      </c>
      <c r="F108" s="85">
        <v>1981</v>
      </c>
      <c r="G108" s="41"/>
      <c r="H108" s="42"/>
      <c r="I108" s="41"/>
      <c r="J108" s="144">
        <v>4</v>
      </c>
      <c r="K108" s="199">
        <v>90931</v>
      </c>
    </row>
    <row r="109" spans="1:11">
      <c r="A109" s="106">
        <f>A108+1</f>
        <v>108</v>
      </c>
      <c r="B109" s="41" t="s">
        <v>8</v>
      </c>
      <c r="C109" s="102" t="s">
        <v>1125</v>
      </c>
      <c r="D109" s="102">
        <v>75640</v>
      </c>
      <c r="E109" s="41">
        <v>0</v>
      </c>
      <c r="F109" s="124">
        <v>1984</v>
      </c>
      <c r="G109" s="41"/>
      <c r="H109" s="42"/>
      <c r="I109" s="41"/>
      <c r="J109" s="144">
        <v>30</v>
      </c>
      <c r="K109" s="199">
        <v>90922</v>
      </c>
    </row>
    <row r="110" spans="1:11">
      <c r="A110" s="106">
        <f>A109+1</f>
        <v>109</v>
      </c>
      <c r="B110" s="41" t="s">
        <v>8</v>
      </c>
      <c r="C110" s="102" t="s">
        <v>1122</v>
      </c>
      <c r="D110" s="102">
        <v>8852233</v>
      </c>
      <c r="E110" s="41">
        <v>0</v>
      </c>
      <c r="F110" s="102">
        <v>1988</v>
      </c>
      <c r="G110" s="41"/>
      <c r="H110" s="42"/>
      <c r="I110" s="41"/>
      <c r="J110" s="144">
        <v>14</v>
      </c>
      <c r="K110" s="199">
        <v>90917</v>
      </c>
    </row>
    <row r="111" spans="1:11">
      <c r="A111" s="106">
        <f>A110+1</f>
        <v>110</v>
      </c>
      <c r="B111" s="41" t="s">
        <v>8</v>
      </c>
      <c r="C111" s="102" t="s">
        <v>1120</v>
      </c>
      <c r="D111" s="102">
        <v>33631</v>
      </c>
      <c r="E111" s="41">
        <v>1274</v>
      </c>
      <c r="F111" s="124">
        <v>1970</v>
      </c>
      <c r="G111" s="41"/>
      <c r="H111" s="42"/>
      <c r="I111" s="41"/>
      <c r="J111" s="144">
        <v>2</v>
      </c>
      <c r="K111" s="199">
        <v>90900</v>
      </c>
    </row>
    <row r="112" spans="1:11">
      <c r="A112" s="106">
        <f>A111+1</f>
        <v>111</v>
      </c>
      <c r="B112" s="41" t="s">
        <v>8</v>
      </c>
      <c r="C112" s="103" t="s">
        <v>1122</v>
      </c>
      <c r="D112" s="103">
        <v>60332</v>
      </c>
      <c r="E112" s="41">
        <v>0</v>
      </c>
      <c r="F112" s="103">
        <v>1988</v>
      </c>
      <c r="G112" s="41"/>
      <c r="H112" s="42"/>
      <c r="I112" s="41"/>
      <c r="J112" s="145">
        <v>26</v>
      </c>
      <c r="K112" s="200">
        <v>92388</v>
      </c>
    </row>
    <row r="113" spans="1:11">
      <c r="A113" s="106">
        <f>A112+1</f>
        <v>112</v>
      </c>
      <c r="B113" s="41" t="s">
        <v>8</v>
      </c>
      <c r="C113" s="103" t="s">
        <v>1125</v>
      </c>
      <c r="D113" s="103">
        <v>41966</v>
      </c>
      <c r="E113" s="41">
        <v>0</v>
      </c>
      <c r="F113" s="124">
        <v>1985</v>
      </c>
      <c r="G113" s="41"/>
      <c r="H113" s="42"/>
      <c r="I113" s="41"/>
      <c r="J113" s="145">
        <v>20</v>
      </c>
      <c r="K113" s="200">
        <v>92372</v>
      </c>
    </row>
    <row r="114" spans="1:11">
      <c r="A114" s="106">
        <f>A113+1</f>
        <v>113</v>
      </c>
      <c r="B114" s="41" t="s">
        <v>8</v>
      </c>
      <c r="C114" s="103" t="s">
        <v>1116</v>
      </c>
      <c r="D114" s="103">
        <v>43437</v>
      </c>
      <c r="E114" s="41">
        <v>0</v>
      </c>
      <c r="F114" s="127">
        <v>1973</v>
      </c>
      <c r="G114" s="41"/>
      <c r="H114" s="42"/>
      <c r="I114" s="41"/>
      <c r="J114" s="145">
        <v>6</v>
      </c>
      <c r="K114" s="200">
        <v>92371</v>
      </c>
    </row>
    <row r="115" spans="1:11">
      <c r="A115" s="106">
        <f>A114+1</f>
        <v>114</v>
      </c>
      <c r="B115" s="41" t="s">
        <v>8</v>
      </c>
      <c r="C115" s="103" t="s">
        <v>1124</v>
      </c>
      <c r="D115" s="103" t="s">
        <v>1128</v>
      </c>
      <c r="E115" s="41">
        <v>0</v>
      </c>
      <c r="F115" s="85">
        <v>1980</v>
      </c>
      <c r="G115" s="41"/>
      <c r="H115" s="42"/>
      <c r="I115" s="41"/>
      <c r="J115" s="145">
        <v>2</v>
      </c>
      <c r="K115" s="200">
        <v>92939</v>
      </c>
    </row>
    <row r="116" spans="1:11">
      <c r="A116" s="106">
        <f>A115+1</f>
        <v>115</v>
      </c>
      <c r="B116" s="41" t="s">
        <v>8</v>
      </c>
      <c r="C116" s="103" t="s">
        <v>1125</v>
      </c>
      <c r="D116" s="103">
        <v>8512634</v>
      </c>
      <c r="E116" s="41">
        <v>0</v>
      </c>
      <c r="F116" s="124">
        <v>1984</v>
      </c>
      <c r="G116" s="41"/>
      <c r="H116" s="42"/>
      <c r="I116" s="41"/>
      <c r="J116" s="145">
        <v>36</v>
      </c>
      <c r="K116" s="200">
        <v>92915</v>
      </c>
    </row>
    <row r="117" spans="1:11">
      <c r="A117" s="106">
        <f>A116+1</f>
        <v>116</v>
      </c>
      <c r="B117" s="41" t="s">
        <v>8</v>
      </c>
      <c r="C117" s="103" t="s">
        <v>1117</v>
      </c>
      <c r="D117" s="103" t="s">
        <v>1129</v>
      </c>
      <c r="E117" s="41">
        <v>0</v>
      </c>
      <c r="F117" s="127">
        <v>1986</v>
      </c>
      <c r="G117" s="41"/>
      <c r="H117" s="42"/>
      <c r="I117" s="41"/>
      <c r="J117" s="145">
        <v>6</v>
      </c>
      <c r="K117" s="200">
        <v>92913</v>
      </c>
    </row>
    <row r="118" spans="1:11">
      <c r="A118" s="106">
        <f>A117+1</f>
        <v>117</v>
      </c>
      <c r="B118" s="41" t="s">
        <v>8</v>
      </c>
      <c r="C118" s="103" t="s">
        <v>1117</v>
      </c>
      <c r="D118" s="103">
        <v>8539823</v>
      </c>
      <c r="E118" s="41">
        <v>0</v>
      </c>
      <c r="F118" s="124">
        <v>1985</v>
      </c>
      <c r="G118" s="41"/>
      <c r="H118" s="42"/>
      <c r="I118" s="41"/>
      <c r="J118" s="145">
        <v>33</v>
      </c>
      <c r="K118" s="200">
        <v>92904</v>
      </c>
    </row>
    <row r="119" spans="1:11">
      <c r="A119" s="106">
        <f>A118+1</f>
        <v>118</v>
      </c>
      <c r="B119" s="41" t="s">
        <v>8</v>
      </c>
      <c r="C119" s="103" t="s">
        <v>1117</v>
      </c>
      <c r="D119" s="103">
        <v>8839034</v>
      </c>
      <c r="E119" s="41">
        <v>0</v>
      </c>
      <c r="F119" s="103">
        <v>1988</v>
      </c>
      <c r="G119" s="41"/>
      <c r="H119" s="42"/>
      <c r="I119" s="41"/>
      <c r="J119" s="145">
        <v>44</v>
      </c>
      <c r="K119" s="200">
        <v>92902</v>
      </c>
    </row>
    <row r="120" spans="1:11">
      <c r="A120" s="106">
        <f>A119+1</f>
        <v>119</v>
      </c>
      <c r="B120" s="41" t="s">
        <v>8</v>
      </c>
      <c r="C120" s="103" t="s">
        <v>1122</v>
      </c>
      <c r="D120" s="103">
        <v>58495</v>
      </c>
      <c r="E120" s="41">
        <v>0</v>
      </c>
      <c r="F120" s="85">
        <v>1980</v>
      </c>
      <c r="G120" s="41"/>
      <c r="H120" s="42"/>
      <c r="I120" s="41"/>
      <c r="J120" s="145">
        <v>10</v>
      </c>
      <c r="K120" s="200">
        <v>92898</v>
      </c>
    </row>
    <row r="121" spans="1:11">
      <c r="A121" s="106">
        <f>A120+1</f>
        <v>120</v>
      </c>
      <c r="B121" s="41" t="s">
        <v>8</v>
      </c>
      <c r="C121" s="103" t="s">
        <v>1125</v>
      </c>
      <c r="D121" s="103">
        <v>63080</v>
      </c>
      <c r="E121" s="41">
        <v>0</v>
      </c>
      <c r="F121" s="85">
        <v>1981</v>
      </c>
      <c r="G121" s="41"/>
      <c r="H121" s="42"/>
      <c r="I121" s="41"/>
      <c r="J121" s="145">
        <v>40</v>
      </c>
      <c r="K121" s="200">
        <v>92897</v>
      </c>
    </row>
    <row r="122" spans="1:11">
      <c r="A122" s="106">
        <f>A121+1</f>
        <v>121</v>
      </c>
      <c r="B122" s="41" t="s">
        <v>8</v>
      </c>
      <c r="C122" s="103" t="s">
        <v>1122</v>
      </c>
      <c r="D122" s="103">
        <v>8644956</v>
      </c>
      <c r="E122" s="41">
        <v>0</v>
      </c>
      <c r="F122" s="127">
        <v>1986</v>
      </c>
      <c r="G122" s="41"/>
      <c r="H122" s="42"/>
      <c r="I122" s="41"/>
      <c r="J122" s="145">
        <v>5</v>
      </c>
      <c r="K122" s="200">
        <v>92895</v>
      </c>
    </row>
    <row r="123" spans="1:11">
      <c r="A123" s="106">
        <f>A122+1</f>
        <v>122</v>
      </c>
      <c r="B123" s="41" t="s">
        <v>8</v>
      </c>
      <c r="C123" s="103" t="s">
        <v>1130</v>
      </c>
      <c r="D123" s="103">
        <v>8817335</v>
      </c>
      <c r="E123" s="41">
        <v>0</v>
      </c>
      <c r="F123" s="103">
        <v>1988</v>
      </c>
      <c r="G123" s="41"/>
      <c r="H123" s="42"/>
      <c r="I123" s="41"/>
      <c r="J123" s="145">
        <v>29</v>
      </c>
      <c r="K123" s="200">
        <v>93015</v>
      </c>
    </row>
    <row r="124" spans="1:11">
      <c r="A124" s="106">
        <f>A123+1</f>
        <v>123</v>
      </c>
      <c r="B124" s="41" t="s">
        <v>8</v>
      </c>
      <c r="C124" s="103" t="s">
        <v>1120</v>
      </c>
      <c r="D124" s="103">
        <v>19396</v>
      </c>
      <c r="E124" s="41">
        <v>0</v>
      </c>
      <c r="F124" s="127">
        <v>1973</v>
      </c>
      <c r="G124" s="41"/>
      <c r="H124" s="42"/>
      <c r="I124" s="41"/>
      <c r="J124" s="145">
        <v>47</v>
      </c>
      <c r="K124" s="200">
        <v>93005</v>
      </c>
    </row>
    <row r="125" spans="1:11">
      <c r="A125" s="106">
        <f>A124+1</f>
        <v>124</v>
      </c>
      <c r="B125" s="41" t="s">
        <v>8</v>
      </c>
      <c r="C125" s="103" t="s">
        <v>1120</v>
      </c>
      <c r="D125" s="103">
        <v>8416770</v>
      </c>
      <c r="E125" s="41">
        <v>0</v>
      </c>
      <c r="F125" s="124">
        <v>1984</v>
      </c>
      <c r="G125" s="41"/>
      <c r="H125" s="42"/>
      <c r="I125" s="41"/>
      <c r="J125" s="145">
        <v>15</v>
      </c>
      <c r="K125" s="200">
        <v>93003</v>
      </c>
    </row>
    <row r="126" spans="1:11">
      <c r="A126" s="106">
        <f>A125+1</f>
        <v>125</v>
      </c>
      <c r="B126" s="41" t="s">
        <v>8</v>
      </c>
      <c r="C126" s="103" t="s">
        <v>1125</v>
      </c>
      <c r="D126" s="103">
        <v>47288</v>
      </c>
      <c r="E126" s="41">
        <v>29426</v>
      </c>
      <c r="F126" s="124">
        <v>1978</v>
      </c>
      <c r="G126" s="41"/>
      <c r="H126" s="42"/>
      <c r="I126" s="41"/>
      <c r="J126" s="145">
        <v>29</v>
      </c>
      <c r="K126" s="200">
        <v>93002</v>
      </c>
    </row>
    <row r="127" spans="1:11">
      <c r="A127" s="106">
        <f>A126+1</f>
        <v>126</v>
      </c>
      <c r="B127" s="41" t="s">
        <v>8</v>
      </c>
      <c r="C127" s="103" t="s">
        <v>1120</v>
      </c>
      <c r="D127" s="103">
        <v>241138</v>
      </c>
      <c r="E127" s="41">
        <v>0</v>
      </c>
      <c r="F127" s="124">
        <v>1979</v>
      </c>
      <c r="G127" s="41"/>
      <c r="H127" s="42"/>
      <c r="I127" s="41"/>
      <c r="J127" s="145">
        <v>40</v>
      </c>
      <c r="K127" s="200">
        <v>93001</v>
      </c>
    </row>
    <row r="128" spans="1:11">
      <c r="A128" s="106">
        <f>A127+1</f>
        <v>127</v>
      </c>
      <c r="B128" s="41" t="s">
        <v>8</v>
      </c>
      <c r="C128" s="104" t="s">
        <v>1122</v>
      </c>
      <c r="D128" s="104">
        <v>8639126</v>
      </c>
      <c r="E128" s="41">
        <v>0</v>
      </c>
      <c r="F128" s="127">
        <v>1986</v>
      </c>
      <c r="G128" s="41"/>
      <c r="H128" s="42"/>
      <c r="I128" s="41"/>
      <c r="J128" s="126">
        <v>8</v>
      </c>
      <c r="K128" s="170">
        <v>93781</v>
      </c>
    </row>
    <row r="129" spans="1:11">
      <c r="A129" s="106">
        <f>A128+1</f>
        <v>128</v>
      </c>
      <c r="B129" s="41" t="s">
        <v>8</v>
      </c>
      <c r="C129" s="104" t="s">
        <v>1122</v>
      </c>
      <c r="D129" s="104" t="s">
        <v>1131</v>
      </c>
      <c r="E129" s="41">
        <v>0</v>
      </c>
      <c r="F129" s="104">
        <v>1988</v>
      </c>
      <c r="G129" s="41"/>
      <c r="H129" s="42"/>
      <c r="I129" s="41"/>
      <c r="J129" s="126">
        <v>3</v>
      </c>
      <c r="K129" s="170">
        <v>93783</v>
      </c>
    </row>
    <row r="130" spans="1:11">
      <c r="A130" s="106">
        <f>A129+1</f>
        <v>129</v>
      </c>
      <c r="B130" s="41" t="s">
        <v>8</v>
      </c>
      <c r="C130" s="104" t="s">
        <v>1122</v>
      </c>
      <c r="D130" s="104">
        <v>25221</v>
      </c>
      <c r="E130" s="41">
        <v>0</v>
      </c>
      <c r="F130" s="124">
        <v>1974</v>
      </c>
      <c r="G130" s="41"/>
      <c r="H130" s="42"/>
      <c r="I130" s="41"/>
      <c r="J130" s="126">
        <v>4</v>
      </c>
      <c r="K130" s="170">
        <v>93791</v>
      </c>
    </row>
    <row r="131" spans="1:11">
      <c r="A131" s="106">
        <f>A130+1</f>
        <v>130</v>
      </c>
      <c r="B131" s="41" t="s">
        <v>8</v>
      </c>
      <c r="C131" s="104" t="s">
        <v>1121</v>
      </c>
      <c r="D131" s="104">
        <v>1</v>
      </c>
      <c r="E131" s="41" t="s">
        <v>1132</v>
      </c>
      <c r="F131" s="104">
        <v>1987</v>
      </c>
      <c r="G131" s="41"/>
      <c r="H131" s="42"/>
      <c r="I131" s="41"/>
      <c r="J131" s="126">
        <v>5</v>
      </c>
      <c r="K131" s="170">
        <v>93797</v>
      </c>
    </row>
    <row r="132" spans="1:11">
      <c r="A132" s="106">
        <f>A131+1</f>
        <v>131</v>
      </c>
      <c r="B132" s="41" t="s">
        <v>8</v>
      </c>
      <c r="C132" s="104" t="s">
        <v>1125</v>
      </c>
      <c r="D132" s="104">
        <v>9038</v>
      </c>
      <c r="E132" s="41">
        <v>0</v>
      </c>
      <c r="F132" s="127">
        <v>1986</v>
      </c>
      <c r="G132" s="41"/>
      <c r="H132" s="42"/>
      <c r="I132" s="41"/>
      <c r="J132" s="126">
        <v>4</v>
      </c>
      <c r="K132" s="170">
        <v>93801</v>
      </c>
    </row>
    <row r="133" spans="1:11">
      <c r="A133" s="106">
        <f>A132+1</f>
        <v>132</v>
      </c>
      <c r="B133" s="41" t="s">
        <v>8</v>
      </c>
      <c r="C133" s="104" t="s">
        <v>1124</v>
      </c>
      <c r="D133" s="104">
        <v>9222716</v>
      </c>
      <c r="E133" s="41">
        <v>0</v>
      </c>
      <c r="F133" s="124">
        <v>1982</v>
      </c>
      <c r="G133" s="41"/>
      <c r="H133" s="42"/>
      <c r="I133" s="41"/>
      <c r="J133" s="126">
        <v>5</v>
      </c>
      <c r="K133" s="170">
        <v>93805</v>
      </c>
    </row>
    <row r="134" spans="1:11">
      <c r="A134" s="106">
        <f>A133+1</f>
        <v>133</v>
      </c>
      <c r="B134" s="41" t="s">
        <v>8</v>
      </c>
      <c r="C134" s="104" t="s">
        <v>1125</v>
      </c>
      <c r="D134" s="104">
        <v>72147</v>
      </c>
      <c r="E134" s="41">
        <v>0</v>
      </c>
      <c r="F134" s="124">
        <v>1983</v>
      </c>
      <c r="G134" s="41"/>
      <c r="H134" s="42"/>
      <c r="I134" s="41"/>
      <c r="J134" s="126">
        <v>33</v>
      </c>
      <c r="K134" s="170">
        <v>94510</v>
      </c>
    </row>
    <row r="135" spans="1:11">
      <c r="A135" s="106">
        <f>A134+1</f>
        <v>134</v>
      </c>
      <c r="B135" s="41" t="s">
        <v>8</v>
      </c>
      <c r="C135" s="104" t="s">
        <v>1117</v>
      </c>
      <c r="D135" s="104">
        <v>4776</v>
      </c>
      <c r="E135" s="41">
        <v>0</v>
      </c>
      <c r="F135" s="124">
        <v>1979</v>
      </c>
      <c r="G135" s="41"/>
      <c r="H135" s="42"/>
      <c r="I135" s="41"/>
      <c r="J135" s="126">
        <v>29</v>
      </c>
      <c r="K135" s="170">
        <v>94512</v>
      </c>
    </row>
    <row r="136" spans="1:11">
      <c r="A136" s="106">
        <f>A135+1</f>
        <v>135</v>
      </c>
      <c r="B136" s="41" t="s">
        <v>8</v>
      </c>
      <c r="C136" s="104" t="s">
        <v>1124</v>
      </c>
      <c r="D136" s="104">
        <v>45737</v>
      </c>
      <c r="E136" s="41">
        <v>0</v>
      </c>
      <c r="F136" s="124">
        <v>1978</v>
      </c>
      <c r="G136" s="41"/>
      <c r="H136" s="42"/>
      <c r="I136" s="41"/>
      <c r="J136" s="126">
        <v>42</v>
      </c>
      <c r="K136" s="170">
        <v>94499</v>
      </c>
    </row>
    <row r="137" spans="1:11">
      <c r="A137" s="106">
        <f>A136+1</f>
        <v>136</v>
      </c>
      <c r="B137" s="41" t="s">
        <v>8</v>
      </c>
      <c r="C137" s="104" t="s">
        <v>1118</v>
      </c>
      <c r="D137" s="104">
        <v>9014</v>
      </c>
      <c r="E137" s="41">
        <v>0</v>
      </c>
      <c r="F137" s="124">
        <v>1979</v>
      </c>
      <c r="G137" s="41"/>
      <c r="H137" s="42"/>
      <c r="I137" s="41"/>
      <c r="J137" s="126">
        <v>29</v>
      </c>
      <c r="K137" s="170">
        <v>94542</v>
      </c>
    </row>
    <row r="138" spans="1:11">
      <c r="A138" s="106">
        <f>A137+1</f>
        <v>137</v>
      </c>
      <c r="B138" s="41" t="s">
        <v>8</v>
      </c>
      <c r="C138" s="104" t="s">
        <v>1125</v>
      </c>
      <c r="D138" s="104">
        <v>60114</v>
      </c>
      <c r="E138" s="41">
        <v>0</v>
      </c>
      <c r="F138" s="85">
        <v>1981</v>
      </c>
      <c r="G138" s="41"/>
      <c r="H138" s="42"/>
      <c r="I138" s="41"/>
      <c r="J138" s="126">
        <v>325</v>
      </c>
      <c r="K138" s="170">
        <v>96802</v>
      </c>
    </row>
    <row r="139" spans="1:11">
      <c r="A139" s="106">
        <f>A138+1</f>
        <v>138</v>
      </c>
      <c r="B139" s="41" t="s">
        <v>8</v>
      </c>
      <c r="C139" s="104" t="s">
        <v>1122</v>
      </c>
      <c r="D139" s="104">
        <v>181724</v>
      </c>
      <c r="E139" s="41">
        <v>0</v>
      </c>
      <c r="F139" s="127">
        <v>1977</v>
      </c>
      <c r="G139" s="41"/>
      <c r="H139" s="42"/>
      <c r="I139" s="41"/>
      <c r="J139" s="126">
        <v>16</v>
      </c>
      <c r="K139" s="170">
        <v>96789</v>
      </c>
    </row>
    <row r="140" spans="1:11">
      <c r="A140" s="106">
        <f>A139+1</f>
        <v>139</v>
      </c>
      <c r="B140" s="41" t="s">
        <v>8</v>
      </c>
      <c r="C140" s="104" t="s">
        <v>1119</v>
      </c>
      <c r="D140" s="104">
        <v>87127</v>
      </c>
      <c r="E140" s="41">
        <v>0</v>
      </c>
      <c r="F140" s="104">
        <v>1988</v>
      </c>
      <c r="G140" s="41"/>
      <c r="H140" s="42"/>
      <c r="I140" s="41"/>
      <c r="J140" s="126">
        <v>2</v>
      </c>
      <c r="K140" s="170">
        <v>96809</v>
      </c>
    </row>
    <row r="141" spans="1:11">
      <c r="A141" s="106">
        <f>A140+1</f>
        <v>140</v>
      </c>
      <c r="B141" s="41" t="s">
        <v>8</v>
      </c>
      <c r="C141" s="104" t="s">
        <v>1120</v>
      </c>
      <c r="D141" s="104" t="s">
        <v>1133</v>
      </c>
      <c r="E141" s="41">
        <v>841843</v>
      </c>
      <c r="F141" s="127">
        <v>1986</v>
      </c>
      <c r="G141" s="41"/>
      <c r="H141" s="42"/>
      <c r="I141" s="41"/>
      <c r="J141" s="126">
        <v>39</v>
      </c>
      <c r="K141" s="170">
        <v>96791</v>
      </c>
    </row>
    <row r="142" spans="1:11">
      <c r="A142" s="106">
        <f>A141+1</f>
        <v>141</v>
      </c>
      <c r="B142" s="41" t="s">
        <v>8</v>
      </c>
      <c r="C142" s="130" t="s">
        <v>1122</v>
      </c>
      <c r="D142" s="130">
        <v>588544</v>
      </c>
      <c r="E142" s="41">
        <v>0</v>
      </c>
      <c r="F142" s="124">
        <v>1982</v>
      </c>
      <c r="G142" s="41"/>
      <c r="H142" s="42"/>
      <c r="I142" s="41"/>
      <c r="J142" s="146">
        <v>11</v>
      </c>
      <c r="K142" s="201">
        <v>97779</v>
      </c>
    </row>
    <row r="143" spans="1:11">
      <c r="A143" s="106">
        <f>A142+1</f>
        <v>142</v>
      </c>
      <c r="B143" s="41" t="s">
        <v>8</v>
      </c>
      <c r="C143" s="130" t="s">
        <v>1116</v>
      </c>
      <c r="D143" s="130">
        <v>5594</v>
      </c>
      <c r="E143" s="41">
        <v>0</v>
      </c>
      <c r="F143" s="124">
        <v>1979</v>
      </c>
      <c r="G143" s="41"/>
      <c r="H143" s="42"/>
      <c r="I143" s="41"/>
      <c r="J143" s="146">
        <v>6</v>
      </c>
      <c r="K143" s="201">
        <v>97776</v>
      </c>
    </row>
    <row r="144" spans="1:11">
      <c r="A144" s="106">
        <f>A143+1</f>
        <v>143</v>
      </c>
      <c r="B144" s="41" t="s">
        <v>8</v>
      </c>
      <c r="C144" s="130" t="s">
        <v>1122</v>
      </c>
      <c r="D144" s="130" t="s">
        <v>1134</v>
      </c>
      <c r="E144" s="41">
        <v>0</v>
      </c>
      <c r="F144" s="130">
        <v>1988</v>
      </c>
      <c r="G144" s="41"/>
      <c r="H144" s="42"/>
      <c r="I144" s="41"/>
      <c r="J144" s="146">
        <v>7</v>
      </c>
      <c r="K144" s="201">
        <v>97774</v>
      </c>
    </row>
    <row r="145" spans="1:11">
      <c r="A145" s="106">
        <f>A144+1</f>
        <v>144</v>
      </c>
      <c r="B145" s="41" t="s">
        <v>8</v>
      </c>
      <c r="C145" s="130" t="s">
        <v>1117</v>
      </c>
      <c r="D145" s="130">
        <v>35956</v>
      </c>
      <c r="E145" s="41">
        <v>0</v>
      </c>
      <c r="F145" s="124">
        <v>1982</v>
      </c>
      <c r="G145" s="41"/>
      <c r="H145" s="42"/>
      <c r="I145" s="41"/>
      <c r="J145" s="146">
        <v>4</v>
      </c>
      <c r="K145" s="201">
        <v>97773</v>
      </c>
    </row>
    <row r="146" spans="1:11">
      <c r="A146" s="106">
        <f>A145+1</f>
        <v>145</v>
      </c>
      <c r="B146" s="41" t="s">
        <v>8</v>
      </c>
      <c r="C146" s="130" t="s">
        <v>1135</v>
      </c>
      <c r="D146" s="130" t="s">
        <v>1136</v>
      </c>
      <c r="E146" s="41">
        <v>0</v>
      </c>
      <c r="F146" s="130">
        <v>1987</v>
      </c>
      <c r="G146" s="41"/>
      <c r="H146" s="42"/>
      <c r="I146" s="41"/>
      <c r="J146" s="146">
        <v>33</v>
      </c>
      <c r="K146" s="201">
        <v>97808</v>
      </c>
    </row>
    <row r="147" spans="1:11">
      <c r="A147" s="106">
        <f>A146+1</f>
        <v>146</v>
      </c>
      <c r="B147" s="41" t="s">
        <v>8</v>
      </c>
      <c r="C147" s="130" t="s">
        <v>1125</v>
      </c>
      <c r="D147" s="130">
        <v>75814</v>
      </c>
      <c r="E147" s="41">
        <v>0</v>
      </c>
      <c r="F147" s="124">
        <v>1984</v>
      </c>
      <c r="G147" s="41"/>
      <c r="H147" s="42"/>
      <c r="I147" s="41"/>
      <c r="J147" s="146">
        <v>32</v>
      </c>
      <c r="K147" s="201">
        <v>97803</v>
      </c>
    </row>
    <row r="148" spans="1:11">
      <c r="A148" s="106">
        <f>A147+1</f>
        <v>147</v>
      </c>
      <c r="B148" s="41" t="s">
        <v>8</v>
      </c>
      <c r="C148" s="130" t="s">
        <v>1118</v>
      </c>
      <c r="D148" s="130">
        <v>49147</v>
      </c>
      <c r="E148" s="41">
        <v>0</v>
      </c>
      <c r="F148" s="124">
        <v>1979</v>
      </c>
      <c r="G148" s="41"/>
      <c r="H148" s="42"/>
      <c r="I148" s="41"/>
      <c r="J148" s="146">
        <v>30</v>
      </c>
      <c r="K148" s="201">
        <v>98175</v>
      </c>
    </row>
    <row r="149" spans="1:11">
      <c r="A149" s="106">
        <f>A148+1</f>
        <v>148</v>
      </c>
      <c r="B149" s="41" t="s">
        <v>8</v>
      </c>
      <c r="C149" s="130" t="s">
        <v>1122</v>
      </c>
      <c r="D149" s="130">
        <v>143406</v>
      </c>
      <c r="E149" s="41">
        <v>0</v>
      </c>
      <c r="F149" s="124">
        <v>1974</v>
      </c>
      <c r="G149" s="41"/>
      <c r="H149" s="42"/>
      <c r="I149" s="41"/>
      <c r="J149" s="146">
        <v>9</v>
      </c>
      <c r="K149" s="201">
        <v>98109</v>
      </c>
    </row>
    <row r="150" spans="1:11">
      <c r="A150" s="106">
        <f>A149+1</f>
        <v>149</v>
      </c>
      <c r="B150" s="41" t="s">
        <v>8</v>
      </c>
      <c r="C150" s="130" t="s">
        <v>1117</v>
      </c>
      <c r="D150" s="130">
        <v>8725979</v>
      </c>
      <c r="E150" s="41">
        <v>0</v>
      </c>
      <c r="F150" s="130">
        <v>1987</v>
      </c>
      <c r="G150" s="41"/>
      <c r="H150" s="42"/>
      <c r="I150" s="41"/>
      <c r="J150" s="146">
        <v>6</v>
      </c>
      <c r="K150" s="201">
        <v>98106</v>
      </c>
    </row>
    <row r="151" spans="1:11">
      <c r="A151" s="106">
        <f>A150+1</f>
        <v>150</v>
      </c>
      <c r="B151" s="41" t="s">
        <v>8</v>
      </c>
      <c r="C151" s="130" t="s">
        <v>1116</v>
      </c>
      <c r="D151" s="130">
        <v>4541</v>
      </c>
      <c r="E151" s="41">
        <v>0</v>
      </c>
      <c r="F151" s="85">
        <v>1981</v>
      </c>
      <c r="G151" s="41"/>
      <c r="H151" s="42"/>
      <c r="I151" s="41"/>
      <c r="J151" s="146">
        <v>24</v>
      </c>
      <c r="K151" s="201">
        <v>98079</v>
      </c>
    </row>
    <row r="152" spans="1:11">
      <c r="A152" s="106">
        <f>A151+1</f>
        <v>151</v>
      </c>
      <c r="B152" s="41" t="s">
        <v>8</v>
      </c>
      <c r="C152" s="105" t="s">
        <v>1122</v>
      </c>
      <c r="D152" s="105">
        <v>536534</v>
      </c>
      <c r="E152" s="41">
        <v>84477</v>
      </c>
      <c r="F152" s="124">
        <v>1979</v>
      </c>
      <c r="G152" s="41"/>
      <c r="H152" s="42"/>
      <c r="I152" s="41"/>
      <c r="J152" s="128">
        <v>11</v>
      </c>
      <c r="K152" s="202">
        <v>99148</v>
      </c>
    </row>
    <row r="153" spans="1:11">
      <c r="A153" s="106">
        <f>A152+1</f>
        <v>152</v>
      </c>
      <c r="B153" s="41" t="s">
        <v>8</v>
      </c>
      <c r="C153" s="105" t="s">
        <v>1117</v>
      </c>
      <c r="D153" s="105">
        <v>8620073</v>
      </c>
      <c r="E153" s="41">
        <v>84474</v>
      </c>
      <c r="F153" s="127">
        <v>1986</v>
      </c>
      <c r="G153" s="41"/>
      <c r="H153" s="42"/>
      <c r="I153" s="41"/>
      <c r="J153" s="128">
        <v>17</v>
      </c>
      <c r="K153" s="202">
        <v>99147</v>
      </c>
    </row>
    <row r="154" spans="1:11">
      <c r="A154" s="106">
        <f>A153+1</f>
        <v>153</v>
      </c>
      <c r="B154" s="41" t="s">
        <v>8</v>
      </c>
      <c r="C154" s="105" t="s">
        <v>1119</v>
      </c>
      <c r="D154" s="105">
        <v>8228853</v>
      </c>
      <c r="E154" s="41">
        <v>84505</v>
      </c>
      <c r="F154" s="124">
        <v>1982</v>
      </c>
      <c r="G154" s="41"/>
      <c r="H154" s="42"/>
      <c r="I154" s="41"/>
      <c r="J154" s="128">
        <v>3</v>
      </c>
      <c r="K154" s="202">
        <v>99128</v>
      </c>
    </row>
    <row r="155" spans="1:11">
      <c r="A155" s="106">
        <f>A154+1</f>
        <v>154</v>
      </c>
      <c r="B155" s="41" t="s">
        <v>8</v>
      </c>
      <c r="C155" s="105" t="s">
        <v>1120</v>
      </c>
      <c r="D155" s="105">
        <v>43715</v>
      </c>
      <c r="E155" s="41">
        <v>84513</v>
      </c>
      <c r="F155" s="127">
        <v>1986</v>
      </c>
      <c r="G155" s="41"/>
      <c r="H155" s="42"/>
      <c r="I155" s="41"/>
      <c r="J155" s="128">
        <v>49</v>
      </c>
      <c r="K155" s="202">
        <v>99123</v>
      </c>
    </row>
    <row r="156" spans="1:11">
      <c r="A156" s="106">
        <f>A155+1</f>
        <v>155</v>
      </c>
      <c r="B156" s="41" t="s">
        <v>8</v>
      </c>
      <c r="C156" s="105" t="s">
        <v>1117</v>
      </c>
      <c r="D156" s="105">
        <v>27125</v>
      </c>
      <c r="E156" s="41">
        <v>84492</v>
      </c>
      <c r="F156" s="124">
        <v>1974</v>
      </c>
      <c r="G156" s="41"/>
      <c r="H156" s="42"/>
      <c r="I156" s="41"/>
      <c r="J156" s="128">
        <v>275</v>
      </c>
      <c r="K156" s="202">
        <v>99117</v>
      </c>
    </row>
    <row r="157" spans="1:11">
      <c r="A157" s="106">
        <f>A156+1</f>
        <v>156</v>
      </c>
      <c r="B157" s="41" t="s">
        <v>8</v>
      </c>
      <c r="C157" s="105" t="s">
        <v>1117</v>
      </c>
      <c r="D157" s="105">
        <v>45902</v>
      </c>
      <c r="E157" s="41">
        <v>84487</v>
      </c>
      <c r="F157" s="105">
        <v>1987</v>
      </c>
      <c r="G157" s="41"/>
      <c r="H157" s="42"/>
      <c r="I157" s="41"/>
      <c r="J157" s="128">
        <v>6</v>
      </c>
      <c r="K157" s="202">
        <v>99110</v>
      </c>
    </row>
    <row r="158" spans="1:11">
      <c r="A158" s="106">
        <f>A157+1</f>
        <v>157</v>
      </c>
      <c r="B158" s="41" t="s">
        <v>8</v>
      </c>
      <c r="C158" s="105" t="s">
        <v>1117</v>
      </c>
      <c r="D158" s="105">
        <v>193301</v>
      </c>
      <c r="E158" s="41">
        <v>33296</v>
      </c>
      <c r="F158" s="124">
        <v>1978</v>
      </c>
      <c r="G158" s="41"/>
      <c r="H158" s="42"/>
      <c r="I158" s="41"/>
      <c r="J158" s="128">
        <v>6</v>
      </c>
      <c r="K158" s="202">
        <v>100346</v>
      </c>
    </row>
    <row r="159" spans="1:11">
      <c r="A159" s="106">
        <f>A158+1</f>
        <v>158</v>
      </c>
      <c r="B159" s="41" t="s">
        <v>8</v>
      </c>
      <c r="C159" s="105" t="s">
        <v>1122</v>
      </c>
      <c r="D159" s="105">
        <v>25239</v>
      </c>
      <c r="E159" s="41">
        <v>84983</v>
      </c>
      <c r="F159" s="124">
        <v>1974</v>
      </c>
      <c r="G159" s="41"/>
      <c r="H159" s="42"/>
      <c r="I159" s="41"/>
      <c r="J159" s="128">
        <v>17</v>
      </c>
      <c r="K159" s="202">
        <v>100340</v>
      </c>
    </row>
    <row r="160" spans="1:11">
      <c r="A160" s="106">
        <f>A159+1</f>
        <v>159</v>
      </c>
      <c r="B160" s="41" t="s">
        <v>8</v>
      </c>
      <c r="C160" s="105" t="s">
        <v>1117</v>
      </c>
      <c r="D160" s="105">
        <v>21227</v>
      </c>
      <c r="E160" s="41">
        <v>85025</v>
      </c>
      <c r="F160" s="127">
        <v>1973</v>
      </c>
      <c r="G160" s="41"/>
      <c r="H160" s="42"/>
      <c r="I160" s="41"/>
      <c r="J160" s="128">
        <v>7</v>
      </c>
      <c r="K160" s="202">
        <v>100316</v>
      </c>
    </row>
    <row r="161" spans="1:11">
      <c r="A161" s="106">
        <f>A160+1</f>
        <v>160</v>
      </c>
      <c r="B161" s="41" t="s">
        <v>8</v>
      </c>
      <c r="C161" s="105" t="s">
        <v>1117</v>
      </c>
      <c r="D161" s="105">
        <v>41359</v>
      </c>
      <c r="E161" s="41">
        <v>84988</v>
      </c>
      <c r="F161" s="127">
        <v>1971</v>
      </c>
      <c r="G161" s="41"/>
      <c r="H161" s="42"/>
      <c r="I161" s="41"/>
      <c r="J161" s="128">
        <v>8</v>
      </c>
      <c r="K161" s="202">
        <v>100314</v>
      </c>
    </row>
    <row r="162" spans="1:11">
      <c r="A162" s="106">
        <f>A161+1</f>
        <v>161</v>
      </c>
      <c r="B162" s="41" t="s">
        <v>8</v>
      </c>
      <c r="C162" s="105" t="s">
        <v>1130</v>
      </c>
      <c r="D162" s="105">
        <v>163072</v>
      </c>
      <c r="E162" s="41">
        <v>84989</v>
      </c>
      <c r="F162" s="127">
        <v>1971</v>
      </c>
      <c r="G162" s="41"/>
      <c r="H162" s="42"/>
      <c r="I162" s="41"/>
      <c r="J162" s="128">
        <v>11</v>
      </c>
      <c r="K162" s="202">
        <v>100307</v>
      </c>
    </row>
    <row r="163" spans="1:11">
      <c r="A163" s="106">
        <f>A162+1</f>
        <v>162</v>
      </c>
      <c r="B163" s="41" t="s">
        <v>8</v>
      </c>
      <c r="C163" s="105" t="s">
        <v>1122</v>
      </c>
      <c r="D163" s="105">
        <v>19357</v>
      </c>
      <c r="E163" s="41">
        <v>84990</v>
      </c>
      <c r="F163" s="127">
        <v>1973</v>
      </c>
      <c r="G163" s="41"/>
      <c r="H163" s="42"/>
      <c r="I163" s="41"/>
      <c r="J163" s="128">
        <v>34</v>
      </c>
      <c r="K163" s="202">
        <v>100295</v>
      </c>
    </row>
    <row r="164" spans="1:11">
      <c r="A164" s="106">
        <f>A163+1</f>
        <v>163</v>
      </c>
      <c r="B164" s="41" t="s">
        <v>8</v>
      </c>
      <c r="C164" s="105" t="s">
        <v>1120</v>
      </c>
      <c r="D164" s="105" t="s">
        <v>1137</v>
      </c>
      <c r="E164" s="41">
        <v>85008</v>
      </c>
      <c r="F164" s="124">
        <v>1983</v>
      </c>
      <c r="G164" s="41"/>
      <c r="H164" s="42"/>
      <c r="I164" s="41"/>
      <c r="J164" s="128">
        <v>171</v>
      </c>
      <c r="K164" s="202">
        <v>100289</v>
      </c>
    </row>
    <row r="165" spans="1:11">
      <c r="A165" s="106">
        <f>A164+1</f>
        <v>164</v>
      </c>
      <c r="B165" s="41" t="s">
        <v>8</v>
      </c>
      <c r="C165" s="104">
        <v>0</v>
      </c>
      <c r="D165" s="104">
        <v>189257</v>
      </c>
      <c r="E165" s="41">
        <v>85513</v>
      </c>
      <c r="F165" s="124">
        <v>1984</v>
      </c>
      <c r="G165" s="41"/>
      <c r="H165" s="42"/>
      <c r="I165" s="41"/>
      <c r="J165" s="126">
        <v>2</v>
      </c>
      <c r="K165" s="170">
        <v>101524</v>
      </c>
    </row>
    <row r="166" spans="1:11">
      <c r="A166" s="106">
        <f>A165+1</f>
        <v>165</v>
      </c>
      <c r="B166" s="41" t="s">
        <v>8</v>
      </c>
      <c r="C166" s="104" t="s">
        <v>1122</v>
      </c>
      <c r="D166" s="104">
        <v>78522</v>
      </c>
      <c r="E166" s="41">
        <v>687</v>
      </c>
      <c r="F166" s="124">
        <v>1985</v>
      </c>
      <c r="G166" s="41"/>
      <c r="H166" s="42"/>
      <c r="I166" s="41"/>
      <c r="J166" s="126">
        <v>44</v>
      </c>
      <c r="K166" s="170">
        <v>101499</v>
      </c>
    </row>
    <row r="167" spans="1:11">
      <c r="A167" s="106">
        <f>A166+1</f>
        <v>166</v>
      </c>
      <c r="B167" s="41" t="s">
        <v>8</v>
      </c>
      <c r="C167" s="104" t="s">
        <v>1125</v>
      </c>
      <c r="D167" s="104">
        <v>21493</v>
      </c>
      <c r="E167" s="41">
        <v>0</v>
      </c>
      <c r="F167" s="127">
        <v>1973</v>
      </c>
      <c r="G167" s="41"/>
      <c r="H167" s="42"/>
      <c r="I167" s="41"/>
      <c r="J167" s="126">
        <v>43</v>
      </c>
      <c r="K167" s="170">
        <v>101498</v>
      </c>
    </row>
    <row r="168" spans="1:11">
      <c r="A168" s="106">
        <f>A167+1</f>
        <v>167</v>
      </c>
      <c r="B168" s="41" t="s">
        <v>8</v>
      </c>
      <c r="C168" s="104" t="s">
        <v>1117</v>
      </c>
      <c r="D168" s="104">
        <v>79424</v>
      </c>
      <c r="E168" s="41">
        <v>85502</v>
      </c>
      <c r="F168" s="124">
        <v>1985</v>
      </c>
      <c r="G168" s="41"/>
      <c r="H168" s="42"/>
      <c r="I168" s="41"/>
      <c r="J168" s="126">
        <v>184</v>
      </c>
      <c r="K168" s="170">
        <v>101495</v>
      </c>
    </row>
    <row r="169" spans="1:11">
      <c r="A169" s="106">
        <f>A168+1</f>
        <v>168</v>
      </c>
      <c r="B169" s="41" t="s">
        <v>8</v>
      </c>
      <c r="C169" s="104" t="s">
        <v>1122</v>
      </c>
      <c r="D169" s="104">
        <v>8726060</v>
      </c>
      <c r="E169" s="41">
        <v>85519</v>
      </c>
      <c r="F169" s="104">
        <v>1987</v>
      </c>
      <c r="G169" s="41"/>
      <c r="H169" s="42"/>
      <c r="I169" s="41"/>
      <c r="J169" s="126">
        <v>7</v>
      </c>
      <c r="K169" s="170">
        <v>101484</v>
      </c>
    </row>
    <row r="170" spans="1:11">
      <c r="A170" s="106">
        <f>A169+1</f>
        <v>169</v>
      </c>
      <c r="B170" s="41" t="s">
        <v>8</v>
      </c>
      <c r="C170" s="104">
        <v>0</v>
      </c>
      <c r="D170" s="104">
        <v>23976</v>
      </c>
      <c r="E170" s="41">
        <v>85524</v>
      </c>
      <c r="F170" s="124">
        <v>1982</v>
      </c>
      <c r="G170" s="41"/>
      <c r="H170" s="42"/>
      <c r="I170" s="41"/>
      <c r="J170" s="126">
        <v>7</v>
      </c>
      <c r="K170" s="170">
        <v>101471</v>
      </c>
    </row>
    <row r="171" spans="1:11">
      <c r="A171" s="106">
        <f>A170+1</f>
        <v>170</v>
      </c>
      <c r="B171" s="41" t="s">
        <v>8</v>
      </c>
      <c r="C171" s="104" t="s">
        <v>1122</v>
      </c>
      <c r="D171" s="104">
        <v>34232</v>
      </c>
      <c r="E171" s="41">
        <v>85580</v>
      </c>
      <c r="F171" s="85">
        <v>1981</v>
      </c>
      <c r="G171" s="41"/>
      <c r="H171" s="42"/>
      <c r="I171" s="41"/>
      <c r="J171" s="126">
        <v>2</v>
      </c>
      <c r="K171" s="170">
        <v>102119</v>
      </c>
    </row>
    <row r="172" spans="1:11">
      <c r="A172" s="106">
        <f>A171+1</f>
        <v>171</v>
      </c>
      <c r="B172" s="41" t="s">
        <v>8</v>
      </c>
      <c r="C172" s="104" t="s">
        <v>1125</v>
      </c>
      <c r="D172" s="104">
        <v>8726067</v>
      </c>
      <c r="E172" s="41">
        <v>85574</v>
      </c>
      <c r="F172" s="104">
        <v>1987</v>
      </c>
      <c r="G172" s="41"/>
      <c r="H172" s="42"/>
      <c r="I172" s="41"/>
      <c r="J172" s="126">
        <v>2</v>
      </c>
      <c r="K172" s="170">
        <v>102072</v>
      </c>
    </row>
    <row r="173" spans="1:11">
      <c r="A173" s="106">
        <f>A172+1</f>
        <v>172</v>
      </c>
      <c r="B173" s="41" t="s">
        <v>8</v>
      </c>
      <c r="C173" s="104" t="s">
        <v>1122</v>
      </c>
      <c r="D173" s="104">
        <v>13562</v>
      </c>
      <c r="E173" s="41">
        <v>86048</v>
      </c>
      <c r="F173" s="104">
        <v>1987</v>
      </c>
      <c r="G173" s="41"/>
      <c r="H173" s="42"/>
      <c r="I173" s="41"/>
      <c r="J173" s="126">
        <v>6</v>
      </c>
      <c r="K173" s="170">
        <v>103610</v>
      </c>
    </row>
    <row r="174" spans="1:11">
      <c r="A174" s="106">
        <f>A173+1</f>
        <v>173</v>
      </c>
      <c r="B174" s="41" t="s">
        <v>8</v>
      </c>
      <c r="C174" s="104" t="s">
        <v>1122</v>
      </c>
      <c r="D174" s="104">
        <v>55906</v>
      </c>
      <c r="E174" s="41">
        <v>86016</v>
      </c>
      <c r="F174" s="127">
        <v>1971</v>
      </c>
      <c r="G174" s="41"/>
      <c r="H174" s="42"/>
      <c r="I174" s="41"/>
      <c r="J174" s="126">
        <v>30</v>
      </c>
      <c r="K174" s="170">
        <v>103609</v>
      </c>
    </row>
    <row r="175" spans="1:11">
      <c r="A175" s="106">
        <f>A174+1</f>
        <v>174</v>
      </c>
      <c r="B175" s="41" t="s">
        <v>8</v>
      </c>
      <c r="C175" s="104" t="s">
        <v>1119</v>
      </c>
      <c r="D175" s="104">
        <v>9702</v>
      </c>
      <c r="E175" s="41">
        <v>83351</v>
      </c>
      <c r="F175" s="127">
        <v>1986</v>
      </c>
      <c r="G175" s="41"/>
      <c r="H175" s="42"/>
      <c r="I175" s="41"/>
      <c r="J175" s="126">
        <v>30</v>
      </c>
      <c r="K175" s="170">
        <v>103608</v>
      </c>
    </row>
    <row r="176" spans="1:11">
      <c r="A176" s="106">
        <f>A175+1</f>
        <v>175</v>
      </c>
      <c r="B176" s="41" t="s">
        <v>8</v>
      </c>
      <c r="C176" s="104" t="s">
        <v>1125</v>
      </c>
      <c r="D176" s="104">
        <v>5883</v>
      </c>
      <c r="E176" s="41">
        <v>86093</v>
      </c>
      <c r="F176" s="85">
        <v>1981</v>
      </c>
      <c r="G176" s="41"/>
      <c r="H176" s="42"/>
      <c r="I176" s="41"/>
      <c r="J176" s="126">
        <v>15</v>
      </c>
      <c r="K176" s="170">
        <v>104306</v>
      </c>
    </row>
    <row r="177" spans="1:11">
      <c r="A177" s="106">
        <f>A176+1</f>
        <v>176</v>
      </c>
      <c r="B177" s="41" t="s">
        <v>8</v>
      </c>
      <c r="C177" s="104" t="s">
        <v>1116</v>
      </c>
      <c r="D177" s="104">
        <v>5591</v>
      </c>
      <c r="E177" s="41">
        <v>86098</v>
      </c>
      <c r="F177" s="124">
        <v>1979</v>
      </c>
      <c r="G177" s="41"/>
      <c r="H177" s="42"/>
      <c r="I177" s="41"/>
      <c r="J177" s="126">
        <v>2</v>
      </c>
      <c r="K177" s="170">
        <v>104305</v>
      </c>
    </row>
    <row r="178" spans="1:11">
      <c r="A178" s="106">
        <f>A177+1</f>
        <v>177</v>
      </c>
      <c r="B178" s="41" t="s">
        <v>8</v>
      </c>
      <c r="C178" s="104" t="s">
        <v>1116</v>
      </c>
      <c r="D178" s="104">
        <v>6165</v>
      </c>
      <c r="E178" s="41">
        <v>86113</v>
      </c>
      <c r="F178" s="85">
        <v>1980</v>
      </c>
      <c r="G178" s="41"/>
      <c r="H178" s="42"/>
      <c r="I178" s="41"/>
      <c r="J178" s="126">
        <v>2</v>
      </c>
      <c r="K178" s="170">
        <v>104301</v>
      </c>
    </row>
    <row r="179" spans="1:11">
      <c r="A179" s="106">
        <f>A178+1</f>
        <v>178</v>
      </c>
      <c r="B179" s="41" t="s">
        <v>8</v>
      </c>
      <c r="C179" s="104" t="s">
        <v>1122</v>
      </c>
      <c r="D179" s="104">
        <v>97256</v>
      </c>
      <c r="E179" s="41">
        <v>86101</v>
      </c>
      <c r="F179" s="104">
        <v>1987</v>
      </c>
      <c r="G179" s="41"/>
      <c r="H179" s="42"/>
      <c r="I179" s="41"/>
      <c r="J179" s="126">
        <v>8</v>
      </c>
      <c r="K179" s="170">
        <v>104289</v>
      </c>
    </row>
    <row r="180" spans="1:11">
      <c r="A180" s="106">
        <f>A179+1</f>
        <v>179</v>
      </c>
      <c r="B180" s="41" t="s">
        <v>8</v>
      </c>
      <c r="C180" s="104" t="s">
        <v>1119</v>
      </c>
      <c r="D180" s="104">
        <v>4938</v>
      </c>
      <c r="E180" s="41">
        <v>86087</v>
      </c>
      <c r="F180" s="85">
        <v>1981</v>
      </c>
      <c r="G180" s="41"/>
      <c r="H180" s="42"/>
      <c r="I180" s="41"/>
      <c r="J180" s="126">
        <v>15</v>
      </c>
      <c r="K180" s="170">
        <v>104284</v>
      </c>
    </row>
    <row r="181" spans="1:11">
      <c r="A181" s="106">
        <f>A180+1</f>
        <v>180</v>
      </c>
      <c r="B181" s="41" t="s">
        <v>8</v>
      </c>
      <c r="C181" s="41" t="s">
        <v>1138</v>
      </c>
      <c r="D181" s="123">
        <v>67199</v>
      </c>
      <c r="E181" s="41">
        <v>87280</v>
      </c>
      <c r="F181" s="85">
        <v>1985</v>
      </c>
      <c r="G181" s="41"/>
      <c r="H181" s="42"/>
      <c r="I181" s="41"/>
      <c r="J181" s="125">
        <v>636</v>
      </c>
      <c r="K181" s="198">
        <v>109739</v>
      </c>
    </row>
    <row r="182" spans="1:11">
      <c r="A182" s="106">
        <f>A181+1</f>
        <v>181</v>
      </c>
      <c r="B182" s="41" t="s">
        <v>8</v>
      </c>
      <c r="C182" s="41" t="s">
        <v>1138</v>
      </c>
      <c r="D182" s="123">
        <v>8828251</v>
      </c>
      <c r="E182" s="41">
        <v>86884</v>
      </c>
      <c r="F182" s="123">
        <v>1988</v>
      </c>
      <c r="G182" s="41"/>
      <c r="H182" s="42"/>
      <c r="I182" s="41"/>
      <c r="J182" s="125">
        <v>17</v>
      </c>
      <c r="K182" s="198">
        <v>110093</v>
      </c>
    </row>
    <row r="183" spans="1:11">
      <c r="A183" s="106">
        <f>A182+1</f>
        <v>182</v>
      </c>
      <c r="B183" s="41" t="s">
        <v>8</v>
      </c>
      <c r="C183" s="41" t="s">
        <v>1138</v>
      </c>
      <c r="D183" s="123">
        <v>217625</v>
      </c>
      <c r="E183" s="41">
        <v>86902</v>
      </c>
      <c r="F183" s="123">
        <v>1975</v>
      </c>
      <c r="G183" s="41"/>
      <c r="H183" s="42"/>
      <c r="I183" s="41"/>
      <c r="J183" s="125">
        <v>2</v>
      </c>
      <c r="K183" s="198">
        <v>110064</v>
      </c>
    </row>
    <row r="184" spans="1:11">
      <c r="A184" s="106">
        <f>A183+1</f>
        <v>183</v>
      </c>
      <c r="B184" s="41" t="s">
        <v>8</v>
      </c>
      <c r="C184" s="41" t="s">
        <v>1138</v>
      </c>
      <c r="D184" s="123">
        <v>2034</v>
      </c>
      <c r="E184" s="41">
        <v>203243</v>
      </c>
      <c r="F184" s="123">
        <v>1986</v>
      </c>
      <c r="G184" s="41"/>
      <c r="H184" s="42"/>
      <c r="I184" s="41"/>
      <c r="J184" s="125">
        <v>5</v>
      </c>
      <c r="K184" s="198">
        <v>110050</v>
      </c>
    </row>
    <row r="185" spans="1:11">
      <c r="A185" s="106">
        <f>A184+1</f>
        <v>184</v>
      </c>
      <c r="B185" s="41" t="s">
        <v>8</v>
      </c>
      <c r="C185" s="41" t="s">
        <v>1138</v>
      </c>
      <c r="D185" s="123">
        <v>6138</v>
      </c>
      <c r="E185" s="41">
        <v>87443</v>
      </c>
      <c r="F185" s="123">
        <v>1981</v>
      </c>
      <c r="G185" s="41"/>
      <c r="H185" s="42"/>
      <c r="I185" s="41"/>
      <c r="J185" s="125">
        <v>5</v>
      </c>
      <c r="K185" s="198">
        <v>111700</v>
      </c>
    </row>
    <row r="186" spans="1:11">
      <c r="A186" s="106">
        <f>A185+1</f>
        <v>185</v>
      </c>
      <c r="B186" s="41" t="s">
        <v>8</v>
      </c>
      <c r="C186" s="41" t="s">
        <v>1138</v>
      </c>
      <c r="D186" s="123">
        <v>198786</v>
      </c>
      <c r="E186" s="41">
        <v>87426</v>
      </c>
      <c r="F186" s="123">
        <v>1978</v>
      </c>
      <c r="G186" s="41"/>
      <c r="H186" s="42"/>
      <c r="I186" s="41"/>
      <c r="J186" s="125">
        <v>5</v>
      </c>
      <c r="K186" s="198">
        <v>111692</v>
      </c>
    </row>
    <row r="187" spans="1:11">
      <c r="A187" s="106">
        <f>A186+1</f>
        <v>186</v>
      </c>
      <c r="B187" s="41" t="s">
        <v>8</v>
      </c>
      <c r="C187" s="41" t="s">
        <v>1138</v>
      </c>
      <c r="D187" s="123">
        <v>19399</v>
      </c>
      <c r="E187" s="41">
        <v>87433</v>
      </c>
      <c r="F187" s="123">
        <v>1973</v>
      </c>
      <c r="G187" s="41"/>
      <c r="H187" s="42"/>
      <c r="I187" s="41"/>
      <c r="J187" s="125">
        <v>5</v>
      </c>
      <c r="K187" s="198">
        <v>111687</v>
      </c>
    </row>
    <row r="188" spans="1:11">
      <c r="A188" s="106">
        <f>A187+1</f>
        <v>187</v>
      </c>
      <c r="B188" s="41" t="s">
        <v>8</v>
      </c>
      <c r="C188" s="41" t="s">
        <v>1138</v>
      </c>
      <c r="D188" s="123">
        <v>42436</v>
      </c>
      <c r="E188" s="41">
        <v>87440</v>
      </c>
      <c r="F188" s="127">
        <v>1978</v>
      </c>
      <c r="G188" s="41"/>
      <c r="H188" s="42"/>
      <c r="I188" s="41"/>
      <c r="J188" s="125">
        <v>4</v>
      </c>
      <c r="K188" s="198">
        <v>111686</v>
      </c>
    </row>
    <row r="189" spans="1:11">
      <c r="A189" s="106">
        <f>A188+1</f>
        <v>188</v>
      </c>
      <c r="B189" s="41" t="s">
        <v>8</v>
      </c>
      <c r="C189" s="41" t="s">
        <v>1138</v>
      </c>
      <c r="D189" s="123">
        <v>8615391</v>
      </c>
      <c r="E189" s="41">
        <v>87502</v>
      </c>
      <c r="F189" s="123">
        <v>1986</v>
      </c>
      <c r="G189" s="41"/>
      <c r="H189" s="42"/>
      <c r="I189" s="41"/>
      <c r="J189" s="125">
        <v>24</v>
      </c>
      <c r="K189" s="198">
        <v>112377</v>
      </c>
    </row>
    <row r="190" spans="1:11">
      <c r="A190" s="106">
        <f>A189+1</f>
        <v>189</v>
      </c>
      <c r="B190" s="41" t="s">
        <v>8</v>
      </c>
      <c r="C190" s="41" t="s">
        <v>1138</v>
      </c>
      <c r="D190" s="123">
        <v>54349</v>
      </c>
      <c r="E190" s="41">
        <v>87492</v>
      </c>
      <c r="F190" s="123">
        <v>1980</v>
      </c>
      <c r="G190" s="41"/>
      <c r="H190" s="42"/>
      <c r="I190" s="41"/>
      <c r="J190" s="125">
        <v>595</v>
      </c>
      <c r="K190" s="198">
        <v>112288</v>
      </c>
    </row>
    <row r="191" spans="1:11">
      <c r="A191" s="106">
        <f>A190+1</f>
        <v>190</v>
      </c>
      <c r="B191" s="41" t="s">
        <v>8</v>
      </c>
      <c r="C191" s="41" t="s">
        <v>1138</v>
      </c>
      <c r="D191" s="123">
        <v>62024</v>
      </c>
      <c r="E191" s="41">
        <v>87511</v>
      </c>
      <c r="F191" s="127">
        <v>1981</v>
      </c>
      <c r="G191" s="41"/>
      <c r="H191" s="42"/>
      <c r="I191" s="41"/>
      <c r="J191" s="125">
        <v>27</v>
      </c>
      <c r="K191" s="198">
        <v>112571</v>
      </c>
    </row>
    <row r="192" spans="1:11">
      <c r="A192" s="106">
        <f>A191+1</f>
        <v>191</v>
      </c>
      <c r="B192" s="41" t="s">
        <v>8</v>
      </c>
      <c r="C192" s="41" t="s">
        <v>1138</v>
      </c>
      <c r="D192" s="123">
        <v>148506</v>
      </c>
      <c r="E192" s="41">
        <v>87535</v>
      </c>
      <c r="F192" s="123">
        <v>1975</v>
      </c>
      <c r="G192" s="41"/>
      <c r="H192" s="42"/>
      <c r="I192" s="41"/>
      <c r="J192" s="125">
        <v>4</v>
      </c>
      <c r="K192" s="198">
        <v>112564</v>
      </c>
    </row>
    <row r="193" spans="1:11">
      <c r="A193" s="106">
        <f>A192+1</f>
        <v>192</v>
      </c>
      <c r="B193" s="41" t="s">
        <v>8</v>
      </c>
      <c r="C193" s="41" t="s">
        <v>1138</v>
      </c>
      <c r="D193" s="123">
        <v>75540</v>
      </c>
      <c r="E193" s="41">
        <v>87518</v>
      </c>
      <c r="F193" s="123">
        <v>1984</v>
      </c>
      <c r="G193" s="41"/>
      <c r="H193" s="42"/>
      <c r="I193" s="41"/>
      <c r="J193" s="125">
        <v>22</v>
      </c>
      <c r="K193" s="198">
        <v>112544</v>
      </c>
    </row>
    <row r="194" spans="1:11">
      <c r="A194" s="106">
        <f>A193+1</f>
        <v>193</v>
      </c>
      <c r="B194" s="41" t="s">
        <v>8</v>
      </c>
      <c r="C194" s="41" t="s">
        <v>1138</v>
      </c>
      <c r="D194" s="123">
        <v>9118066</v>
      </c>
      <c r="E194" s="41">
        <v>87549</v>
      </c>
      <c r="F194" s="123">
        <v>1981</v>
      </c>
      <c r="G194" s="41"/>
      <c r="H194" s="42"/>
      <c r="I194" s="41"/>
      <c r="J194" s="125">
        <v>14</v>
      </c>
      <c r="K194" s="198">
        <v>112542</v>
      </c>
    </row>
    <row r="195" spans="1:11">
      <c r="A195" s="106">
        <f>A194+1</f>
        <v>194</v>
      </c>
      <c r="B195" s="41" t="s">
        <v>8</v>
      </c>
      <c r="C195" s="41" t="s">
        <v>1138</v>
      </c>
      <c r="D195" s="123">
        <v>8725040</v>
      </c>
      <c r="E195" s="41">
        <v>87536</v>
      </c>
      <c r="F195" s="123">
        <v>1987</v>
      </c>
      <c r="G195" s="41"/>
      <c r="H195" s="42"/>
      <c r="I195" s="41"/>
      <c r="J195" s="125">
        <v>6</v>
      </c>
      <c r="K195" s="198">
        <v>112540</v>
      </c>
    </row>
    <row r="196" spans="1:11">
      <c r="A196" s="106">
        <f>A195+1</f>
        <v>195</v>
      </c>
      <c r="B196" s="41" t="s">
        <v>8</v>
      </c>
      <c r="C196" s="41" t="s">
        <v>1138</v>
      </c>
      <c r="D196" s="123">
        <v>20866</v>
      </c>
      <c r="E196" s="41">
        <v>87517</v>
      </c>
      <c r="F196" s="123">
        <v>1978</v>
      </c>
      <c r="G196" s="41"/>
      <c r="H196" s="42"/>
      <c r="I196" s="41"/>
      <c r="J196" s="125">
        <v>27</v>
      </c>
      <c r="K196" s="198">
        <v>112529</v>
      </c>
    </row>
    <row r="197" spans="1:11">
      <c r="A197" s="106">
        <f>A196+1</f>
        <v>196</v>
      </c>
      <c r="B197" s="41" t="s">
        <v>8</v>
      </c>
      <c r="C197" s="41" t="s">
        <v>1138</v>
      </c>
      <c r="D197" s="123" t="s">
        <v>1139</v>
      </c>
      <c r="E197" s="41">
        <v>87523</v>
      </c>
      <c r="F197" s="123">
        <v>1987</v>
      </c>
      <c r="G197" s="41"/>
      <c r="H197" s="42"/>
      <c r="I197" s="41"/>
      <c r="J197" s="125">
        <v>7</v>
      </c>
      <c r="K197" s="198">
        <v>112527</v>
      </c>
    </row>
    <row r="198" spans="1:11">
      <c r="A198" s="106">
        <f>A197+1</f>
        <v>197</v>
      </c>
      <c r="B198" s="41" t="s">
        <v>8</v>
      </c>
      <c r="C198" s="41" t="s">
        <v>1138</v>
      </c>
      <c r="D198" s="123">
        <v>556506</v>
      </c>
      <c r="E198" s="41">
        <v>87574</v>
      </c>
      <c r="F198" s="123">
        <v>1980</v>
      </c>
      <c r="G198" s="41"/>
      <c r="H198" s="42"/>
      <c r="I198" s="41"/>
      <c r="J198" s="125">
        <v>31</v>
      </c>
      <c r="K198" s="198">
        <v>6313</v>
      </c>
    </row>
    <row r="199" spans="1:11">
      <c r="A199" s="106">
        <f>A198+1</f>
        <v>198</v>
      </c>
      <c r="B199" s="41" t="s">
        <v>8</v>
      </c>
      <c r="C199" s="41" t="s">
        <v>1138</v>
      </c>
      <c r="D199" s="123">
        <v>8618368</v>
      </c>
      <c r="E199" s="41">
        <v>87573</v>
      </c>
      <c r="F199" s="123">
        <v>1986</v>
      </c>
      <c r="G199" s="41"/>
      <c r="H199" s="42"/>
      <c r="I199" s="41"/>
      <c r="J199" s="125">
        <v>11</v>
      </c>
      <c r="K199" s="198">
        <v>6291</v>
      </c>
    </row>
    <row r="200" spans="1:11">
      <c r="A200" s="106">
        <f>A199+1</f>
        <v>199</v>
      </c>
      <c r="B200" s="41" t="s">
        <v>8</v>
      </c>
      <c r="C200" s="41" t="s">
        <v>1138</v>
      </c>
      <c r="D200" s="123">
        <v>41997</v>
      </c>
      <c r="E200" s="41">
        <v>87791</v>
      </c>
      <c r="F200" s="123">
        <v>1985</v>
      </c>
      <c r="G200" s="41"/>
      <c r="H200" s="42"/>
      <c r="I200" s="41"/>
      <c r="J200" s="125">
        <v>2</v>
      </c>
      <c r="K200" s="198">
        <v>6655</v>
      </c>
    </row>
    <row r="201" spans="1:11">
      <c r="A201" s="106">
        <f>A200+1</f>
        <v>200</v>
      </c>
      <c r="B201" s="41" t="s">
        <v>8</v>
      </c>
      <c r="C201" s="41" t="s">
        <v>1138</v>
      </c>
      <c r="D201" s="104">
        <v>7955</v>
      </c>
      <c r="E201" s="41">
        <v>0</v>
      </c>
      <c r="F201" s="104">
        <v>1984</v>
      </c>
      <c r="G201" s="41"/>
      <c r="H201" s="42"/>
      <c r="I201" s="41"/>
      <c r="J201" s="126">
        <v>21</v>
      </c>
      <c r="K201" s="170">
        <v>7299</v>
      </c>
    </row>
    <row r="202" spans="1:11">
      <c r="A202" s="106">
        <f>A201+1</f>
        <v>201</v>
      </c>
      <c r="B202" s="41" t="s">
        <v>8</v>
      </c>
      <c r="C202" s="41" t="s">
        <v>1138</v>
      </c>
      <c r="D202" s="104">
        <v>81976</v>
      </c>
      <c r="E202" s="41">
        <v>87824</v>
      </c>
      <c r="F202" s="104">
        <v>1985</v>
      </c>
      <c r="G202" s="41"/>
      <c r="H202" s="42"/>
      <c r="I202" s="41"/>
      <c r="J202" s="126">
        <v>9</v>
      </c>
      <c r="K202" s="170">
        <v>7295</v>
      </c>
    </row>
    <row r="203" spans="1:11">
      <c r="A203" s="106">
        <f>A202+1</f>
        <v>202</v>
      </c>
      <c r="B203" s="41" t="s">
        <v>8</v>
      </c>
      <c r="C203" s="41" t="s">
        <v>1138</v>
      </c>
      <c r="D203" s="104">
        <v>123183</v>
      </c>
      <c r="E203" s="41">
        <v>87877</v>
      </c>
      <c r="F203" s="104">
        <v>1972</v>
      </c>
      <c r="G203" s="41"/>
      <c r="H203" s="42"/>
      <c r="I203" s="41"/>
      <c r="J203" s="126">
        <v>125</v>
      </c>
      <c r="K203" s="170">
        <v>7859</v>
      </c>
    </row>
    <row r="204" spans="1:11">
      <c r="A204" s="106">
        <f>A203+1</f>
        <v>203</v>
      </c>
      <c r="B204" s="41" t="s">
        <v>8</v>
      </c>
      <c r="C204" s="41" t="s">
        <v>1138</v>
      </c>
      <c r="D204" s="104">
        <v>23913</v>
      </c>
      <c r="E204" s="41">
        <v>87910</v>
      </c>
      <c r="F204" s="104">
        <v>1975</v>
      </c>
      <c r="G204" s="41"/>
      <c r="H204" s="42"/>
      <c r="I204" s="41"/>
      <c r="J204" s="126">
        <v>16</v>
      </c>
      <c r="K204" s="170">
        <v>7842</v>
      </c>
    </row>
    <row r="205" spans="1:11">
      <c r="A205" s="106">
        <f>A204+1</f>
        <v>204</v>
      </c>
      <c r="B205" s="41" t="s">
        <v>8</v>
      </c>
      <c r="C205" s="41" t="s">
        <v>1138</v>
      </c>
      <c r="D205" s="104">
        <v>25410</v>
      </c>
      <c r="E205" s="41">
        <v>87874</v>
      </c>
      <c r="F205" s="124">
        <v>1966</v>
      </c>
      <c r="G205" s="41"/>
      <c r="H205" s="42"/>
      <c r="I205" s="41"/>
      <c r="J205" s="126">
        <v>47</v>
      </c>
      <c r="K205" s="170">
        <v>7841</v>
      </c>
    </row>
    <row r="206" spans="1:11">
      <c r="A206" s="106">
        <f>A205+1</f>
        <v>205</v>
      </c>
      <c r="B206" s="41" t="s">
        <v>8</v>
      </c>
      <c r="C206" s="41" t="s">
        <v>1138</v>
      </c>
      <c r="D206" s="104">
        <v>1586</v>
      </c>
      <c r="E206" s="41">
        <v>77772</v>
      </c>
      <c r="F206" s="104">
        <v>1978</v>
      </c>
      <c r="G206" s="41"/>
      <c r="H206" s="42"/>
      <c r="I206" s="41"/>
      <c r="J206" s="126">
        <v>5</v>
      </c>
      <c r="K206" s="170">
        <v>7810</v>
      </c>
    </row>
    <row r="207" spans="1:11">
      <c r="A207" s="106">
        <f>A206+1</f>
        <v>206</v>
      </c>
      <c r="B207" s="41" t="s">
        <v>8</v>
      </c>
      <c r="C207" s="41" t="s">
        <v>1138</v>
      </c>
      <c r="D207" s="104">
        <v>3947</v>
      </c>
      <c r="E207" s="41">
        <v>87894</v>
      </c>
      <c r="F207" s="124">
        <v>1988</v>
      </c>
      <c r="G207" s="41"/>
      <c r="H207" s="42"/>
      <c r="I207" s="41"/>
      <c r="J207" s="126">
        <v>48</v>
      </c>
      <c r="K207" s="170">
        <v>7809</v>
      </c>
    </row>
    <row r="208" spans="1:11">
      <c r="A208" s="106">
        <f>A207+1</f>
        <v>207</v>
      </c>
      <c r="B208" s="41" t="s">
        <v>8</v>
      </c>
      <c r="C208" s="41" t="s">
        <v>1138</v>
      </c>
      <c r="D208" s="104">
        <v>9742957</v>
      </c>
      <c r="E208" s="41">
        <v>87961</v>
      </c>
      <c r="F208" s="104">
        <v>1987</v>
      </c>
      <c r="G208" s="41"/>
      <c r="H208" s="42"/>
      <c r="I208" s="41"/>
      <c r="J208" s="126">
        <v>22</v>
      </c>
      <c r="K208" s="170">
        <v>8548</v>
      </c>
    </row>
    <row r="209" spans="1:11">
      <c r="A209" s="106">
        <f>A208+1</f>
        <v>208</v>
      </c>
      <c r="B209" s="41" t="s">
        <v>8</v>
      </c>
      <c r="C209" s="41" t="s">
        <v>1138</v>
      </c>
      <c r="D209" s="104">
        <v>118564</v>
      </c>
      <c r="E209" s="41">
        <v>87964</v>
      </c>
      <c r="F209" s="104">
        <v>1981</v>
      </c>
      <c r="G209" s="41"/>
      <c r="H209" s="42"/>
      <c r="I209" s="41"/>
      <c r="J209" s="126">
        <v>8</v>
      </c>
      <c r="K209" s="170">
        <v>8543</v>
      </c>
    </row>
    <row r="210" spans="1:11">
      <c r="A210" s="106">
        <f>A209+1</f>
        <v>209</v>
      </c>
      <c r="B210" s="41" t="s">
        <v>8</v>
      </c>
      <c r="C210" s="41" t="s">
        <v>1138</v>
      </c>
      <c r="D210" s="104">
        <v>301324</v>
      </c>
      <c r="E210" s="41">
        <v>87940</v>
      </c>
      <c r="F210" s="104">
        <v>1988</v>
      </c>
      <c r="G210" s="41"/>
      <c r="H210" s="42"/>
      <c r="I210" s="41"/>
      <c r="J210" s="126">
        <v>47</v>
      </c>
      <c r="K210" s="170">
        <v>8503</v>
      </c>
    </row>
    <row r="211" spans="1:11">
      <c r="A211" s="106">
        <f>A210+1</f>
        <v>210</v>
      </c>
      <c r="B211" s="41" t="s">
        <v>8</v>
      </c>
      <c r="C211" s="41" t="s">
        <v>1138</v>
      </c>
      <c r="D211" s="104">
        <v>36965</v>
      </c>
      <c r="E211" s="41">
        <v>87952</v>
      </c>
      <c r="F211" s="104">
        <v>1977</v>
      </c>
      <c r="G211" s="41"/>
      <c r="H211" s="42"/>
      <c r="I211" s="41"/>
      <c r="J211" s="126">
        <v>362</v>
      </c>
      <c r="K211" s="170">
        <v>8502</v>
      </c>
    </row>
    <row r="212" spans="1:11">
      <c r="A212" s="106">
        <f>A211+1</f>
        <v>211</v>
      </c>
      <c r="B212" s="41" t="s">
        <v>8</v>
      </c>
      <c r="C212" s="41" t="s">
        <v>1138</v>
      </c>
      <c r="D212" s="104" t="s">
        <v>1140</v>
      </c>
      <c r="E212" s="41">
        <v>87949</v>
      </c>
      <c r="F212" s="104">
        <v>1985</v>
      </c>
      <c r="G212" s="41"/>
      <c r="H212" s="42"/>
      <c r="I212" s="41"/>
      <c r="J212" s="126">
        <v>4</v>
      </c>
      <c r="K212" s="170">
        <v>8497</v>
      </c>
    </row>
    <row r="213" spans="1:11">
      <c r="A213" s="106">
        <f>A212+1</f>
        <v>212</v>
      </c>
      <c r="B213" s="41" t="s">
        <v>8</v>
      </c>
      <c r="C213" s="41" t="s">
        <v>1138</v>
      </c>
      <c r="D213" s="104">
        <v>14380</v>
      </c>
      <c r="E213" s="41">
        <v>87957</v>
      </c>
      <c r="F213" s="104">
        <v>1983</v>
      </c>
      <c r="G213" s="41"/>
      <c r="H213" s="42"/>
      <c r="I213" s="41"/>
      <c r="J213" s="126">
        <v>4</v>
      </c>
      <c r="K213" s="170">
        <v>8489</v>
      </c>
    </row>
    <row r="214" spans="1:11">
      <c r="A214" s="106">
        <f>A213+1</f>
        <v>213</v>
      </c>
      <c r="B214" s="41" t="s">
        <v>8</v>
      </c>
      <c r="C214" s="41" t="s">
        <v>1138</v>
      </c>
      <c r="D214" s="104">
        <v>8534957</v>
      </c>
      <c r="E214" s="41">
        <v>87924</v>
      </c>
      <c r="F214" s="104">
        <v>1985</v>
      </c>
      <c r="G214" s="41"/>
      <c r="H214" s="42"/>
      <c r="I214" s="41"/>
      <c r="J214" s="126">
        <v>256</v>
      </c>
      <c r="K214" s="170">
        <v>8480</v>
      </c>
    </row>
    <row r="215" spans="1:11">
      <c r="A215" s="106">
        <f>A214+1</f>
        <v>214</v>
      </c>
      <c r="B215" s="41" t="s">
        <v>8</v>
      </c>
      <c r="C215" s="41" t="s">
        <v>1138</v>
      </c>
      <c r="D215" s="104">
        <v>73281</v>
      </c>
      <c r="E215" s="41">
        <v>87917</v>
      </c>
      <c r="F215" s="104">
        <v>1983</v>
      </c>
      <c r="G215" s="41"/>
      <c r="H215" s="42"/>
      <c r="I215" s="41"/>
      <c r="J215" s="126">
        <v>47</v>
      </c>
      <c r="K215" s="170">
        <v>8478</v>
      </c>
    </row>
    <row r="216" spans="1:11">
      <c r="A216" s="106">
        <f>A215+1</f>
        <v>215</v>
      </c>
      <c r="B216" s="41" t="s">
        <v>8</v>
      </c>
      <c r="C216" s="41" t="s">
        <v>1138</v>
      </c>
      <c r="D216" s="104">
        <v>58500</v>
      </c>
      <c r="E216" s="41">
        <v>87938</v>
      </c>
      <c r="F216" s="124">
        <v>1980</v>
      </c>
      <c r="G216" s="41"/>
      <c r="H216" s="42"/>
      <c r="I216" s="41"/>
      <c r="J216" s="126">
        <v>11</v>
      </c>
      <c r="K216" s="170">
        <v>8477</v>
      </c>
    </row>
    <row r="217" spans="1:11">
      <c r="A217" s="106">
        <f>A216+1</f>
        <v>216</v>
      </c>
      <c r="B217" s="41" t="s">
        <v>8</v>
      </c>
      <c r="C217" s="41" t="s">
        <v>1138</v>
      </c>
      <c r="D217" s="104">
        <v>44953</v>
      </c>
      <c r="E217" s="41">
        <v>87919</v>
      </c>
      <c r="F217" s="104">
        <v>1979</v>
      </c>
      <c r="G217" s="41"/>
      <c r="H217" s="42"/>
      <c r="I217" s="41"/>
      <c r="J217" s="126">
        <v>11</v>
      </c>
      <c r="K217" s="170">
        <v>8475</v>
      </c>
    </row>
    <row r="218" spans="1:11">
      <c r="A218" s="106">
        <f>A217+1</f>
        <v>217</v>
      </c>
      <c r="B218" s="41" t="s">
        <v>8</v>
      </c>
      <c r="C218" s="41" t="s">
        <v>1138</v>
      </c>
      <c r="D218" s="104">
        <v>60369</v>
      </c>
      <c r="E218" s="41">
        <v>88018</v>
      </c>
      <c r="F218" s="104">
        <v>1988</v>
      </c>
      <c r="G218" s="41"/>
      <c r="H218" s="42"/>
      <c r="I218" s="41"/>
      <c r="J218" s="126">
        <v>29</v>
      </c>
      <c r="K218" s="170">
        <v>8792</v>
      </c>
    </row>
    <row r="219" spans="1:11">
      <c r="A219" s="106">
        <f>A218+1</f>
        <v>218</v>
      </c>
      <c r="B219" s="41" t="s">
        <v>8</v>
      </c>
      <c r="C219" s="41" t="s">
        <v>1138</v>
      </c>
      <c r="D219" s="104">
        <v>3468</v>
      </c>
      <c r="E219" s="41">
        <v>87993</v>
      </c>
      <c r="F219" s="104">
        <v>1982</v>
      </c>
      <c r="G219" s="41"/>
      <c r="H219" s="42"/>
      <c r="I219" s="41"/>
      <c r="J219" s="126">
        <v>260</v>
      </c>
      <c r="K219" s="170">
        <v>8704</v>
      </c>
    </row>
    <row r="220" spans="1:11">
      <c r="A220" s="106">
        <f>A219+1</f>
        <v>219</v>
      </c>
      <c r="B220" s="41" t="s">
        <v>8</v>
      </c>
      <c r="C220" s="41" t="s">
        <v>1138</v>
      </c>
      <c r="D220" s="104">
        <v>198799</v>
      </c>
      <c r="E220" s="41">
        <v>87999</v>
      </c>
      <c r="F220" s="104">
        <v>1987</v>
      </c>
      <c r="G220" s="41"/>
      <c r="H220" s="42"/>
      <c r="I220" s="41"/>
      <c r="J220" s="126">
        <v>13</v>
      </c>
      <c r="K220" s="170">
        <v>9013</v>
      </c>
    </row>
    <row r="221" spans="1:11">
      <c r="A221" s="106">
        <f>A220+1</f>
        <v>220</v>
      </c>
      <c r="B221" s="41" t="s">
        <v>8</v>
      </c>
      <c r="C221" s="41" t="s">
        <v>1138</v>
      </c>
      <c r="D221" s="104">
        <v>43452</v>
      </c>
      <c r="E221" s="41">
        <v>87987</v>
      </c>
      <c r="F221" s="104">
        <v>1971</v>
      </c>
      <c r="G221" s="41"/>
      <c r="H221" s="42"/>
      <c r="I221" s="41"/>
      <c r="J221" s="126">
        <v>2</v>
      </c>
      <c r="K221" s="170">
        <v>8979</v>
      </c>
    </row>
    <row r="222" spans="1:11">
      <c r="A222" s="106">
        <f>A221+1</f>
        <v>221</v>
      </c>
      <c r="B222" s="41" t="s">
        <v>8</v>
      </c>
      <c r="C222" s="41" t="s">
        <v>1138</v>
      </c>
      <c r="D222" s="118" t="s">
        <v>1141</v>
      </c>
      <c r="E222" s="41">
        <v>88195</v>
      </c>
      <c r="F222" s="164">
        <v>1986</v>
      </c>
      <c r="G222" s="41"/>
      <c r="H222" s="42"/>
      <c r="I222" s="41"/>
      <c r="J222" s="165">
        <v>5</v>
      </c>
      <c r="K222" s="158">
        <v>10251</v>
      </c>
    </row>
    <row r="223" spans="1:11">
      <c r="A223" s="106">
        <f>A222+1</f>
        <v>222</v>
      </c>
      <c r="B223" s="41" t="s">
        <v>8</v>
      </c>
      <c r="C223" s="41" t="s">
        <v>1138</v>
      </c>
      <c r="D223" s="118">
        <v>12372</v>
      </c>
      <c r="E223" s="41">
        <v>88272</v>
      </c>
      <c r="F223" s="164">
        <v>1982</v>
      </c>
      <c r="G223" s="41"/>
      <c r="H223" s="42"/>
      <c r="I223" s="41"/>
      <c r="J223" s="165">
        <v>2</v>
      </c>
      <c r="K223" s="158">
        <v>10781</v>
      </c>
    </row>
    <row r="224" spans="1:11">
      <c r="A224" s="106">
        <f>A223+1</f>
        <v>223</v>
      </c>
      <c r="B224" s="41" t="s">
        <v>8</v>
      </c>
      <c r="C224" s="41" t="s">
        <v>1138</v>
      </c>
      <c r="D224" s="118">
        <v>7384</v>
      </c>
      <c r="E224" s="41">
        <v>88255</v>
      </c>
      <c r="F224" s="164">
        <v>1982</v>
      </c>
      <c r="G224" s="41"/>
      <c r="H224" s="42"/>
      <c r="I224" s="41"/>
      <c r="J224" s="165">
        <v>2</v>
      </c>
      <c r="K224" s="158">
        <v>10750</v>
      </c>
    </row>
    <row r="225" spans="1:11">
      <c r="A225" s="106">
        <f>A224+1</f>
        <v>224</v>
      </c>
      <c r="B225" s="41" t="s">
        <v>8</v>
      </c>
      <c r="C225" s="41" t="s">
        <v>1138</v>
      </c>
      <c r="D225" s="118">
        <v>11628489</v>
      </c>
      <c r="E225" s="41">
        <v>88875</v>
      </c>
      <c r="F225" s="119">
        <v>1980</v>
      </c>
      <c r="G225" s="41"/>
      <c r="H225" s="42"/>
      <c r="I225" s="41"/>
      <c r="J225" s="166">
        <v>2</v>
      </c>
      <c r="K225" s="154" t="s">
        <v>1142</v>
      </c>
    </row>
    <row r="226" spans="1:11">
      <c r="A226" s="106">
        <f>A225+1</f>
        <v>225</v>
      </c>
      <c r="B226" s="41" t="s">
        <v>8</v>
      </c>
      <c r="C226" s="41" t="s">
        <v>1138</v>
      </c>
      <c r="D226" s="118">
        <v>16489</v>
      </c>
      <c r="E226" s="41">
        <v>89275</v>
      </c>
      <c r="F226" s="119">
        <v>1972</v>
      </c>
      <c r="G226" s="41"/>
      <c r="H226" s="42"/>
      <c r="I226" s="41"/>
      <c r="J226" s="166">
        <v>9</v>
      </c>
      <c r="K226" s="154" t="s">
        <v>1143</v>
      </c>
    </row>
    <row r="227" spans="1:11">
      <c r="A227" s="106">
        <f>A226+1</f>
        <v>226</v>
      </c>
      <c r="B227" s="41" t="s">
        <v>8</v>
      </c>
      <c r="C227" s="41" t="s">
        <v>1138</v>
      </c>
      <c r="D227" s="118">
        <v>6748</v>
      </c>
      <c r="E227" s="41">
        <v>145236</v>
      </c>
      <c r="F227" s="119">
        <v>1980</v>
      </c>
      <c r="G227" s="41"/>
      <c r="H227" s="42"/>
      <c r="I227" s="41"/>
      <c r="J227" s="166">
        <v>144</v>
      </c>
      <c r="K227" s="154" t="s">
        <v>1144</v>
      </c>
    </row>
    <row r="228" spans="1:11">
      <c r="A228" s="106">
        <f>A227+1</f>
        <v>227</v>
      </c>
      <c r="B228" s="41" t="s">
        <v>8</v>
      </c>
      <c r="C228" s="41" t="s">
        <v>1138</v>
      </c>
      <c r="D228" s="118">
        <v>4948</v>
      </c>
      <c r="E228" s="41">
        <v>89302</v>
      </c>
      <c r="F228" s="164">
        <v>1981</v>
      </c>
      <c r="G228" s="41"/>
      <c r="H228" s="42"/>
      <c r="I228" s="41"/>
      <c r="J228" s="166">
        <v>21</v>
      </c>
      <c r="K228" s="154" t="s">
        <v>1145</v>
      </c>
    </row>
    <row r="229" spans="1:11">
      <c r="A229" s="108">
        <f>A228+1</f>
        <v>228</v>
      </c>
      <c r="B229" s="109" t="s">
        <v>8</v>
      </c>
      <c r="C229" s="109" t="s">
        <v>1138</v>
      </c>
      <c r="D229" s="203">
        <v>33393</v>
      </c>
      <c r="E229" s="109">
        <v>89335</v>
      </c>
      <c r="F229" s="204">
        <v>1976</v>
      </c>
      <c r="G229" s="109"/>
      <c r="H229" s="110"/>
      <c r="I229" s="109"/>
      <c r="J229" s="205">
        <v>2</v>
      </c>
      <c r="K229" s="172" t="s">
        <v>1146</v>
      </c>
    </row>
    <row r="230" spans="1:11">
      <c r="A230" s="114" t="s">
        <v>203</v>
      </c>
      <c r="B230" s="81">
        <f>SUBTOTAL(3,B2:B229)</f>
        <v>228</v>
      </c>
      <c r="C230" s="81"/>
      <c r="D230" s="156"/>
      <c r="E230" s="81"/>
      <c r="F230" s="156"/>
      <c r="G230" s="81"/>
      <c r="H230" s="115"/>
      <c r="I230" s="81"/>
      <c r="J230" s="157"/>
      <c r="K230" s="156"/>
    </row>
    <row r="231" spans="1:11">
      <c r="A231" s="111">
        <f>A229+1</f>
        <v>229</v>
      </c>
      <c r="B231" s="182" t="s">
        <v>9</v>
      </c>
      <c r="C231" s="188" t="s">
        <v>1130</v>
      </c>
      <c r="D231" s="189">
        <v>140779</v>
      </c>
      <c r="E231" s="182">
        <v>22346</v>
      </c>
      <c r="F231" s="190">
        <v>1995</v>
      </c>
      <c r="G231" s="182"/>
      <c r="H231" s="183"/>
      <c r="I231" s="182"/>
      <c r="J231" s="188">
        <v>29</v>
      </c>
      <c r="K231" s="168">
        <v>45125</v>
      </c>
    </row>
    <row r="232" spans="1:11">
      <c r="A232" s="187">
        <f>A231+1</f>
        <v>230</v>
      </c>
      <c r="B232" s="184" t="s">
        <v>9</v>
      </c>
      <c r="C232" s="129" t="s">
        <v>1130</v>
      </c>
      <c r="D232" s="129">
        <v>5385</v>
      </c>
      <c r="E232" s="184" t="s">
        <v>172</v>
      </c>
      <c r="F232" s="129">
        <v>2002</v>
      </c>
      <c r="G232" s="184"/>
      <c r="H232" s="185"/>
      <c r="I232" s="184"/>
      <c r="J232" s="129">
        <v>28</v>
      </c>
      <c r="K232" s="169">
        <v>45125</v>
      </c>
    </row>
    <row r="233" spans="1:11">
      <c r="A233" s="187">
        <f>A232+1</f>
        <v>231</v>
      </c>
      <c r="B233" s="184" t="s">
        <v>9</v>
      </c>
      <c r="C233" s="129" t="s">
        <v>1123</v>
      </c>
      <c r="D233" s="129">
        <v>12518077</v>
      </c>
      <c r="E233" s="184">
        <v>74585</v>
      </c>
      <c r="F233" s="129">
        <v>2011</v>
      </c>
      <c r="G233" s="184"/>
      <c r="H233" s="185"/>
      <c r="I233" s="184"/>
      <c r="J233" s="129">
        <v>2</v>
      </c>
      <c r="K233" s="169">
        <v>45125</v>
      </c>
    </row>
    <row r="234" spans="1:11">
      <c r="A234" s="187">
        <f>A233+1</f>
        <v>232</v>
      </c>
      <c r="B234" s="184" t="s">
        <v>9</v>
      </c>
      <c r="C234" s="129" t="s">
        <v>1122</v>
      </c>
      <c r="D234" s="129">
        <v>11864493</v>
      </c>
      <c r="E234" s="184">
        <v>50931</v>
      </c>
      <c r="F234" s="129">
        <v>2011</v>
      </c>
      <c r="G234" s="184"/>
      <c r="H234" s="185"/>
      <c r="I234" s="184"/>
      <c r="J234" s="129">
        <v>12</v>
      </c>
      <c r="K234" s="169">
        <v>45125</v>
      </c>
    </row>
    <row r="235" spans="1:11">
      <c r="A235" s="187">
        <f>A234+1</f>
        <v>233</v>
      </c>
      <c r="B235" s="184" t="s">
        <v>9</v>
      </c>
      <c r="C235" s="129" t="s">
        <v>1130</v>
      </c>
      <c r="D235" s="129">
        <v>30661</v>
      </c>
      <c r="E235" s="184">
        <v>30661</v>
      </c>
      <c r="F235" s="129">
        <v>1997</v>
      </c>
      <c r="G235" s="184"/>
      <c r="H235" s="185"/>
      <c r="I235" s="184"/>
      <c r="J235" s="129">
        <v>3</v>
      </c>
      <c r="K235" s="169">
        <v>45142</v>
      </c>
    </row>
    <row r="236" spans="1:11">
      <c r="A236" s="187">
        <f>A235+1</f>
        <v>234</v>
      </c>
      <c r="B236" s="184" t="s">
        <v>9</v>
      </c>
      <c r="C236" s="129" t="s">
        <v>1120</v>
      </c>
      <c r="D236" s="129">
        <v>112682</v>
      </c>
      <c r="E236" s="184" t="s">
        <v>172</v>
      </c>
      <c r="F236" s="129">
        <v>1991</v>
      </c>
      <c r="G236" s="184"/>
      <c r="H236" s="185"/>
      <c r="I236" s="184"/>
      <c r="J236" s="129">
        <v>2</v>
      </c>
      <c r="K236" s="169">
        <v>45142</v>
      </c>
    </row>
    <row r="237" spans="1:11">
      <c r="A237" s="187">
        <f>A236+1</f>
        <v>235</v>
      </c>
      <c r="B237" s="184" t="s">
        <v>9</v>
      </c>
      <c r="C237" s="123" t="s">
        <v>1117</v>
      </c>
      <c r="D237" s="123">
        <v>0</v>
      </c>
      <c r="E237" s="184">
        <v>1</v>
      </c>
      <c r="F237" s="123">
        <v>2000</v>
      </c>
      <c r="G237" s="184"/>
      <c r="H237" s="185"/>
      <c r="I237" s="184"/>
      <c r="J237" s="123">
        <v>10</v>
      </c>
      <c r="K237" s="154">
        <v>72561</v>
      </c>
    </row>
    <row r="238" spans="1:11">
      <c r="A238" s="187">
        <f>A237+1</f>
        <v>236</v>
      </c>
      <c r="B238" s="184" t="s">
        <v>9</v>
      </c>
      <c r="C238" s="123" t="s">
        <v>1130</v>
      </c>
      <c r="D238" s="123">
        <v>180722</v>
      </c>
      <c r="E238" s="184">
        <v>40723</v>
      </c>
      <c r="F238" s="123">
        <v>1998</v>
      </c>
      <c r="G238" s="184"/>
      <c r="H238" s="185"/>
      <c r="I238" s="184"/>
      <c r="J238" s="123">
        <v>8</v>
      </c>
      <c r="K238" s="154">
        <v>72556</v>
      </c>
    </row>
    <row r="239" spans="1:11">
      <c r="A239" s="187">
        <f>A238+1</f>
        <v>237</v>
      </c>
      <c r="B239" s="184" t="s">
        <v>9</v>
      </c>
      <c r="C239" s="123" t="s">
        <v>1120</v>
      </c>
      <c r="D239" s="123">
        <v>154792</v>
      </c>
      <c r="E239" s="184">
        <v>29282</v>
      </c>
      <c r="F239" s="123">
        <v>1996</v>
      </c>
      <c r="G239" s="184"/>
      <c r="H239" s="185"/>
      <c r="I239" s="184"/>
      <c r="J239" s="123">
        <v>31</v>
      </c>
      <c r="K239" s="154">
        <v>72548</v>
      </c>
    </row>
    <row r="240" spans="1:11">
      <c r="A240" s="187">
        <f>A239+1</f>
        <v>238</v>
      </c>
      <c r="B240" s="184" t="s">
        <v>9</v>
      </c>
      <c r="C240" s="123" t="s">
        <v>1124</v>
      </c>
      <c r="D240" s="123">
        <v>85445</v>
      </c>
      <c r="E240" s="184" t="s">
        <v>172</v>
      </c>
      <c r="F240" s="123">
        <v>2008</v>
      </c>
      <c r="G240" s="184"/>
      <c r="H240" s="185"/>
      <c r="I240" s="184"/>
      <c r="J240" s="123">
        <v>39</v>
      </c>
      <c r="K240" s="154">
        <v>72508</v>
      </c>
    </row>
    <row r="241" spans="1:11">
      <c r="A241" s="187">
        <f>A240+1</f>
        <v>239</v>
      </c>
      <c r="B241" s="184" t="s">
        <v>9</v>
      </c>
      <c r="C241" s="100" t="s">
        <v>128</v>
      </c>
      <c r="D241" s="100">
        <v>16484735</v>
      </c>
      <c r="E241" s="184">
        <v>53892</v>
      </c>
      <c r="F241" s="186">
        <v>2012</v>
      </c>
      <c r="G241" s="184"/>
      <c r="H241" s="185"/>
      <c r="I241" s="184"/>
      <c r="J241" s="100">
        <v>12</v>
      </c>
      <c r="K241" s="151">
        <v>24009</v>
      </c>
    </row>
    <row r="242" spans="1:11">
      <c r="A242" s="187">
        <f>A241+1</f>
        <v>240</v>
      </c>
      <c r="B242" s="184" t="s">
        <v>9</v>
      </c>
      <c r="C242" s="100" t="s">
        <v>130</v>
      </c>
      <c r="D242" s="100">
        <v>216109</v>
      </c>
      <c r="E242" s="184">
        <v>55416</v>
      </c>
      <c r="F242" s="186">
        <v>41487</v>
      </c>
      <c r="G242" s="184"/>
      <c r="H242" s="185"/>
      <c r="I242" s="184"/>
      <c r="J242" s="100">
        <v>6</v>
      </c>
      <c r="K242" s="151">
        <v>24036</v>
      </c>
    </row>
    <row r="243" spans="1:11">
      <c r="A243" s="187">
        <f>A242+1</f>
        <v>241</v>
      </c>
      <c r="B243" s="184" t="s">
        <v>9</v>
      </c>
      <c r="C243" s="100" t="s">
        <v>130</v>
      </c>
      <c r="D243" s="100">
        <v>44375</v>
      </c>
      <c r="E243" s="184">
        <v>113342</v>
      </c>
      <c r="F243" s="186">
        <v>38261</v>
      </c>
      <c r="G243" s="184"/>
      <c r="H243" s="185"/>
      <c r="I243" s="184"/>
      <c r="J243" s="100">
        <v>34</v>
      </c>
      <c r="K243" s="151">
        <v>24073</v>
      </c>
    </row>
    <row r="244" spans="1:11">
      <c r="A244" s="187">
        <f>A243+1</f>
        <v>242</v>
      </c>
      <c r="B244" s="184" t="s">
        <v>9</v>
      </c>
      <c r="C244" s="100" t="s">
        <v>130</v>
      </c>
      <c r="D244" s="100">
        <v>7873154</v>
      </c>
      <c r="E244" s="184">
        <v>46459</v>
      </c>
      <c r="F244" s="186">
        <v>40330</v>
      </c>
      <c r="G244" s="184"/>
      <c r="H244" s="185"/>
      <c r="I244" s="184"/>
      <c r="J244" s="100">
        <v>38</v>
      </c>
      <c r="K244" s="151">
        <v>24148</v>
      </c>
    </row>
    <row r="245" spans="1:11">
      <c r="A245" s="187">
        <f>A244+1</f>
        <v>243</v>
      </c>
      <c r="B245" s="184" t="s">
        <v>9</v>
      </c>
      <c r="C245" s="100" t="s">
        <v>130</v>
      </c>
      <c r="D245" s="100">
        <v>12205802</v>
      </c>
      <c r="E245" s="184">
        <v>51238</v>
      </c>
      <c r="F245" s="186">
        <v>2011</v>
      </c>
      <c r="G245" s="184"/>
      <c r="H245" s="185"/>
      <c r="I245" s="184"/>
      <c r="J245" s="100">
        <v>46</v>
      </c>
      <c r="K245" s="151">
        <v>24098</v>
      </c>
    </row>
    <row r="246" spans="1:11">
      <c r="A246" s="187">
        <f>A245+1</f>
        <v>244</v>
      </c>
      <c r="B246" s="184" t="s">
        <v>9</v>
      </c>
      <c r="C246" s="100" t="s">
        <v>130</v>
      </c>
      <c r="D246" s="100">
        <v>98711</v>
      </c>
      <c r="E246" s="184">
        <v>75002</v>
      </c>
      <c r="F246" s="186">
        <v>39417</v>
      </c>
      <c r="G246" s="184"/>
      <c r="H246" s="185"/>
      <c r="I246" s="184"/>
      <c r="J246" s="100">
        <v>6</v>
      </c>
      <c r="K246" s="151">
        <v>24054</v>
      </c>
    </row>
    <row r="247" spans="1:11">
      <c r="A247" s="187">
        <f>A246+1</f>
        <v>245</v>
      </c>
      <c r="B247" s="184" t="s">
        <v>9</v>
      </c>
      <c r="C247" s="100" t="s">
        <v>130</v>
      </c>
      <c r="D247" s="100">
        <v>73757</v>
      </c>
      <c r="E247" s="184">
        <v>29195</v>
      </c>
      <c r="F247" s="186">
        <v>38777</v>
      </c>
      <c r="G247" s="184"/>
      <c r="H247" s="185"/>
      <c r="I247" s="184"/>
      <c r="J247" s="100">
        <v>17</v>
      </c>
      <c r="K247" s="151">
        <v>24019</v>
      </c>
    </row>
    <row r="248" spans="1:11">
      <c r="A248" s="187">
        <f>A247+1</f>
        <v>246</v>
      </c>
      <c r="B248" s="184" t="s">
        <v>9</v>
      </c>
      <c r="C248" s="100" t="s">
        <v>130</v>
      </c>
      <c r="D248" s="100">
        <v>213258</v>
      </c>
      <c r="E248" s="184">
        <v>55824</v>
      </c>
      <c r="F248" s="186">
        <v>41456</v>
      </c>
      <c r="G248" s="184"/>
      <c r="H248" s="185"/>
      <c r="I248" s="184"/>
      <c r="J248" s="100">
        <v>6</v>
      </c>
      <c r="K248" s="151">
        <v>24039</v>
      </c>
    </row>
    <row r="249" spans="1:11">
      <c r="A249" s="187">
        <f>A248+1</f>
        <v>247</v>
      </c>
      <c r="B249" s="184" t="s">
        <v>9</v>
      </c>
      <c r="C249" s="100" t="s">
        <v>130</v>
      </c>
      <c r="D249" s="100">
        <v>301275</v>
      </c>
      <c r="E249" s="184">
        <v>65202</v>
      </c>
      <c r="F249" s="186">
        <v>42736</v>
      </c>
      <c r="G249" s="184"/>
      <c r="H249" s="185"/>
      <c r="I249" s="184"/>
      <c r="J249" s="100">
        <v>18</v>
      </c>
      <c r="K249" s="153">
        <v>24145</v>
      </c>
    </row>
    <row r="250" spans="1:11">
      <c r="A250" s="187">
        <f>A249+1</f>
        <v>248</v>
      </c>
      <c r="B250" s="184" t="s">
        <v>9</v>
      </c>
      <c r="C250" s="100" t="s">
        <v>131</v>
      </c>
      <c r="D250" s="100">
        <v>119253</v>
      </c>
      <c r="E250" s="184">
        <v>75005</v>
      </c>
      <c r="F250" s="186">
        <v>39845</v>
      </c>
      <c r="G250" s="184"/>
      <c r="H250" s="185"/>
      <c r="I250" s="184"/>
      <c r="J250" s="100">
        <v>12</v>
      </c>
      <c r="K250" s="151">
        <v>24014</v>
      </c>
    </row>
    <row r="251" spans="1:11">
      <c r="A251" s="187">
        <f>A250+1</f>
        <v>249</v>
      </c>
      <c r="B251" s="184" t="s">
        <v>9</v>
      </c>
      <c r="C251" s="100" t="s">
        <v>131</v>
      </c>
      <c r="D251" s="100">
        <v>129375</v>
      </c>
      <c r="E251" s="184">
        <v>75006</v>
      </c>
      <c r="F251" s="100">
        <v>2013</v>
      </c>
      <c r="G251" s="184"/>
      <c r="H251" s="185"/>
      <c r="I251" s="184"/>
      <c r="J251" s="100">
        <v>23</v>
      </c>
      <c r="K251" s="151">
        <v>24183</v>
      </c>
    </row>
    <row r="252" spans="1:11">
      <c r="A252" s="187">
        <f>A251+1</f>
        <v>250</v>
      </c>
      <c r="B252" s="184" t="s">
        <v>9</v>
      </c>
      <c r="C252" s="100" t="s">
        <v>192</v>
      </c>
      <c r="D252" s="100">
        <v>1144439</v>
      </c>
      <c r="E252" s="184">
        <v>67213</v>
      </c>
      <c r="F252" s="186">
        <v>43160</v>
      </c>
      <c r="G252" s="184"/>
      <c r="H252" s="185"/>
      <c r="I252" s="184"/>
      <c r="J252" s="100">
        <v>17</v>
      </c>
      <c r="K252" s="151">
        <v>24915</v>
      </c>
    </row>
    <row r="253" spans="1:11">
      <c r="A253" s="187">
        <f>A252+1</f>
        <v>251</v>
      </c>
      <c r="B253" s="184" t="s">
        <v>9</v>
      </c>
      <c r="C253" s="100" t="s">
        <v>192</v>
      </c>
      <c r="D253" s="100">
        <v>742687</v>
      </c>
      <c r="E253" s="184">
        <v>71570</v>
      </c>
      <c r="F253" s="186">
        <v>44013</v>
      </c>
      <c r="G253" s="184"/>
      <c r="H253" s="185"/>
      <c r="I253" s="184"/>
      <c r="J253" s="100">
        <v>34</v>
      </c>
      <c r="K253" s="151">
        <v>24918</v>
      </c>
    </row>
    <row r="254" spans="1:11">
      <c r="A254" s="187">
        <f>A253+1</f>
        <v>252</v>
      </c>
      <c r="B254" s="184" t="s">
        <v>9</v>
      </c>
      <c r="C254" s="100" t="s">
        <v>192</v>
      </c>
      <c r="D254" s="100">
        <v>196771</v>
      </c>
      <c r="E254" s="184">
        <v>75077</v>
      </c>
      <c r="F254" s="186">
        <v>37073</v>
      </c>
      <c r="G254" s="184"/>
      <c r="H254" s="185"/>
      <c r="I254" s="184"/>
      <c r="J254" s="100">
        <v>3</v>
      </c>
      <c r="K254" s="151">
        <v>24896</v>
      </c>
    </row>
    <row r="255" spans="1:11">
      <c r="A255" s="187">
        <f>A254+1</f>
        <v>253</v>
      </c>
      <c r="B255" s="184" t="s">
        <v>9</v>
      </c>
      <c r="C255" s="100" t="s">
        <v>130</v>
      </c>
      <c r="D255" s="100">
        <v>187895</v>
      </c>
      <c r="E255" s="184">
        <v>69480</v>
      </c>
      <c r="F255" s="186">
        <v>43678</v>
      </c>
      <c r="G255" s="184"/>
      <c r="H255" s="185"/>
      <c r="I255" s="184"/>
      <c r="J255" s="100">
        <v>2</v>
      </c>
      <c r="K255" s="151">
        <v>24935</v>
      </c>
    </row>
    <row r="256" spans="1:11">
      <c r="A256" s="187">
        <f>A255+1</f>
        <v>254</v>
      </c>
      <c r="B256" s="184" t="s">
        <v>9</v>
      </c>
      <c r="C256" s="100" t="s">
        <v>130</v>
      </c>
      <c r="D256" s="100">
        <v>217002</v>
      </c>
      <c r="E256" s="184">
        <v>21043</v>
      </c>
      <c r="F256" s="186">
        <v>42917</v>
      </c>
      <c r="G256" s="184"/>
      <c r="H256" s="185"/>
      <c r="I256" s="184"/>
      <c r="J256" s="100">
        <v>10</v>
      </c>
      <c r="K256" s="151">
        <v>24880</v>
      </c>
    </row>
    <row r="257" spans="1:11">
      <c r="A257" s="187">
        <f>A256+1</f>
        <v>255</v>
      </c>
      <c r="B257" s="184" t="s">
        <v>9</v>
      </c>
      <c r="C257" s="100" t="s">
        <v>130</v>
      </c>
      <c r="D257" s="100">
        <v>216067</v>
      </c>
      <c r="E257" s="184">
        <v>56093</v>
      </c>
      <c r="F257" s="186">
        <v>41426</v>
      </c>
      <c r="G257" s="184"/>
      <c r="H257" s="185"/>
      <c r="I257" s="184"/>
      <c r="J257" s="100">
        <v>2</v>
      </c>
      <c r="K257" s="151">
        <v>24889</v>
      </c>
    </row>
    <row r="258" spans="1:11">
      <c r="A258" s="187">
        <f>A257+1</f>
        <v>256</v>
      </c>
      <c r="B258" s="184" t="s">
        <v>9</v>
      </c>
      <c r="C258" s="100" t="s">
        <v>130</v>
      </c>
      <c r="D258" s="100">
        <v>452288</v>
      </c>
      <c r="E258" s="184">
        <v>75078</v>
      </c>
      <c r="F258" s="186">
        <v>39995</v>
      </c>
      <c r="G258" s="184"/>
      <c r="H258" s="185"/>
      <c r="I258" s="184"/>
      <c r="J258" s="100">
        <v>2</v>
      </c>
      <c r="K258" s="151">
        <v>24909</v>
      </c>
    </row>
    <row r="259" spans="1:11">
      <c r="A259" s="187">
        <f>A258+1</f>
        <v>257</v>
      </c>
      <c r="B259" s="184" t="s">
        <v>9</v>
      </c>
      <c r="C259" s="100" t="s">
        <v>130</v>
      </c>
      <c r="D259" s="100">
        <v>73716</v>
      </c>
      <c r="E259" s="184">
        <v>75079</v>
      </c>
      <c r="F259" s="186">
        <v>38777</v>
      </c>
      <c r="G259" s="184"/>
      <c r="H259" s="185"/>
      <c r="I259" s="184"/>
      <c r="J259" s="100">
        <v>2</v>
      </c>
      <c r="K259" s="151">
        <v>24911</v>
      </c>
    </row>
    <row r="260" spans="1:11">
      <c r="A260" s="187">
        <f>A259+1</f>
        <v>258</v>
      </c>
      <c r="B260" s="184" t="s">
        <v>9</v>
      </c>
      <c r="C260" s="100" t="s">
        <v>131</v>
      </c>
      <c r="D260" s="100">
        <v>119188</v>
      </c>
      <c r="E260" s="184">
        <v>75080</v>
      </c>
      <c r="F260" s="186">
        <v>39845</v>
      </c>
      <c r="G260" s="184"/>
      <c r="H260" s="185"/>
      <c r="I260" s="184"/>
      <c r="J260" s="100">
        <v>4</v>
      </c>
      <c r="K260" s="151">
        <v>24878</v>
      </c>
    </row>
    <row r="261" spans="1:11">
      <c r="A261" s="187">
        <f>A260+1</f>
        <v>259</v>
      </c>
      <c r="B261" s="184" t="s">
        <v>9</v>
      </c>
      <c r="C261" s="100" t="s">
        <v>131</v>
      </c>
      <c r="D261" s="100">
        <v>82734</v>
      </c>
      <c r="E261" s="184">
        <v>75084</v>
      </c>
      <c r="F261" s="186">
        <v>39022</v>
      </c>
      <c r="G261" s="184"/>
      <c r="H261" s="185"/>
      <c r="I261" s="184"/>
      <c r="J261" s="100">
        <v>4</v>
      </c>
      <c r="K261" s="153">
        <v>24879</v>
      </c>
    </row>
    <row r="262" spans="1:11">
      <c r="A262" s="187">
        <f>A261+1</f>
        <v>260</v>
      </c>
      <c r="B262" s="184" t="s">
        <v>9</v>
      </c>
      <c r="C262" s="100" t="s">
        <v>131</v>
      </c>
      <c r="D262" s="100">
        <v>928662</v>
      </c>
      <c r="E262" s="184">
        <v>50471</v>
      </c>
      <c r="F262" s="186">
        <v>41699</v>
      </c>
      <c r="G262" s="184"/>
      <c r="H262" s="185"/>
      <c r="I262" s="184"/>
      <c r="J262" s="100">
        <v>2</v>
      </c>
      <c r="K262" s="151">
        <v>24945</v>
      </c>
    </row>
    <row r="263" spans="1:11">
      <c r="A263" s="187">
        <f>A262+1</f>
        <v>261</v>
      </c>
      <c r="B263" s="184" t="s">
        <v>9</v>
      </c>
      <c r="C263" s="100" t="s">
        <v>131</v>
      </c>
      <c r="D263" s="100">
        <v>119183</v>
      </c>
      <c r="E263" s="184">
        <v>75085</v>
      </c>
      <c r="F263" s="186">
        <v>39845</v>
      </c>
      <c r="G263" s="184"/>
      <c r="H263" s="185"/>
      <c r="I263" s="184"/>
      <c r="J263" s="100">
        <v>4</v>
      </c>
      <c r="K263" s="153">
        <v>24885</v>
      </c>
    </row>
    <row r="264" spans="1:11">
      <c r="A264" s="187">
        <f>A263+1</f>
        <v>262</v>
      </c>
      <c r="B264" s="184" t="s">
        <v>9</v>
      </c>
      <c r="C264" s="100" t="s">
        <v>131</v>
      </c>
      <c r="D264" s="100" t="s">
        <v>1147</v>
      </c>
      <c r="E264" s="184">
        <v>75086</v>
      </c>
      <c r="F264" s="186">
        <v>42401</v>
      </c>
      <c r="G264" s="184"/>
      <c r="H264" s="185"/>
      <c r="I264" s="184"/>
      <c r="J264" s="100">
        <v>2</v>
      </c>
      <c r="K264" s="151">
        <v>24947</v>
      </c>
    </row>
    <row r="265" spans="1:11">
      <c r="A265" s="187">
        <f>A264+1</f>
        <v>263</v>
      </c>
      <c r="B265" s="184" t="s">
        <v>9</v>
      </c>
      <c r="C265" s="100" t="s">
        <v>131</v>
      </c>
      <c r="D265" s="100">
        <v>92075</v>
      </c>
      <c r="E265" s="184">
        <v>75087</v>
      </c>
      <c r="F265" s="186">
        <v>39234</v>
      </c>
      <c r="G265" s="184"/>
      <c r="H265" s="185"/>
      <c r="I265" s="184"/>
      <c r="J265" s="100">
        <v>2</v>
      </c>
      <c r="K265" s="151">
        <v>24894</v>
      </c>
    </row>
    <row r="266" spans="1:11">
      <c r="A266" s="187">
        <f>A265+1</f>
        <v>264</v>
      </c>
      <c r="B266" s="184" t="s">
        <v>9</v>
      </c>
      <c r="C266" s="100" t="s">
        <v>131</v>
      </c>
      <c r="D266" s="100">
        <v>214056</v>
      </c>
      <c r="E266" s="184">
        <v>56060</v>
      </c>
      <c r="F266" s="186">
        <v>41456</v>
      </c>
      <c r="G266" s="184"/>
      <c r="H266" s="185"/>
      <c r="I266" s="184"/>
      <c r="J266" s="100">
        <v>2</v>
      </c>
      <c r="K266" s="152">
        <v>24904</v>
      </c>
    </row>
    <row r="267" spans="1:11">
      <c r="A267" s="187">
        <f>A266+1</f>
        <v>265</v>
      </c>
      <c r="B267" s="184" t="s">
        <v>9</v>
      </c>
      <c r="C267" s="100" t="s">
        <v>127</v>
      </c>
      <c r="D267" s="100">
        <v>7784333</v>
      </c>
      <c r="E267" s="184">
        <v>46433</v>
      </c>
      <c r="F267" s="186">
        <v>40330</v>
      </c>
      <c r="G267" s="184"/>
      <c r="H267" s="185"/>
      <c r="I267" s="184"/>
      <c r="J267" s="100">
        <v>2</v>
      </c>
      <c r="K267" s="151">
        <v>28901</v>
      </c>
    </row>
    <row r="268" spans="1:11">
      <c r="A268" s="187">
        <f>A267+1</f>
        <v>266</v>
      </c>
      <c r="B268" s="184" t="s">
        <v>9</v>
      </c>
      <c r="C268" s="100" t="s">
        <v>127</v>
      </c>
      <c r="D268" s="100">
        <v>17009828</v>
      </c>
      <c r="E268" s="184">
        <v>63357</v>
      </c>
      <c r="F268" s="186">
        <v>42491</v>
      </c>
      <c r="G268" s="184"/>
      <c r="H268" s="185"/>
      <c r="I268" s="184"/>
      <c r="J268" s="100">
        <v>10</v>
      </c>
      <c r="K268" s="151">
        <v>28904</v>
      </c>
    </row>
    <row r="269" spans="1:11">
      <c r="A269" s="187">
        <f>A268+1</f>
        <v>267</v>
      </c>
      <c r="B269" s="184" t="s">
        <v>9</v>
      </c>
      <c r="C269" s="100" t="s">
        <v>127</v>
      </c>
      <c r="D269" s="100">
        <v>7797065</v>
      </c>
      <c r="E269" s="184">
        <v>46108</v>
      </c>
      <c r="F269" s="186">
        <v>40330</v>
      </c>
      <c r="G269" s="184"/>
      <c r="H269" s="185"/>
      <c r="I269" s="184"/>
      <c r="J269" s="100">
        <v>2</v>
      </c>
      <c r="K269" s="151">
        <v>28918</v>
      </c>
    </row>
    <row r="270" spans="1:11">
      <c r="A270" s="187">
        <f>A269+1</f>
        <v>268</v>
      </c>
      <c r="B270" s="184" t="s">
        <v>9</v>
      </c>
      <c r="C270" s="100" t="s">
        <v>128</v>
      </c>
      <c r="D270" s="100">
        <v>16484739</v>
      </c>
      <c r="E270" s="184">
        <v>53896</v>
      </c>
      <c r="F270" s="186">
        <v>41091</v>
      </c>
      <c r="G270" s="184"/>
      <c r="H270" s="185"/>
      <c r="I270" s="184"/>
      <c r="J270" s="100">
        <v>3</v>
      </c>
      <c r="K270" s="151">
        <v>28897</v>
      </c>
    </row>
    <row r="271" spans="1:11">
      <c r="A271" s="187">
        <f>A270+1</f>
        <v>269</v>
      </c>
      <c r="B271" s="184" t="s">
        <v>9</v>
      </c>
      <c r="C271" s="100" t="s">
        <v>130</v>
      </c>
      <c r="D271" s="100">
        <v>18268940</v>
      </c>
      <c r="E271" s="184">
        <v>54822</v>
      </c>
      <c r="F271" s="186">
        <v>41306</v>
      </c>
      <c r="G271" s="184"/>
      <c r="H271" s="185"/>
      <c r="I271" s="184"/>
      <c r="J271" s="100">
        <v>2</v>
      </c>
      <c r="K271" s="151">
        <v>28943</v>
      </c>
    </row>
    <row r="272" spans="1:11">
      <c r="A272" s="187">
        <f>A271+1</f>
        <v>270</v>
      </c>
      <c r="B272" s="184" t="s">
        <v>9</v>
      </c>
      <c r="C272" s="100" t="s">
        <v>130</v>
      </c>
      <c r="D272" s="100">
        <v>7873156</v>
      </c>
      <c r="E272" s="184">
        <v>46461</v>
      </c>
      <c r="F272" s="186">
        <v>40330</v>
      </c>
      <c r="G272" s="184"/>
      <c r="H272" s="185"/>
      <c r="I272" s="184"/>
      <c r="J272" s="100">
        <v>2</v>
      </c>
      <c r="K272" s="151">
        <v>28914</v>
      </c>
    </row>
    <row r="273" spans="1:11">
      <c r="A273" s="187">
        <f>A272+1</f>
        <v>271</v>
      </c>
      <c r="B273" s="184" t="s">
        <v>9</v>
      </c>
      <c r="C273" s="100" t="s">
        <v>131</v>
      </c>
      <c r="D273" s="100">
        <v>1236702</v>
      </c>
      <c r="E273" s="184">
        <v>72499</v>
      </c>
      <c r="F273" s="186">
        <v>43983</v>
      </c>
      <c r="G273" s="184"/>
      <c r="H273" s="185"/>
      <c r="I273" s="184"/>
      <c r="J273" s="100">
        <v>2</v>
      </c>
      <c r="K273" s="151">
        <v>28919</v>
      </c>
    </row>
    <row r="274" spans="1:11">
      <c r="A274" s="187">
        <f>A273+1</f>
        <v>272</v>
      </c>
      <c r="B274" s="184" t="s">
        <v>9</v>
      </c>
      <c r="C274" s="100" t="s">
        <v>166</v>
      </c>
      <c r="D274" s="100">
        <v>216129</v>
      </c>
      <c r="E274" s="184">
        <v>56139</v>
      </c>
      <c r="F274" s="186">
        <v>41487</v>
      </c>
      <c r="G274" s="184"/>
      <c r="H274" s="185"/>
      <c r="I274" s="184"/>
      <c r="J274" s="100">
        <v>2</v>
      </c>
      <c r="K274" s="151">
        <v>28911</v>
      </c>
    </row>
    <row r="275" spans="1:11">
      <c r="A275" s="187">
        <f>A274+1</f>
        <v>273</v>
      </c>
      <c r="B275" s="184" t="s">
        <v>9</v>
      </c>
      <c r="C275" s="100" t="s">
        <v>166</v>
      </c>
      <c r="D275" s="100">
        <v>1220950</v>
      </c>
      <c r="E275" s="184">
        <v>75274</v>
      </c>
      <c r="F275" s="186">
        <v>43831</v>
      </c>
      <c r="G275" s="184"/>
      <c r="H275" s="185"/>
      <c r="I275" s="184"/>
      <c r="J275" s="100">
        <v>2</v>
      </c>
      <c r="K275" s="151">
        <v>28945</v>
      </c>
    </row>
    <row r="276" spans="1:11">
      <c r="A276" s="187">
        <f>A275+1</f>
        <v>274</v>
      </c>
      <c r="B276" s="184" t="s">
        <v>9</v>
      </c>
      <c r="C276" s="100" t="s">
        <v>166</v>
      </c>
      <c r="D276" s="100">
        <v>316914</v>
      </c>
      <c r="E276" s="184">
        <v>65501</v>
      </c>
      <c r="F276" s="186">
        <v>43678</v>
      </c>
      <c r="G276" s="184"/>
      <c r="H276" s="185"/>
      <c r="I276" s="184"/>
      <c r="J276" s="100" t="s">
        <v>172</v>
      </c>
      <c r="K276" s="151">
        <v>28950</v>
      </c>
    </row>
    <row r="277" spans="1:11">
      <c r="A277" s="187">
        <f>A276+1</f>
        <v>275</v>
      </c>
      <c r="B277" s="184" t="s">
        <v>9</v>
      </c>
      <c r="C277" s="100" t="s">
        <v>166</v>
      </c>
      <c r="D277" s="100">
        <v>16052177</v>
      </c>
      <c r="E277" s="184">
        <v>75276</v>
      </c>
      <c r="F277" s="186">
        <v>41061</v>
      </c>
      <c r="G277" s="184"/>
      <c r="H277" s="185"/>
      <c r="I277" s="184"/>
      <c r="J277" s="100">
        <v>3</v>
      </c>
      <c r="K277" s="151">
        <v>28907</v>
      </c>
    </row>
    <row r="278" spans="1:11">
      <c r="A278" s="187">
        <f>A277+1</f>
        <v>276</v>
      </c>
      <c r="B278" s="184" t="s">
        <v>9</v>
      </c>
      <c r="C278" s="100" t="s">
        <v>127</v>
      </c>
      <c r="D278" s="100">
        <v>118262284</v>
      </c>
      <c r="E278" s="184">
        <v>4770</v>
      </c>
      <c r="F278" s="186">
        <v>40664</v>
      </c>
      <c r="G278" s="184"/>
      <c r="H278" s="185"/>
      <c r="I278" s="184"/>
      <c r="J278" s="100">
        <v>2</v>
      </c>
      <c r="K278" s="151">
        <v>29703</v>
      </c>
    </row>
    <row r="279" spans="1:11">
      <c r="A279" s="187">
        <f>A278+1</f>
        <v>277</v>
      </c>
      <c r="B279" s="184" t="s">
        <v>9</v>
      </c>
      <c r="C279" s="100" t="s">
        <v>166</v>
      </c>
      <c r="D279" s="100">
        <v>266656</v>
      </c>
      <c r="E279" s="184">
        <v>61740</v>
      </c>
      <c r="F279" s="100">
        <v>2015</v>
      </c>
      <c r="G279" s="184"/>
      <c r="H279" s="185"/>
      <c r="I279" s="184"/>
      <c r="J279" s="100">
        <v>6</v>
      </c>
      <c r="K279" s="151">
        <v>34956</v>
      </c>
    </row>
    <row r="280" spans="1:11">
      <c r="A280" s="187">
        <f>A279+1</f>
        <v>278</v>
      </c>
      <c r="B280" s="184" t="s">
        <v>9</v>
      </c>
      <c r="C280" s="100" t="s">
        <v>166</v>
      </c>
      <c r="D280" s="100">
        <v>17827581</v>
      </c>
      <c r="E280" s="173">
        <v>75842</v>
      </c>
      <c r="F280" s="100">
        <v>2012</v>
      </c>
      <c r="G280" s="173"/>
      <c r="H280" s="185"/>
      <c r="I280" s="184"/>
      <c r="J280" s="100">
        <v>16</v>
      </c>
      <c r="K280" s="151">
        <v>34958</v>
      </c>
    </row>
    <row r="281" spans="1:11">
      <c r="A281" s="187">
        <f>A280+1</f>
        <v>279</v>
      </c>
      <c r="B281" s="184" t="s">
        <v>9</v>
      </c>
      <c r="C281" s="100" t="s">
        <v>166</v>
      </c>
      <c r="D281" s="100">
        <v>12518095</v>
      </c>
      <c r="E281" s="173">
        <v>75844</v>
      </c>
      <c r="F281" s="100">
        <v>2011</v>
      </c>
      <c r="G281" s="173"/>
      <c r="H281" s="185"/>
      <c r="I281" s="184"/>
      <c r="J281" s="100">
        <v>10</v>
      </c>
      <c r="K281" s="151">
        <v>34960</v>
      </c>
    </row>
    <row r="282" spans="1:11">
      <c r="A282" s="187">
        <f>A281+1</f>
        <v>280</v>
      </c>
      <c r="B282" s="184" t="s">
        <v>9</v>
      </c>
      <c r="C282" s="100" t="s">
        <v>131</v>
      </c>
      <c r="D282" s="100">
        <v>17009934</v>
      </c>
      <c r="E282" s="173">
        <v>75840</v>
      </c>
      <c r="F282" s="100">
        <v>2012</v>
      </c>
      <c r="G282" s="173"/>
      <c r="H282" s="185"/>
      <c r="I282" s="184"/>
      <c r="J282" s="100">
        <v>20</v>
      </c>
      <c r="K282" s="151">
        <v>34966</v>
      </c>
    </row>
    <row r="283" spans="1:11">
      <c r="A283" s="187">
        <f>A282+1</f>
        <v>281</v>
      </c>
      <c r="B283" s="184" t="s">
        <v>9</v>
      </c>
      <c r="C283" s="100" t="s">
        <v>130</v>
      </c>
      <c r="D283" s="100">
        <v>8762812</v>
      </c>
      <c r="E283" s="173">
        <v>75835</v>
      </c>
      <c r="F283" s="100">
        <v>2010</v>
      </c>
      <c r="G283" s="173"/>
      <c r="H283" s="185"/>
      <c r="I283" s="184"/>
      <c r="J283" s="100">
        <v>18</v>
      </c>
      <c r="K283" s="151">
        <v>34969</v>
      </c>
    </row>
    <row r="284" spans="1:11">
      <c r="A284" s="187">
        <f>A283+1</f>
        <v>282</v>
      </c>
      <c r="B284" s="184" t="s">
        <v>9</v>
      </c>
      <c r="C284" s="100" t="s">
        <v>130</v>
      </c>
      <c r="D284" s="100">
        <v>8762819</v>
      </c>
      <c r="E284" s="173">
        <v>4615</v>
      </c>
      <c r="F284" s="100">
        <v>2010</v>
      </c>
      <c r="G284" s="173"/>
      <c r="H284" s="185"/>
      <c r="I284" s="184"/>
      <c r="J284" s="100">
        <v>14</v>
      </c>
      <c r="K284" s="151">
        <v>34971</v>
      </c>
    </row>
    <row r="285" spans="1:11">
      <c r="A285" s="187">
        <f>A284+1</f>
        <v>283</v>
      </c>
      <c r="B285" s="184" t="s">
        <v>9</v>
      </c>
      <c r="C285" s="100" t="s">
        <v>128</v>
      </c>
      <c r="D285" s="100">
        <v>12517932</v>
      </c>
      <c r="E285" s="173">
        <v>75831</v>
      </c>
      <c r="F285" s="100">
        <v>2011</v>
      </c>
      <c r="G285" s="173"/>
      <c r="H285" s="185"/>
      <c r="I285" s="184"/>
      <c r="J285" s="100">
        <v>16</v>
      </c>
      <c r="K285" s="151">
        <v>34979</v>
      </c>
    </row>
    <row r="286" spans="1:11">
      <c r="A286" s="187">
        <f>A285+1</f>
        <v>284</v>
      </c>
      <c r="B286" s="184" t="s">
        <v>9</v>
      </c>
      <c r="C286" s="100" t="s">
        <v>128</v>
      </c>
      <c r="D286" s="100">
        <v>212439</v>
      </c>
      <c r="E286" s="173">
        <v>75834</v>
      </c>
      <c r="F286" s="100">
        <v>2013</v>
      </c>
      <c r="G286" s="173"/>
      <c r="H286" s="185"/>
      <c r="I286" s="184"/>
      <c r="J286" s="100">
        <v>17</v>
      </c>
      <c r="K286" s="151">
        <v>34980</v>
      </c>
    </row>
    <row r="287" spans="1:11">
      <c r="A287" s="187">
        <f>A286+1</f>
        <v>285</v>
      </c>
      <c r="B287" s="184" t="s">
        <v>9</v>
      </c>
      <c r="C287" s="100" t="s">
        <v>127</v>
      </c>
      <c r="D287" s="100">
        <v>754534</v>
      </c>
      <c r="E287" s="173">
        <v>75830</v>
      </c>
      <c r="F287" s="100">
        <v>2019</v>
      </c>
      <c r="G287" s="173"/>
      <c r="H287" s="185"/>
      <c r="I287" s="184"/>
      <c r="J287" s="100">
        <v>4</v>
      </c>
      <c r="K287" s="151">
        <v>34984</v>
      </c>
    </row>
    <row r="288" spans="1:11">
      <c r="A288" s="187">
        <f>A287+1</f>
        <v>286</v>
      </c>
      <c r="B288" s="184" t="s">
        <v>9</v>
      </c>
      <c r="C288" s="100" t="s">
        <v>192</v>
      </c>
      <c r="D288" s="100">
        <v>5130</v>
      </c>
      <c r="E288" s="173">
        <v>76008</v>
      </c>
      <c r="F288" s="100">
        <v>2002</v>
      </c>
      <c r="G288" s="173"/>
      <c r="H288" s="185"/>
      <c r="I288" s="184"/>
      <c r="J288" s="100">
        <v>28</v>
      </c>
      <c r="K288" s="151">
        <v>35629</v>
      </c>
    </row>
    <row r="289" spans="1:11">
      <c r="A289" s="187">
        <f>A288+1</f>
        <v>287</v>
      </c>
      <c r="B289" s="184" t="s">
        <v>9</v>
      </c>
      <c r="C289" s="100" t="s">
        <v>166</v>
      </c>
      <c r="D289" s="100">
        <v>118986</v>
      </c>
      <c r="E289" s="173">
        <v>76016</v>
      </c>
      <c r="F289" s="100">
        <v>2009</v>
      </c>
      <c r="G289" s="173"/>
      <c r="H289" s="185"/>
      <c r="I289" s="184"/>
      <c r="J289" s="100">
        <v>27</v>
      </c>
      <c r="K289" s="151">
        <v>35615</v>
      </c>
    </row>
    <row r="290" spans="1:11">
      <c r="A290" s="187">
        <f>A289+1</f>
        <v>288</v>
      </c>
      <c r="B290" s="184" t="s">
        <v>9</v>
      </c>
      <c r="C290" s="100" t="s">
        <v>127</v>
      </c>
      <c r="D290" s="100">
        <v>347596</v>
      </c>
      <c r="E290" s="173">
        <v>68302</v>
      </c>
      <c r="F290" s="100">
        <v>2010</v>
      </c>
      <c r="G290" s="173"/>
      <c r="H290" s="185"/>
      <c r="I290" s="184"/>
      <c r="J290" s="100">
        <v>6</v>
      </c>
      <c r="K290" s="151">
        <v>37065</v>
      </c>
    </row>
    <row r="291" spans="1:11">
      <c r="A291" s="187">
        <f>A290+1</f>
        <v>289</v>
      </c>
      <c r="B291" s="184" t="s">
        <v>9</v>
      </c>
      <c r="C291" s="100" t="s">
        <v>127</v>
      </c>
      <c r="D291" s="100">
        <v>336757</v>
      </c>
      <c r="E291" s="173">
        <v>66816</v>
      </c>
      <c r="F291" s="100">
        <v>2016</v>
      </c>
      <c r="G291" s="173"/>
      <c r="H291" s="185"/>
      <c r="I291" s="184"/>
      <c r="J291" s="100">
        <v>6</v>
      </c>
      <c r="K291" s="151">
        <v>37066</v>
      </c>
    </row>
    <row r="292" spans="1:11">
      <c r="A292" s="187">
        <f>A291+1</f>
        <v>290</v>
      </c>
      <c r="B292" s="184" t="s">
        <v>9</v>
      </c>
      <c r="C292" s="100" t="s">
        <v>130</v>
      </c>
      <c r="D292" s="100">
        <v>7873160</v>
      </c>
      <c r="E292" s="173">
        <v>53359</v>
      </c>
      <c r="F292" s="100">
        <v>2010</v>
      </c>
      <c r="G292" s="173"/>
      <c r="H292" s="185"/>
      <c r="I292" s="184"/>
      <c r="J292" s="100">
        <v>37</v>
      </c>
      <c r="K292" s="153">
        <v>37052</v>
      </c>
    </row>
    <row r="293" spans="1:11">
      <c r="A293" s="187">
        <f>A292+1</f>
        <v>291</v>
      </c>
      <c r="B293" s="184" t="s">
        <v>9</v>
      </c>
      <c r="C293" s="100" t="s">
        <v>166</v>
      </c>
      <c r="D293" s="100">
        <v>16166953</v>
      </c>
      <c r="E293" s="173">
        <v>53763</v>
      </c>
      <c r="F293" s="100">
        <v>2012</v>
      </c>
      <c r="G293" s="173"/>
      <c r="H293" s="185"/>
      <c r="I293" s="184"/>
      <c r="J293" s="100">
        <v>31</v>
      </c>
      <c r="K293" s="151">
        <v>36931</v>
      </c>
    </row>
    <row r="294" spans="1:11">
      <c r="A294" s="187">
        <f>A293+1</f>
        <v>292</v>
      </c>
      <c r="B294" s="184" t="s">
        <v>9</v>
      </c>
      <c r="C294" s="100" t="s">
        <v>130</v>
      </c>
      <c r="D294" s="100">
        <v>11867110</v>
      </c>
      <c r="E294" s="173">
        <v>50977</v>
      </c>
      <c r="F294" s="100">
        <v>2011</v>
      </c>
      <c r="G294" s="173"/>
      <c r="H294" s="185"/>
      <c r="I294" s="184"/>
      <c r="J294" s="100">
        <v>6</v>
      </c>
      <c r="K294" s="151">
        <v>37480</v>
      </c>
    </row>
    <row r="295" spans="1:11">
      <c r="A295" s="187">
        <f>A294+1</f>
        <v>293</v>
      </c>
      <c r="B295" s="184" t="s">
        <v>9</v>
      </c>
      <c r="C295" s="100" t="s">
        <v>166</v>
      </c>
      <c r="D295" s="100">
        <v>244367</v>
      </c>
      <c r="E295" s="173">
        <v>59041</v>
      </c>
      <c r="F295" s="100">
        <v>2014</v>
      </c>
      <c r="G295" s="173"/>
      <c r="H295" s="185"/>
      <c r="I295" s="184"/>
      <c r="J295" s="100">
        <v>2</v>
      </c>
      <c r="K295" s="151">
        <v>37513</v>
      </c>
    </row>
    <row r="296" spans="1:11">
      <c r="A296" s="187">
        <f>A295+1</f>
        <v>294</v>
      </c>
      <c r="B296" s="184" t="s">
        <v>9</v>
      </c>
      <c r="C296" s="100" t="s">
        <v>128</v>
      </c>
      <c r="D296" s="100">
        <v>87805</v>
      </c>
      <c r="E296" s="173">
        <v>76054</v>
      </c>
      <c r="F296" s="100">
        <v>2011</v>
      </c>
      <c r="G296" s="173"/>
      <c r="H296" s="185"/>
      <c r="I296" s="184"/>
      <c r="J296" s="100">
        <v>34</v>
      </c>
      <c r="K296" s="151">
        <v>37517</v>
      </c>
    </row>
    <row r="297" spans="1:11">
      <c r="A297" s="187">
        <f>A296+1</f>
        <v>295</v>
      </c>
      <c r="B297" s="184" t="s">
        <v>9</v>
      </c>
      <c r="C297" s="100" t="s">
        <v>130</v>
      </c>
      <c r="D297" s="100">
        <v>877423</v>
      </c>
      <c r="E297" s="173">
        <v>76052</v>
      </c>
      <c r="F297" s="100">
        <v>2013</v>
      </c>
      <c r="G297" s="173"/>
      <c r="H297" s="185"/>
      <c r="I297" s="184"/>
      <c r="J297" s="100">
        <v>2</v>
      </c>
      <c r="K297" s="151">
        <v>37512</v>
      </c>
    </row>
    <row r="298" spans="1:11">
      <c r="A298" s="187">
        <f>A297+1</f>
        <v>296</v>
      </c>
      <c r="B298" s="184" t="s">
        <v>9</v>
      </c>
      <c r="C298" s="100" t="s">
        <v>131</v>
      </c>
      <c r="D298" s="100">
        <v>31128</v>
      </c>
      <c r="E298" s="173" t="s">
        <v>172</v>
      </c>
      <c r="F298" s="100">
        <v>2001</v>
      </c>
      <c r="G298" s="173"/>
      <c r="H298" s="185"/>
      <c r="I298" s="184"/>
      <c r="J298" s="100">
        <v>35</v>
      </c>
      <c r="K298" s="151">
        <v>39686</v>
      </c>
    </row>
    <row r="299" spans="1:11">
      <c r="A299" s="187">
        <f>A298+1</f>
        <v>297</v>
      </c>
      <c r="B299" s="184" t="s">
        <v>9</v>
      </c>
      <c r="C299" s="100" t="s">
        <v>131</v>
      </c>
      <c r="D299" s="100">
        <v>121783</v>
      </c>
      <c r="E299" s="173" t="s">
        <v>172</v>
      </c>
      <c r="F299" s="100">
        <v>1992</v>
      </c>
      <c r="G299" s="173"/>
      <c r="H299" s="185"/>
      <c r="I299" s="184"/>
      <c r="J299" s="100">
        <v>32</v>
      </c>
      <c r="K299" s="151">
        <v>39682</v>
      </c>
    </row>
    <row r="300" spans="1:11">
      <c r="A300" s="187">
        <f>A299+1</f>
        <v>298</v>
      </c>
      <c r="B300" s="184" t="s">
        <v>9</v>
      </c>
      <c r="C300" s="100" t="s">
        <v>191</v>
      </c>
      <c r="D300" s="100">
        <v>249764</v>
      </c>
      <c r="E300" s="173">
        <v>22525</v>
      </c>
      <c r="F300" s="100">
        <v>2003</v>
      </c>
      <c r="G300" s="173"/>
      <c r="H300" s="185"/>
      <c r="I300" s="184"/>
      <c r="J300" s="100">
        <v>3</v>
      </c>
      <c r="K300" s="151">
        <v>39026</v>
      </c>
    </row>
    <row r="301" spans="1:11">
      <c r="A301" s="187">
        <f>A300+1</f>
        <v>299</v>
      </c>
      <c r="B301" s="184" t="s">
        <v>9</v>
      </c>
      <c r="C301" s="100" t="s">
        <v>191</v>
      </c>
      <c r="D301" s="100">
        <v>72334</v>
      </c>
      <c r="E301" s="173" t="s">
        <v>172</v>
      </c>
      <c r="F301" s="100">
        <v>1993</v>
      </c>
      <c r="G301" s="173"/>
      <c r="H301" s="185"/>
      <c r="I301" s="184"/>
      <c r="J301" s="100">
        <v>9</v>
      </c>
      <c r="K301" s="151">
        <v>39023</v>
      </c>
    </row>
    <row r="302" spans="1:11">
      <c r="A302" s="187">
        <f>A301+1</f>
        <v>300</v>
      </c>
      <c r="B302" s="184" t="s">
        <v>9</v>
      </c>
      <c r="C302" s="100" t="s">
        <v>128</v>
      </c>
      <c r="D302" s="100" t="s">
        <v>1148</v>
      </c>
      <c r="E302" s="173" t="s">
        <v>172</v>
      </c>
      <c r="F302" s="100">
        <v>1995</v>
      </c>
      <c r="G302" s="173"/>
      <c r="H302" s="185"/>
      <c r="I302" s="184"/>
      <c r="J302" s="100">
        <v>15</v>
      </c>
      <c r="K302" s="151">
        <v>39052</v>
      </c>
    </row>
    <row r="303" spans="1:11">
      <c r="A303" s="187">
        <f>A302+1</f>
        <v>301</v>
      </c>
      <c r="B303" s="184" t="s">
        <v>9</v>
      </c>
      <c r="C303" s="100" t="s">
        <v>128</v>
      </c>
      <c r="D303" s="100">
        <v>159920</v>
      </c>
      <c r="E303" s="173" t="s">
        <v>172</v>
      </c>
      <c r="F303" s="100">
        <v>2009</v>
      </c>
      <c r="G303" s="173"/>
      <c r="H303" s="185"/>
      <c r="I303" s="184"/>
      <c r="J303" s="100">
        <v>2</v>
      </c>
      <c r="K303" s="151">
        <v>39067</v>
      </c>
    </row>
    <row r="304" spans="1:11">
      <c r="A304" s="187">
        <f>A303+1</f>
        <v>302</v>
      </c>
      <c r="B304" s="184" t="s">
        <v>9</v>
      </c>
      <c r="C304" s="100" t="s">
        <v>128</v>
      </c>
      <c r="D304" s="100">
        <v>189384</v>
      </c>
      <c r="E304" s="173">
        <v>50444</v>
      </c>
      <c r="F304" s="100">
        <v>2011</v>
      </c>
      <c r="G304" s="173"/>
      <c r="H304" s="185"/>
      <c r="I304" s="184"/>
      <c r="J304" s="100">
        <v>2</v>
      </c>
      <c r="K304" s="151">
        <v>48904</v>
      </c>
    </row>
    <row r="305" spans="1:11">
      <c r="A305" s="187">
        <f>A304+1</f>
        <v>303</v>
      </c>
      <c r="B305" s="184" t="s">
        <v>9</v>
      </c>
      <c r="C305" s="100" t="s">
        <v>191</v>
      </c>
      <c r="D305" s="100">
        <v>128348</v>
      </c>
      <c r="E305" s="173" t="s">
        <v>172</v>
      </c>
      <c r="F305" s="100">
        <v>1994</v>
      </c>
      <c r="G305" s="173"/>
      <c r="H305" s="185"/>
      <c r="I305" s="184"/>
      <c r="J305" s="100" t="s">
        <v>172</v>
      </c>
      <c r="K305" s="151">
        <v>39075</v>
      </c>
    </row>
    <row r="306" spans="1:11">
      <c r="A306" s="187">
        <f>A305+1</f>
        <v>304</v>
      </c>
      <c r="B306" s="184" t="s">
        <v>9</v>
      </c>
      <c r="C306" s="100" t="s">
        <v>166</v>
      </c>
      <c r="D306" s="100">
        <v>191733</v>
      </c>
      <c r="E306" s="173" t="s">
        <v>172</v>
      </c>
      <c r="F306" s="100">
        <v>1997</v>
      </c>
      <c r="G306" s="173"/>
      <c r="H306" s="185"/>
      <c r="I306" s="184"/>
      <c r="J306" s="100">
        <v>11</v>
      </c>
      <c r="K306" s="151">
        <v>48905</v>
      </c>
    </row>
    <row r="307" spans="1:11">
      <c r="A307" s="187">
        <f>A306+1</f>
        <v>305</v>
      </c>
      <c r="B307" s="184" t="s">
        <v>9</v>
      </c>
      <c r="C307" s="100" t="s">
        <v>166</v>
      </c>
      <c r="D307" s="100">
        <v>158962</v>
      </c>
      <c r="E307" s="173" t="s">
        <v>172</v>
      </c>
      <c r="F307" s="100">
        <v>2009</v>
      </c>
      <c r="G307" s="173"/>
      <c r="H307" s="185"/>
      <c r="I307" s="184"/>
      <c r="J307" s="100">
        <v>20</v>
      </c>
      <c r="K307" s="151">
        <v>39020</v>
      </c>
    </row>
    <row r="308" spans="1:11">
      <c r="A308" s="187">
        <f>A307+1</f>
        <v>306</v>
      </c>
      <c r="B308" s="184" t="s">
        <v>9</v>
      </c>
      <c r="C308" s="100" t="s">
        <v>128</v>
      </c>
      <c r="D308" s="100">
        <v>229784</v>
      </c>
      <c r="E308" s="173">
        <v>57549</v>
      </c>
      <c r="F308" s="100">
        <v>2014</v>
      </c>
      <c r="G308" s="173"/>
      <c r="H308" s="185"/>
      <c r="I308" s="184"/>
      <c r="J308" s="100" t="s">
        <v>172</v>
      </c>
      <c r="K308" s="151">
        <v>39028</v>
      </c>
    </row>
    <row r="309" spans="1:11">
      <c r="A309" s="187">
        <f>A308+1</f>
        <v>307</v>
      </c>
      <c r="B309" s="184" t="s">
        <v>9</v>
      </c>
      <c r="C309" s="100" t="s">
        <v>193</v>
      </c>
      <c r="D309" s="100">
        <v>156369</v>
      </c>
      <c r="E309" s="173" t="s">
        <v>172</v>
      </c>
      <c r="F309" s="100">
        <v>2009</v>
      </c>
      <c r="G309" s="173"/>
      <c r="H309" s="185"/>
      <c r="I309" s="184"/>
      <c r="J309" s="100">
        <v>2</v>
      </c>
      <c r="K309" s="151">
        <v>39066</v>
      </c>
    </row>
    <row r="310" spans="1:11">
      <c r="A310" s="187">
        <f>A309+1</f>
        <v>308</v>
      </c>
      <c r="B310" s="184" t="s">
        <v>9</v>
      </c>
      <c r="C310" s="100" t="s">
        <v>127</v>
      </c>
      <c r="D310" s="100">
        <v>185197</v>
      </c>
      <c r="E310" s="173" t="s">
        <v>172</v>
      </c>
      <c r="F310" s="100">
        <v>1993</v>
      </c>
      <c r="G310" s="173"/>
      <c r="H310" s="185"/>
      <c r="I310" s="184"/>
      <c r="J310" s="100">
        <v>30</v>
      </c>
      <c r="K310" s="151">
        <v>39062</v>
      </c>
    </row>
    <row r="311" spans="1:11">
      <c r="A311" s="187">
        <f>A310+1</f>
        <v>309</v>
      </c>
      <c r="B311" s="184" t="s">
        <v>9</v>
      </c>
      <c r="C311" s="100" t="s">
        <v>127</v>
      </c>
      <c r="D311" s="100">
        <v>136083</v>
      </c>
      <c r="E311" s="173" t="s">
        <v>172</v>
      </c>
      <c r="F311" s="100">
        <v>1999</v>
      </c>
      <c r="G311" s="173"/>
      <c r="H311" s="185"/>
      <c r="I311" s="184"/>
      <c r="J311" s="100">
        <v>10</v>
      </c>
      <c r="K311" s="153">
        <v>39046</v>
      </c>
    </row>
    <row r="312" spans="1:11">
      <c r="A312" s="187">
        <f>A311+1</f>
        <v>310</v>
      </c>
      <c r="B312" s="184" t="s">
        <v>9</v>
      </c>
      <c r="C312" s="100" t="s">
        <v>130</v>
      </c>
      <c r="D312" s="100">
        <v>146659</v>
      </c>
      <c r="E312" s="173" t="s">
        <v>172</v>
      </c>
      <c r="F312" s="100">
        <v>1995</v>
      </c>
      <c r="G312" s="173"/>
      <c r="H312" s="185"/>
      <c r="I312" s="184"/>
      <c r="J312" s="100">
        <v>43</v>
      </c>
      <c r="K312" s="151">
        <v>39050</v>
      </c>
    </row>
    <row r="313" spans="1:11">
      <c r="A313" s="187">
        <f>A312+1</f>
        <v>311</v>
      </c>
      <c r="B313" s="184" t="s">
        <v>9</v>
      </c>
      <c r="C313" s="100" t="s">
        <v>130</v>
      </c>
      <c r="D313" s="100">
        <v>30533</v>
      </c>
      <c r="E313" s="173" t="s">
        <v>172</v>
      </c>
      <c r="F313" s="100">
        <v>2000</v>
      </c>
      <c r="G313" s="173"/>
      <c r="H313" s="185"/>
      <c r="I313" s="184"/>
      <c r="J313" s="100">
        <v>2</v>
      </c>
      <c r="K313" s="153">
        <v>39080</v>
      </c>
    </row>
    <row r="314" spans="1:11">
      <c r="A314" s="187">
        <f>A313+1</f>
        <v>312</v>
      </c>
      <c r="B314" s="184" t="s">
        <v>9</v>
      </c>
      <c r="C314" s="100" t="s">
        <v>130</v>
      </c>
      <c r="D314" s="100">
        <v>12973</v>
      </c>
      <c r="E314" s="173" t="s">
        <v>172</v>
      </c>
      <c r="F314" s="100">
        <v>2000</v>
      </c>
      <c r="G314" s="173"/>
      <c r="H314" s="185"/>
      <c r="I314" s="184"/>
      <c r="J314" s="100">
        <v>21</v>
      </c>
      <c r="K314" s="152">
        <v>39035</v>
      </c>
    </row>
    <row r="315" spans="1:11">
      <c r="A315" s="187">
        <f>A314+1</f>
        <v>313</v>
      </c>
      <c r="B315" s="184" t="s">
        <v>9</v>
      </c>
      <c r="C315" s="100" t="s">
        <v>130</v>
      </c>
      <c r="D315" s="100">
        <v>202826</v>
      </c>
      <c r="E315" s="173" t="s">
        <v>172</v>
      </c>
      <c r="F315" s="100">
        <v>1999</v>
      </c>
      <c r="G315" s="173"/>
      <c r="H315" s="185"/>
      <c r="I315" s="184"/>
      <c r="J315" s="100">
        <v>27</v>
      </c>
      <c r="K315" s="153">
        <v>39051</v>
      </c>
    </row>
    <row r="316" spans="1:11">
      <c r="A316" s="187">
        <f>A315+1</f>
        <v>314</v>
      </c>
      <c r="B316" s="184" t="s">
        <v>9</v>
      </c>
      <c r="C316" s="100" t="s">
        <v>131</v>
      </c>
      <c r="D316" s="100">
        <v>149223</v>
      </c>
      <c r="E316" s="173" t="s">
        <v>172</v>
      </c>
      <c r="F316" s="100">
        <v>1998</v>
      </c>
      <c r="G316" s="173"/>
      <c r="H316" s="185"/>
      <c r="I316" s="184"/>
      <c r="J316" s="100">
        <v>38</v>
      </c>
      <c r="K316" s="180">
        <v>39070</v>
      </c>
    </row>
    <row r="317" spans="1:11">
      <c r="A317" s="187">
        <f>A316+1</f>
        <v>315</v>
      </c>
      <c r="B317" s="184" t="s">
        <v>9</v>
      </c>
      <c r="C317" s="100" t="s">
        <v>193</v>
      </c>
      <c r="D317" s="100">
        <v>5020</v>
      </c>
      <c r="E317" s="173">
        <v>27357</v>
      </c>
      <c r="F317" s="100">
        <v>2002</v>
      </c>
      <c r="G317" s="173"/>
      <c r="H317" s="185"/>
      <c r="I317" s="184"/>
      <c r="J317" s="100">
        <v>20</v>
      </c>
      <c r="K317" s="151">
        <v>39079</v>
      </c>
    </row>
    <row r="318" spans="1:11">
      <c r="A318" s="187">
        <f>A317+1</f>
        <v>316</v>
      </c>
      <c r="B318" s="184" t="s">
        <v>9</v>
      </c>
      <c r="C318" s="100" t="s">
        <v>193</v>
      </c>
      <c r="D318" s="100">
        <v>185258</v>
      </c>
      <c r="E318" s="173" t="s">
        <v>172</v>
      </c>
      <c r="F318" s="100">
        <v>2001</v>
      </c>
      <c r="G318" s="173"/>
      <c r="H318" s="185"/>
      <c r="I318" s="184"/>
      <c r="J318" s="100">
        <v>15</v>
      </c>
      <c r="K318" s="151">
        <v>39071</v>
      </c>
    </row>
    <row r="319" spans="1:11">
      <c r="A319" s="187">
        <f>A318+1</f>
        <v>317</v>
      </c>
      <c r="B319" s="184" t="s">
        <v>9</v>
      </c>
      <c r="C319" s="100" t="s">
        <v>193</v>
      </c>
      <c r="D319" s="100">
        <v>9962190</v>
      </c>
      <c r="E319" s="173" t="s">
        <v>172</v>
      </c>
      <c r="F319" s="100">
        <v>1999</v>
      </c>
      <c r="G319" s="173"/>
      <c r="H319" s="185"/>
      <c r="I319" s="184"/>
      <c r="J319" s="100">
        <v>9</v>
      </c>
      <c r="K319" s="153">
        <v>39087</v>
      </c>
    </row>
    <row r="320" spans="1:11">
      <c r="A320" s="187">
        <f>A319+1</f>
        <v>318</v>
      </c>
      <c r="B320" s="184" t="s">
        <v>9</v>
      </c>
      <c r="C320" s="100" t="s">
        <v>192</v>
      </c>
      <c r="D320" s="100">
        <v>5141</v>
      </c>
      <c r="E320" s="173" t="s">
        <v>172</v>
      </c>
      <c r="F320" s="100">
        <v>2002</v>
      </c>
      <c r="G320" s="173"/>
      <c r="H320" s="185"/>
      <c r="I320" s="184"/>
      <c r="J320" s="100">
        <v>30</v>
      </c>
      <c r="K320" s="152">
        <v>39049</v>
      </c>
    </row>
    <row r="321" spans="1:11">
      <c r="A321" s="187">
        <f>A320+1</f>
        <v>319</v>
      </c>
      <c r="B321" s="184" t="s">
        <v>9</v>
      </c>
      <c r="C321" s="100" t="s">
        <v>192</v>
      </c>
      <c r="D321" s="100">
        <v>203987</v>
      </c>
      <c r="E321" s="173" t="s">
        <v>172</v>
      </c>
      <c r="F321" s="100">
        <v>2011</v>
      </c>
      <c r="G321" s="173"/>
      <c r="H321" s="185"/>
      <c r="I321" s="184"/>
      <c r="J321" s="100">
        <v>5</v>
      </c>
      <c r="K321" s="153">
        <v>39053</v>
      </c>
    </row>
    <row r="322" spans="1:11">
      <c r="A322" s="187">
        <f>A321+1</f>
        <v>320</v>
      </c>
      <c r="B322" s="184" t="s">
        <v>9</v>
      </c>
      <c r="C322" s="100" t="s">
        <v>192</v>
      </c>
      <c r="D322" s="100">
        <v>902920</v>
      </c>
      <c r="E322" s="173" t="s">
        <v>172</v>
      </c>
      <c r="F322" s="100">
        <v>2014</v>
      </c>
      <c r="G322" s="173"/>
      <c r="H322" s="185"/>
      <c r="I322" s="184"/>
      <c r="J322" s="100">
        <v>15</v>
      </c>
      <c r="K322" s="152">
        <v>39054</v>
      </c>
    </row>
    <row r="323" spans="1:11">
      <c r="A323" s="187">
        <f>A322+1</f>
        <v>321</v>
      </c>
      <c r="B323" s="184" t="s">
        <v>9</v>
      </c>
      <c r="C323" s="100" t="s">
        <v>191</v>
      </c>
      <c r="D323" s="100">
        <v>129454</v>
      </c>
      <c r="E323" s="173" t="s">
        <v>172</v>
      </c>
      <c r="F323" s="100">
        <v>1994</v>
      </c>
      <c r="G323" s="173"/>
      <c r="H323" s="185"/>
      <c r="I323" s="184"/>
      <c r="J323" s="100">
        <v>8</v>
      </c>
      <c r="K323" s="151">
        <v>39069</v>
      </c>
    </row>
    <row r="324" spans="1:11">
      <c r="A324" s="187">
        <f>A323+1</f>
        <v>322</v>
      </c>
      <c r="B324" s="184" t="s">
        <v>9</v>
      </c>
      <c r="C324" s="100" t="s">
        <v>191</v>
      </c>
      <c r="D324" s="100">
        <v>4535</v>
      </c>
      <c r="E324" s="173" t="s">
        <v>172</v>
      </c>
      <c r="F324" s="100">
        <v>1991</v>
      </c>
      <c r="G324" s="173"/>
      <c r="H324" s="185"/>
      <c r="I324" s="184"/>
      <c r="J324" s="100">
        <v>28</v>
      </c>
      <c r="K324" s="151">
        <v>39090</v>
      </c>
    </row>
    <row r="325" spans="1:11">
      <c r="A325" s="187">
        <f>A324+1</f>
        <v>323</v>
      </c>
      <c r="B325" s="184" t="s">
        <v>9</v>
      </c>
      <c r="C325" s="100" t="s">
        <v>191</v>
      </c>
      <c r="D325" s="100">
        <v>77179</v>
      </c>
      <c r="E325" s="173" t="s">
        <v>172</v>
      </c>
      <c r="F325" s="100">
        <v>1997</v>
      </c>
      <c r="G325" s="173"/>
      <c r="H325" s="185"/>
      <c r="I325" s="184"/>
      <c r="J325" s="100" t="s">
        <v>172</v>
      </c>
      <c r="K325" s="151">
        <v>39084</v>
      </c>
    </row>
    <row r="326" spans="1:11">
      <c r="A326" s="187">
        <f>A325+1</f>
        <v>324</v>
      </c>
      <c r="B326" s="184" t="s">
        <v>9</v>
      </c>
      <c r="C326" s="100" t="s">
        <v>128</v>
      </c>
      <c r="D326" s="100">
        <v>11868258</v>
      </c>
      <c r="E326" s="173">
        <v>50965</v>
      </c>
      <c r="F326" s="100">
        <v>2011</v>
      </c>
      <c r="G326" s="173"/>
      <c r="H326" s="185"/>
      <c r="I326" s="184"/>
      <c r="J326" s="100" t="s">
        <v>172</v>
      </c>
      <c r="K326" s="151">
        <v>39068</v>
      </c>
    </row>
    <row r="327" spans="1:11">
      <c r="A327" s="187">
        <f>A326+1</f>
        <v>325</v>
      </c>
      <c r="B327" s="184" t="s">
        <v>9</v>
      </c>
      <c r="C327" s="100" t="s">
        <v>131</v>
      </c>
      <c r="D327" s="100">
        <v>121787</v>
      </c>
      <c r="E327" s="173" t="s">
        <v>172</v>
      </c>
      <c r="F327" s="100">
        <v>1992</v>
      </c>
      <c r="G327" s="173"/>
      <c r="H327" s="185"/>
      <c r="I327" s="184"/>
      <c r="J327" s="100">
        <v>14</v>
      </c>
      <c r="K327" s="151">
        <v>39151</v>
      </c>
    </row>
    <row r="328" spans="1:11">
      <c r="A328" s="187">
        <f>A327+1</f>
        <v>326</v>
      </c>
      <c r="B328" s="184" t="s">
        <v>9</v>
      </c>
      <c r="C328" s="100" t="s">
        <v>191</v>
      </c>
      <c r="D328" s="100">
        <v>207802</v>
      </c>
      <c r="E328" s="173" t="s">
        <v>172</v>
      </c>
      <c r="F328" s="100">
        <v>2013</v>
      </c>
      <c r="G328" s="173"/>
      <c r="H328" s="185"/>
      <c r="I328" s="184"/>
      <c r="J328" s="100" t="s">
        <v>172</v>
      </c>
      <c r="K328" s="151">
        <v>39072</v>
      </c>
    </row>
    <row r="329" spans="1:11">
      <c r="A329" s="187">
        <f>A328+1</f>
        <v>327</v>
      </c>
      <c r="B329" s="184" t="s">
        <v>9</v>
      </c>
      <c r="C329" s="100" t="s">
        <v>193</v>
      </c>
      <c r="D329" s="100">
        <v>78063</v>
      </c>
      <c r="E329" s="173">
        <v>35487</v>
      </c>
      <c r="F329" s="100">
        <v>2007</v>
      </c>
      <c r="G329" s="173"/>
      <c r="H329" s="185"/>
      <c r="I329" s="184"/>
      <c r="J329" s="100">
        <v>13</v>
      </c>
      <c r="K329" s="153">
        <v>39078</v>
      </c>
    </row>
    <row r="330" spans="1:11">
      <c r="A330" s="187">
        <f>A329+1</f>
        <v>328</v>
      </c>
      <c r="B330" s="184" t="s">
        <v>9</v>
      </c>
      <c r="C330" s="100" t="s">
        <v>191</v>
      </c>
      <c r="D330" s="100">
        <v>284101</v>
      </c>
      <c r="E330" s="173" t="s">
        <v>172</v>
      </c>
      <c r="F330" s="100">
        <v>2006</v>
      </c>
      <c r="G330" s="173"/>
      <c r="H330" s="185"/>
      <c r="I330" s="184"/>
      <c r="J330" s="100">
        <v>2</v>
      </c>
      <c r="K330" s="152">
        <v>39083</v>
      </c>
    </row>
    <row r="331" spans="1:11">
      <c r="A331" s="187">
        <f>A330+1</f>
        <v>329</v>
      </c>
      <c r="B331" s="184" t="s">
        <v>9</v>
      </c>
      <c r="C331" s="100" t="s">
        <v>130</v>
      </c>
      <c r="D331" s="100">
        <v>20306</v>
      </c>
      <c r="E331" s="173" t="s">
        <v>172</v>
      </c>
      <c r="F331" s="100">
        <v>1998</v>
      </c>
      <c r="G331" s="173"/>
      <c r="H331" s="185"/>
      <c r="I331" s="184"/>
      <c r="J331" s="100">
        <v>47</v>
      </c>
      <c r="K331" s="151">
        <v>39043</v>
      </c>
    </row>
    <row r="332" spans="1:11">
      <c r="A332" s="187">
        <f>A331+1</f>
        <v>330</v>
      </c>
      <c r="B332" s="184" t="s">
        <v>9</v>
      </c>
      <c r="C332" s="100" t="s">
        <v>131</v>
      </c>
      <c r="D332" s="100">
        <v>48797</v>
      </c>
      <c r="E332" s="173" t="s">
        <v>172</v>
      </c>
      <c r="F332" s="100">
        <v>1998</v>
      </c>
      <c r="G332" s="173"/>
      <c r="H332" s="185"/>
      <c r="I332" s="184"/>
      <c r="J332" s="100">
        <v>2</v>
      </c>
      <c r="K332" s="151">
        <v>48906</v>
      </c>
    </row>
    <row r="333" spans="1:11">
      <c r="A333" s="187">
        <f>A332+1</f>
        <v>331</v>
      </c>
      <c r="B333" s="184" t="s">
        <v>9</v>
      </c>
      <c r="C333" s="100" t="s">
        <v>193</v>
      </c>
      <c r="D333" s="100">
        <v>39746</v>
      </c>
      <c r="E333" s="173">
        <v>37233</v>
      </c>
      <c r="F333" s="100">
        <v>2008</v>
      </c>
      <c r="G333" s="173"/>
      <c r="H333" s="185"/>
      <c r="I333" s="184"/>
      <c r="J333" s="100">
        <v>15</v>
      </c>
      <c r="K333" s="151">
        <v>39077</v>
      </c>
    </row>
    <row r="334" spans="1:11">
      <c r="A334" s="187">
        <f>A333+1</f>
        <v>332</v>
      </c>
      <c r="B334" s="184" t="s">
        <v>9</v>
      </c>
      <c r="C334" s="100" t="s">
        <v>130</v>
      </c>
      <c r="D334" s="100" t="s">
        <v>1149</v>
      </c>
      <c r="E334" s="173">
        <v>52398</v>
      </c>
      <c r="F334" s="100">
        <v>1992</v>
      </c>
      <c r="G334" s="173"/>
      <c r="H334" s="185"/>
      <c r="I334" s="184"/>
      <c r="J334" s="100">
        <v>30</v>
      </c>
      <c r="K334" s="151">
        <v>39042</v>
      </c>
    </row>
    <row r="335" spans="1:11">
      <c r="A335" s="187">
        <f>A334+1</f>
        <v>333</v>
      </c>
      <c r="B335" s="184" t="s">
        <v>9</v>
      </c>
      <c r="C335" s="100" t="s">
        <v>193</v>
      </c>
      <c r="D335" s="100">
        <v>203746</v>
      </c>
      <c r="E335" s="173" t="s">
        <v>172</v>
      </c>
      <c r="F335" s="100">
        <v>2012</v>
      </c>
      <c r="G335" s="173"/>
      <c r="H335" s="185"/>
      <c r="I335" s="184"/>
      <c r="J335" s="100" t="s">
        <v>172</v>
      </c>
      <c r="K335" s="151">
        <v>39076</v>
      </c>
    </row>
    <row r="336" spans="1:11">
      <c r="A336" s="187">
        <f>A335+1</f>
        <v>334</v>
      </c>
      <c r="B336" s="184" t="s">
        <v>9</v>
      </c>
      <c r="C336" s="100" t="s">
        <v>191</v>
      </c>
      <c r="D336" s="100">
        <v>680440</v>
      </c>
      <c r="E336" s="173">
        <v>47141</v>
      </c>
      <c r="F336" s="100">
        <v>2010</v>
      </c>
      <c r="G336" s="173"/>
      <c r="H336" s="185"/>
      <c r="I336" s="184"/>
      <c r="J336" s="100">
        <v>2</v>
      </c>
      <c r="K336" s="151">
        <v>39086</v>
      </c>
    </row>
    <row r="337" spans="1:11">
      <c r="A337" s="187">
        <f>A336+1</f>
        <v>335</v>
      </c>
      <c r="B337" s="184" t="s">
        <v>9</v>
      </c>
      <c r="C337" s="100" t="s">
        <v>166</v>
      </c>
      <c r="D337" s="100">
        <v>196279</v>
      </c>
      <c r="E337" s="173" t="s">
        <v>172</v>
      </c>
      <c r="F337" s="100">
        <v>2011</v>
      </c>
      <c r="G337" s="173"/>
      <c r="H337" s="185"/>
      <c r="I337" s="184"/>
      <c r="J337" s="100" t="s">
        <v>172</v>
      </c>
      <c r="K337" s="151">
        <v>39064</v>
      </c>
    </row>
    <row r="338" spans="1:11">
      <c r="A338" s="187">
        <f>A337+1</f>
        <v>336</v>
      </c>
      <c r="B338" s="184" t="s">
        <v>9</v>
      </c>
      <c r="C338" s="100" t="s">
        <v>193</v>
      </c>
      <c r="D338" s="177">
        <v>4472</v>
      </c>
      <c r="E338" s="173" t="s">
        <v>172</v>
      </c>
      <c r="F338" s="177">
        <v>2001</v>
      </c>
      <c r="G338" s="173"/>
      <c r="H338" s="185"/>
      <c r="I338" s="184"/>
      <c r="J338" s="100">
        <v>501</v>
      </c>
      <c r="K338" s="151">
        <v>39088</v>
      </c>
    </row>
    <row r="339" spans="1:11">
      <c r="A339" s="187">
        <f>A338+1</f>
        <v>337</v>
      </c>
      <c r="B339" s="184" t="s">
        <v>9</v>
      </c>
      <c r="C339" s="100" t="s">
        <v>131</v>
      </c>
      <c r="D339" s="100">
        <v>120330</v>
      </c>
      <c r="E339" s="173">
        <v>64208</v>
      </c>
      <c r="F339" s="100">
        <v>2000</v>
      </c>
      <c r="G339" s="173"/>
      <c r="H339" s="185"/>
      <c r="I339" s="184"/>
      <c r="J339" s="100">
        <v>48</v>
      </c>
      <c r="K339" s="151">
        <v>39057</v>
      </c>
    </row>
    <row r="340" spans="1:11">
      <c r="A340" s="187">
        <f>A339+1</f>
        <v>338</v>
      </c>
      <c r="B340" s="184" t="s">
        <v>9</v>
      </c>
      <c r="C340" s="100" t="s">
        <v>903</v>
      </c>
      <c r="D340" s="100">
        <v>123208</v>
      </c>
      <c r="E340" s="173">
        <v>49750</v>
      </c>
      <c r="F340" s="100">
        <v>2011</v>
      </c>
      <c r="G340" s="173"/>
      <c r="H340" s="185"/>
      <c r="I340" s="184"/>
      <c r="J340" s="100" t="s">
        <v>172</v>
      </c>
      <c r="K340" s="151">
        <v>39044</v>
      </c>
    </row>
    <row r="341" spans="1:11">
      <c r="A341" s="187">
        <f>A340+1</f>
        <v>339</v>
      </c>
      <c r="B341" s="184" t="s">
        <v>9</v>
      </c>
      <c r="C341" s="100" t="s">
        <v>127</v>
      </c>
      <c r="D341" s="100">
        <v>197492</v>
      </c>
      <c r="E341" s="173" t="s">
        <v>172</v>
      </c>
      <c r="F341" s="100">
        <v>1999</v>
      </c>
      <c r="G341" s="173"/>
      <c r="H341" s="185"/>
      <c r="I341" s="184"/>
      <c r="J341" s="100">
        <v>4</v>
      </c>
      <c r="K341" s="151">
        <v>39055</v>
      </c>
    </row>
    <row r="342" spans="1:11">
      <c r="A342" s="106">
        <f>A341+1</f>
        <v>340</v>
      </c>
      <c r="B342" s="41" t="s">
        <v>9</v>
      </c>
      <c r="C342" s="92" t="s">
        <v>127</v>
      </c>
      <c r="D342" s="84">
        <v>4557</v>
      </c>
      <c r="E342" s="174" t="s">
        <v>172</v>
      </c>
      <c r="F342" s="94">
        <v>1990</v>
      </c>
      <c r="G342" s="181"/>
      <c r="H342" s="42"/>
      <c r="I342" s="41"/>
      <c r="J342" s="92">
        <v>29</v>
      </c>
      <c r="K342" s="151">
        <v>39081</v>
      </c>
    </row>
    <row r="343" spans="1:11">
      <c r="A343" s="106">
        <f>A342+1</f>
        <v>341</v>
      </c>
      <c r="B343" s="41" t="s">
        <v>9</v>
      </c>
      <c r="C343" s="92" t="s">
        <v>127</v>
      </c>
      <c r="D343" s="84">
        <v>192407</v>
      </c>
      <c r="E343" s="175" t="s">
        <v>172</v>
      </c>
      <c r="F343" s="100">
        <v>1997</v>
      </c>
      <c r="G343" s="176"/>
      <c r="H343" s="42"/>
      <c r="I343" s="41"/>
      <c r="J343" s="92">
        <v>12</v>
      </c>
      <c r="K343" s="151">
        <v>39089</v>
      </c>
    </row>
    <row r="344" spans="1:11">
      <c r="A344" s="106">
        <f>A343+1</f>
        <v>342</v>
      </c>
      <c r="B344" s="41" t="s">
        <v>9</v>
      </c>
      <c r="C344" s="160" t="s">
        <v>131</v>
      </c>
      <c r="D344" s="90">
        <v>301308</v>
      </c>
      <c r="E344" s="175">
        <v>55235</v>
      </c>
      <c r="F344" s="100">
        <v>2017</v>
      </c>
      <c r="G344" s="176"/>
      <c r="H344" s="42"/>
      <c r="I344" s="41"/>
      <c r="J344" s="136" t="s">
        <v>172</v>
      </c>
      <c r="K344" s="153">
        <v>39040</v>
      </c>
    </row>
    <row r="345" spans="1:11">
      <c r="A345" s="106">
        <f>A344+1</f>
        <v>343</v>
      </c>
      <c r="B345" s="41" t="s">
        <v>9</v>
      </c>
      <c r="C345" s="137" t="s">
        <v>193</v>
      </c>
      <c r="D345" s="82">
        <v>240645</v>
      </c>
      <c r="E345" s="175" t="s">
        <v>172</v>
      </c>
      <c r="F345" s="100">
        <v>2003</v>
      </c>
      <c r="G345" s="176"/>
      <c r="H345" s="42"/>
      <c r="I345" s="41"/>
      <c r="J345" s="137">
        <v>31</v>
      </c>
      <c r="K345" s="152">
        <v>39061</v>
      </c>
    </row>
    <row r="346" spans="1:11">
      <c r="A346" s="106">
        <f>A345+1</f>
        <v>344</v>
      </c>
      <c r="B346" s="41" t="s">
        <v>9</v>
      </c>
      <c r="C346" s="92" t="s">
        <v>130</v>
      </c>
      <c r="D346" s="84" t="s">
        <v>1150</v>
      </c>
      <c r="E346" s="175" t="s">
        <v>172</v>
      </c>
      <c r="F346" s="100">
        <v>2000</v>
      </c>
      <c r="G346" s="176"/>
      <c r="H346" s="42"/>
      <c r="I346" s="41"/>
      <c r="J346" s="92">
        <v>31</v>
      </c>
      <c r="K346" s="151">
        <v>48908</v>
      </c>
    </row>
    <row r="347" spans="1:11">
      <c r="A347" s="106">
        <f>A346+1</f>
        <v>345</v>
      </c>
      <c r="B347" s="41" t="s">
        <v>9</v>
      </c>
      <c r="C347" s="92" t="s">
        <v>130</v>
      </c>
      <c r="D347" s="84">
        <v>9090</v>
      </c>
      <c r="E347" s="175" t="s">
        <v>172</v>
      </c>
      <c r="F347" s="100">
        <v>2002</v>
      </c>
      <c r="G347" s="176"/>
      <c r="H347" s="42"/>
      <c r="I347" s="41"/>
      <c r="J347" s="92">
        <v>19</v>
      </c>
      <c r="K347" s="151">
        <v>39056</v>
      </c>
    </row>
    <row r="348" spans="1:11">
      <c r="A348" s="106">
        <f>A347+1</f>
        <v>346</v>
      </c>
      <c r="B348" s="41" t="s">
        <v>9</v>
      </c>
      <c r="C348" s="92" t="s">
        <v>128</v>
      </c>
      <c r="D348" s="84">
        <v>105132</v>
      </c>
      <c r="E348" s="175" t="s">
        <v>172</v>
      </c>
      <c r="F348" s="100">
        <v>1998</v>
      </c>
      <c r="G348" s="176"/>
      <c r="H348" s="42"/>
      <c r="I348" s="41"/>
      <c r="J348" s="92">
        <v>33</v>
      </c>
      <c r="K348" s="151">
        <v>39059</v>
      </c>
    </row>
    <row r="349" spans="1:11">
      <c r="A349" s="106">
        <f>A348+1</f>
        <v>347</v>
      </c>
      <c r="B349" s="41" t="s">
        <v>9</v>
      </c>
      <c r="C349" s="92" t="s">
        <v>166</v>
      </c>
      <c r="D349" s="84">
        <v>120076</v>
      </c>
      <c r="E349" s="175">
        <v>76126</v>
      </c>
      <c r="F349" s="100">
        <v>2009</v>
      </c>
      <c r="G349" s="176"/>
      <c r="H349" s="42"/>
      <c r="I349" s="41"/>
      <c r="J349" s="92">
        <v>22</v>
      </c>
      <c r="K349" s="151">
        <v>39027</v>
      </c>
    </row>
    <row r="350" spans="1:11">
      <c r="A350" s="106">
        <f>A349+1</f>
        <v>348</v>
      </c>
      <c r="B350" s="41" t="s">
        <v>9</v>
      </c>
      <c r="C350" s="159" t="s">
        <v>131</v>
      </c>
      <c r="D350" s="84">
        <v>119185</v>
      </c>
      <c r="E350" s="175">
        <v>40978</v>
      </c>
      <c r="F350" s="100">
        <v>2009</v>
      </c>
      <c r="G350" s="176"/>
      <c r="H350" s="42"/>
      <c r="I350" s="41"/>
      <c r="J350" s="92">
        <v>29</v>
      </c>
      <c r="K350" s="151">
        <v>39032</v>
      </c>
    </row>
    <row r="351" spans="1:11">
      <c r="A351" s="106">
        <f>A350+1</f>
        <v>349</v>
      </c>
      <c r="B351" s="41" t="s">
        <v>9</v>
      </c>
      <c r="C351" s="160" t="s">
        <v>192</v>
      </c>
      <c r="D351" s="90" t="s">
        <v>1151</v>
      </c>
      <c r="E351" s="175">
        <v>76125</v>
      </c>
      <c r="F351" s="100">
        <v>2003</v>
      </c>
      <c r="G351" s="176"/>
      <c r="H351" s="42"/>
      <c r="I351" s="41"/>
      <c r="J351" s="136">
        <v>41</v>
      </c>
      <c r="K351" s="153">
        <v>39037</v>
      </c>
    </row>
    <row r="352" spans="1:11">
      <c r="A352" s="106">
        <f>A351+1</f>
        <v>350</v>
      </c>
      <c r="B352" s="41" t="s">
        <v>9</v>
      </c>
      <c r="C352" s="92" t="s">
        <v>130</v>
      </c>
      <c r="D352" s="84" t="s">
        <v>1152</v>
      </c>
      <c r="E352" s="175">
        <v>76123</v>
      </c>
      <c r="F352" s="100">
        <v>2007</v>
      </c>
      <c r="G352" s="176"/>
      <c r="H352" s="42"/>
      <c r="I352" s="41"/>
      <c r="J352" s="92">
        <v>25</v>
      </c>
      <c r="K352" s="151">
        <v>39038</v>
      </c>
    </row>
    <row r="353" spans="1:11">
      <c r="A353" s="106">
        <f>A352+1</f>
        <v>351</v>
      </c>
      <c r="B353" s="41" t="s">
        <v>9</v>
      </c>
      <c r="C353" s="159" t="s">
        <v>166</v>
      </c>
      <c r="D353" s="84">
        <v>91771</v>
      </c>
      <c r="E353" s="175">
        <v>76323</v>
      </c>
      <c r="F353" s="100">
        <v>2007</v>
      </c>
      <c r="G353" s="176"/>
      <c r="H353" s="42"/>
      <c r="I353" s="41"/>
      <c r="J353" s="92" t="s">
        <v>172</v>
      </c>
      <c r="K353" s="151">
        <v>39700</v>
      </c>
    </row>
    <row r="354" spans="1:11">
      <c r="A354" s="106">
        <f>A353+1</f>
        <v>352</v>
      </c>
      <c r="B354" s="41" t="s">
        <v>9</v>
      </c>
      <c r="C354" s="159" t="s">
        <v>131</v>
      </c>
      <c r="D354" s="84">
        <v>120526</v>
      </c>
      <c r="E354" s="175">
        <v>76322</v>
      </c>
      <c r="F354" s="100">
        <v>2008</v>
      </c>
      <c r="G354" s="176"/>
      <c r="H354" s="42"/>
      <c r="I354" s="41"/>
      <c r="J354" s="92">
        <v>11</v>
      </c>
      <c r="K354" s="151">
        <v>39705</v>
      </c>
    </row>
    <row r="355" spans="1:11">
      <c r="A355" s="106">
        <f>A354+1</f>
        <v>353</v>
      </c>
      <c r="B355" s="41" t="s">
        <v>9</v>
      </c>
      <c r="C355" s="159" t="s">
        <v>128</v>
      </c>
      <c r="D355" s="84">
        <v>11868240</v>
      </c>
      <c r="E355" s="175">
        <v>50947</v>
      </c>
      <c r="F355" s="100">
        <v>2011</v>
      </c>
      <c r="G355" s="176"/>
      <c r="H355" s="42"/>
      <c r="I355" s="41"/>
      <c r="J355" s="92">
        <v>7</v>
      </c>
      <c r="K355" s="151">
        <v>39701</v>
      </c>
    </row>
    <row r="356" spans="1:11">
      <c r="A356" s="106">
        <f>A355+1</f>
        <v>354</v>
      </c>
      <c r="B356" s="41" t="s">
        <v>9</v>
      </c>
      <c r="C356" s="137" t="s">
        <v>131</v>
      </c>
      <c r="D356" s="82">
        <v>928645</v>
      </c>
      <c r="E356" s="175">
        <v>77297</v>
      </c>
      <c r="F356" s="100">
        <v>2014</v>
      </c>
      <c r="G356" s="176"/>
      <c r="H356" s="42"/>
      <c r="I356" s="41"/>
      <c r="J356" s="137">
        <v>45</v>
      </c>
      <c r="K356" s="152">
        <v>48019</v>
      </c>
    </row>
    <row r="357" spans="1:11">
      <c r="A357" s="106">
        <f>A356+1</f>
        <v>355</v>
      </c>
      <c r="B357" s="41" t="s">
        <v>9</v>
      </c>
      <c r="C357" s="135" t="s">
        <v>128</v>
      </c>
      <c r="D357" s="94">
        <v>7987603</v>
      </c>
      <c r="E357" s="178">
        <v>46627</v>
      </c>
      <c r="F357" s="100">
        <v>2014</v>
      </c>
      <c r="G357" s="179"/>
      <c r="H357" s="42"/>
      <c r="I357" s="41"/>
      <c r="J357" s="135">
        <v>44</v>
      </c>
      <c r="K357" s="155">
        <v>47956</v>
      </c>
    </row>
    <row r="358" spans="1:11">
      <c r="A358" s="106">
        <f>A357+1</f>
        <v>356</v>
      </c>
      <c r="B358" s="41" t="s">
        <v>9</v>
      </c>
      <c r="C358" s="92" t="s">
        <v>131</v>
      </c>
      <c r="D358" s="84">
        <v>433428</v>
      </c>
      <c r="E358" s="178">
        <v>74617</v>
      </c>
      <c r="F358" s="100">
        <v>2001</v>
      </c>
      <c r="G358" s="179"/>
      <c r="H358" s="42"/>
      <c r="I358" s="41"/>
      <c r="J358" s="92">
        <v>12</v>
      </c>
      <c r="K358" s="151">
        <v>47990</v>
      </c>
    </row>
    <row r="359" spans="1:11">
      <c r="A359" s="106">
        <f>A358+1</f>
        <v>357</v>
      </c>
      <c r="B359" s="41" t="s">
        <v>9</v>
      </c>
      <c r="C359" s="135" t="s">
        <v>903</v>
      </c>
      <c r="D359" s="94">
        <v>426245</v>
      </c>
      <c r="E359" s="178">
        <v>74067</v>
      </c>
      <c r="F359" s="100">
        <v>2021</v>
      </c>
      <c r="G359" s="179"/>
      <c r="H359" s="42"/>
      <c r="I359" s="41"/>
      <c r="J359" s="135">
        <v>12</v>
      </c>
      <c r="K359" s="155">
        <v>47962</v>
      </c>
    </row>
    <row r="360" spans="1:11">
      <c r="A360" s="106">
        <f>A359+1</f>
        <v>358</v>
      </c>
      <c r="B360" s="41" t="s">
        <v>9</v>
      </c>
      <c r="C360" s="150" t="s">
        <v>131</v>
      </c>
      <c r="D360" s="93">
        <v>340406</v>
      </c>
      <c r="E360" s="178">
        <v>67647</v>
      </c>
      <c r="F360" s="100">
        <v>2018</v>
      </c>
      <c r="G360" s="179"/>
      <c r="H360" s="42"/>
      <c r="I360" s="41"/>
      <c r="J360" s="150">
        <v>13</v>
      </c>
      <c r="K360" s="153">
        <v>48004</v>
      </c>
    </row>
    <row r="361" spans="1:11">
      <c r="A361" s="106">
        <f>A360+1</f>
        <v>359</v>
      </c>
      <c r="B361" s="41" t="s">
        <v>9</v>
      </c>
      <c r="C361" s="137" t="s">
        <v>131</v>
      </c>
      <c r="D361" s="82">
        <v>440027</v>
      </c>
      <c r="E361" s="178">
        <v>3127</v>
      </c>
      <c r="F361" s="100">
        <v>2005</v>
      </c>
      <c r="G361" s="179"/>
      <c r="H361" s="42"/>
      <c r="I361" s="41"/>
      <c r="J361" s="137">
        <v>17</v>
      </c>
      <c r="K361" s="152">
        <v>48218</v>
      </c>
    </row>
    <row r="362" spans="1:11">
      <c r="A362" s="106">
        <f>A361+1</f>
        <v>360</v>
      </c>
      <c r="B362" s="41" t="s">
        <v>9</v>
      </c>
      <c r="C362" s="135" t="s">
        <v>127</v>
      </c>
      <c r="D362" s="94">
        <v>311204</v>
      </c>
      <c r="E362" s="178">
        <v>3094</v>
      </c>
      <c r="F362" s="100">
        <v>2005</v>
      </c>
      <c r="G362" s="179"/>
      <c r="H362" s="42"/>
      <c r="I362" s="41"/>
      <c r="J362" s="135">
        <v>5</v>
      </c>
      <c r="K362" s="155">
        <v>48217</v>
      </c>
    </row>
    <row r="363" spans="1:11">
      <c r="A363" s="106">
        <f>A362+1</f>
        <v>361</v>
      </c>
      <c r="B363" s="41" t="s">
        <v>9</v>
      </c>
      <c r="C363" s="150" t="s">
        <v>128</v>
      </c>
      <c r="D363" s="93">
        <v>337336</v>
      </c>
      <c r="E363" s="178">
        <v>6567</v>
      </c>
      <c r="F363" s="100">
        <v>2010</v>
      </c>
      <c r="G363" s="179"/>
      <c r="H363" s="42"/>
      <c r="I363" s="41"/>
      <c r="J363" s="150">
        <v>9</v>
      </c>
      <c r="K363" s="153">
        <v>47953</v>
      </c>
    </row>
    <row r="364" spans="1:11">
      <c r="A364" s="106">
        <f>A363+1</f>
        <v>362</v>
      </c>
      <c r="B364" s="41" t="s">
        <v>9</v>
      </c>
      <c r="C364" s="137" t="s">
        <v>131</v>
      </c>
      <c r="D364" s="82">
        <v>368493</v>
      </c>
      <c r="E364" s="178">
        <v>6566</v>
      </c>
      <c r="F364" s="100">
        <v>2011</v>
      </c>
      <c r="G364" s="179"/>
      <c r="H364" s="42"/>
      <c r="I364" s="41"/>
      <c r="J364" s="137">
        <v>14</v>
      </c>
      <c r="K364" s="152">
        <v>48009</v>
      </c>
    </row>
    <row r="365" spans="1:11">
      <c r="A365" s="106">
        <f>A364+1</f>
        <v>363</v>
      </c>
      <c r="B365" s="41" t="s">
        <v>9</v>
      </c>
      <c r="C365" s="92" t="s">
        <v>128</v>
      </c>
      <c r="D365" s="84">
        <v>260018</v>
      </c>
      <c r="E365" s="178">
        <v>2642</v>
      </c>
      <c r="F365" s="100">
        <v>2003</v>
      </c>
      <c r="G365" s="179"/>
      <c r="H365" s="42"/>
      <c r="I365" s="41"/>
      <c r="J365" s="92">
        <v>13</v>
      </c>
      <c r="K365" s="151">
        <v>48001</v>
      </c>
    </row>
    <row r="366" spans="1:11">
      <c r="A366" s="106">
        <f>A365+1</f>
        <v>364</v>
      </c>
      <c r="B366" s="41" t="s">
        <v>9</v>
      </c>
      <c r="C366" s="137" t="s">
        <v>131</v>
      </c>
      <c r="D366" s="82">
        <v>28028</v>
      </c>
      <c r="E366" s="178">
        <v>6565</v>
      </c>
      <c r="F366" s="100">
        <v>2012</v>
      </c>
      <c r="G366" s="179"/>
      <c r="H366" s="42"/>
      <c r="I366" s="41"/>
      <c r="J366" s="137">
        <v>160</v>
      </c>
      <c r="K366" s="152">
        <v>48026</v>
      </c>
    </row>
    <row r="367" spans="1:11">
      <c r="A367" s="106">
        <f>A366+1</f>
        <v>365</v>
      </c>
      <c r="B367" s="41" t="s">
        <v>9</v>
      </c>
      <c r="C367" s="92" t="s">
        <v>127</v>
      </c>
      <c r="D367" s="84">
        <v>219230</v>
      </c>
      <c r="E367" s="178">
        <v>5162</v>
      </c>
      <c r="F367" s="100">
        <v>2013</v>
      </c>
      <c r="G367" s="179"/>
      <c r="H367" s="42"/>
      <c r="I367" s="41"/>
      <c r="J367" s="92">
        <v>12</v>
      </c>
      <c r="K367" s="151">
        <v>48008</v>
      </c>
    </row>
    <row r="368" spans="1:11">
      <c r="A368" s="106">
        <f>A367+1</f>
        <v>366</v>
      </c>
      <c r="B368" s="41" t="s">
        <v>9</v>
      </c>
      <c r="C368" s="150" t="s">
        <v>191</v>
      </c>
      <c r="D368" s="93">
        <v>170042</v>
      </c>
      <c r="E368" s="178" t="s">
        <v>172</v>
      </c>
      <c r="F368" s="100">
        <v>2010</v>
      </c>
      <c r="G368" s="179"/>
      <c r="H368" s="42"/>
      <c r="I368" s="41"/>
      <c r="J368" s="150">
        <v>11</v>
      </c>
      <c r="K368" s="153">
        <v>48330</v>
      </c>
    </row>
    <row r="369" spans="1:11">
      <c r="A369" s="106">
        <f>A368+1</f>
        <v>367</v>
      </c>
      <c r="B369" s="41" t="s">
        <v>9</v>
      </c>
      <c r="C369" s="137" t="s">
        <v>128</v>
      </c>
      <c r="D369" s="82">
        <v>168130</v>
      </c>
      <c r="E369" s="178" t="s">
        <v>172</v>
      </c>
      <c r="F369" s="100">
        <v>2010</v>
      </c>
      <c r="G369" s="179"/>
      <c r="H369" s="42"/>
      <c r="I369" s="41"/>
      <c r="J369" s="137">
        <v>29</v>
      </c>
      <c r="K369" s="152">
        <v>48340</v>
      </c>
    </row>
    <row r="370" spans="1:11">
      <c r="A370" s="106">
        <f>A369+1</f>
        <v>368</v>
      </c>
      <c r="B370" s="41" t="s">
        <v>9</v>
      </c>
      <c r="C370" s="135" t="s">
        <v>131</v>
      </c>
      <c r="D370" s="94">
        <v>9615250</v>
      </c>
      <c r="E370" s="178" t="s">
        <v>172</v>
      </c>
      <c r="F370" s="100">
        <v>1996</v>
      </c>
      <c r="G370" s="179"/>
      <c r="H370" s="42"/>
      <c r="I370" s="41"/>
      <c r="J370" s="135" t="s">
        <v>172</v>
      </c>
      <c r="K370" s="155">
        <v>48364</v>
      </c>
    </row>
    <row r="371" spans="1:11">
      <c r="A371" s="106">
        <f>A370+1</f>
        <v>369</v>
      </c>
      <c r="B371" s="41" t="s">
        <v>9</v>
      </c>
      <c r="C371" s="150" t="s">
        <v>191</v>
      </c>
      <c r="D371" s="93">
        <v>170621</v>
      </c>
      <c r="E371" s="178" t="s">
        <v>172</v>
      </c>
      <c r="F371" s="100">
        <v>2010</v>
      </c>
      <c r="G371" s="179"/>
      <c r="H371" s="42"/>
      <c r="I371" s="41"/>
      <c r="J371" s="150">
        <v>10</v>
      </c>
      <c r="K371" s="153">
        <v>48329</v>
      </c>
    </row>
    <row r="372" spans="1:11">
      <c r="A372" s="106">
        <f>A371+1</f>
        <v>370</v>
      </c>
      <c r="B372" s="41" t="s">
        <v>9</v>
      </c>
      <c r="C372" s="137" t="s">
        <v>128</v>
      </c>
      <c r="D372" s="82">
        <v>136281</v>
      </c>
      <c r="E372" s="178" t="s">
        <v>172</v>
      </c>
      <c r="F372" s="100">
        <v>1994</v>
      </c>
      <c r="G372" s="179"/>
      <c r="H372" s="42"/>
      <c r="I372" s="41"/>
      <c r="J372" s="137">
        <v>48</v>
      </c>
      <c r="K372" s="152">
        <v>48360</v>
      </c>
    </row>
    <row r="373" spans="1:11">
      <c r="A373" s="106">
        <f>A372+1</f>
        <v>371</v>
      </c>
      <c r="B373" s="41" t="s">
        <v>9</v>
      </c>
      <c r="C373" s="135" t="s">
        <v>128</v>
      </c>
      <c r="D373" s="94">
        <v>9510633</v>
      </c>
      <c r="E373" s="178" t="s">
        <v>172</v>
      </c>
      <c r="F373" s="100">
        <v>1994</v>
      </c>
      <c r="G373" s="179"/>
      <c r="H373" s="42"/>
      <c r="I373" s="41"/>
      <c r="J373" s="135" t="s">
        <v>172</v>
      </c>
      <c r="K373" s="155">
        <v>48366</v>
      </c>
    </row>
    <row r="374" spans="1:11">
      <c r="A374" s="106">
        <f>A373+1</f>
        <v>372</v>
      </c>
      <c r="B374" s="41" t="s">
        <v>9</v>
      </c>
      <c r="C374" s="135" t="s">
        <v>193</v>
      </c>
      <c r="D374" s="94">
        <v>167528</v>
      </c>
      <c r="E374" s="41" t="s">
        <v>172</v>
      </c>
      <c r="F374" s="131">
        <v>2010</v>
      </c>
      <c r="G374" s="41"/>
      <c r="H374" s="42"/>
      <c r="I374" s="41"/>
      <c r="J374" s="135">
        <v>11</v>
      </c>
      <c r="K374" s="155">
        <v>48357</v>
      </c>
    </row>
    <row r="375" spans="1:11">
      <c r="A375" s="106">
        <f>A374+1</f>
        <v>373</v>
      </c>
      <c r="B375" s="41" t="s">
        <v>9</v>
      </c>
      <c r="C375" s="135" t="s">
        <v>192</v>
      </c>
      <c r="D375" s="94">
        <v>1072639</v>
      </c>
      <c r="E375" s="41">
        <v>4581</v>
      </c>
      <c r="F375" s="131">
        <v>2017</v>
      </c>
      <c r="G375" s="41"/>
      <c r="H375" s="42"/>
      <c r="I375" s="41"/>
      <c r="J375" s="135">
        <v>11</v>
      </c>
      <c r="K375" s="155">
        <v>48349</v>
      </c>
    </row>
    <row r="376" spans="1:11">
      <c r="A376" s="106">
        <f>A375+1</f>
        <v>374</v>
      </c>
      <c r="B376" s="41" t="s">
        <v>9</v>
      </c>
      <c r="C376" s="150" t="s">
        <v>131</v>
      </c>
      <c r="D376" s="93">
        <v>312876</v>
      </c>
      <c r="E376" s="41" t="s">
        <v>172</v>
      </c>
      <c r="F376" s="149">
        <v>2017</v>
      </c>
      <c r="G376" s="41"/>
      <c r="H376" s="42"/>
      <c r="I376" s="41"/>
      <c r="J376" s="150" t="s">
        <v>172</v>
      </c>
      <c r="K376" s="153">
        <v>48367</v>
      </c>
    </row>
    <row r="377" spans="1:11">
      <c r="A377" s="106">
        <f>A376+1</f>
        <v>375</v>
      </c>
      <c r="B377" s="41" t="s">
        <v>9</v>
      </c>
      <c r="C377" s="137" t="s">
        <v>128</v>
      </c>
      <c r="D377" s="82">
        <v>165150</v>
      </c>
      <c r="E377" s="41" t="s">
        <v>172</v>
      </c>
      <c r="F377" s="87">
        <v>2010</v>
      </c>
      <c r="G377" s="41"/>
      <c r="H377" s="42"/>
      <c r="I377" s="41"/>
      <c r="J377" s="137">
        <v>12</v>
      </c>
      <c r="K377" s="152">
        <v>48319</v>
      </c>
    </row>
    <row r="378" spans="1:11">
      <c r="A378" s="106">
        <f>A377+1</f>
        <v>376</v>
      </c>
      <c r="B378" s="41" t="s">
        <v>9</v>
      </c>
      <c r="C378" s="92" t="s">
        <v>191</v>
      </c>
      <c r="D378" s="84">
        <v>1268</v>
      </c>
      <c r="E378" s="41" t="s">
        <v>172</v>
      </c>
      <c r="F378" s="86">
        <v>2009</v>
      </c>
      <c r="G378" s="41"/>
      <c r="H378" s="42"/>
      <c r="I378" s="41"/>
      <c r="J378" s="92" t="s">
        <v>172</v>
      </c>
      <c r="K378" s="151">
        <v>48363</v>
      </c>
    </row>
    <row r="379" spans="1:11">
      <c r="A379" s="106">
        <f>A378+1</f>
        <v>377</v>
      </c>
      <c r="B379" s="41" t="s">
        <v>9</v>
      </c>
      <c r="C379" s="135" t="s">
        <v>191</v>
      </c>
      <c r="D379" s="94">
        <v>186524</v>
      </c>
      <c r="E379" s="41" t="s">
        <v>172</v>
      </c>
      <c r="F379" s="131">
        <v>2011</v>
      </c>
      <c r="G379" s="41"/>
      <c r="H379" s="42"/>
      <c r="I379" s="41"/>
      <c r="J379" s="135">
        <v>10</v>
      </c>
      <c r="K379" s="155">
        <v>48336</v>
      </c>
    </row>
    <row r="380" spans="1:11">
      <c r="A380" s="106">
        <f>A379+1</f>
        <v>378</v>
      </c>
      <c r="B380" s="41" t="s">
        <v>9</v>
      </c>
      <c r="C380" s="135" t="s">
        <v>130</v>
      </c>
      <c r="D380" s="94">
        <v>17760051</v>
      </c>
      <c r="E380" s="41" t="s">
        <v>172</v>
      </c>
      <c r="F380" s="131">
        <v>2012</v>
      </c>
      <c r="G380" s="41"/>
      <c r="H380" s="42"/>
      <c r="I380" s="41"/>
      <c r="J380" s="135">
        <v>36</v>
      </c>
      <c r="K380" s="155">
        <v>48356</v>
      </c>
    </row>
    <row r="381" spans="1:11">
      <c r="A381" s="106">
        <f>A380+1</f>
        <v>379</v>
      </c>
      <c r="B381" s="41" t="s">
        <v>9</v>
      </c>
      <c r="C381" s="135" t="s">
        <v>191</v>
      </c>
      <c r="D381" s="94">
        <v>9634022</v>
      </c>
      <c r="E381" s="41" t="s">
        <v>172</v>
      </c>
      <c r="F381" s="131">
        <v>1996</v>
      </c>
      <c r="G381" s="41"/>
      <c r="H381" s="42"/>
      <c r="I381" s="41"/>
      <c r="J381" s="135">
        <v>39</v>
      </c>
      <c r="K381" s="155">
        <v>48324</v>
      </c>
    </row>
    <row r="382" spans="1:11">
      <c r="A382" s="106">
        <f>A381+1</f>
        <v>380</v>
      </c>
      <c r="B382" s="41" t="s">
        <v>9</v>
      </c>
      <c r="C382" s="135" t="s">
        <v>130</v>
      </c>
      <c r="D382" s="94">
        <v>191317</v>
      </c>
      <c r="E382" s="41" t="s">
        <v>172</v>
      </c>
      <c r="F382" s="131">
        <v>1998</v>
      </c>
      <c r="G382" s="41"/>
      <c r="H382" s="42"/>
      <c r="I382" s="41"/>
      <c r="J382" s="135">
        <v>14</v>
      </c>
      <c r="K382" s="155">
        <v>48339</v>
      </c>
    </row>
    <row r="383" spans="1:11">
      <c r="A383" s="106">
        <f>A382+1</f>
        <v>381</v>
      </c>
      <c r="B383" s="41" t="s">
        <v>9</v>
      </c>
      <c r="C383" s="135" t="s">
        <v>192</v>
      </c>
      <c r="D383" s="94">
        <v>36796</v>
      </c>
      <c r="E383" s="41" t="s">
        <v>172</v>
      </c>
      <c r="F383" s="131">
        <v>1995</v>
      </c>
      <c r="G383" s="41"/>
      <c r="H383" s="42"/>
      <c r="I383" s="41"/>
      <c r="J383" s="135">
        <v>22</v>
      </c>
      <c r="K383" s="155">
        <v>48355</v>
      </c>
    </row>
    <row r="384" spans="1:11">
      <c r="A384" s="106">
        <f>A383+1</f>
        <v>382</v>
      </c>
      <c r="B384" s="41" t="s">
        <v>9</v>
      </c>
      <c r="C384" s="135" t="s">
        <v>128</v>
      </c>
      <c r="D384" s="94">
        <v>366498</v>
      </c>
      <c r="E384" s="41">
        <v>69666</v>
      </c>
      <c r="F384" s="131">
        <v>1991</v>
      </c>
      <c r="G384" s="41"/>
      <c r="H384" s="42"/>
      <c r="I384" s="41"/>
      <c r="J384" s="135">
        <v>13</v>
      </c>
      <c r="K384" s="155">
        <v>48358</v>
      </c>
    </row>
    <row r="385" spans="1:11">
      <c r="A385" s="106">
        <f>A384+1</f>
        <v>383</v>
      </c>
      <c r="B385" s="41" t="s">
        <v>9</v>
      </c>
      <c r="C385" s="135" t="s">
        <v>166</v>
      </c>
      <c r="D385" s="94">
        <v>5680</v>
      </c>
      <c r="E385" s="41" t="s">
        <v>172</v>
      </c>
      <c r="F385" s="131">
        <v>2000</v>
      </c>
      <c r="G385" s="41"/>
      <c r="H385" s="42"/>
      <c r="I385" s="41"/>
      <c r="J385" s="135">
        <v>45</v>
      </c>
      <c r="K385" s="155">
        <v>48354</v>
      </c>
    </row>
    <row r="386" spans="1:11">
      <c r="A386" s="106">
        <f>A385+1</f>
        <v>384</v>
      </c>
      <c r="B386" s="41" t="s">
        <v>9</v>
      </c>
      <c r="C386" s="135" t="s">
        <v>193</v>
      </c>
      <c r="D386" s="94">
        <v>9635110</v>
      </c>
      <c r="E386" s="41" t="s">
        <v>172</v>
      </c>
      <c r="F386" s="131">
        <v>1996</v>
      </c>
      <c r="G386" s="41"/>
      <c r="H386" s="42"/>
      <c r="I386" s="41"/>
      <c r="J386" s="135">
        <v>36</v>
      </c>
      <c r="K386" s="155">
        <v>48352</v>
      </c>
    </row>
    <row r="387" spans="1:11">
      <c r="A387" s="106">
        <f>A386+1</f>
        <v>385</v>
      </c>
      <c r="B387" s="41" t="s">
        <v>9</v>
      </c>
      <c r="C387" s="135" t="s">
        <v>193</v>
      </c>
      <c r="D387" s="94">
        <v>34902</v>
      </c>
      <c r="E387" s="41" t="s">
        <v>172</v>
      </c>
      <c r="F387" s="131">
        <v>1994</v>
      </c>
      <c r="G387" s="41"/>
      <c r="H387" s="42"/>
      <c r="I387" s="41"/>
      <c r="J387" s="135">
        <v>35</v>
      </c>
      <c r="K387" s="155">
        <v>48341</v>
      </c>
    </row>
    <row r="388" spans="1:11">
      <c r="A388" s="106">
        <f>A387+1</f>
        <v>386</v>
      </c>
      <c r="B388" s="41" t="s">
        <v>9</v>
      </c>
      <c r="C388" s="135" t="s">
        <v>127</v>
      </c>
      <c r="D388" s="94">
        <v>7687</v>
      </c>
      <c r="E388" s="41">
        <v>9745718</v>
      </c>
      <c r="F388" s="131">
        <v>1998</v>
      </c>
      <c r="G388" s="41"/>
      <c r="H388" s="42"/>
      <c r="I388" s="41"/>
      <c r="J388" s="135">
        <v>15</v>
      </c>
      <c r="K388" s="155">
        <v>48335</v>
      </c>
    </row>
    <row r="389" spans="1:11">
      <c r="A389" s="106">
        <f>A388+1</f>
        <v>387</v>
      </c>
      <c r="B389" s="41" t="s">
        <v>9</v>
      </c>
      <c r="C389" s="135" t="s">
        <v>192</v>
      </c>
      <c r="D389" s="94">
        <v>154859</v>
      </c>
      <c r="E389" s="41" t="s">
        <v>172</v>
      </c>
      <c r="F389" s="131">
        <v>1995</v>
      </c>
      <c r="G389" s="41"/>
      <c r="H389" s="42"/>
      <c r="I389" s="41"/>
      <c r="J389" s="135">
        <v>44</v>
      </c>
      <c r="K389" s="155">
        <v>48346</v>
      </c>
    </row>
    <row r="390" spans="1:11">
      <c r="A390" s="106">
        <f>A389+1</f>
        <v>388</v>
      </c>
      <c r="B390" s="41" t="s">
        <v>9</v>
      </c>
      <c r="C390" s="135" t="s">
        <v>192</v>
      </c>
      <c r="D390" s="94">
        <v>246223</v>
      </c>
      <c r="E390" s="41" t="s">
        <v>172</v>
      </c>
      <c r="F390" s="131">
        <v>1998</v>
      </c>
      <c r="G390" s="41"/>
      <c r="H390" s="42"/>
      <c r="I390" s="41"/>
      <c r="J390" s="135">
        <v>14</v>
      </c>
      <c r="K390" s="155">
        <v>48351</v>
      </c>
    </row>
    <row r="391" spans="1:11">
      <c r="A391" s="106">
        <f>A390+1</f>
        <v>389</v>
      </c>
      <c r="B391" s="41" t="s">
        <v>9</v>
      </c>
      <c r="C391" s="135" t="s">
        <v>131</v>
      </c>
      <c r="D391" s="94">
        <v>420645</v>
      </c>
      <c r="E391" s="41">
        <v>77296</v>
      </c>
      <c r="F391" s="131">
        <v>2021</v>
      </c>
      <c r="G391" s="41"/>
      <c r="H391" s="42"/>
      <c r="I391" s="41"/>
      <c r="J391" s="135">
        <v>13</v>
      </c>
      <c r="K391" s="155">
        <v>48347</v>
      </c>
    </row>
    <row r="392" spans="1:11">
      <c r="A392" s="106">
        <f>A391+1</f>
        <v>390</v>
      </c>
      <c r="B392" s="41" t="s">
        <v>9</v>
      </c>
      <c r="C392" s="135" t="s">
        <v>131</v>
      </c>
      <c r="D392" s="94">
        <v>6680</v>
      </c>
      <c r="E392" s="41">
        <v>22368</v>
      </c>
      <c r="F392" s="131">
        <v>2003</v>
      </c>
      <c r="G392" s="41"/>
      <c r="H392" s="42"/>
      <c r="I392" s="41"/>
      <c r="J392" s="135">
        <v>33</v>
      </c>
      <c r="K392" s="155">
        <v>48320</v>
      </c>
    </row>
    <row r="393" spans="1:11">
      <c r="A393" s="106">
        <f>A392+1</f>
        <v>391</v>
      </c>
      <c r="B393" s="41" t="s">
        <v>9</v>
      </c>
      <c r="C393" s="135" t="s">
        <v>166</v>
      </c>
      <c r="D393" s="94">
        <v>17306582</v>
      </c>
      <c r="E393" s="41">
        <v>77295</v>
      </c>
      <c r="F393" s="131">
        <v>2012</v>
      </c>
      <c r="G393" s="41"/>
      <c r="H393" s="42"/>
      <c r="I393" s="41"/>
      <c r="J393" s="135">
        <v>9</v>
      </c>
      <c r="K393" s="155">
        <v>48316</v>
      </c>
    </row>
    <row r="394" spans="1:11">
      <c r="A394" s="106">
        <f>A393+1</f>
        <v>392</v>
      </c>
      <c r="B394" s="41" t="s">
        <v>9</v>
      </c>
      <c r="C394" s="135" t="s">
        <v>130</v>
      </c>
      <c r="D394" s="94">
        <v>387230</v>
      </c>
      <c r="E394" s="41">
        <v>71287</v>
      </c>
      <c r="F394" s="131">
        <v>2020</v>
      </c>
      <c r="G394" s="41"/>
      <c r="H394" s="42"/>
      <c r="I394" s="41"/>
      <c r="J394" s="135">
        <v>16</v>
      </c>
      <c r="K394" s="155">
        <v>48314</v>
      </c>
    </row>
    <row r="395" spans="1:11">
      <c r="A395" s="106">
        <f>A394+1</f>
        <v>393</v>
      </c>
      <c r="B395" s="41" t="s">
        <v>9</v>
      </c>
      <c r="C395" s="163" t="s">
        <v>193</v>
      </c>
      <c r="D395" s="94">
        <v>150327</v>
      </c>
      <c r="E395" s="41">
        <v>100335</v>
      </c>
      <c r="F395" s="131">
        <v>1999</v>
      </c>
      <c r="G395" s="41"/>
      <c r="H395" s="42"/>
      <c r="I395" s="41"/>
      <c r="J395" s="135">
        <v>45</v>
      </c>
      <c r="K395" s="155">
        <v>61477</v>
      </c>
    </row>
    <row r="396" spans="1:11">
      <c r="A396" s="106">
        <f>A395+1</f>
        <v>394</v>
      </c>
      <c r="B396" s="41" t="s">
        <v>9</v>
      </c>
      <c r="C396" s="163" t="s">
        <v>192</v>
      </c>
      <c r="D396" s="94">
        <v>1289841</v>
      </c>
      <c r="E396" s="41">
        <v>266280</v>
      </c>
      <c r="F396" s="131">
        <v>2022</v>
      </c>
      <c r="G396" s="41"/>
      <c r="H396" s="42"/>
      <c r="I396" s="41"/>
      <c r="J396" s="135">
        <v>45</v>
      </c>
      <c r="K396" s="155">
        <v>61478</v>
      </c>
    </row>
    <row r="397" spans="1:11">
      <c r="A397" s="106">
        <f>A396+1</f>
        <v>395</v>
      </c>
      <c r="B397" s="41" t="s">
        <v>9</v>
      </c>
      <c r="C397" s="163" t="s">
        <v>127</v>
      </c>
      <c r="D397" s="94">
        <v>420540</v>
      </c>
      <c r="E397" s="41">
        <v>280227</v>
      </c>
      <c r="F397" s="131">
        <v>2022</v>
      </c>
      <c r="G397" s="41"/>
      <c r="H397" s="42"/>
      <c r="I397" s="41"/>
      <c r="J397" s="135">
        <v>22</v>
      </c>
      <c r="K397" s="155">
        <v>61479</v>
      </c>
    </row>
    <row r="398" spans="1:11">
      <c r="A398" s="106">
        <f>A397+1</f>
        <v>396</v>
      </c>
      <c r="B398" s="41" t="s">
        <v>9</v>
      </c>
      <c r="C398" s="163" t="s">
        <v>172</v>
      </c>
      <c r="D398" s="94">
        <v>192388</v>
      </c>
      <c r="E398" s="41">
        <v>78504</v>
      </c>
      <c r="F398" s="131">
        <v>2005</v>
      </c>
      <c r="G398" s="41"/>
      <c r="H398" s="42"/>
      <c r="I398" s="41"/>
      <c r="J398" s="135">
        <v>15</v>
      </c>
      <c r="K398" s="155">
        <v>61525</v>
      </c>
    </row>
    <row r="399" spans="1:11">
      <c r="A399" s="106">
        <f>A398+1</f>
        <v>397</v>
      </c>
      <c r="B399" s="41" t="s">
        <v>9</v>
      </c>
      <c r="C399" s="163" t="s">
        <v>192</v>
      </c>
      <c r="D399" s="94">
        <v>283505</v>
      </c>
      <c r="E399" s="41">
        <v>78513</v>
      </c>
      <c r="F399" s="131">
        <v>2000</v>
      </c>
      <c r="G399" s="41"/>
      <c r="H399" s="42"/>
      <c r="I399" s="41"/>
      <c r="J399" s="135">
        <v>6</v>
      </c>
      <c r="K399" s="155">
        <v>61526</v>
      </c>
    </row>
    <row r="400" spans="1:11">
      <c r="A400" s="106">
        <f>A399+1</f>
        <v>398</v>
      </c>
      <c r="B400" s="41" t="s">
        <v>9</v>
      </c>
      <c r="C400" s="163" t="s">
        <v>193</v>
      </c>
      <c r="D400" s="94">
        <v>340375</v>
      </c>
      <c r="E400" s="41">
        <v>57615</v>
      </c>
      <c r="F400" s="131">
        <v>2010</v>
      </c>
      <c r="G400" s="41"/>
      <c r="H400" s="42"/>
      <c r="I400" s="41"/>
      <c r="J400" s="135">
        <v>47</v>
      </c>
      <c r="K400" s="155">
        <v>61527</v>
      </c>
    </row>
    <row r="401" spans="1:11">
      <c r="A401" s="106">
        <f>A400+1</f>
        <v>399</v>
      </c>
      <c r="B401" s="41" t="s">
        <v>9</v>
      </c>
      <c r="C401" s="163" t="s">
        <v>191</v>
      </c>
      <c r="D401" s="94">
        <v>286442</v>
      </c>
      <c r="E401" s="41">
        <v>0</v>
      </c>
      <c r="F401" s="131">
        <v>1997</v>
      </c>
      <c r="G401" s="41"/>
      <c r="H401" s="42"/>
      <c r="I401" s="41"/>
      <c r="J401" s="135">
        <v>43</v>
      </c>
      <c r="K401" s="155">
        <v>61529</v>
      </c>
    </row>
    <row r="402" spans="1:11">
      <c r="A402" s="106">
        <f>A401+1</f>
        <v>400</v>
      </c>
      <c r="B402" s="41" t="s">
        <v>9</v>
      </c>
      <c r="C402" s="163" t="s">
        <v>191</v>
      </c>
      <c r="D402" s="94">
        <v>9739382</v>
      </c>
      <c r="E402" s="41">
        <v>0</v>
      </c>
      <c r="F402" s="131">
        <v>2006</v>
      </c>
      <c r="G402" s="41"/>
      <c r="H402" s="42"/>
      <c r="I402" s="41"/>
      <c r="J402" s="135">
        <v>8</v>
      </c>
      <c r="K402" s="155">
        <v>61530</v>
      </c>
    </row>
    <row r="403" spans="1:11">
      <c r="A403" s="106">
        <f>A402+1</f>
        <v>401</v>
      </c>
      <c r="B403" s="41" t="s">
        <v>9</v>
      </c>
      <c r="C403" s="163" t="s">
        <v>130</v>
      </c>
      <c r="D403" s="94">
        <v>9855745</v>
      </c>
      <c r="E403" s="41">
        <v>0</v>
      </c>
      <c r="F403" s="131">
        <v>2016</v>
      </c>
      <c r="G403" s="41"/>
      <c r="H403" s="42"/>
      <c r="I403" s="41"/>
      <c r="J403" s="135">
        <v>46</v>
      </c>
      <c r="K403" s="155">
        <v>61531</v>
      </c>
    </row>
    <row r="404" spans="1:11">
      <c r="A404" s="106">
        <f>A403+1</f>
        <v>402</v>
      </c>
      <c r="B404" s="41" t="s">
        <v>9</v>
      </c>
      <c r="C404" s="163" t="s">
        <v>131</v>
      </c>
      <c r="D404" s="94">
        <v>40375</v>
      </c>
      <c r="E404" s="41">
        <v>0</v>
      </c>
      <c r="F404" s="131">
        <v>2018</v>
      </c>
      <c r="G404" s="41"/>
      <c r="H404" s="42"/>
      <c r="I404" s="41"/>
      <c r="J404" s="135">
        <v>2</v>
      </c>
      <c r="K404" s="155">
        <v>61532</v>
      </c>
    </row>
    <row r="405" spans="1:11">
      <c r="A405" s="106">
        <f>A404+1</f>
        <v>403</v>
      </c>
      <c r="B405" s="41" t="s">
        <v>9</v>
      </c>
      <c r="C405" s="163" t="s">
        <v>191</v>
      </c>
      <c r="D405" s="94">
        <v>93856</v>
      </c>
      <c r="E405" s="41">
        <v>0</v>
      </c>
      <c r="F405" s="131">
        <v>2000</v>
      </c>
      <c r="G405" s="41"/>
      <c r="H405" s="42"/>
      <c r="I405" s="41"/>
      <c r="J405" s="135">
        <v>46</v>
      </c>
      <c r="K405" s="155">
        <v>61533</v>
      </c>
    </row>
    <row r="406" spans="1:11">
      <c r="A406" s="106">
        <f>A405+1</f>
        <v>404</v>
      </c>
      <c r="B406" s="41" t="s">
        <v>9</v>
      </c>
      <c r="C406" s="163" t="s">
        <v>192</v>
      </c>
      <c r="D406" s="167">
        <v>444828</v>
      </c>
      <c r="E406" s="41">
        <v>75097</v>
      </c>
      <c r="F406" s="131">
        <v>2021</v>
      </c>
      <c r="G406" s="41"/>
      <c r="H406" s="42"/>
      <c r="I406" s="41"/>
      <c r="J406" s="135">
        <v>4</v>
      </c>
      <c r="K406" s="155">
        <v>61540</v>
      </c>
    </row>
    <row r="407" spans="1:11">
      <c r="A407" s="106">
        <f>A406+1</f>
        <v>405</v>
      </c>
      <c r="B407" s="41" t="s">
        <v>9</v>
      </c>
      <c r="C407" s="163" t="s">
        <v>127</v>
      </c>
      <c r="D407" s="167">
        <v>65278</v>
      </c>
      <c r="E407" s="41">
        <v>77778</v>
      </c>
      <c r="F407" s="131">
        <v>2021</v>
      </c>
      <c r="G407" s="41"/>
      <c r="H407" s="42"/>
      <c r="I407" s="41"/>
      <c r="J407" s="135">
        <v>44</v>
      </c>
      <c r="K407" s="155">
        <v>61543</v>
      </c>
    </row>
    <row r="408" spans="1:11">
      <c r="A408" s="106">
        <f>A407+1</f>
        <v>406</v>
      </c>
      <c r="B408" s="41" t="s">
        <v>9</v>
      </c>
      <c r="C408" s="163" t="s">
        <v>127</v>
      </c>
      <c r="D408" s="94">
        <v>883900</v>
      </c>
      <c r="E408" s="41">
        <v>58735</v>
      </c>
      <c r="F408" s="131">
        <v>2021</v>
      </c>
      <c r="G408" s="41"/>
      <c r="H408" s="42"/>
      <c r="I408" s="41"/>
      <c r="J408" s="135">
        <v>4</v>
      </c>
      <c r="K408" s="155">
        <v>61544</v>
      </c>
    </row>
    <row r="409" spans="1:11">
      <c r="A409" s="106">
        <f>A408+1</f>
        <v>407</v>
      </c>
      <c r="B409" s="41" t="s">
        <v>9</v>
      </c>
      <c r="C409" s="163" t="s">
        <v>130</v>
      </c>
      <c r="D409" s="94">
        <v>292976</v>
      </c>
      <c r="E409" s="41">
        <v>64123</v>
      </c>
      <c r="F409" s="131">
        <v>2010</v>
      </c>
      <c r="G409" s="41"/>
      <c r="H409" s="42"/>
      <c r="I409" s="41"/>
      <c r="J409" s="135">
        <v>3</v>
      </c>
      <c r="K409" s="155">
        <v>61545</v>
      </c>
    </row>
    <row r="410" spans="1:11">
      <c r="A410" s="106">
        <f>A409+1</f>
        <v>408</v>
      </c>
      <c r="B410" s="41" t="s">
        <v>9</v>
      </c>
      <c r="C410" s="163" t="s">
        <v>130</v>
      </c>
      <c r="D410" s="94">
        <v>855804</v>
      </c>
      <c r="E410" s="41">
        <v>56306</v>
      </c>
      <c r="F410" s="131">
        <v>2013</v>
      </c>
      <c r="G410" s="41"/>
      <c r="H410" s="42"/>
      <c r="I410" s="41"/>
      <c r="J410" s="135">
        <v>4</v>
      </c>
      <c r="K410" s="155">
        <v>61546</v>
      </c>
    </row>
    <row r="411" spans="1:11">
      <c r="A411" s="106">
        <f>A410+1</f>
        <v>409</v>
      </c>
      <c r="B411" s="41" t="s">
        <v>9</v>
      </c>
      <c r="C411" s="163" t="s">
        <v>192</v>
      </c>
      <c r="D411" s="94">
        <v>367094</v>
      </c>
      <c r="E411" s="41">
        <v>69713</v>
      </c>
      <c r="F411" s="131">
        <v>2014</v>
      </c>
      <c r="G411" s="41"/>
      <c r="H411" s="42"/>
      <c r="I411" s="41"/>
      <c r="J411" s="135">
        <v>2</v>
      </c>
      <c r="K411" s="155">
        <v>61548</v>
      </c>
    </row>
    <row r="412" spans="1:11">
      <c r="A412" s="106">
        <f>A411+1</f>
        <v>410</v>
      </c>
      <c r="B412" s="41" t="s">
        <v>9</v>
      </c>
      <c r="C412" s="163" t="s">
        <v>131</v>
      </c>
      <c r="D412" s="94">
        <v>380504</v>
      </c>
      <c r="E412" s="41">
        <v>70904</v>
      </c>
      <c r="F412" s="131">
        <v>2016</v>
      </c>
      <c r="G412" s="41"/>
      <c r="H412" s="42"/>
      <c r="I412" s="41"/>
      <c r="J412" s="135">
        <v>4</v>
      </c>
      <c r="K412" s="155">
        <v>61549</v>
      </c>
    </row>
    <row r="413" spans="1:11">
      <c r="A413" s="106">
        <f>A412+1</f>
        <v>411</v>
      </c>
      <c r="B413" s="41" t="s">
        <v>9</v>
      </c>
      <c r="C413" s="163" t="s">
        <v>192</v>
      </c>
      <c r="D413" s="94">
        <v>967706</v>
      </c>
      <c r="E413" s="41">
        <v>62110</v>
      </c>
      <c r="F413" s="131">
        <v>2013</v>
      </c>
      <c r="G413" s="41"/>
      <c r="H413" s="42"/>
      <c r="I413" s="41"/>
      <c r="J413" s="135">
        <v>45</v>
      </c>
      <c r="K413" s="155">
        <v>61550</v>
      </c>
    </row>
    <row r="414" spans="1:11">
      <c r="A414" s="106">
        <f>A413+1</f>
        <v>412</v>
      </c>
      <c r="B414" s="41" t="s">
        <v>9</v>
      </c>
      <c r="C414" s="163" t="s">
        <v>131</v>
      </c>
      <c r="D414" s="94">
        <v>1165201</v>
      </c>
      <c r="E414" s="41">
        <v>68035</v>
      </c>
      <c r="F414" s="131">
        <v>2021</v>
      </c>
      <c r="G414" s="41"/>
      <c r="H414" s="42"/>
      <c r="I414" s="41"/>
      <c r="J414" s="135">
        <v>3</v>
      </c>
      <c r="K414" s="155">
        <v>61551</v>
      </c>
    </row>
    <row r="415" spans="1:11">
      <c r="A415" s="106">
        <f>A414+1</f>
        <v>413</v>
      </c>
      <c r="B415" s="41" t="s">
        <v>9</v>
      </c>
      <c r="C415" s="163" t="s">
        <v>127</v>
      </c>
      <c r="D415" s="94">
        <v>933638</v>
      </c>
      <c r="E415" s="41">
        <v>78733</v>
      </c>
      <c r="F415" s="131">
        <v>2019</v>
      </c>
      <c r="G415" s="41"/>
      <c r="H415" s="42"/>
      <c r="I415" s="41"/>
      <c r="J415" s="135">
        <v>48</v>
      </c>
      <c r="K415" s="155">
        <v>61552</v>
      </c>
    </row>
    <row r="416" spans="1:11">
      <c r="A416" s="106">
        <f>A415+1</f>
        <v>414</v>
      </c>
      <c r="B416" s="41" t="s">
        <v>9</v>
      </c>
      <c r="C416" s="163" t="s">
        <v>127</v>
      </c>
      <c r="D416" s="94">
        <v>902722</v>
      </c>
      <c r="E416" s="41">
        <v>78732</v>
      </c>
      <c r="F416" s="131">
        <v>2019</v>
      </c>
      <c r="G416" s="41"/>
      <c r="H416" s="42"/>
      <c r="I416" s="41"/>
      <c r="J416" s="135">
        <v>6</v>
      </c>
      <c r="K416" s="155">
        <v>61553</v>
      </c>
    </row>
    <row r="417" spans="1:11">
      <c r="A417" s="106">
        <f>A416+1</f>
        <v>415</v>
      </c>
      <c r="B417" s="41" t="s">
        <v>9</v>
      </c>
      <c r="C417" s="163" t="s">
        <v>192</v>
      </c>
      <c r="D417" s="94" t="s">
        <v>1153</v>
      </c>
      <c r="E417" s="41">
        <v>50563</v>
      </c>
      <c r="F417" s="131">
        <v>2018</v>
      </c>
      <c r="G417" s="41"/>
      <c r="H417" s="42"/>
      <c r="I417" s="41"/>
      <c r="J417" s="135">
        <v>46</v>
      </c>
      <c r="K417" s="155">
        <v>61555</v>
      </c>
    </row>
    <row r="418" spans="1:11">
      <c r="A418" s="106">
        <f>A417+1</f>
        <v>416</v>
      </c>
      <c r="B418" s="41" t="s">
        <v>9</v>
      </c>
      <c r="C418" s="163" t="s">
        <v>192</v>
      </c>
      <c r="D418" s="94">
        <v>192773</v>
      </c>
      <c r="E418" s="41">
        <v>20382</v>
      </c>
      <c r="F418" s="131">
        <v>2015</v>
      </c>
      <c r="G418" s="41"/>
      <c r="H418" s="42"/>
      <c r="I418" s="41"/>
      <c r="J418" s="135">
        <v>38</v>
      </c>
      <c r="K418" s="155">
        <v>61556</v>
      </c>
    </row>
    <row r="419" spans="1:11">
      <c r="A419" s="106">
        <f>A418+1</f>
        <v>417</v>
      </c>
      <c r="B419" s="41" t="s">
        <v>9</v>
      </c>
      <c r="C419" s="163" t="s">
        <v>192</v>
      </c>
      <c r="D419" s="94">
        <v>120120</v>
      </c>
      <c r="E419" s="41">
        <v>78475</v>
      </c>
      <c r="F419" s="131">
        <v>2000</v>
      </c>
      <c r="G419" s="41"/>
      <c r="H419" s="42"/>
      <c r="I419" s="41"/>
      <c r="J419" s="135">
        <v>49</v>
      </c>
      <c r="K419" s="155">
        <v>61558</v>
      </c>
    </row>
    <row r="420" spans="1:11">
      <c r="A420" s="106">
        <f>A419+1</f>
        <v>418</v>
      </c>
      <c r="B420" s="41" t="s">
        <v>9</v>
      </c>
      <c r="C420" s="163" t="s">
        <v>127</v>
      </c>
      <c r="D420" s="94">
        <v>940644</v>
      </c>
      <c r="E420" s="41">
        <v>78852</v>
      </c>
      <c r="F420" s="131">
        <v>2003</v>
      </c>
      <c r="G420" s="41"/>
      <c r="H420" s="42"/>
      <c r="I420" s="41"/>
      <c r="J420" s="135">
        <v>27</v>
      </c>
      <c r="K420" s="155">
        <v>62755</v>
      </c>
    </row>
    <row r="421" spans="1:11">
      <c r="A421" s="106">
        <f>A420+1</f>
        <v>419</v>
      </c>
      <c r="B421" s="41" t="s">
        <v>9</v>
      </c>
      <c r="C421" s="163" t="s">
        <v>192</v>
      </c>
      <c r="D421" s="94">
        <v>245989</v>
      </c>
      <c r="E421" s="41">
        <v>60280</v>
      </c>
      <c r="F421" s="131">
        <v>2003</v>
      </c>
      <c r="G421" s="41"/>
      <c r="H421" s="42"/>
      <c r="I421" s="41"/>
      <c r="J421" s="135">
        <v>25</v>
      </c>
      <c r="K421" s="155">
        <v>62756</v>
      </c>
    </row>
    <row r="422" spans="1:11">
      <c r="A422" s="106">
        <f>A421+1</f>
        <v>420</v>
      </c>
      <c r="B422" s="41" t="s">
        <v>9</v>
      </c>
      <c r="C422" s="163" t="s">
        <v>128</v>
      </c>
      <c r="D422" s="94">
        <v>419240</v>
      </c>
      <c r="E422" s="41">
        <v>2440</v>
      </c>
      <c r="F422" s="131">
        <v>2015</v>
      </c>
      <c r="G422" s="41"/>
      <c r="H422" s="42"/>
      <c r="I422" s="41"/>
      <c r="J422" s="135">
        <v>31</v>
      </c>
      <c r="K422" s="155">
        <v>62757</v>
      </c>
    </row>
    <row r="423" spans="1:11">
      <c r="A423" s="106">
        <f>A422+1</f>
        <v>421</v>
      </c>
      <c r="B423" s="41" t="s">
        <v>9</v>
      </c>
      <c r="C423" s="163" t="s">
        <v>128</v>
      </c>
      <c r="D423" s="94">
        <v>340313</v>
      </c>
      <c r="E423" s="41">
        <v>67554</v>
      </c>
      <c r="F423" s="131">
        <v>2013</v>
      </c>
      <c r="G423" s="41"/>
      <c r="H423" s="42"/>
      <c r="I423" s="41"/>
      <c r="J423" s="135">
        <v>4</v>
      </c>
      <c r="K423" s="155">
        <v>62758</v>
      </c>
    </row>
    <row r="424" spans="1:11">
      <c r="A424" s="106">
        <f>A423+1</f>
        <v>422</v>
      </c>
      <c r="B424" s="41" t="s">
        <v>9</v>
      </c>
      <c r="C424" s="163" t="s">
        <v>128</v>
      </c>
      <c r="D424" s="94">
        <v>67056</v>
      </c>
      <c r="E424" s="41">
        <v>78742</v>
      </c>
      <c r="F424" s="131">
        <v>2014</v>
      </c>
      <c r="G424" s="41"/>
      <c r="H424" s="42"/>
      <c r="I424" s="41"/>
      <c r="J424" s="135">
        <v>45</v>
      </c>
      <c r="K424" s="155">
        <v>62759</v>
      </c>
    </row>
    <row r="425" spans="1:11">
      <c r="A425" s="106">
        <f>A424+1</f>
        <v>423</v>
      </c>
      <c r="B425" s="41" t="s">
        <v>9</v>
      </c>
      <c r="C425" s="163" t="s">
        <v>166</v>
      </c>
      <c r="D425" s="94">
        <v>7872411</v>
      </c>
      <c r="E425" s="41">
        <v>46161</v>
      </c>
      <c r="F425" s="131">
        <v>2014</v>
      </c>
      <c r="G425" s="41"/>
      <c r="H425" s="42"/>
      <c r="I425" s="41"/>
      <c r="J425" s="135">
        <v>13</v>
      </c>
      <c r="K425" s="155">
        <v>62760</v>
      </c>
    </row>
    <row r="426" spans="1:11">
      <c r="A426" s="106">
        <f>A425+1</f>
        <v>424</v>
      </c>
      <c r="B426" s="41" t="s">
        <v>9</v>
      </c>
      <c r="C426" s="163" t="s">
        <v>131</v>
      </c>
      <c r="D426" s="94">
        <v>470620</v>
      </c>
      <c r="E426" s="41">
        <v>77039</v>
      </c>
      <c r="F426" s="131">
        <v>2004</v>
      </c>
      <c r="G426" s="41"/>
      <c r="H426" s="42"/>
      <c r="I426" s="41"/>
      <c r="J426" s="135">
        <v>4</v>
      </c>
      <c r="K426" s="155">
        <v>62761</v>
      </c>
    </row>
    <row r="427" spans="1:11">
      <c r="A427" s="106">
        <f>A426+1</f>
        <v>425</v>
      </c>
      <c r="B427" s="41" t="s">
        <v>9</v>
      </c>
      <c r="C427" s="163" t="s">
        <v>127</v>
      </c>
      <c r="D427" s="167">
        <v>7797066</v>
      </c>
      <c r="E427" s="41">
        <v>46109</v>
      </c>
      <c r="F427" s="131">
        <v>2018</v>
      </c>
      <c r="G427" s="41"/>
      <c r="H427" s="42"/>
      <c r="I427" s="41"/>
      <c r="J427" s="135">
        <v>39</v>
      </c>
      <c r="K427" s="155">
        <v>62762</v>
      </c>
    </row>
    <row r="428" spans="1:11">
      <c r="A428" s="106">
        <f>A427+1</f>
        <v>426</v>
      </c>
      <c r="B428" s="41" t="s">
        <v>9</v>
      </c>
      <c r="C428" s="163" t="s">
        <v>130</v>
      </c>
      <c r="D428" s="167">
        <v>413520</v>
      </c>
      <c r="E428" s="41">
        <v>73118</v>
      </c>
      <c r="F428" s="131">
        <v>2010</v>
      </c>
      <c r="G428" s="41"/>
      <c r="H428" s="42"/>
      <c r="I428" s="41"/>
      <c r="J428" s="135">
        <v>26</v>
      </c>
      <c r="K428" s="155">
        <v>62764</v>
      </c>
    </row>
    <row r="429" spans="1:11">
      <c r="A429" s="106">
        <f>A428+1</f>
        <v>427</v>
      </c>
      <c r="B429" s="41" t="s">
        <v>9</v>
      </c>
      <c r="C429" s="163" t="s">
        <v>131</v>
      </c>
      <c r="D429" s="167">
        <v>332297</v>
      </c>
      <c r="E429" s="41">
        <v>112059</v>
      </c>
      <c r="F429" s="131">
        <v>2022</v>
      </c>
      <c r="G429" s="41"/>
      <c r="H429" s="42"/>
      <c r="I429" s="41"/>
      <c r="J429" s="135">
        <v>45</v>
      </c>
      <c r="K429" s="155">
        <v>62765</v>
      </c>
    </row>
    <row r="430" spans="1:11">
      <c r="A430" s="106">
        <f>A429+1</f>
        <v>428</v>
      </c>
      <c r="B430" s="41" t="s">
        <v>9</v>
      </c>
      <c r="C430" s="163" t="s">
        <v>127</v>
      </c>
      <c r="D430" s="167">
        <v>1066391</v>
      </c>
      <c r="E430" s="41">
        <v>64222</v>
      </c>
      <c r="F430" s="131">
        <v>2010</v>
      </c>
      <c r="G430" s="41"/>
      <c r="H430" s="42"/>
      <c r="I430" s="41"/>
      <c r="J430" s="135">
        <v>18</v>
      </c>
      <c r="K430" s="155">
        <v>62766</v>
      </c>
    </row>
    <row r="431" spans="1:11">
      <c r="A431" s="106">
        <f>A430+1</f>
        <v>429</v>
      </c>
      <c r="B431" s="41" t="s">
        <v>9</v>
      </c>
      <c r="C431" s="163" t="s">
        <v>127</v>
      </c>
      <c r="D431" s="167">
        <v>1381084</v>
      </c>
      <c r="E431" s="41">
        <v>76902</v>
      </c>
      <c r="F431" s="131">
        <v>2022</v>
      </c>
      <c r="G431" s="41"/>
      <c r="H431" s="42"/>
      <c r="I431" s="41"/>
      <c r="J431" s="135">
        <v>20</v>
      </c>
      <c r="K431" s="155">
        <v>63018</v>
      </c>
    </row>
    <row r="432" spans="1:11">
      <c r="A432" s="106">
        <f>A431+1</f>
        <v>430</v>
      </c>
      <c r="B432" s="41" t="s">
        <v>9</v>
      </c>
      <c r="C432" s="163" t="s">
        <v>127</v>
      </c>
      <c r="D432" s="167">
        <v>1348346</v>
      </c>
      <c r="E432" s="41">
        <v>74015</v>
      </c>
      <c r="F432" s="131">
        <v>2020</v>
      </c>
      <c r="G432" s="41"/>
      <c r="H432" s="42"/>
      <c r="I432" s="41"/>
      <c r="J432" s="135">
        <v>35</v>
      </c>
      <c r="K432" s="155">
        <v>62768</v>
      </c>
    </row>
    <row r="433" spans="1:11">
      <c r="A433" s="106">
        <f>A432+1</f>
        <v>431</v>
      </c>
      <c r="B433" s="41" t="s">
        <v>9</v>
      </c>
      <c r="C433" s="163" t="s">
        <v>192</v>
      </c>
      <c r="D433" s="167">
        <v>185994</v>
      </c>
      <c r="E433" s="41">
        <v>78408</v>
      </c>
      <c r="F433" s="131">
        <v>2002</v>
      </c>
      <c r="G433" s="41"/>
      <c r="H433" s="42"/>
      <c r="I433" s="41"/>
      <c r="J433" s="135">
        <v>45</v>
      </c>
      <c r="K433" s="155">
        <v>62771</v>
      </c>
    </row>
    <row r="434" spans="1:11">
      <c r="A434" s="106">
        <f>A433+1</f>
        <v>432</v>
      </c>
      <c r="B434" s="41" t="s">
        <v>9</v>
      </c>
      <c r="C434" s="163" t="s">
        <v>192</v>
      </c>
      <c r="D434" s="167">
        <v>375515</v>
      </c>
      <c r="E434" s="41">
        <v>70742</v>
      </c>
      <c r="F434" s="131">
        <v>2021</v>
      </c>
      <c r="G434" s="41"/>
      <c r="H434" s="42"/>
      <c r="I434" s="41"/>
      <c r="J434" s="135">
        <v>13</v>
      </c>
      <c r="K434" s="155">
        <v>62772</v>
      </c>
    </row>
    <row r="435" spans="1:11">
      <c r="A435" s="106">
        <f>A434+1</f>
        <v>433</v>
      </c>
      <c r="B435" s="41" t="s">
        <v>9</v>
      </c>
      <c r="C435" s="163" t="s">
        <v>192</v>
      </c>
      <c r="D435" s="167">
        <v>897444</v>
      </c>
      <c r="E435" s="41">
        <v>78407</v>
      </c>
      <c r="F435" s="131">
        <v>2008</v>
      </c>
      <c r="G435" s="41"/>
      <c r="H435" s="42"/>
      <c r="I435" s="41"/>
      <c r="J435" s="135">
        <v>4</v>
      </c>
      <c r="K435" s="155">
        <v>62773</v>
      </c>
    </row>
    <row r="436" spans="1:11">
      <c r="A436" s="106">
        <f>A435+1</f>
        <v>434</v>
      </c>
      <c r="B436" s="41" t="s">
        <v>9</v>
      </c>
      <c r="C436" s="163" t="s">
        <v>131</v>
      </c>
      <c r="D436" s="167">
        <v>465045</v>
      </c>
      <c r="E436" s="41">
        <v>76575</v>
      </c>
      <c r="F436" s="131">
        <v>1997</v>
      </c>
      <c r="G436" s="41"/>
      <c r="H436" s="42"/>
      <c r="I436" s="41"/>
      <c r="J436" s="135">
        <v>39</v>
      </c>
      <c r="K436" s="155">
        <v>62774</v>
      </c>
    </row>
    <row r="437" spans="1:11">
      <c r="A437" s="106">
        <f>A436+1</f>
        <v>435</v>
      </c>
      <c r="B437" s="41" t="s">
        <v>9</v>
      </c>
      <c r="C437" s="163" t="s">
        <v>128</v>
      </c>
      <c r="D437" s="167">
        <v>1420828</v>
      </c>
      <c r="E437" s="41">
        <v>75744</v>
      </c>
      <c r="F437" s="131">
        <v>2001</v>
      </c>
      <c r="G437" s="41"/>
      <c r="H437" s="42"/>
      <c r="I437" s="41"/>
      <c r="J437" s="135">
        <v>41</v>
      </c>
      <c r="K437" s="155">
        <v>62775</v>
      </c>
    </row>
    <row r="438" spans="1:11">
      <c r="A438" s="106">
        <f>A437+1</f>
        <v>436</v>
      </c>
      <c r="B438" s="41" t="s">
        <v>9</v>
      </c>
      <c r="C438" s="163" t="s">
        <v>127</v>
      </c>
      <c r="D438" s="167">
        <v>291729</v>
      </c>
      <c r="E438" s="41">
        <v>63685</v>
      </c>
      <c r="F438" s="131">
        <v>2022</v>
      </c>
      <c r="G438" s="41"/>
      <c r="H438" s="42"/>
      <c r="I438" s="41"/>
      <c r="J438" s="135">
        <v>18</v>
      </c>
      <c r="K438" s="155">
        <v>62778</v>
      </c>
    </row>
    <row r="439" spans="1:11">
      <c r="A439" s="106">
        <f>A438+1</f>
        <v>437</v>
      </c>
      <c r="B439" s="41" t="s">
        <v>9</v>
      </c>
      <c r="C439" s="163" t="s">
        <v>192</v>
      </c>
      <c r="D439" s="167">
        <v>288860</v>
      </c>
      <c r="E439" s="41">
        <v>63253</v>
      </c>
      <c r="F439" s="131">
        <v>2022</v>
      </c>
      <c r="G439" s="41"/>
      <c r="H439" s="42"/>
      <c r="I439" s="41"/>
      <c r="J439" s="135">
        <v>38</v>
      </c>
      <c r="K439" s="155">
        <v>62779</v>
      </c>
    </row>
    <row r="440" spans="1:11">
      <c r="A440" s="106">
        <f>A439+1</f>
        <v>438</v>
      </c>
      <c r="B440" s="41" t="s">
        <v>9</v>
      </c>
      <c r="C440" s="163" t="s">
        <v>128</v>
      </c>
      <c r="D440" s="167">
        <v>343683</v>
      </c>
      <c r="E440" s="41">
        <v>67897</v>
      </c>
      <c r="F440" s="131">
        <v>2012</v>
      </c>
      <c r="G440" s="41"/>
      <c r="H440" s="42"/>
      <c r="I440" s="41"/>
      <c r="J440" s="135">
        <v>35</v>
      </c>
      <c r="K440" s="155">
        <v>62780</v>
      </c>
    </row>
    <row r="441" spans="1:11">
      <c r="A441" s="106">
        <f>A440+1</f>
        <v>439</v>
      </c>
      <c r="B441" s="41" t="s">
        <v>9</v>
      </c>
      <c r="C441" s="163" t="s">
        <v>166</v>
      </c>
      <c r="D441" s="167">
        <v>8762837</v>
      </c>
      <c r="E441" s="41">
        <v>48405</v>
      </c>
      <c r="F441" s="131">
        <v>1998</v>
      </c>
      <c r="G441" s="41"/>
      <c r="H441" s="42"/>
      <c r="I441" s="41"/>
      <c r="J441" s="135">
        <v>34</v>
      </c>
      <c r="K441" s="155">
        <v>62781</v>
      </c>
    </row>
    <row r="442" spans="1:11">
      <c r="A442" s="106">
        <f>A441+1</f>
        <v>440</v>
      </c>
      <c r="B442" s="41" t="s">
        <v>9</v>
      </c>
      <c r="C442" s="163" t="s">
        <v>131</v>
      </c>
      <c r="D442" s="167">
        <v>1148949</v>
      </c>
      <c r="E442" s="41">
        <v>67320</v>
      </c>
      <c r="F442" s="131">
        <v>2016</v>
      </c>
      <c r="G442" s="41"/>
      <c r="H442" s="42"/>
      <c r="I442" s="41"/>
      <c r="J442" s="135">
        <v>20</v>
      </c>
      <c r="K442" s="155">
        <v>62783</v>
      </c>
    </row>
    <row r="443" spans="1:11">
      <c r="A443" s="106">
        <f>A442+1</f>
        <v>441</v>
      </c>
      <c r="B443" s="41" t="s">
        <v>9</v>
      </c>
      <c r="C443" s="163" t="s">
        <v>127</v>
      </c>
      <c r="D443" s="167">
        <v>1233994</v>
      </c>
      <c r="E443" s="41">
        <v>124848</v>
      </c>
      <c r="F443" s="131">
        <v>2010</v>
      </c>
      <c r="G443" s="41"/>
      <c r="H443" s="42"/>
      <c r="I443" s="41"/>
      <c r="J443" s="135">
        <v>20</v>
      </c>
      <c r="K443" s="155">
        <v>62785</v>
      </c>
    </row>
    <row r="444" spans="1:11">
      <c r="A444" s="106">
        <f>A443+1</f>
        <v>442</v>
      </c>
      <c r="B444" s="41" t="s">
        <v>9</v>
      </c>
      <c r="C444" s="163" t="s">
        <v>192</v>
      </c>
      <c r="D444" s="167">
        <v>231644</v>
      </c>
      <c r="E444" s="41">
        <v>9846</v>
      </c>
      <c r="F444" s="131">
        <v>2019</v>
      </c>
      <c r="G444" s="41"/>
      <c r="H444" s="42"/>
      <c r="I444" s="41"/>
      <c r="J444" s="135">
        <v>17</v>
      </c>
      <c r="K444" s="155">
        <v>62787</v>
      </c>
    </row>
    <row r="445" spans="1:11">
      <c r="A445" s="106">
        <f>A444+1</f>
        <v>443</v>
      </c>
      <c r="B445" s="41" t="s">
        <v>9</v>
      </c>
      <c r="C445" s="104" t="s">
        <v>1117</v>
      </c>
      <c r="D445" s="104">
        <v>412982</v>
      </c>
      <c r="E445" s="41">
        <v>72881</v>
      </c>
      <c r="F445" s="104">
        <v>2020</v>
      </c>
      <c r="G445" s="41"/>
      <c r="H445" s="42"/>
      <c r="I445" s="41"/>
      <c r="J445" s="104">
        <v>2</v>
      </c>
      <c r="K445" s="170">
        <v>102077</v>
      </c>
    </row>
    <row r="446" spans="1:11">
      <c r="A446" s="106">
        <f>A445+1</f>
        <v>444</v>
      </c>
      <c r="B446" s="41" t="s">
        <v>9</v>
      </c>
      <c r="C446" s="104" t="s">
        <v>1122</v>
      </c>
      <c r="D446" s="104">
        <v>168127</v>
      </c>
      <c r="E446" s="41">
        <v>85591</v>
      </c>
      <c r="F446" s="104">
        <v>2010</v>
      </c>
      <c r="G446" s="41"/>
      <c r="H446" s="42"/>
      <c r="I446" s="41"/>
      <c r="J446" s="104">
        <v>2</v>
      </c>
      <c r="K446" s="170">
        <v>102076</v>
      </c>
    </row>
    <row r="447" spans="1:11">
      <c r="A447" s="106">
        <f>A446+1</f>
        <v>445</v>
      </c>
      <c r="B447" s="41" t="s">
        <v>9</v>
      </c>
      <c r="C447" s="104" t="s">
        <v>1120</v>
      </c>
      <c r="D447" s="104">
        <v>80811</v>
      </c>
      <c r="E447" s="41">
        <v>85579</v>
      </c>
      <c r="F447" s="104">
        <v>2000</v>
      </c>
      <c r="G447" s="41"/>
      <c r="H447" s="42"/>
      <c r="I447" s="41"/>
      <c r="J447" s="104">
        <v>2</v>
      </c>
      <c r="K447" s="170">
        <v>102075</v>
      </c>
    </row>
    <row r="448" spans="1:11">
      <c r="A448" s="106">
        <f>A447+1</f>
        <v>446</v>
      </c>
      <c r="B448" s="41" t="s">
        <v>9</v>
      </c>
      <c r="C448" s="104" t="s">
        <v>1120</v>
      </c>
      <c r="D448" s="104">
        <v>488046</v>
      </c>
      <c r="E448" s="41">
        <v>79374</v>
      </c>
      <c r="F448" s="104">
        <v>2023</v>
      </c>
      <c r="G448" s="41"/>
      <c r="H448" s="42"/>
      <c r="I448" s="41"/>
      <c r="J448" s="104">
        <v>2</v>
      </c>
      <c r="K448" s="170">
        <v>102074</v>
      </c>
    </row>
    <row r="449" spans="1:11">
      <c r="A449" s="106">
        <f>A448+1</f>
        <v>447</v>
      </c>
      <c r="B449" s="41" t="s">
        <v>9</v>
      </c>
      <c r="C449" s="104" t="s">
        <v>1122</v>
      </c>
      <c r="D449" s="104">
        <v>336360</v>
      </c>
      <c r="E449" s="41">
        <v>5965</v>
      </c>
      <c r="F449" s="104">
        <v>2018</v>
      </c>
      <c r="G449" s="41"/>
      <c r="H449" s="42"/>
      <c r="I449" s="41"/>
      <c r="J449" s="104">
        <v>2</v>
      </c>
      <c r="K449" s="170">
        <v>102073</v>
      </c>
    </row>
    <row r="450" spans="1:11">
      <c r="A450" s="106">
        <f>A449+1</f>
        <v>448</v>
      </c>
      <c r="B450" s="41" t="s">
        <v>9</v>
      </c>
      <c r="C450" s="104" t="s">
        <v>1122</v>
      </c>
      <c r="D450" s="104" t="s">
        <v>1154</v>
      </c>
      <c r="E450" s="41">
        <v>82890</v>
      </c>
      <c r="F450" s="104">
        <v>2024</v>
      </c>
      <c r="G450" s="41"/>
      <c r="H450" s="42"/>
      <c r="I450" s="41"/>
      <c r="J450" s="104">
        <v>7</v>
      </c>
      <c r="K450" s="170">
        <v>104291</v>
      </c>
    </row>
    <row r="451" spans="1:11">
      <c r="A451" s="106">
        <f>A450+1</f>
        <v>449</v>
      </c>
      <c r="B451" s="41" t="s">
        <v>9</v>
      </c>
      <c r="C451" s="104" t="s">
        <v>1120</v>
      </c>
      <c r="D451" s="104">
        <v>119187</v>
      </c>
      <c r="E451" s="41">
        <v>86086</v>
      </c>
      <c r="F451" s="104">
        <v>2009</v>
      </c>
      <c r="G451" s="41"/>
      <c r="H451" s="42"/>
      <c r="I451" s="41"/>
      <c r="J451" s="104">
        <v>4</v>
      </c>
      <c r="K451" s="170">
        <v>104290</v>
      </c>
    </row>
    <row r="452" spans="1:11">
      <c r="A452" s="106">
        <f>A451+1</f>
        <v>450</v>
      </c>
      <c r="B452" s="41" t="s">
        <v>9</v>
      </c>
      <c r="C452" s="104" t="s">
        <v>1117</v>
      </c>
      <c r="D452" s="104">
        <v>457113</v>
      </c>
      <c r="E452" s="41">
        <v>76261</v>
      </c>
      <c r="F452" s="104">
        <v>2022</v>
      </c>
      <c r="G452" s="41"/>
      <c r="H452" s="42"/>
      <c r="I452" s="41"/>
      <c r="J452" s="104">
        <v>17</v>
      </c>
      <c r="K452" s="170">
        <v>104288</v>
      </c>
    </row>
    <row r="453" spans="1:11">
      <c r="A453" s="106">
        <f>A452+1</f>
        <v>451</v>
      </c>
      <c r="B453" s="41" t="s">
        <v>9</v>
      </c>
      <c r="C453" s="104" t="s">
        <v>1121</v>
      </c>
      <c r="D453" s="104">
        <v>1149007</v>
      </c>
      <c r="E453" s="41">
        <v>86107</v>
      </c>
      <c r="F453" s="104">
        <v>2018</v>
      </c>
      <c r="G453" s="41"/>
      <c r="H453" s="42"/>
      <c r="I453" s="41"/>
      <c r="J453" s="104">
        <v>6</v>
      </c>
      <c r="K453" s="170">
        <v>104287</v>
      </c>
    </row>
    <row r="454" spans="1:11">
      <c r="A454" s="106">
        <f>A453+1</f>
        <v>452</v>
      </c>
      <c r="B454" s="41" t="s">
        <v>9</v>
      </c>
      <c r="C454" s="104" t="s">
        <v>1116</v>
      </c>
      <c r="D454" s="104">
        <v>121916</v>
      </c>
      <c r="E454" s="41">
        <v>86110</v>
      </c>
      <c r="F454" s="104">
        <v>2010</v>
      </c>
      <c r="G454" s="41"/>
      <c r="H454" s="42"/>
      <c r="I454" s="41"/>
      <c r="J454" s="104">
        <v>19</v>
      </c>
      <c r="K454" s="170">
        <v>104285</v>
      </c>
    </row>
    <row r="455" spans="1:11">
      <c r="A455" s="106">
        <f>A454+1</f>
        <v>453</v>
      </c>
      <c r="B455" s="41" t="s">
        <v>9</v>
      </c>
      <c r="C455" s="104" t="s">
        <v>1120</v>
      </c>
      <c r="D455" s="104">
        <v>176275</v>
      </c>
      <c r="E455" s="41">
        <v>86084</v>
      </c>
      <c r="F455" s="104">
        <v>1997</v>
      </c>
      <c r="G455" s="41"/>
      <c r="H455" s="42"/>
      <c r="I455" s="41"/>
      <c r="J455" s="104">
        <v>7</v>
      </c>
      <c r="K455" s="170">
        <v>104283</v>
      </c>
    </row>
    <row r="456" spans="1:11">
      <c r="A456" s="106">
        <f>A455+1</f>
        <v>454</v>
      </c>
      <c r="B456" s="41" t="s">
        <v>9</v>
      </c>
      <c r="C456" s="104" t="s">
        <v>1117</v>
      </c>
      <c r="D456" s="104">
        <v>362093</v>
      </c>
      <c r="E456" s="41">
        <v>69712</v>
      </c>
      <c r="F456" s="104">
        <v>2019</v>
      </c>
      <c r="G456" s="41"/>
      <c r="H456" s="42"/>
      <c r="I456" s="41"/>
      <c r="J456" s="104">
        <v>11</v>
      </c>
      <c r="K456" s="170">
        <v>104282</v>
      </c>
    </row>
    <row r="457" spans="1:11">
      <c r="A457" s="106">
        <f>A456+1</f>
        <v>455</v>
      </c>
      <c r="B457" s="41" t="s">
        <v>9</v>
      </c>
      <c r="C457" s="104" t="s">
        <v>1122</v>
      </c>
      <c r="D457" s="104">
        <v>171391</v>
      </c>
      <c r="E457" s="41">
        <v>43078</v>
      </c>
      <c r="F457" s="104">
        <v>1997</v>
      </c>
      <c r="G457" s="41"/>
      <c r="H457" s="42"/>
      <c r="I457" s="41"/>
      <c r="J457" s="104">
        <v>5</v>
      </c>
      <c r="K457" s="170">
        <v>104294</v>
      </c>
    </row>
    <row r="458" spans="1:11">
      <c r="A458" s="108">
        <f>A457+1</f>
        <v>456</v>
      </c>
      <c r="B458" s="109" t="s">
        <v>9</v>
      </c>
      <c r="C458" s="171" t="s">
        <v>1120</v>
      </c>
      <c r="D458" s="171">
        <v>244319</v>
      </c>
      <c r="E458" s="109">
        <v>86089</v>
      </c>
      <c r="F458" s="171">
        <v>2014</v>
      </c>
      <c r="G458" s="109"/>
      <c r="H458" s="110"/>
      <c r="I458" s="109"/>
      <c r="J458" s="171">
        <v>6</v>
      </c>
      <c r="K458" s="172">
        <v>104293</v>
      </c>
    </row>
    <row r="459" spans="1:11">
      <c r="A459" s="59" t="s">
        <v>255</v>
      </c>
      <c r="B459" s="41">
        <f>SUBTOTAL(3,B231:B458)</f>
        <v>228</v>
      </c>
      <c r="C459" s="41"/>
      <c r="D459" s="102"/>
      <c r="E459" s="41"/>
      <c r="F459" s="102"/>
      <c r="G459" s="41"/>
      <c r="H459" s="42"/>
      <c r="I459" s="41"/>
      <c r="J459" s="102"/>
      <c r="K459" s="102"/>
    </row>
    <row r="460" spans="1:11">
      <c r="A460" s="40">
        <f>A458+1</f>
        <v>457</v>
      </c>
      <c r="B460" s="41" t="s">
        <v>175</v>
      </c>
      <c r="C460" s="92" t="s">
        <v>128</v>
      </c>
      <c r="D460" s="84">
        <v>108775</v>
      </c>
      <c r="E460" s="41">
        <v>6424</v>
      </c>
      <c r="F460" s="86">
        <v>2006</v>
      </c>
      <c r="G460" s="41"/>
      <c r="H460" s="42"/>
      <c r="I460" s="41"/>
      <c r="J460" s="92">
        <v>12</v>
      </c>
      <c r="K460" s="92">
        <v>29738</v>
      </c>
    </row>
    <row r="461" spans="1:11">
      <c r="A461" s="40">
        <f>A460+1</f>
        <v>458</v>
      </c>
      <c r="B461" s="41" t="s">
        <v>175</v>
      </c>
      <c r="C461" s="92" t="s">
        <v>127</v>
      </c>
      <c r="D461" s="84">
        <v>6441</v>
      </c>
      <c r="E461" s="41">
        <v>2550</v>
      </c>
      <c r="F461" s="86">
        <v>2013</v>
      </c>
      <c r="G461" s="41"/>
      <c r="H461" s="42"/>
      <c r="I461" s="41"/>
      <c r="J461" s="92">
        <v>23</v>
      </c>
      <c r="K461" s="92">
        <v>29721</v>
      </c>
    </row>
    <row r="462" spans="1:11">
      <c r="A462" s="40">
        <f>A461+1</f>
        <v>459</v>
      </c>
      <c r="B462" s="41" t="s">
        <v>175</v>
      </c>
      <c r="C462" s="92" t="s">
        <v>127</v>
      </c>
      <c r="D462" s="84">
        <v>17009832</v>
      </c>
      <c r="E462" s="41">
        <v>54182</v>
      </c>
      <c r="F462" s="86">
        <v>2012</v>
      </c>
      <c r="G462" s="41"/>
      <c r="H462" s="42"/>
      <c r="I462" s="41"/>
      <c r="J462" s="92">
        <v>2</v>
      </c>
      <c r="K462" s="92">
        <v>29723</v>
      </c>
    </row>
    <row r="463" spans="1:11">
      <c r="A463" s="40">
        <f>A462+1</f>
        <v>460</v>
      </c>
      <c r="B463" s="41" t="s">
        <v>175</v>
      </c>
      <c r="C463" s="159" t="s">
        <v>192</v>
      </c>
      <c r="D463" s="84">
        <v>5145</v>
      </c>
      <c r="E463" s="41">
        <v>76009</v>
      </c>
      <c r="F463" s="86">
        <v>2002</v>
      </c>
      <c r="G463" s="41"/>
      <c r="H463" s="42"/>
      <c r="I463" s="41"/>
      <c r="J463" s="92" t="s">
        <v>172</v>
      </c>
      <c r="K463" s="92">
        <v>35632</v>
      </c>
    </row>
    <row r="464" spans="1:11">
      <c r="A464" s="40">
        <f>A463+1</f>
        <v>461</v>
      </c>
      <c r="B464" s="41" t="s">
        <v>175</v>
      </c>
      <c r="C464" s="92" t="s">
        <v>130</v>
      </c>
      <c r="D464" s="84">
        <v>312846</v>
      </c>
      <c r="E464" s="41">
        <v>65811</v>
      </c>
      <c r="F464" s="86">
        <v>2017</v>
      </c>
      <c r="G464" s="41"/>
      <c r="H464" s="42"/>
      <c r="I464" s="41"/>
      <c r="J464" s="92">
        <v>12</v>
      </c>
      <c r="K464" s="92">
        <v>37062</v>
      </c>
    </row>
    <row r="465" spans="1:11">
      <c r="A465" s="40">
        <f>A464+1</f>
        <v>462</v>
      </c>
      <c r="B465" s="41" t="s">
        <v>175</v>
      </c>
      <c r="C465" s="92" t="s">
        <v>166</v>
      </c>
      <c r="D465" s="84">
        <v>1273137</v>
      </c>
      <c r="E465" s="41">
        <v>72951</v>
      </c>
      <c r="F465" s="86">
        <v>2020</v>
      </c>
      <c r="G465" s="41"/>
      <c r="H465" s="42"/>
      <c r="I465" s="41"/>
      <c r="J465" s="92">
        <v>24</v>
      </c>
      <c r="K465" s="92">
        <v>37068</v>
      </c>
    </row>
    <row r="466" spans="1:11">
      <c r="A466" s="40">
        <f>A465+1</f>
        <v>463</v>
      </c>
      <c r="B466" s="41" t="s">
        <v>175</v>
      </c>
      <c r="C466" s="136" t="s">
        <v>128</v>
      </c>
      <c r="D466" s="90">
        <v>11864493</v>
      </c>
      <c r="E466" s="41">
        <v>50931</v>
      </c>
      <c r="F466" s="91">
        <v>2011</v>
      </c>
      <c r="G466" s="41"/>
      <c r="H466" s="42"/>
      <c r="I466" s="41"/>
      <c r="J466" s="136">
        <v>11</v>
      </c>
      <c r="K466" s="136">
        <v>37096</v>
      </c>
    </row>
    <row r="467" spans="1:11">
      <c r="A467" s="40">
        <f>A466+1</f>
        <v>464</v>
      </c>
      <c r="B467" s="41" t="s">
        <v>175</v>
      </c>
      <c r="C467" s="92" t="s">
        <v>127</v>
      </c>
      <c r="D467" s="84">
        <v>119158</v>
      </c>
      <c r="E467" s="41">
        <v>76056</v>
      </c>
      <c r="F467" s="86">
        <v>2009</v>
      </c>
      <c r="G467" s="41"/>
      <c r="H467" s="42"/>
      <c r="I467" s="41"/>
      <c r="J467" s="92">
        <v>20</v>
      </c>
      <c r="K467" s="92">
        <v>37507</v>
      </c>
    </row>
    <row r="468" spans="1:11">
      <c r="A468" s="40">
        <f>A467+1</f>
        <v>465</v>
      </c>
      <c r="B468" s="41" t="s">
        <v>175</v>
      </c>
      <c r="C468" s="159" t="s">
        <v>166</v>
      </c>
      <c r="D468" s="84">
        <v>91760</v>
      </c>
      <c r="E468" s="41">
        <v>68495</v>
      </c>
      <c r="F468" s="86">
        <v>2013</v>
      </c>
      <c r="G468" s="41"/>
      <c r="H468" s="42"/>
      <c r="I468" s="41"/>
      <c r="J468" s="92">
        <v>31</v>
      </c>
      <c r="K468" s="92">
        <v>28121</v>
      </c>
    </row>
    <row r="469" spans="1:11">
      <c r="A469" s="40">
        <f>A468+1</f>
        <v>466</v>
      </c>
      <c r="B469" s="41" t="s">
        <v>175</v>
      </c>
      <c r="C469" s="159" t="s">
        <v>130</v>
      </c>
      <c r="D469" s="84">
        <v>237524</v>
      </c>
      <c r="E469" s="41">
        <v>58569</v>
      </c>
      <c r="F469" s="86">
        <v>2014</v>
      </c>
      <c r="G469" s="41"/>
      <c r="H469" s="42"/>
      <c r="I469" s="41"/>
      <c r="J469" s="92">
        <v>4</v>
      </c>
      <c r="K469" s="92">
        <v>24171</v>
      </c>
    </row>
    <row r="470" spans="1:11">
      <c r="A470" s="40">
        <f>A469+1</f>
        <v>467</v>
      </c>
      <c r="B470" s="41" t="s">
        <v>175</v>
      </c>
      <c r="C470" s="159" t="s">
        <v>166</v>
      </c>
      <c r="D470" s="84">
        <v>249555</v>
      </c>
      <c r="E470" s="41">
        <v>60652</v>
      </c>
      <c r="F470" s="86">
        <v>2014</v>
      </c>
      <c r="G470" s="41"/>
      <c r="H470" s="42"/>
      <c r="I470" s="41"/>
      <c r="J470" s="92">
        <v>8</v>
      </c>
      <c r="K470" s="92">
        <v>28936</v>
      </c>
    </row>
    <row r="471" spans="1:11">
      <c r="A471" s="40">
        <f>A470+1</f>
        <v>468</v>
      </c>
      <c r="B471" s="41" t="s">
        <v>175</v>
      </c>
      <c r="C471" s="159" t="s">
        <v>131</v>
      </c>
      <c r="D471" s="84">
        <v>338485</v>
      </c>
      <c r="E471" s="41">
        <v>75003</v>
      </c>
      <c r="F471" s="86">
        <v>2021</v>
      </c>
      <c r="G471" s="41"/>
      <c r="H471" s="42"/>
      <c r="I471" s="41"/>
      <c r="J471" s="92">
        <v>5</v>
      </c>
      <c r="K471" s="92">
        <v>24159</v>
      </c>
    </row>
    <row r="472" spans="1:11">
      <c r="A472" s="40">
        <f>A471+1</f>
        <v>469</v>
      </c>
      <c r="B472" s="41" t="s">
        <v>175</v>
      </c>
      <c r="C472" s="92" t="s">
        <v>128</v>
      </c>
      <c r="D472" s="84">
        <v>466806</v>
      </c>
      <c r="E472" s="41">
        <v>28838</v>
      </c>
      <c r="F472" s="85">
        <v>38565</v>
      </c>
      <c r="G472" s="41"/>
      <c r="H472" s="42"/>
      <c r="I472" s="41"/>
      <c r="J472" s="92">
        <v>9</v>
      </c>
      <c r="K472" s="92">
        <v>24166</v>
      </c>
    </row>
    <row r="473" spans="1:11">
      <c r="A473" s="40">
        <f>A472+1</f>
        <v>470</v>
      </c>
      <c r="B473" s="41" t="s">
        <v>175</v>
      </c>
      <c r="C473" s="92" t="s">
        <v>130</v>
      </c>
      <c r="D473" s="84">
        <v>290336</v>
      </c>
      <c r="E473" s="41">
        <v>63315</v>
      </c>
      <c r="F473" s="85">
        <v>42491</v>
      </c>
      <c r="G473" s="41"/>
      <c r="H473" s="42"/>
      <c r="I473" s="41"/>
      <c r="J473" s="92">
        <v>28</v>
      </c>
      <c r="K473" s="92">
        <v>24175</v>
      </c>
    </row>
    <row r="474" spans="1:11">
      <c r="A474" s="40">
        <f>A473+1</f>
        <v>471</v>
      </c>
      <c r="B474" s="41" t="s">
        <v>175</v>
      </c>
      <c r="C474" s="92" t="s">
        <v>130</v>
      </c>
      <c r="D474" s="84">
        <v>257902</v>
      </c>
      <c r="E474" s="41">
        <v>62401</v>
      </c>
      <c r="F474" s="85">
        <v>42401</v>
      </c>
      <c r="G474" s="41"/>
      <c r="H474" s="42"/>
      <c r="I474" s="41"/>
      <c r="J474" s="92">
        <v>4</v>
      </c>
      <c r="K474" s="92">
        <v>24182</v>
      </c>
    </row>
    <row r="475" spans="1:11">
      <c r="A475" s="40">
        <f>A474+1</f>
        <v>472</v>
      </c>
      <c r="B475" s="41" t="s">
        <v>175</v>
      </c>
      <c r="C475" s="92" t="s">
        <v>130</v>
      </c>
      <c r="D475" s="84">
        <v>329010</v>
      </c>
      <c r="E475" s="41">
        <v>66305</v>
      </c>
      <c r="F475" s="85">
        <v>43132</v>
      </c>
      <c r="G475" s="41"/>
      <c r="H475" s="42"/>
      <c r="I475" s="41"/>
      <c r="J475" s="92">
        <v>16</v>
      </c>
      <c r="K475" s="92">
        <v>24179</v>
      </c>
    </row>
    <row r="476" spans="1:11">
      <c r="A476" s="40">
        <f>A475+1</f>
        <v>473</v>
      </c>
      <c r="B476" s="41" t="s">
        <v>175</v>
      </c>
      <c r="C476" s="92" t="s">
        <v>130</v>
      </c>
      <c r="D476" s="84">
        <v>356927</v>
      </c>
      <c r="E476" s="41">
        <v>68569</v>
      </c>
      <c r="F476" s="85">
        <v>43497</v>
      </c>
      <c r="G476" s="41"/>
      <c r="H476" s="42"/>
      <c r="I476" s="41"/>
      <c r="J476" s="92">
        <v>20</v>
      </c>
      <c r="K476" s="92">
        <v>24164</v>
      </c>
    </row>
    <row r="477" spans="1:11">
      <c r="A477" s="40">
        <f>A476+1</f>
        <v>474</v>
      </c>
      <c r="B477" s="41" t="s">
        <v>175</v>
      </c>
      <c r="C477" s="92" t="s">
        <v>130</v>
      </c>
      <c r="D477" s="84">
        <v>1111711</v>
      </c>
      <c r="E477" s="41">
        <v>108470</v>
      </c>
      <c r="F477" s="85">
        <v>2002</v>
      </c>
      <c r="G477" s="41"/>
      <c r="H477" s="42"/>
      <c r="I477" s="41"/>
      <c r="J477" s="92">
        <v>6</v>
      </c>
      <c r="K477" s="92">
        <v>24153</v>
      </c>
    </row>
    <row r="478" spans="1:11">
      <c r="A478" s="40">
        <f>A477+1</f>
        <v>475</v>
      </c>
      <c r="B478" s="41" t="s">
        <v>175</v>
      </c>
      <c r="C478" s="92" t="s">
        <v>130</v>
      </c>
      <c r="D478" s="84">
        <v>387234</v>
      </c>
      <c r="E478" s="41">
        <v>71291</v>
      </c>
      <c r="F478" s="85">
        <v>43862</v>
      </c>
      <c r="G478" s="41"/>
      <c r="H478" s="42"/>
      <c r="I478" s="41"/>
      <c r="J478" s="92">
        <v>12</v>
      </c>
      <c r="K478" s="92">
        <v>24150</v>
      </c>
    </row>
    <row r="479" spans="1:11">
      <c r="A479" s="40">
        <f>A478+1</f>
        <v>476</v>
      </c>
      <c r="B479" s="41" t="s">
        <v>175</v>
      </c>
      <c r="C479" s="92" t="s">
        <v>130</v>
      </c>
      <c r="D479" s="84">
        <v>216997</v>
      </c>
      <c r="E479" s="41">
        <v>21038</v>
      </c>
      <c r="F479" s="85">
        <v>2002</v>
      </c>
      <c r="G479" s="41"/>
      <c r="H479" s="42"/>
      <c r="I479" s="41"/>
      <c r="J479" s="92">
        <v>47</v>
      </c>
      <c r="K479" s="92">
        <v>24103</v>
      </c>
    </row>
    <row r="480" spans="1:11">
      <c r="A480" s="40">
        <f>A479+1</f>
        <v>477</v>
      </c>
      <c r="B480" s="41" t="s">
        <v>175</v>
      </c>
      <c r="C480" s="92" t="s">
        <v>130</v>
      </c>
      <c r="D480" s="84">
        <v>299035</v>
      </c>
      <c r="E480" s="41">
        <v>64321</v>
      </c>
      <c r="F480" s="85">
        <v>42705</v>
      </c>
      <c r="G480" s="41"/>
      <c r="H480" s="42"/>
      <c r="I480" s="41"/>
      <c r="J480" s="92">
        <v>16</v>
      </c>
      <c r="K480" s="92">
        <v>24173</v>
      </c>
    </row>
    <row r="481" spans="1:11">
      <c r="A481" s="40">
        <f>A480+1</f>
        <v>478</v>
      </c>
      <c r="B481" s="41" t="s">
        <v>175</v>
      </c>
      <c r="C481" s="92" t="s">
        <v>130</v>
      </c>
      <c r="D481" s="84">
        <v>249523</v>
      </c>
      <c r="E481" s="41">
        <v>60620</v>
      </c>
      <c r="F481" s="85">
        <v>41944</v>
      </c>
      <c r="G481" s="41"/>
      <c r="H481" s="42"/>
      <c r="I481" s="41"/>
      <c r="J481" s="92">
        <v>16</v>
      </c>
      <c r="K481" s="92">
        <v>24156</v>
      </c>
    </row>
    <row r="482" spans="1:11">
      <c r="A482" s="40">
        <f>A481+1</f>
        <v>479</v>
      </c>
      <c r="B482" s="41" t="s">
        <v>175</v>
      </c>
      <c r="C482" s="136" t="s">
        <v>130</v>
      </c>
      <c r="D482" s="90">
        <v>288836</v>
      </c>
      <c r="E482" s="41">
        <v>62974</v>
      </c>
      <c r="F482" s="147">
        <v>42461</v>
      </c>
      <c r="G482" s="41"/>
      <c r="H482" s="42"/>
      <c r="I482" s="41"/>
      <c r="J482" s="136">
        <v>38</v>
      </c>
      <c r="K482" s="136">
        <v>24143</v>
      </c>
    </row>
    <row r="483" spans="1:11">
      <c r="A483" s="40">
        <f>A482+1</f>
        <v>480</v>
      </c>
      <c r="B483" s="41" t="s">
        <v>175</v>
      </c>
      <c r="C483" s="137" t="s">
        <v>130</v>
      </c>
      <c r="D483" s="82">
        <v>414425</v>
      </c>
      <c r="E483" s="41">
        <v>73248</v>
      </c>
      <c r="F483" s="83">
        <v>44197</v>
      </c>
      <c r="G483" s="41"/>
      <c r="H483" s="42"/>
      <c r="I483" s="41"/>
      <c r="J483" s="137">
        <v>41</v>
      </c>
      <c r="K483" s="137">
        <v>24141</v>
      </c>
    </row>
    <row r="484" spans="1:11">
      <c r="A484" s="40">
        <f>A483+1</f>
        <v>481</v>
      </c>
      <c r="B484" s="41" t="s">
        <v>175</v>
      </c>
      <c r="C484" s="92" t="s">
        <v>130</v>
      </c>
      <c r="D484" s="84">
        <v>26168</v>
      </c>
      <c r="E484" s="41">
        <v>118024</v>
      </c>
      <c r="F484" s="85">
        <v>37408</v>
      </c>
      <c r="G484" s="41"/>
      <c r="H484" s="42"/>
      <c r="I484" s="41"/>
      <c r="J484" s="92">
        <v>44</v>
      </c>
      <c r="K484" s="92">
        <v>24144</v>
      </c>
    </row>
    <row r="485" spans="1:11">
      <c r="A485" s="40">
        <f>A484+1</f>
        <v>482</v>
      </c>
      <c r="B485" s="41" t="s">
        <v>175</v>
      </c>
      <c r="C485" s="137" t="s">
        <v>131</v>
      </c>
      <c r="D485" s="82">
        <v>331962</v>
      </c>
      <c r="E485" s="41">
        <v>75004</v>
      </c>
      <c r="F485" s="83">
        <v>43160</v>
      </c>
      <c r="G485" s="41"/>
      <c r="H485" s="42"/>
      <c r="I485" s="41"/>
      <c r="J485" s="137">
        <v>15</v>
      </c>
      <c r="K485" s="137">
        <v>24149</v>
      </c>
    </row>
    <row r="486" spans="1:11">
      <c r="A486" s="40">
        <f>A485+1</f>
        <v>483</v>
      </c>
      <c r="B486" s="41" t="s">
        <v>175</v>
      </c>
      <c r="C486" s="92" t="s">
        <v>192</v>
      </c>
      <c r="D486" s="84">
        <v>1281551</v>
      </c>
      <c r="E486" s="41">
        <v>717000</v>
      </c>
      <c r="F486" s="85">
        <v>43891</v>
      </c>
      <c r="G486" s="41"/>
      <c r="H486" s="42"/>
      <c r="I486" s="41"/>
      <c r="J486" s="137">
        <v>2</v>
      </c>
      <c r="K486" s="92">
        <v>24886</v>
      </c>
    </row>
    <row r="487" spans="1:11">
      <c r="A487" s="40">
        <f>A486+1</f>
        <v>484</v>
      </c>
      <c r="B487" s="41" t="s">
        <v>175</v>
      </c>
      <c r="C487" s="92" t="s">
        <v>192</v>
      </c>
      <c r="D487" s="84">
        <v>1137600</v>
      </c>
      <c r="E487" s="41">
        <v>66681</v>
      </c>
      <c r="F487" s="85">
        <v>41334</v>
      </c>
      <c r="G487" s="41"/>
      <c r="H487" s="42"/>
      <c r="I487" s="41"/>
      <c r="J487" s="137">
        <v>2</v>
      </c>
      <c r="K487" s="92">
        <v>24895</v>
      </c>
    </row>
    <row r="488" spans="1:11">
      <c r="A488" s="40">
        <f>A487+1</f>
        <v>485</v>
      </c>
      <c r="B488" s="41" t="s">
        <v>175</v>
      </c>
      <c r="C488" s="92" t="s">
        <v>192</v>
      </c>
      <c r="D488" s="84">
        <v>535206</v>
      </c>
      <c r="E488" s="41">
        <v>71759</v>
      </c>
      <c r="F488" s="85">
        <v>43922</v>
      </c>
      <c r="G488" s="41"/>
      <c r="H488" s="42"/>
      <c r="I488" s="41"/>
      <c r="J488" s="92">
        <v>3</v>
      </c>
      <c r="K488" s="92">
        <v>24914</v>
      </c>
    </row>
    <row r="489" spans="1:11">
      <c r="A489" s="40">
        <f>A488+1</f>
        <v>486</v>
      </c>
      <c r="B489" s="41" t="s">
        <v>175</v>
      </c>
      <c r="C489" s="92" t="s">
        <v>192</v>
      </c>
      <c r="D489" s="84">
        <v>1207788</v>
      </c>
      <c r="E489" s="41">
        <v>69151</v>
      </c>
      <c r="F489" s="85">
        <v>43556</v>
      </c>
      <c r="G489" s="41"/>
      <c r="H489" s="42"/>
      <c r="I489" s="41"/>
      <c r="J489" s="92">
        <v>6</v>
      </c>
      <c r="K489" s="92">
        <v>24916</v>
      </c>
    </row>
    <row r="490" spans="1:11">
      <c r="A490" s="40">
        <f>A489+1</f>
        <v>487</v>
      </c>
      <c r="B490" s="41" t="s">
        <v>175</v>
      </c>
      <c r="C490" s="92" t="s">
        <v>192</v>
      </c>
      <c r="D490" s="84">
        <v>1231642</v>
      </c>
      <c r="E490" s="41">
        <v>70046</v>
      </c>
      <c r="F490" s="85">
        <v>43647</v>
      </c>
      <c r="G490" s="41"/>
      <c r="H490" s="42"/>
      <c r="I490" s="41"/>
      <c r="J490" s="137">
        <v>2</v>
      </c>
      <c r="K490" s="92">
        <v>24884</v>
      </c>
    </row>
    <row r="491" spans="1:11">
      <c r="A491" s="40">
        <f>A490+1</f>
        <v>488</v>
      </c>
      <c r="B491" s="41" t="s">
        <v>175</v>
      </c>
      <c r="C491" s="92" t="s">
        <v>192</v>
      </c>
      <c r="D491" s="84">
        <v>573286</v>
      </c>
      <c r="E491" s="41">
        <v>74192</v>
      </c>
      <c r="F491" s="85">
        <v>44287</v>
      </c>
      <c r="G491" s="41"/>
      <c r="H491" s="42"/>
      <c r="I491" s="41"/>
      <c r="J491" s="92">
        <v>25</v>
      </c>
      <c r="K491" s="92">
        <v>24917</v>
      </c>
    </row>
    <row r="492" spans="1:11">
      <c r="A492" s="40">
        <f>A491+1</f>
        <v>489</v>
      </c>
      <c r="B492" s="41" t="s">
        <v>175</v>
      </c>
      <c r="C492" s="92" t="s">
        <v>192</v>
      </c>
      <c r="D492" s="84">
        <v>1168070</v>
      </c>
      <c r="E492" s="41">
        <v>68111</v>
      </c>
      <c r="F492" s="85">
        <v>43313</v>
      </c>
      <c r="G492" s="41"/>
      <c r="H492" s="42"/>
      <c r="I492" s="41"/>
      <c r="J492" s="92">
        <v>38</v>
      </c>
      <c r="K492" s="92">
        <v>24919</v>
      </c>
    </row>
    <row r="493" spans="1:11">
      <c r="A493" s="40">
        <f>A492+1</f>
        <v>490</v>
      </c>
      <c r="B493" s="41" t="s">
        <v>175</v>
      </c>
      <c r="C493" s="92" t="s">
        <v>192</v>
      </c>
      <c r="D493" s="84">
        <v>823143</v>
      </c>
      <c r="E493" s="41">
        <v>5035</v>
      </c>
      <c r="F493" s="85">
        <v>41334</v>
      </c>
      <c r="G493" s="41"/>
      <c r="H493" s="42"/>
      <c r="I493" s="41"/>
      <c r="J493" s="92">
        <v>2</v>
      </c>
      <c r="K493" s="92">
        <v>24913</v>
      </c>
    </row>
    <row r="494" spans="1:11">
      <c r="A494" s="40">
        <f>A493+1</f>
        <v>491</v>
      </c>
      <c r="B494" s="41" t="s">
        <v>175</v>
      </c>
      <c r="C494" s="92" t="s">
        <v>192</v>
      </c>
      <c r="D494" s="84">
        <v>327292</v>
      </c>
      <c r="E494" s="41">
        <v>60140</v>
      </c>
      <c r="F494" s="85">
        <v>41883</v>
      </c>
      <c r="G494" s="41"/>
      <c r="H494" s="42"/>
      <c r="I494" s="41"/>
      <c r="J494" s="92">
        <v>36</v>
      </c>
      <c r="K494" s="92">
        <v>24920</v>
      </c>
    </row>
    <row r="495" spans="1:11">
      <c r="A495" s="40">
        <f>A494+1</f>
        <v>492</v>
      </c>
      <c r="B495" s="41" t="s">
        <v>175</v>
      </c>
      <c r="C495" s="92" t="s">
        <v>127</v>
      </c>
      <c r="D495" s="84">
        <v>380508</v>
      </c>
      <c r="E495" s="41">
        <v>70908</v>
      </c>
      <c r="F495" s="85">
        <v>43770</v>
      </c>
      <c r="G495" s="41"/>
      <c r="H495" s="42"/>
      <c r="I495" s="41"/>
      <c r="J495" s="92">
        <v>25</v>
      </c>
      <c r="K495" s="92">
        <v>24923</v>
      </c>
    </row>
    <row r="496" spans="1:11">
      <c r="A496" s="40">
        <f>A495+1</f>
        <v>493</v>
      </c>
      <c r="B496" s="41" t="s">
        <v>175</v>
      </c>
      <c r="C496" s="92" t="s">
        <v>127</v>
      </c>
      <c r="D496" s="84">
        <v>358204</v>
      </c>
      <c r="E496" s="41">
        <v>68608</v>
      </c>
      <c r="F496" s="85">
        <v>43497</v>
      </c>
      <c r="G496" s="41"/>
      <c r="H496" s="42"/>
      <c r="I496" s="41"/>
      <c r="J496" s="92">
        <v>18</v>
      </c>
      <c r="K496" s="92">
        <v>24924</v>
      </c>
    </row>
    <row r="497" spans="1:11">
      <c r="A497" s="40">
        <f>A496+1</f>
        <v>494</v>
      </c>
      <c r="B497" s="41" t="s">
        <v>175</v>
      </c>
      <c r="C497" s="92" t="s">
        <v>127</v>
      </c>
      <c r="D497" s="84">
        <v>397879</v>
      </c>
      <c r="E497" s="41">
        <v>71848</v>
      </c>
      <c r="F497" s="85">
        <v>43922</v>
      </c>
      <c r="G497" s="41"/>
      <c r="H497" s="42"/>
      <c r="I497" s="41"/>
      <c r="J497" s="92">
        <v>15</v>
      </c>
      <c r="K497" s="92">
        <v>24925</v>
      </c>
    </row>
    <row r="498" spans="1:11">
      <c r="A498" s="40">
        <f>A497+1</f>
        <v>495</v>
      </c>
      <c r="B498" s="41" t="s">
        <v>175</v>
      </c>
      <c r="C498" s="92" t="s">
        <v>127</v>
      </c>
      <c r="D498" s="84">
        <v>385199</v>
      </c>
      <c r="E498" s="41">
        <v>71021</v>
      </c>
      <c r="F498" s="85">
        <v>43831</v>
      </c>
      <c r="G498" s="41"/>
      <c r="H498" s="42"/>
      <c r="I498" s="41"/>
      <c r="J498" s="92">
        <v>19</v>
      </c>
      <c r="K498" s="92">
        <v>24926</v>
      </c>
    </row>
    <row r="499" spans="1:11">
      <c r="A499" s="40">
        <f>A498+1</f>
        <v>496</v>
      </c>
      <c r="B499" s="41" t="s">
        <v>175</v>
      </c>
      <c r="C499" s="92" t="s">
        <v>127</v>
      </c>
      <c r="D499" s="84">
        <v>412984</v>
      </c>
      <c r="E499" s="41">
        <v>72883</v>
      </c>
      <c r="F499" s="85">
        <v>44166</v>
      </c>
      <c r="G499" s="41"/>
      <c r="H499" s="42"/>
      <c r="I499" s="41"/>
      <c r="J499" s="92">
        <v>21</v>
      </c>
      <c r="K499" s="92">
        <v>24927</v>
      </c>
    </row>
    <row r="500" spans="1:11">
      <c r="A500" s="40">
        <f>A499+1</f>
        <v>497</v>
      </c>
      <c r="B500" s="41" t="s">
        <v>175</v>
      </c>
      <c r="C500" s="92" t="s">
        <v>127</v>
      </c>
      <c r="D500" s="84">
        <v>373712</v>
      </c>
      <c r="E500" s="41">
        <v>70236</v>
      </c>
      <c r="F500" s="85">
        <v>43678</v>
      </c>
      <c r="G500" s="41"/>
      <c r="H500" s="42"/>
      <c r="I500" s="41"/>
      <c r="J500" s="92">
        <v>21</v>
      </c>
      <c r="K500" s="92">
        <v>24928</v>
      </c>
    </row>
    <row r="501" spans="1:11">
      <c r="A501" s="40">
        <f>A500+1</f>
        <v>498</v>
      </c>
      <c r="B501" s="41" t="s">
        <v>175</v>
      </c>
      <c r="C501" s="92" t="s">
        <v>127</v>
      </c>
      <c r="D501" s="84">
        <v>311157</v>
      </c>
      <c r="E501" s="41">
        <v>26316</v>
      </c>
      <c r="F501" s="85">
        <v>44013</v>
      </c>
      <c r="G501" s="41"/>
      <c r="H501" s="42"/>
      <c r="I501" s="41"/>
      <c r="J501" s="92">
        <v>22</v>
      </c>
      <c r="K501" s="92">
        <v>24929</v>
      </c>
    </row>
    <row r="502" spans="1:11">
      <c r="A502" s="40">
        <f>A501+1</f>
        <v>499</v>
      </c>
      <c r="B502" s="41" t="s">
        <v>175</v>
      </c>
      <c r="C502" s="92" t="s">
        <v>127</v>
      </c>
      <c r="D502" s="84">
        <v>900994</v>
      </c>
      <c r="E502" s="41">
        <v>56384</v>
      </c>
      <c r="F502" s="85">
        <v>43739</v>
      </c>
      <c r="G502" s="41"/>
      <c r="H502" s="42"/>
      <c r="I502" s="41"/>
      <c r="J502" s="92">
        <v>27</v>
      </c>
      <c r="K502" s="92">
        <v>24930</v>
      </c>
    </row>
    <row r="503" spans="1:11">
      <c r="A503" s="40">
        <f>A502+1</f>
        <v>500</v>
      </c>
      <c r="B503" s="41" t="s">
        <v>175</v>
      </c>
      <c r="C503" s="92" t="s">
        <v>127</v>
      </c>
      <c r="D503" s="84">
        <v>920535</v>
      </c>
      <c r="E503" s="41">
        <v>57065</v>
      </c>
      <c r="F503" s="85">
        <v>43952</v>
      </c>
      <c r="G503" s="41"/>
      <c r="H503" s="42"/>
      <c r="I503" s="41"/>
      <c r="J503" s="92">
        <v>3</v>
      </c>
      <c r="K503" s="92">
        <v>24932</v>
      </c>
    </row>
    <row r="504" spans="1:11">
      <c r="A504" s="40">
        <f>A503+1</f>
        <v>501</v>
      </c>
      <c r="B504" s="41" t="s">
        <v>175</v>
      </c>
      <c r="C504" s="92" t="s">
        <v>127</v>
      </c>
      <c r="D504" s="84">
        <v>18125996</v>
      </c>
      <c r="E504" s="41">
        <v>64611</v>
      </c>
      <c r="F504" s="85">
        <v>43891</v>
      </c>
      <c r="G504" s="41"/>
      <c r="H504" s="42"/>
      <c r="I504" s="41"/>
      <c r="J504" s="92">
        <v>2</v>
      </c>
      <c r="K504" s="92">
        <v>24933</v>
      </c>
    </row>
    <row r="505" spans="1:11">
      <c r="A505" s="40">
        <f>A504+1</f>
        <v>502</v>
      </c>
      <c r="B505" s="41" t="s">
        <v>175</v>
      </c>
      <c r="C505" s="92" t="s">
        <v>130</v>
      </c>
      <c r="D505" s="84">
        <v>360624</v>
      </c>
      <c r="E505" s="41">
        <v>68916</v>
      </c>
      <c r="F505" s="85">
        <v>41334</v>
      </c>
      <c r="G505" s="41"/>
      <c r="H505" s="42"/>
      <c r="I505" s="41"/>
      <c r="J505" s="92">
        <v>2</v>
      </c>
      <c r="K505" s="92">
        <v>24934</v>
      </c>
    </row>
    <row r="506" spans="1:11">
      <c r="A506" s="40">
        <f>A505+1</f>
        <v>503</v>
      </c>
      <c r="B506" s="41" t="s">
        <v>175</v>
      </c>
      <c r="C506" s="92" t="s">
        <v>130</v>
      </c>
      <c r="D506" s="84">
        <v>435059</v>
      </c>
      <c r="E506" s="41">
        <v>35920</v>
      </c>
      <c r="F506" s="85">
        <v>38322</v>
      </c>
      <c r="G506" s="41"/>
      <c r="H506" s="42"/>
      <c r="I506" s="41"/>
      <c r="J506" s="92">
        <v>8</v>
      </c>
      <c r="K506" s="92">
        <v>24887</v>
      </c>
    </row>
    <row r="507" spans="1:11">
      <c r="A507" s="40">
        <f>A506+1</f>
        <v>504</v>
      </c>
      <c r="B507" s="41" t="s">
        <v>175</v>
      </c>
      <c r="C507" s="92" t="s">
        <v>130</v>
      </c>
      <c r="D507" s="84">
        <v>216083</v>
      </c>
      <c r="E507" s="41">
        <v>56109</v>
      </c>
      <c r="F507" s="85">
        <v>43739</v>
      </c>
      <c r="G507" s="41"/>
      <c r="H507" s="42"/>
      <c r="I507" s="41"/>
      <c r="J507" s="92">
        <v>2</v>
      </c>
      <c r="K507" s="92">
        <v>24936</v>
      </c>
    </row>
    <row r="508" spans="1:11">
      <c r="A508" s="40">
        <f>A507+1</f>
        <v>505</v>
      </c>
      <c r="B508" s="41" t="s">
        <v>175</v>
      </c>
      <c r="C508" s="92" t="s">
        <v>130</v>
      </c>
      <c r="D508" s="84">
        <v>105945</v>
      </c>
      <c r="E508" s="41">
        <v>28270</v>
      </c>
      <c r="F508" s="85">
        <v>44013</v>
      </c>
      <c r="G508" s="41"/>
      <c r="H508" s="42"/>
      <c r="I508" s="41"/>
      <c r="J508" s="92">
        <v>2</v>
      </c>
      <c r="K508" s="92">
        <v>24937</v>
      </c>
    </row>
    <row r="509" spans="1:11">
      <c r="A509" s="40">
        <f>A508+1</f>
        <v>506</v>
      </c>
      <c r="B509" s="41" t="s">
        <v>175</v>
      </c>
      <c r="C509" s="92" t="s">
        <v>130</v>
      </c>
      <c r="D509" s="84">
        <v>249529</v>
      </c>
      <c r="E509" s="41">
        <v>60626</v>
      </c>
      <c r="F509" s="85">
        <v>41944</v>
      </c>
      <c r="G509" s="41"/>
      <c r="H509" s="42"/>
      <c r="I509" s="41"/>
      <c r="J509" s="137">
        <v>2</v>
      </c>
      <c r="K509" s="92">
        <v>24899</v>
      </c>
    </row>
    <row r="510" spans="1:11">
      <c r="A510" s="40">
        <f>A509+1</f>
        <v>507</v>
      </c>
      <c r="B510" s="41" t="s">
        <v>175</v>
      </c>
      <c r="C510" s="92" t="s">
        <v>130</v>
      </c>
      <c r="D510" s="84">
        <v>284767</v>
      </c>
      <c r="E510" s="41">
        <v>62689</v>
      </c>
      <c r="F510" s="124">
        <v>42917</v>
      </c>
      <c r="G510" s="41"/>
      <c r="H510" s="42"/>
      <c r="I510" s="41"/>
      <c r="J510" s="137">
        <v>2</v>
      </c>
      <c r="K510" s="92">
        <v>24888</v>
      </c>
    </row>
    <row r="511" spans="1:11">
      <c r="A511" s="40">
        <f>A510+1</f>
        <v>508</v>
      </c>
      <c r="B511" s="41" t="s">
        <v>175</v>
      </c>
      <c r="C511" s="92" t="s">
        <v>131</v>
      </c>
      <c r="D511" s="84">
        <v>458764</v>
      </c>
      <c r="E511" s="41">
        <v>69813</v>
      </c>
      <c r="F511" s="85">
        <v>41306</v>
      </c>
      <c r="G511" s="41"/>
      <c r="H511" s="42"/>
      <c r="I511" s="41"/>
      <c r="J511" s="92">
        <v>2</v>
      </c>
      <c r="K511" s="92">
        <v>24938</v>
      </c>
    </row>
    <row r="512" spans="1:11">
      <c r="A512" s="40">
        <f>A511+1</f>
        <v>509</v>
      </c>
      <c r="B512" s="41" t="s">
        <v>175</v>
      </c>
      <c r="C512" s="92" t="s">
        <v>131</v>
      </c>
      <c r="D512" s="84">
        <v>458756</v>
      </c>
      <c r="E512" s="41">
        <v>69808</v>
      </c>
      <c r="F512" s="85">
        <v>43132</v>
      </c>
      <c r="G512" s="41"/>
      <c r="H512" s="42"/>
      <c r="I512" s="41"/>
      <c r="J512" s="92">
        <v>12</v>
      </c>
      <c r="K512" s="92">
        <v>24939</v>
      </c>
    </row>
    <row r="513" spans="1:11">
      <c r="A513" s="40">
        <f>A512+1</f>
        <v>510</v>
      </c>
      <c r="B513" s="41" t="s">
        <v>175</v>
      </c>
      <c r="C513" s="92" t="s">
        <v>131</v>
      </c>
      <c r="D513" s="84">
        <v>457598</v>
      </c>
      <c r="E513" s="41">
        <v>69794</v>
      </c>
      <c r="F513" s="85">
        <v>43132</v>
      </c>
      <c r="G513" s="41"/>
      <c r="H513" s="42"/>
      <c r="I513" s="41"/>
      <c r="J513" s="92">
        <v>2</v>
      </c>
      <c r="K513" s="92">
        <v>24940</v>
      </c>
    </row>
    <row r="514" spans="1:11">
      <c r="A514" s="40">
        <f>A513+1</f>
        <v>511</v>
      </c>
      <c r="B514" s="41" t="s">
        <v>175</v>
      </c>
      <c r="C514" s="92" t="s">
        <v>131</v>
      </c>
      <c r="D514" s="84">
        <v>291721</v>
      </c>
      <c r="E514" s="41">
        <v>63677</v>
      </c>
      <c r="F514" s="85">
        <v>42522</v>
      </c>
      <c r="G514" s="41"/>
      <c r="H514" s="42"/>
      <c r="I514" s="41"/>
      <c r="J514" s="92">
        <v>2</v>
      </c>
      <c r="K514" s="92">
        <v>24941</v>
      </c>
    </row>
    <row r="515" spans="1:11">
      <c r="A515" s="40">
        <f>A514+1</f>
        <v>512</v>
      </c>
      <c r="B515" s="41" t="s">
        <v>175</v>
      </c>
      <c r="C515" s="92" t="s">
        <v>131</v>
      </c>
      <c r="D515" s="84">
        <v>373770</v>
      </c>
      <c r="E515" s="41">
        <v>70294</v>
      </c>
      <c r="F515" s="85">
        <v>43617</v>
      </c>
      <c r="G515" s="41"/>
      <c r="H515" s="42"/>
      <c r="I515" s="41"/>
      <c r="J515" s="92">
        <v>2</v>
      </c>
      <c r="K515" s="92">
        <v>24942</v>
      </c>
    </row>
    <row r="516" spans="1:11">
      <c r="A516" s="40">
        <f>A515+1</f>
        <v>513</v>
      </c>
      <c r="B516" s="41" t="s">
        <v>175</v>
      </c>
      <c r="C516" s="92" t="s">
        <v>131</v>
      </c>
      <c r="D516" s="84">
        <v>264799</v>
      </c>
      <c r="E516" s="41">
        <v>62271</v>
      </c>
      <c r="F516" s="85">
        <v>43952</v>
      </c>
      <c r="G516" s="41"/>
      <c r="H516" s="42"/>
      <c r="I516" s="41"/>
      <c r="J516" s="92">
        <v>4</v>
      </c>
      <c r="K516" s="92">
        <v>24882</v>
      </c>
    </row>
    <row r="517" spans="1:11">
      <c r="A517" s="40">
        <f>A516+1</f>
        <v>514</v>
      </c>
      <c r="B517" s="41" t="s">
        <v>175</v>
      </c>
      <c r="C517" s="92" t="s">
        <v>131</v>
      </c>
      <c r="D517" s="84" t="s">
        <v>1155</v>
      </c>
      <c r="E517" s="41">
        <v>75081</v>
      </c>
      <c r="F517" s="85">
        <v>43497</v>
      </c>
      <c r="G517" s="41"/>
      <c r="H517" s="42"/>
      <c r="I517" s="41"/>
      <c r="J517" s="92">
        <v>2</v>
      </c>
      <c r="K517" s="92">
        <v>24908</v>
      </c>
    </row>
    <row r="518" spans="1:11">
      <c r="A518" s="40">
        <f>A517+1</f>
        <v>515</v>
      </c>
      <c r="B518" s="41" t="s">
        <v>175</v>
      </c>
      <c r="C518" s="92" t="s">
        <v>131</v>
      </c>
      <c r="D518" s="84" t="s">
        <v>1156</v>
      </c>
      <c r="E518" s="41">
        <v>75082</v>
      </c>
      <c r="F518" s="85">
        <v>42705</v>
      </c>
      <c r="G518" s="41"/>
      <c r="H518" s="42"/>
      <c r="I518" s="41"/>
      <c r="J518" s="92">
        <v>3</v>
      </c>
      <c r="K518" s="92">
        <v>24892</v>
      </c>
    </row>
    <row r="519" spans="1:11">
      <c r="A519" s="40">
        <f>A518+1</f>
        <v>516</v>
      </c>
      <c r="B519" s="41" t="s">
        <v>175</v>
      </c>
      <c r="C519" s="161" t="s">
        <v>131</v>
      </c>
      <c r="D519" s="84">
        <v>319915</v>
      </c>
      <c r="E519" s="41">
        <v>75083</v>
      </c>
      <c r="F519" s="85">
        <v>43709</v>
      </c>
      <c r="G519" s="41"/>
      <c r="H519" s="42"/>
      <c r="I519" s="41"/>
      <c r="J519" s="137">
        <v>2</v>
      </c>
      <c r="K519" s="92">
        <v>24907</v>
      </c>
    </row>
    <row r="520" spans="1:11">
      <c r="A520" s="40">
        <f>A519+1</f>
        <v>517</v>
      </c>
      <c r="B520" s="41" t="s">
        <v>175</v>
      </c>
      <c r="C520" s="159" t="s">
        <v>192</v>
      </c>
      <c r="D520" s="84">
        <v>791737</v>
      </c>
      <c r="E520" s="41">
        <v>53952</v>
      </c>
      <c r="F520" s="85">
        <v>41091</v>
      </c>
      <c r="G520" s="41"/>
      <c r="H520" s="42"/>
      <c r="I520" s="41"/>
      <c r="J520" s="92">
        <v>2</v>
      </c>
      <c r="K520" s="92">
        <v>28942</v>
      </c>
    </row>
    <row r="521" spans="1:11">
      <c r="A521" s="40">
        <f>A520+1</f>
        <v>518</v>
      </c>
      <c r="B521" s="41" t="s">
        <v>175</v>
      </c>
      <c r="C521" s="159" t="s">
        <v>127</v>
      </c>
      <c r="D521" s="84">
        <v>397888</v>
      </c>
      <c r="E521" s="41">
        <v>71857</v>
      </c>
      <c r="F521" s="85">
        <v>43952</v>
      </c>
      <c r="G521" s="41"/>
      <c r="H521" s="42"/>
      <c r="I521" s="41"/>
      <c r="J521" s="92">
        <v>2</v>
      </c>
      <c r="K521" s="92">
        <v>28935</v>
      </c>
    </row>
    <row r="522" spans="1:11">
      <c r="A522" s="40">
        <f>A521+1</f>
        <v>519</v>
      </c>
      <c r="B522" s="41" t="s">
        <v>175</v>
      </c>
      <c r="C522" s="159" t="s">
        <v>127</v>
      </c>
      <c r="D522" s="84">
        <v>414404</v>
      </c>
      <c r="E522" s="41">
        <v>73227</v>
      </c>
      <c r="F522" s="85">
        <v>44197</v>
      </c>
      <c r="G522" s="41"/>
      <c r="H522" s="42"/>
      <c r="I522" s="41"/>
      <c r="J522" s="92">
        <v>2</v>
      </c>
      <c r="K522" s="92">
        <v>28921</v>
      </c>
    </row>
    <row r="523" spans="1:11">
      <c r="A523" s="40">
        <f>A522+1</f>
        <v>520</v>
      </c>
      <c r="B523" s="41" t="s">
        <v>175</v>
      </c>
      <c r="C523" s="159" t="s">
        <v>127</v>
      </c>
      <c r="D523" s="84">
        <v>387203</v>
      </c>
      <c r="E523" s="41">
        <v>71260</v>
      </c>
      <c r="F523" s="85">
        <v>43862</v>
      </c>
      <c r="G523" s="41"/>
      <c r="H523" s="42"/>
      <c r="I523" s="41"/>
      <c r="J523" s="92">
        <v>7</v>
      </c>
      <c r="K523" s="92">
        <v>28940</v>
      </c>
    </row>
    <row r="524" spans="1:11">
      <c r="A524" s="40">
        <f>A523+1</f>
        <v>521</v>
      </c>
      <c r="B524" s="41" t="s">
        <v>175</v>
      </c>
      <c r="C524" s="159" t="s">
        <v>127</v>
      </c>
      <c r="D524" s="84">
        <v>219128</v>
      </c>
      <c r="E524" s="41">
        <v>56217</v>
      </c>
      <c r="F524" s="85">
        <v>41518</v>
      </c>
      <c r="G524" s="41"/>
      <c r="H524" s="42"/>
      <c r="I524" s="41"/>
      <c r="J524" s="92">
        <v>3</v>
      </c>
      <c r="K524" s="92">
        <v>28895</v>
      </c>
    </row>
    <row r="525" spans="1:11">
      <c r="A525" s="40">
        <f>A524+1</f>
        <v>522</v>
      </c>
      <c r="B525" s="41" t="s">
        <v>175</v>
      </c>
      <c r="C525" s="159" t="s">
        <v>127</v>
      </c>
      <c r="D525" s="84">
        <v>358185</v>
      </c>
      <c r="E525" s="41">
        <v>68589</v>
      </c>
      <c r="F525" s="85">
        <v>43497</v>
      </c>
      <c r="G525" s="41"/>
      <c r="H525" s="42"/>
      <c r="I525" s="41"/>
      <c r="J525" s="92">
        <v>2</v>
      </c>
      <c r="K525" s="92">
        <v>28930</v>
      </c>
    </row>
    <row r="526" spans="1:11">
      <c r="A526" s="40">
        <f>A525+1</f>
        <v>523</v>
      </c>
      <c r="B526" s="41" t="s">
        <v>175</v>
      </c>
      <c r="C526" s="159" t="s">
        <v>127</v>
      </c>
      <c r="D526" s="84">
        <v>397885</v>
      </c>
      <c r="E526" s="41">
        <v>71854</v>
      </c>
      <c r="F526" s="85">
        <v>43922</v>
      </c>
      <c r="G526" s="41"/>
      <c r="H526" s="42"/>
      <c r="I526" s="41"/>
      <c r="J526" s="92" t="s">
        <v>172</v>
      </c>
      <c r="K526" s="92">
        <v>35986</v>
      </c>
    </row>
    <row r="527" spans="1:11">
      <c r="A527" s="40">
        <f>A526+1</f>
        <v>524</v>
      </c>
      <c r="B527" s="41" t="s">
        <v>175</v>
      </c>
      <c r="C527" s="159" t="s">
        <v>127</v>
      </c>
      <c r="D527" s="84">
        <v>242157</v>
      </c>
      <c r="E527" s="41">
        <v>59131</v>
      </c>
      <c r="F527" s="85">
        <v>41821</v>
      </c>
      <c r="G527" s="41"/>
      <c r="H527" s="42"/>
      <c r="I527" s="41"/>
      <c r="J527" s="92">
        <v>3</v>
      </c>
      <c r="K527" s="92">
        <v>28929</v>
      </c>
    </row>
    <row r="528" spans="1:11">
      <c r="A528" s="40">
        <f>A527+1</f>
        <v>525</v>
      </c>
      <c r="B528" s="41" t="s">
        <v>175</v>
      </c>
      <c r="C528" s="159" t="s">
        <v>127</v>
      </c>
      <c r="D528" s="84">
        <v>240065</v>
      </c>
      <c r="E528" s="41">
        <v>59008</v>
      </c>
      <c r="F528" s="85">
        <v>41852</v>
      </c>
      <c r="G528" s="41"/>
      <c r="H528" s="42"/>
      <c r="I528" s="41"/>
      <c r="J528" s="92">
        <v>4</v>
      </c>
      <c r="K528" s="92">
        <v>28896</v>
      </c>
    </row>
    <row r="529" spans="1:11">
      <c r="A529" s="40">
        <f>A528+1</f>
        <v>526</v>
      </c>
      <c r="B529" s="41" t="s">
        <v>175</v>
      </c>
      <c r="C529" s="159" t="s">
        <v>127</v>
      </c>
      <c r="D529" s="84">
        <v>358210</v>
      </c>
      <c r="E529" s="41">
        <v>68614</v>
      </c>
      <c r="F529" s="85">
        <v>43497</v>
      </c>
      <c r="G529" s="41"/>
      <c r="H529" s="42"/>
      <c r="I529" s="41"/>
      <c r="J529" s="92">
        <v>3</v>
      </c>
      <c r="K529" s="92">
        <v>28941</v>
      </c>
    </row>
    <row r="530" spans="1:11">
      <c r="A530" s="40">
        <f>A529+1</f>
        <v>527</v>
      </c>
      <c r="B530" s="41" t="s">
        <v>175</v>
      </c>
      <c r="C530" s="159" t="s">
        <v>127</v>
      </c>
      <c r="D530" s="84">
        <v>213520</v>
      </c>
      <c r="E530" s="41">
        <v>55527</v>
      </c>
      <c r="F530" s="85">
        <v>41456</v>
      </c>
      <c r="G530" s="41"/>
      <c r="H530" s="42"/>
      <c r="I530" s="41"/>
      <c r="J530" s="92">
        <v>3</v>
      </c>
      <c r="K530" s="92">
        <v>28946</v>
      </c>
    </row>
    <row r="531" spans="1:11">
      <c r="A531" s="40">
        <f>A530+1</f>
        <v>528</v>
      </c>
      <c r="B531" s="41" t="s">
        <v>175</v>
      </c>
      <c r="C531" s="159" t="s">
        <v>127</v>
      </c>
      <c r="D531" s="84">
        <v>921102</v>
      </c>
      <c r="E531" s="41">
        <v>57351</v>
      </c>
      <c r="F531" s="85">
        <v>43952</v>
      </c>
      <c r="G531" s="41"/>
      <c r="H531" s="42"/>
      <c r="I531" s="41"/>
      <c r="J531" s="92">
        <v>12</v>
      </c>
      <c r="K531" s="92">
        <v>28948</v>
      </c>
    </row>
    <row r="532" spans="1:11">
      <c r="A532" s="40">
        <f>A531+1</f>
        <v>529</v>
      </c>
      <c r="B532" s="41" t="s">
        <v>175</v>
      </c>
      <c r="C532" s="159" t="s">
        <v>127</v>
      </c>
      <c r="D532" s="84">
        <v>226820</v>
      </c>
      <c r="E532" s="41">
        <v>55988</v>
      </c>
      <c r="F532" s="85">
        <v>43831</v>
      </c>
      <c r="G532" s="41"/>
      <c r="H532" s="42"/>
      <c r="I532" s="41"/>
      <c r="J532" s="92">
        <v>7</v>
      </c>
      <c r="K532" s="92">
        <v>28906</v>
      </c>
    </row>
    <row r="533" spans="1:11">
      <c r="A533" s="40">
        <f>A532+1</f>
        <v>530</v>
      </c>
      <c r="B533" s="41" t="s">
        <v>175</v>
      </c>
      <c r="C533" s="159" t="s">
        <v>127</v>
      </c>
      <c r="D533" s="84">
        <v>920536</v>
      </c>
      <c r="E533" s="41">
        <v>57066</v>
      </c>
      <c r="F533" s="85">
        <v>41640</v>
      </c>
      <c r="G533" s="41"/>
      <c r="H533" s="42"/>
      <c r="I533" s="41"/>
      <c r="J533" s="92">
        <v>2</v>
      </c>
      <c r="K533" s="92">
        <v>28894</v>
      </c>
    </row>
    <row r="534" spans="1:11">
      <c r="A534" s="40">
        <f>A533+1</f>
        <v>531</v>
      </c>
      <c r="B534" s="41" t="s">
        <v>175</v>
      </c>
      <c r="C534" s="159" t="s">
        <v>127</v>
      </c>
      <c r="D534" s="84">
        <v>358200</v>
      </c>
      <c r="E534" s="41">
        <v>68604</v>
      </c>
      <c r="F534" s="85">
        <v>43497</v>
      </c>
      <c r="G534" s="41"/>
      <c r="H534" s="42"/>
      <c r="I534" s="41"/>
      <c r="J534" s="92">
        <v>2</v>
      </c>
      <c r="K534" s="92">
        <v>28898</v>
      </c>
    </row>
    <row r="535" spans="1:11">
      <c r="A535" s="40">
        <f>A534+1</f>
        <v>532</v>
      </c>
      <c r="B535" s="41" t="s">
        <v>175</v>
      </c>
      <c r="C535" s="159" t="s">
        <v>127</v>
      </c>
      <c r="D535" s="84">
        <v>385229</v>
      </c>
      <c r="E535" s="41">
        <v>6303</v>
      </c>
      <c r="F535" s="85">
        <v>43831</v>
      </c>
      <c r="G535" s="41"/>
      <c r="H535" s="42"/>
      <c r="I535" s="41"/>
      <c r="J535" s="92">
        <v>4</v>
      </c>
      <c r="K535" s="92">
        <v>28917</v>
      </c>
    </row>
    <row r="536" spans="1:11">
      <c r="A536" s="40">
        <f>A535+1</f>
        <v>533</v>
      </c>
      <c r="B536" s="41" t="s">
        <v>175</v>
      </c>
      <c r="C536" s="159" t="s">
        <v>127</v>
      </c>
      <c r="D536" s="84">
        <v>303557</v>
      </c>
      <c r="E536" s="41">
        <v>64962</v>
      </c>
      <c r="F536" s="85">
        <v>42767</v>
      </c>
      <c r="G536" s="41"/>
      <c r="H536" s="42"/>
      <c r="I536" s="41"/>
      <c r="J536" s="92">
        <v>2</v>
      </c>
      <c r="K536" s="92">
        <v>28908</v>
      </c>
    </row>
    <row r="537" spans="1:11">
      <c r="A537" s="40">
        <f>A536+1</f>
        <v>534</v>
      </c>
      <c r="B537" s="41" t="s">
        <v>175</v>
      </c>
      <c r="C537" s="159" t="s">
        <v>128</v>
      </c>
      <c r="D537" s="84">
        <v>8417887</v>
      </c>
      <c r="E537" s="41">
        <v>4552</v>
      </c>
      <c r="F537" s="85">
        <v>43678</v>
      </c>
      <c r="G537" s="41"/>
      <c r="H537" s="42"/>
      <c r="I537" s="41"/>
      <c r="J537" s="92">
        <v>10</v>
      </c>
      <c r="K537" s="92">
        <v>28933</v>
      </c>
    </row>
    <row r="538" spans="1:11">
      <c r="A538" s="40">
        <f>A537+1</f>
        <v>535</v>
      </c>
      <c r="B538" s="41" t="s">
        <v>175</v>
      </c>
      <c r="C538" s="159" t="s">
        <v>166</v>
      </c>
      <c r="D538" s="84">
        <v>303715</v>
      </c>
      <c r="E538" s="41">
        <v>65120</v>
      </c>
      <c r="F538" s="85">
        <v>42767</v>
      </c>
      <c r="G538" s="41"/>
      <c r="H538" s="42"/>
      <c r="I538" s="41"/>
      <c r="J538" s="92">
        <v>4</v>
      </c>
      <c r="K538" s="92">
        <v>28939</v>
      </c>
    </row>
    <row r="539" spans="1:11">
      <c r="A539" s="40">
        <f>A538+1</f>
        <v>536</v>
      </c>
      <c r="B539" s="41" t="s">
        <v>175</v>
      </c>
      <c r="C539" s="159" t="s">
        <v>166</v>
      </c>
      <c r="D539" s="84">
        <v>229794</v>
      </c>
      <c r="E539" s="41">
        <v>57559</v>
      </c>
      <c r="F539" s="85">
        <v>41671</v>
      </c>
      <c r="G539" s="41"/>
      <c r="H539" s="42"/>
      <c r="I539" s="41"/>
      <c r="J539" s="92">
        <v>2</v>
      </c>
      <c r="K539" s="92">
        <v>28925</v>
      </c>
    </row>
    <row r="540" spans="1:11">
      <c r="A540" s="40">
        <f>A539+1</f>
        <v>537</v>
      </c>
      <c r="B540" s="41" t="s">
        <v>175</v>
      </c>
      <c r="C540" s="159" t="s">
        <v>166</v>
      </c>
      <c r="D540" s="84">
        <v>375527</v>
      </c>
      <c r="E540" s="41">
        <v>70754</v>
      </c>
      <c r="F540" s="85">
        <v>43709</v>
      </c>
      <c r="G540" s="41"/>
      <c r="H540" s="42"/>
      <c r="I540" s="41"/>
      <c r="J540" s="92">
        <v>17</v>
      </c>
      <c r="K540" s="92">
        <v>28931</v>
      </c>
    </row>
    <row r="541" spans="1:11">
      <c r="A541" s="40">
        <f>A540+1</f>
        <v>538</v>
      </c>
      <c r="B541" s="41" t="s">
        <v>175</v>
      </c>
      <c r="C541" s="159" t="s">
        <v>166</v>
      </c>
      <c r="D541" s="84">
        <v>419270</v>
      </c>
      <c r="E541" s="41">
        <v>75275</v>
      </c>
      <c r="F541" s="85">
        <v>38200</v>
      </c>
      <c r="G541" s="41"/>
      <c r="H541" s="42"/>
      <c r="I541" s="41"/>
      <c r="J541" s="92">
        <v>2</v>
      </c>
      <c r="K541" s="92">
        <v>28900</v>
      </c>
    </row>
    <row r="542" spans="1:11">
      <c r="A542" s="40">
        <f>A541+1</f>
        <v>539</v>
      </c>
      <c r="B542" s="41" t="s">
        <v>175</v>
      </c>
      <c r="C542" s="159" t="s">
        <v>166</v>
      </c>
      <c r="D542" s="84">
        <v>242230</v>
      </c>
      <c r="E542" s="41">
        <v>59204</v>
      </c>
      <c r="F542" s="85">
        <v>43678</v>
      </c>
      <c r="G542" s="41"/>
      <c r="H542" s="42"/>
      <c r="I542" s="41"/>
      <c r="J542" s="92">
        <v>4</v>
      </c>
      <c r="K542" s="92">
        <v>28909</v>
      </c>
    </row>
    <row r="543" spans="1:11">
      <c r="A543" s="40">
        <f>A542+1</f>
        <v>540</v>
      </c>
      <c r="B543" s="41" t="s">
        <v>175</v>
      </c>
      <c r="C543" s="159" t="s">
        <v>903</v>
      </c>
      <c r="D543" s="84">
        <v>211219</v>
      </c>
      <c r="E543" s="41">
        <v>55419</v>
      </c>
      <c r="F543" s="85">
        <v>41395</v>
      </c>
      <c r="G543" s="41"/>
      <c r="H543" s="42"/>
      <c r="I543" s="41"/>
      <c r="J543" s="92">
        <v>2</v>
      </c>
      <c r="K543" s="92">
        <v>28938</v>
      </c>
    </row>
    <row r="544" spans="1:11">
      <c r="A544" s="40">
        <f>A543+1</f>
        <v>541</v>
      </c>
      <c r="B544" s="41" t="s">
        <v>175</v>
      </c>
      <c r="C544" s="159" t="s">
        <v>1157</v>
      </c>
      <c r="D544" s="84">
        <v>229804</v>
      </c>
      <c r="E544" s="41">
        <v>57569</v>
      </c>
      <c r="F544" s="85">
        <v>41671</v>
      </c>
      <c r="G544" s="41"/>
      <c r="H544" s="42"/>
      <c r="I544" s="41"/>
      <c r="J544" s="92">
        <v>2</v>
      </c>
      <c r="K544" s="92">
        <v>28915</v>
      </c>
    </row>
    <row r="545" spans="1:11">
      <c r="A545" s="40">
        <f>A544+1</f>
        <v>542</v>
      </c>
      <c r="B545" s="41" t="s">
        <v>175</v>
      </c>
      <c r="C545" s="159" t="s">
        <v>128</v>
      </c>
      <c r="D545" s="84">
        <v>82162</v>
      </c>
      <c r="E545" s="41">
        <v>5128</v>
      </c>
      <c r="F545" s="85">
        <v>41275</v>
      </c>
      <c r="G545" s="41"/>
      <c r="H545" s="42"/>
      <c r="I545" s="41"/>
      <c r="J545" s="92">
        <v>2</v>
      </c>
      <c r="K545" s="92">
        <v>29699</v>
      </c>
    </row>
    <row r="546" spans="1:11">
      <c r="A546" s="40">
        <f>A545+1</f>
        <v>543</v>
      </c>
      <c r="B546" s="41" t="s">
        <v>175</v>
      </c>
      <c r="C546" s="159" t="s">
        <v>128</v>
      </c>
      <c r="D546" s="84">
        <v>8091</v>
      </c>
      <c r="E546" s="41">
        <v>6423</v>
      </c>
      <c r="F546" s="85">
        <v>38626</v>
      </c>
      <c r="G546" s="41"/>
      <c r="H546" s="42"/>
      <c r="I546" s="41"/>
      <c r="J546" s="92">
        <v>38</v>
      </c>
      <c r="K546" s="92">
        <v>29708</v>
      </c>
    </row>
    <row r="547" spans="1:11">
      <c r="A547" s="40">
        <f>A546+1</f>
        <v>544</v>
      </c>
      <c r="B547" s="41" t="s">
        <v>175</v>
      </c>
      <c r="C547" s="159" t="s">
        <v>130</v>
      </c>
      <c r="D547" s="84">
        <v>243478</v>
      </c>
      <c r="E547" s="41">
        <v>2589</v>
      </c>
      <c r="F547" s="85">
        <v>38412</v>
      </c>
      <c r="G547" s="41"/>
      <c r="H547" s="42"/>
      <c r="I547" s="41"/>
      <c r="J547" s="92">
        <v>6</v>
      </c>
      <c r="K547" s="92">
        <v>29726</v>
      </c>
    </row>
    <row r="548" spans="1:11">
      <c r="A548" s="40">
        <f>A547+1</f>
        <v>545</v>
      </c>
      <c r="B548" s="41" t="s">
        <v>175</v>
      </c>
      <c r="C548" s="159" t="s">
        <v>130</v>
      </c>
      <c r="D548" s="84">
        <v>427687</v>
      </c>
      <c r="E548" s="41">
        <v>3007</v>
      </c>
      <c r="F548" s="85">
        <v>38292</v>
      </c>
      <c r="G548" s="41"/>
      <c r="H548" s="42"/>
      <c r="I548" s="41"/>
      <c r="J548" s="92">
        <v>2</v>
      </c>
      <c r="K548" s="92">
        <v>29702</v>
      </c>
    </row>
    <row r="549" spans="1:11">
      <c r="A549" s="40">
        <f>A548+1</f>
        <v>546</v>
      </c>
      <c r="B549" s="41" t="s">
        <v>175</v>
      </c>
      <c r="C549" s="159" t="s">
        <v>130</v>
      </c>
      <c r="D549" s="84">
        <v>377425</v>
      </c>
      <c r="E549" s="41">
        <v>5136</v>
      </c>
      <c r="F549" s="85">
        <v>41395</v>
      </c>
      <c r="G549" s="41"/>
      <c r="H549" s="42"/>
      <c r="I549" s="41"/>
      <c r="J549" s="92">
        <v>2</v>
      </c>
      <c r="K549" s="92">
        <v>29696</v>
      </c>
    </row>
    <row r="550" spans="1:11">
      <c r="A550" s="40">
        <f>A549+1</f>
        <v>547</v>
      </c>
      <c r="B550" s="41" t="s">
        <v>175</v>
      </c>
      <c r="C550" s="159" t="s">
        <v>130</v>
      </c>
      <c r="D550" s="84">
        <v>243476</v>
      </c>
      <c r="E550" s="41">
        <v>2587</v>
      </c>
      <c r="F550" s="85">
        <v>37681</v>
      </c>
      <c r="G550" s="41"/>
      <c r="H550" s="42"/>
      <c r="I550" s="41"/>
      <c r="J550" s="92">
        <v>7</v>
      </c>
      <c r="K550" s="92">
        <v>29734</v>
      </c>
    </row>
    <row r="551" spans="1:11">
      <c r="A551" s="40">
        <f>A550+1</f>
        <v>548</v>
      </c>
      <c r="B551" s="41" t="s">
        <v>175</v>
      </c>
      <c r="C551" s="159" t="s">
        <v>130</v>
      </c>
      <c r="D551" s="84">
        <v>266584</v>
      </c>
      <c r="E551" s="41">
        <v>5653</v>
      </c>
      <c r="F551" s="85">
        <v>42186</v>
      </c>
      <c r="G551" s="41"/>
      <c r="H551" s="42"/>
      <c r="I551" s="41"/>
      <c r="J551" s="92">
        <v>3</v>
      </c>
      <c r="K551" s="92">
        <v>29720</v>
      </c>
    </row>
    <row r="552" spans="1:11">
      <c r="A552" s="40">
        <f>A551+1</f>
        <v>549</v>
      </c>
      <c r="B552" s="41" t="s">
        <v>175</v>
      </c>
      <c r="C552" s="159" t="s">
        <v>130</v>
      </c>
      <c r="D552" s="84">
        <v>240607</v>
      </c>
      <c r="E552" s="41">
        <v>2532</v>
      </c>
      <c r="F552" s="85">
        <v>37622</v>
      </c>
      <c r="G552" s="41"/>
      <c r="H552" s="42"/>
      <c r="I552" s="41"/>
      <c r="J552" s="92">
        <v>15</v>
      </c>
      <c r="K552" s="92">
        <v>29716</v>
      </c>
    </row>
    <row r="553" spans="1:11">
      <c r="A553" s="40">
        <f>A552+1</f>
        <v>550</v>
      </c>
      <c r="B553" s="41" t="s">
        <v>175</v>
      </c>
      <c r="C553" s="159" t="s">
        <v>131</v>
      </c>
      <c r="D553" s="84">
        <v>81935</v>
      </c>
      <c r="E553" s="41">
        <v>6417</v>
      </c>
      <c r="F553" s="85">
        <v>39448</v>
      </c>
      <c r="G553" s="41"/>
      <c r="H553" s="42"/>
      <c r="I553" s="41"/>
      <c r="J553" s="92">
        <v>48</v>
      </c>
      <c r="K553" s="92">
        <v>29715</v>
      </c>
    </row>
    <row r="554" spans="1:11">
      <c r="A554" s="40">
        <f>A553+1</f>
        <v>551</v>
      </c>
      <c r="B554" s="41" t="s">
        <v>175</v>
      </c>
      <c r="C554" s="159" t="s">
        <v>131</v>
      </c>
      <c r="D554" s="84">
        <v>93160</v>
      </c>
      <c r="E554" s="41">
        <v>6186</v>
      </c>
      <c r="F554" s="85">
        <v>39264</v>
      </c>
      <c r="G554" s="41"/>
      <c r="H554" s="42"/>
      <c r="I554" s="41"/>
      <c r="J554" s="92">
        <v>9</v>
      </c>
      <c r="K554" s="92">
        <v>29705</v>
      </c>
    </row>
    <row r="555" spans="1:11">
      <c r="A555" s="40">
        <f>A554+1</f>
        <v>552</v>
      </c>
      <c r="B555" s="41" t="s">
        <v>175</v>
      </c>
      <c r="C555" s="159" t="s">
        <v>166</v>
      </c>
      <c r="D555" s="84" t="s">
        <v>1158</v>
      </c>
      <c r="E555" s="41">
        <v>19845</v>
      </c>
      <c r="F555" s="85">
        <v>36892</v>
      </c>
      <c r="G555" s="41"/>
      <c r="H555" s="42"/>
      <c r="I555" s="41"/>
      <c r="J555" s="92">
        <v>16</v>
      </c>
      <c r="K555" s="92">
        <v>29728</v>
      </c>
    </row>
    <row r="556" spans="1:11">
      <c r="A556" s="40">
        <f>A555+1</f>
        <v>553</v>
      </c>
      <c r="B556" s="41" t="s">
        <v>175</v>
      </c>
      <c r="C556" s="159" t="s">
        <v>166</v>
      </c>
      <c r="D556" s="84">
        <v>33467</v>
      </c>
      <c r="E556" s="41">
        <v>6419</v>
      </c>
      <c r="F556" s="85">
        <v>42795</v>
      </c>
      <c r="G556" s="41"/>
      <c r="H556" s="42"/>
      <c r="I556" s="41"/>
      <c r="J556" s="92">
        <v>26</v>
      </c>
      <c r="K556" s="92">
        <v>29709</v>
      </c>
    </row>
    <row r="557" spans="1:11">
      <c r="A557" s="40">
        <f>A556+1</f>
        <v>554</v>
      </c>
      <c r="B557" s="41" t="s">
        <v>175</v>
      </c>
      <c r="C557" s="159" t="s">
        <v>166</v>
      </c>
      <c r="D557" s="84">
        <v>336567</v>
      </c>
      <c r="E557" s="41">
        <v>66795</v>
      </c>
      <c r="F557" s="85">
        <v>43101</v>
      </c>
      <c r="G557" s="41"/>
      <c r="H557" s="42"/>
      <c r="I557" s="41"/>
      <c r="J557" s="92">
        <v>2</v>
      </c>
      <c r="K557" s="92">
        <v>29697</v>
      </c>
    </row>
    <row r="558" spans="1:11">
      <c r="A558" s="40">
        <f>A557+1</f>
        <v>555</v>
      </c>
      <c r="B558" s="41" t="s">
        <v>175</v>
      </c>
      <c r="C558" s="159" t="s">
        <v>192</v>
      </c>
      <c r="D558" s="84">
        <v>1336050</v>
      </c>
      <c r="E558" s="41">
        <v>73460</v>
      </c>
      <c r="F558" s="86">
        <v>2021</v>
      </c>
      <c r="G558" s="41"/>
      <c r="H558" s="42"/>
      <c r="I558" s="41"/>
      <c r="J558" s="92">
        <v>2</v>
      </c>
      <c r="K558" s="92">
        <v>29500</v>
      </c>
    </row>
    <row r="559" spans="1:11">
      <c r="A559" s="40">
        <f>A558+1</f>
        <v>556</v>
      </c>
      <c r="B559" s="41" t="s">
        <v>175</v>
      </c>
      <c r="C559" s="159" t="s">
        <v>127</v>
      </c>
      <c r="D559" s="84">
        <v>960124</v>
      </c>
      <c r="E559" s="41">
        <v>60400</v>
      </c>
      <c r="F559" s="86">
        <v>2014</v>
      </c>
      <c r="G559" s="41"/>
      <c r="H559" s="42"/>
      <c r="I559" s="41"/>
      <c r="J559" s="92">
        <v>2</v>
      </c>
      <c r="K559" s="92">
        <v>29504</v>
      </c>
    </row>
    <row r="560" spans="1:11">
      <c r="A560" s="40">
        <f>A559+1</f>
        <v>557</v>
      </c>
      <c r="B560" s="41" t="s">
        <v>175</v>
      </c>
      <c r="C560" s="159" t="s">
        <v>131</v>
      </c>
      <c r="D560" s="84">
        <v>849293</v>
      </c>
      <c r="E560" s="41">
        <v>74589</v>
      </c>
      <c r="F560" s="86">
        <v>2012</v>
      </c>
      <c r="G560" s="41"/>
      <c r="H560" s="42"/>
      <c r="I560" s="41"/>
      <c r="J560" s="92">
        <v>2</v>
      </c>
      <c r="K560" s="92">
        <v>29521</v>
      </c>
    </row>
    <row r="561" spans="1:11">
      <c r="A561" s="40">
        <f>A560+1</f>
        <v>558</v>
      </c>
      <c r="B561" s="41" t="s">
        <v>175</v>
      </c>
      <c r="C561" s="159" t="s">
        <v>131</v>
      </c>
      <c r="D561" s="84">
        <v>301292</v>
      </c>
      <c r="E561" s="41">
        <v>65219</v>
      </c>
      <c r="F561" s="86">
        <v>2017</v>
      </c>
      <c r="G561" s="41"/>
      <c r="H561" s="42"/>
      <c r="I561" s="41"/>
      <c r="J561" s="92">
        <v>2</v>
      </c>
      <c r="K561" s="92">
        <v>29511</v>
      </c>
    </row>
    <row r="562" spans="1:11">
      <c r="A562" s="40">
        <f>A561+1</f>
        <v>559</v>
      </c>
      <c r="B562" s="41" t="s">
        <v>175</v>
      </c>
      <c r="C562" s="159" t="s">
        <v>131</v>
      </c>
      <c r="D562" s="84">
        <v>405638</v>
      </c>
      <c r="E562" s="41">
        <v>72654</v>
      </c>
      <c r="F562" s="86">
        <v>2020</v>
      </c>
      <c r="G562" s="41"/>
      <c r="H562" s="42"/>
      <c r="I562" s="41"/>
      <c r="J562" s="92">
        <v>2</v>
      </c>
      <c r="K562" s="92">
        <v>29498</v>
      </c>
    </row>
    <row r="563" spans="1:11">
      <c r="A563" s="40">
        <f>A562+1</f>
        <v>560</v>
      </c>
      <c r="B563" s="41" t="s">
        <v>175</v>
      </c>
      <c r="C563" s="159" t="s">
        <v>166</v>
      </c>
      <c r="D563" s="84">
        <v>229797</v>
      </c>
      <c r="E563" s="41">
        <v>57562</v>
      </c>
      <c r="F563" s="86">
        <v>2014</v>
      </c>
      <c r="G563" s="41"/>
      <c r="H563" s="42"/>
      <c r="I563" s="41"/>
      <c r="J563" s="92">
        <v>6</v>
      </c>
      <c r="K563" s="92">
        <v>29541</v>
      </c>
    </row>
    <row r="564" spans="1:11">
      <c r="A564" s="40">
        <f>A563+1</f>
        <v>561</v>
      </c>
      <c r="B564" s="41" t="s">
        <v>175</v>
      </c>
      <c r="C564" s="92" t="s">
        <v>192</v>
      </c>
      <c r="D564" s="84">
        <v>747864</v>
      </c>
      <c r="E564" s="41">
        <v>53460</v>
      </c>
      <c r="F564" s="86">
        <v>2011</v>
      </c>
      <c r="G564" s="41"/>
      <c r="H564" s="42"/>
      <c r="I564" s="41"/>
      <c r="J564" s="92">
        <v>19</v>
      </c>
      <c r="K564" s="92">
        <v>32818</v>
      </c>
    </row>
    <row r="565" spans="1:11">
      <c r="A565" s="40">
        <f>A564+1</f>
        <v>562</v>
      </c>
      <c r="B565" s="41" t="s">
        <v>175</v>
      </c>
      <c r="C565" s="92" t="s">
        <v>192</v>
      </c>
      <c r="D565" s="84">
        <v>1066324</v>
      </c>
      <c r="E565" s="41">
        <v>64155</v>
      </c>
      <c r="F565" s="86">
        <v>2016</v>
      </c>
      <c r="G565" s="41"/>
      <c r="H565" s="42"/>
      <c r="I565" s="41"/>
      <c r="J565" s="92">
        <v>8</v>
      </c>
      <c r="K565" s="92">
        <v>32894</v>
      </c>
    </row>
    <row r="566" spans="1:11">
      <c r="A566" s="40">
        <f>A565+1</f>
        <v>563</v>
      </c>
      <c r="B566" s="41" t="s">
        <v>175</v>
      </c>
      <c r="C566" s="92" t="s">
        <v>192</v>
      </c>
      <c r="D566" s="84">
        <v>811098</v>
      </c>
      <c r="E566" s="41">
        <v>54456</v>
      </c>
      <c r="F566" s="86">
        <v>2012</v>
      </c>
      <c r="G566" s="41"/>
      <c r="H566" s="42"/>
      <c r="I566" s="41"/>
      <c r="J566" s="92">
        <v>16</v>
      </c>
      <c r="K566" s="92">
        <v>32876</v>
      </c>
    </row>
    <row r="567" spans="1:11">
      <c r="A567" s="40">
        <f>A566+1</f>
        <v>564</v>
      </c>
      <c r="B567" s="41" t="s">
        <v>175</v>
      </c>
      <c r="C567" s="161" t="s">
        <v>192</v>
      </c>
      <c r="D567" s="84">
        <v>357169</v>
      </c>
      <c r="E567" s="41">
        <v>35716</v>
      </c>
      <c r="F567" s="86">
        <v>2011</v>
      </c>
      <c r="G567" s="41"/>
      <c r="H567" s="42"/>
      <c r="I567" s="41"/>
      <c r="J567" s="92">
        <v>17</v>
      </c>
      <c r="K567" s="92">
        <v>32893</v>
      </c>
    </row>
    <row r="568" spans="1:11">
      <c r="A568" s="40">
        <f>A567+1</f>
        <v>565</v>
      </c>
      <c r="B568" s="41" t="s">
        <v>175</v>
      </c>
      <c r="C568" s="159" t="s">
        <v>127</v>
      </c>
      <c r="D568" s="84">
        <v>363631</v>
      </c>
      <c r="E568" s="41">
        <v>69111</v>
      </c>
      <c r="F568" s="86">
        <v>2019</v>
      </c>
      <c r="G568" s="41"/>
      <c r="H568" s="42"/>
      <c r="I568" s="41"/>
      <c r="J568" s="92">
        <v>23</v>
      </c>
      <c r="K568" s="92">
        <v>32915</v>
      </c>
    </row>
    <row r="569" spans="1:11">
      <c r="A569" s="40">
        <f>A568+1</f>
        <v>566</v>
      </c>
      <c r="B569" s="41" t="s">
        <v>175</v>
      </c>
      <c r="C569" s="159" t="s">
        <v>127</v>
      </c>
      <c r="D569" s="84">
        <v>364530</v>
      </c>
      <c r="E569" s="41">
        <v>69296</v>
      </c>
      <c r="F569" s="86">
        <v>2019</v>
      </c>
      <c r="G569" s="41"/>
      <c r="H569" s="42"/>
      <c r="I569" s="41"/>
      <c r="J569" s="92">
        <v>10</v>
      </c>
      <c r="K569" s="92">
        <v>32899</v>
      </c>
    </row>
    <row r="570" spans="1:11">
      <c r="A570" s="40">
        <f>A569+1</f>
        <v>567</v>
      </c>
      <c r="B570" s="41" t="s">
        <v>175</v>
      </c>
      <c r="C570" s="159" t="s">
        <v>130</v>
      </c>
      <c r="D570" s="84">
        <v>374870</v>
      </c>
      <c r="E570" s="41">
        <v>70463</v>
      </c>
      <c r="F570" s="86">
        <v>2019</v>
      </c>
      <c r="G570" s="41"/>
      <c r="H570" s="42"/>
      <c r="I570" s="41"/>
      <c r="J570" s="92">
        <v>8</v>
      </c>
      <c r="K570" s="92">
        <v>32740</v>
      </c>
    </row>
    <row r="571" spans="1:11">
      <c r="A571" s="40">
        <f>A570+1</f>
        <v>568</v>
      </c>
      <c r="B571" s="41" t="s">
        <v>175</v>
      </c>
      <c r="C571" s="159" t="s">
        <v>131</v>
      </c>
      <c r="D571" s="84">
        <v>457544</v>
      </c>
      <c r="E571" s="41">
        <v>111129</v>
      </c>
      <c r="F571" s="86">
        <v>2018</v>
      </c>
      <c r="G571" s="41"/>
      <c r="H571" s="42"/>
      <c r="I571" s="41"/>
      <c r="J571" s="92">
        <v>27</v>
      </c>
      <c r="K571" s="92">
        <v>35478</v>
      </c>
    </row>
    <row r="572" spans="1:11">
      <c r="A572" s="40">
        <f>A571+1</f>
        <v>569</v>
      </c>
      <c r="B572" s="41" t="s">
        <v>175</v>
      </c>
      <c r="C572" s="159" t="s">
        <v>166</v>
      </c>
      <c r="D572" s="84">
        <v>1226829</v>
      </c>
      <c r="E572" s="41">
        <v>71467</v>
      </c>
      <c r="F572" s="86">
        <v>2020</v>
      </c>
      <c r="G572" s="41"/>
      <c r="H572" s="42"/>
      <c r="I572" s="41"/>
      <c r="J572" s="137">
        <v>2</v>
      </c>
      <c r="K572" s="92">
        <v>32903</v>
      </c>
    </row>
    <row r="573" spans="1:11">
      <c r="A573" s="40">
        <f>A572+1</f>
        <v>570</v>
      </c>
      <c r="B573" s="41" t="s">
        <v>175</v>
      </c>
      <c r="C573" s="159" t="s">
        <v>166</v>
      </c>
      <c r="D573" s="84">
        <v>940627</v>
      </c>
      <c r="E573" s="41">
        <v>58595</v>
      </c>
      <c r="F573" s="86">
        <v>2014</v>
      </c>
      <c r="G573" s="41"/>
      <c r="H573" s="42"/>
      <c r="I573" s="41"/>
      <c r="J573" s="92">
        <v>8</v>
      </c>
      <c r="K573" s="92">
        <v>32901</v>
      </c>
    </row>
    <row r="574" spans="1:11">
      <c r="A574" s="40">
        <f>A573+1</f>
        <v>571</v>
      </c>
      <c r="B574" s="41" t="s">
        <v>175</v>
      </c>
      <c r="C574" s="159" t="s">
        <v>166</v>
      </c>
      <c r="D574" s="84">
        <v>54554</v>
      </c>
      <c r="E574" s="41">
        <v>23556</v>
      </c>
      <c r="F574" s="86">
        <v>2004</v>
      </c>
      <c r="G574" s="41"/>
      <c r="H574" s="42"/>
      <c r="I574" s="41"/>
      <c r="J574" s="92">
        <v>9</v>
      </c>
      <c r="K574" s="92">
        <v>32715</v>
      </c>
    </row>
    <row r="575" spans="1:11">
      <c r="A575" s="40">
        <f>A574+1</f>
        <v>572</v>
      </c>
      <c r="B575" s="41" t="s">
        <v>175</v>
      </c>
      <c r="C575" s="159" t="s">
        <v>903</v>
      </c>
      <c r="D575" s="84">
        <v>387762</v>
      </c>
      <c r="E575" s="41">
        <v>71557</v>
      </c>
      <c r="F575" s="86">
        <v>2020</v>
      </c>
      <c r="G575" s="41"/>
      <c r="H575" s="42"/>
      <c r="I575" s="41"/>
      <c r="J575" s="92">
        <v>23</v>
      </c>
      <c r="K575" s="92">
        <v>32904</v>
      </c>
    </row>
    <row r="576" spans="1:11">
      <c r="A576" s="40">
        <f>A575+1</f>
        <v>573</v>
      </c>
      <c r="B576" s="41" t="s">
        <v>175</v>
      </c>
      <c r="C576" s="159" t="s">
        <v>903</v>
      </c>
      <c r="D576" s="84">
        <v>288866</v>
      </c>
      <c r="E576" s="41">
        <v>65259</v>
      </c>
      <c r="F576" s="86">
        <v>2016</v>
      </c>
      <c r="G576" s="41"/>
      <c r="H576" s="42"/>
      <c r="I576" s="41"/>
      <c r="J576" s="92" t="s">
        <v>172</v>
      </c>
      <c r="K576" s="92">
        <v>32724</v>
      </c>
    </row>
    <row r="577" spans="1:11">
      <c r="A577" s="40">
        <f>A576+1</f>
        <v>574</v>
      </c>
      <c r="B577" s="41" t="s">
        <v>175</v>
      </c>
      <c r="C577" s="159" t="s">
        <v>903</v>
      </c>
      <c r="D577" s="84">
        <v>951733</v>
      </c>
      <c r="E577" s="41">
        <v>59797</v>
      </c>
      <c r="F577" s="86">
        <v>2014</v>
      </c>
      <c r="G577" s="41"/>
      <c r="H577" s="42"/>
      <c r="I577" s="41"/>
      <c r="J577" s="92">
        <v>21</v>
      </c>
      <c r="K577" s="92">
        <v>32909</v>
      </c>
    </row>
    <row r="578" spans="1:11">
      <c r="A578" s="40">
        <f>A577+1</f>
        <v>575</v>
      </c>
      <c r="B578" s="41" t="s">
        <v>175</v>
      </c>
      <c r="C578" s="159" t="s">
        <v>903</v>
      </c>
      <c r="D578" s="84">
        <v>240822</v>
      </c>
      <c r="E578" s="41">
        <v>59108</v>
      </c>
      <c r="F578" s="86">
        <v>2014</v>
      </c>
      <c r="G578" s="41"/>
      <c r="H578" s="42"/>
      <c r="I578" s="41"/>
      <c r="J578" s="92">
        <v>8</v>
      </c>
      <c r="K578" s="92">
        <v>32905</v>
      </c>
    </row>
    <row r="579" spans="1:11">
      <c r="A579" s="40">
        <f>A578+1</f>
        <v>576</v>
      </c>
      <c r="B579" s="41" t="s">
        <v>175</v>
      </c>
      <c r="C579" s="159" t="s">
        <v>903</v>
      </c>
      <c r="D579" s="84">
        <v>951737</v>
      </c>
      <c r="E579" s="41">
        <v>59801</v>
      </c>
      <c r="F579" s="86">
        <v>2014</v>
      </c>
      <c r="G579" s="41"/>
      <c r="H579" s="42"/>
      <c r="I579" s="41"/>
      <c r="J579" s="92">
        <v>16</v>
      </c>
      <c r="K579" s="92">
        <v>32910</v>
      </c>
    </row>
    <row r="580" spans="1:11">
      <c r="A580" s="40">
        <f>A579+1</f>
        <v>577</v>
      </c>
      <c r="B580" s="41" t="s">
        <v>175</v>
      </c>
      <c r="C580" s="159" t="s">
        <v>903</v>
      </c>
      <c r="D580" s="84">
        <v>120122</v>
      </c>
      <c r="E580" s="41">
        <v>41223</v>
      </c>
      <c r="F580" s="86">
        <v>2009</v>
      </c>
      <c r="G580" s="41"/>
      <c r="H580" s="42"/>
      <c r="I580" s="41"/>
      <c r="J580" s="92">
        <v>6</v>
      </c>
      <c r="K580" s="92">
        <v>32856</v>
      </c>
    </row>
    <row r="581" spans="1:11">
      <c r="A581" s="40">
        <f>A580+1</f>
        <v>578</v>
      </c>
      <c r="B581" s="41" t="s">
        <v>175</v>
      </c>
      <c r="C581" s="92" t="s">
        <v>192</v>
      </c>
      <c r="D581" s="84">
        <v>1103928</v>
      </c>
      <c r="E581" s="41">
        <v>65909</v>
      </c>
      <c r="F581" s="86">
        <v>2017</v>
      </c>
      <c r="G581" s="41"/>
      <c r="H581" s="42"/>
      <c r="I581" s="41"/>
      <c r="J581" s="92">
        <v>17</v>
      </c>
      <c r="K581" s="92">
        <v>32739</v>
      </c>
    </row>
    <row r="582" spans="1:11">
      <c r="A582" s="40">
        <f>A581+1</f>
        <v>579</v>
      </c>
      <c r="B582" s="41" t="s">
        <v>175</v>
      </c>
      <c r="C582" s="92" t="s">
        <v>131</v>
      </c>
      <c r="D582" s="84">
        <v>960163</v>
      </c>
      <c r="E582" s="41">
        <v>60439</v>
      </c>
      <c r="F582" s="86">
        <v>2014</v>
      </c>
      <c r="G582" s="41"/>
      <c r="H582" s="42"/>
      <c r="I582" s="41"/>
      <c r="J582" s="92">
        <v>22</v>
      </c>
      <c r="K582" s="92">
        <v>32741</v>
      </c>
    </row>
    <row r="583" spans="1:11">
      <c r="A583" s="40">
        <f>A582+1</f>
        <v>580</v>
      </c>
      <c r="B583" s="41" t="s">
        <v>175</v>
      </c>
      <c r="C583" s="92" t="s">
        <v>131</v>
      </c>
      <c r="D583" s="84">
        <v>1075965</v>
      </c>
      <c r="E583" s="41">
        <v>64612</v>
      </c>
      <c r="F583" s="86">
        <v>2017</v>
      </c>
      <c r="G583" s="41"/>
      <c r="H583" s="42"/>
      <c r="I583" s="41"/>
      <c r="J583" s="92">
        <v>5</v>
      </c>
      <c r="K583" s="92">
        <v>32744</v>
      </c>
    </row>
    <row r="584" spans="1:11">
      <c r="A584" s="40">
        <f>A583+1</f>
        <v>581</v>
      </c>
      <c r="B584" s="41" t="s">
        <v>175</v>
      </c>
      <c r="C584" s="92" t="s">
        <v>131</v>
      </c>
      <c r="D584" s="84">
        <v>217011</v>
      </c>
      <c r="E584" s="41">
        <v>21052</v>
      </c>
      <c r="F584" s="86">
        <v>0</v>
      </c>
      <c r="G584" s="41"/>
      <c r="H584" s="42"/>
      <c r="I584" s="41"/>
      <c r="J584" s="92">
        <v>5</v>
      </c>
      <c r="K584" s="92">
        <v>32738</v>
      </c>
    </row>
    <row r="585" spans="1:11">
      <c r="A585" s="40">
        <f>A584+1</f>
        <v>582</v>
      </c>
      <c r="B585" s="41" t="s">
        <v>175</v>
      </c>
      <c r="C585" s="92" t="s">
        <v>166</v>
      </c>
      <c r="D585" s="84">
        <v>17010066</v>
      </c>
      <c r="E585" s="41">
        <v>54200</v>
      </c>
      <c r="F585" s="86">
        <v>2012</v>
      </c>
      <c r="G585" s="41"/>
      <c r="H585" s="42"/>
      <c r="I585" s="41"/>
      <c r="J585" s="92">
        <v>8</v>
      </c>
      <c r="K585" s="92">
        <v>32719</v>
      </c>
    </row>
    <row r="586" spans="1:11">
      <c r="A586" s="40">
        <f>A585+1</f>
        <v>583</v>
      </c>
      <c r="B586" s="41" t="s">
        <v>175</v>
      </c>
      <c r="C586" s="92" t="s">
        <v>903</v>
      </c>
      <c r="D586" s="84">
        <v>81618</v>
      </c>
      <c r="E586" s="41">
        <v>75785</v>
      </c>
      <c r="F586" s="86">
        <v>2006</v>
      </c>
      <c r="G586" s="41"/>
      <c r="H586" s="42"/>
      <c r="I586" s="41"/>
      <c r="J586" s="92">
        <v>8</v>
      </c>
      <c r="K586" s="92">
        <v>32747</v>
      </c>
    </row>
    <row r="587" spans="1:11">
      <c r="A587" s="40">
        <f>A586+1</f>
        <v>584</v>
      </c>
      <c r="B587" s="41" t="s">
        <v>175</v>
      </c>
      <c r="C587" s="159" t="s">
        <v>903</v>
      </c>
      <c r="D587" s="84">
        <v>324928</v>
      </c>
      <c r="E587" s="41">
        <v>75847</v>
      </c>
      <c r="F587" s="86">
        <v>2017</v>
      </c>
      <c r="G587" s="41"/>
      <c r="H587" s="42"/>
      <c r="I587" s="41"/>
      <c r="J587" s="92">
        <v>16</v>
      </c>
      <c r="K587" s="92">
        <v>34256</v>
      </c>
    </row>
    <row r="588" spans="1:11">
      <c r="A588" s="40">
        <f>A587+1</f>
        <v>585</v>
      </c>
      <c r="B588" s="41" t="s">
        <v>175</v>
      </c>
      <c r="C588" s="159" t="s">
        <v>903</v>
      </c>
      <c r="D588" s="84">
        <v>79605</v>
      </c>
      <c r="E588" s="41">
        <v>75848</v>
      </c>
      <c r="F588" s="86">
        <v>2006</v>
      </c>
      <c r="G588" s="41"/>
      <c r="H588" s="42"/>
      <c r="I588" s="41"/>
      <c r="J588" s="92">
        <v>29</v>
      </c>
      <c r="K588" s="92">
        <v>34193</v>
      </c>
    </row>
    <row r="589" spans="1:11">
      <c r="A589" s="40">
        <f>A588+1</f>
        <v>586</v>
      </c>
      <c r="B589" s="41" t="s">
        <v>175</v>
      </c>
      <c r="C589" s="159" t="s">
        <v>166</v>
      </c>
      <c r="D589" s="84">
        <v>12205823</v>
      </c>
      <c r="E589" s="41">
        <v>69484</v>
      </c>
      <c r="F589" s="86">
        <v>2011</v>
      </c>
      <c r="G589" s="41"/>
      <c r="H589" s="42"/>
      <c r="I589" s="41"/>
      <c r="J589" s="92">
        <v>12</v>
      </c>
      <c r="K589" s="92">
        <v>34952</v>
      </c>
    </row>
    <row r="590" spans="1:11">
      <c r="A590" s="40">
        <f>A589+1</f>
        <v>587</v>
      </c>
      <c r="B590" s="41" t="s">
        <v>175</v>
      </c>
      <c r="C590" s="159" t="s">
        <v>166</v>
      </c>
      <c r="D590" s="84">
        <v>6720</v>
      </c>
      <c r="E590" s="41">
        <v>22423</v>
      </c>
      <c r="F590" s="86">
        <v>2005</v>
      </c>
      <c r="G590" s="41"/>
      <c r="H590" s="42"/>
      <c r="I590" s="41"/>
      <c r="J590" s="92">
        <v>12</v>
      </c>
      <c r="K590" s="92">
        <v>34953</v>
      </c>
    </row>
    <row r="591" spans="1:11">
      <c r="A591" s="40">
        <f>A590+1</f>
        <v>588</v>
      </c>
      <c r="B591" s="41" t="s">
        <v>175</v>
      </c>
      <c r="C591" s="159" t="s">
        <v>166</v>
      </c>
      <c r="D591" s="84">
        <v>419272</v>
      </c>
      <c r="E591" s="41">
        <v>24432</v>
      </c>
      <c r="F591" s="86">
        <v>2004</v>
      </c>
      <c r="G591" s="41"/>
      <c r="H591" s="42"/>
      <c r="I591" s="41"/>
      <c r="J591" s="92">
        <v>36</v>
      </c>
      <c r="K591" s="92">
        <v>38390</v>
      </c>
    </row>
    <row r="592" spans="1:11">
      <c r="A592" s="40">
        <f>A591+1</f>
        <v>589</v>
      </c>
      <c r="B592" s="41" t="s">
        <v>175</v>
      </c>
      <c r="C592" s="159" t="s">
        <v>166</v>
      </c>
      <c r="D592" s="84">
        <v>72272</v>
      </c>
      <c r="E592" s="41">
        <v>29043</v>
      </c>
      <c r="F592" s="86">
        <v>2006</v>
      </c>
      <c r="G592" s="41"/>
      <c r="H592" s="42"/>
      <c r="I592" s="41"/>
      <c r="J592" s="92">
        <v>6</v>
      </c>
      <c r="K592" s="92">
        <v>34957</v>
      </c>
    </row>
    <row r="593" spans="1:11">
      <c r="A593" s="40">
        <f>A592+1</f>
        <v>590</v>
      </c>
      <c r="B593" s="41" t="s">
        <v>175</v>
      </c>
      <c r="C593" s="159" t="s">
        <v>166</v>
      </c>
      <c r="D593" s="84">
        <v>281998</v>
      </c>
      <c r="E593" s="41">
        <v>75843</v>
      </c>
      <c r="F593" s="86">
        <v>2016</v>
      </c>
      <c r="G593" s="41"/>
      <c r="H593" s="42"/>
      <c r="I593" s="41"/>
      <c r="J593" s="92">
        <v>24</v>
      </c>
      <c r="K593" s="92">
        <v>34959</v>
      </c>
    </row>
    <row r="594" spans="1:11">
      <c r="A594" s="35">
        <f>(A593+1)</f>
        <v>591</v>
      </c>
      <c r="B594" s="41" t="s">
        <v>175</v>
      </c>
      <c r="C594" s="159" t="s">
        <v>166</v>
      </c>
      <c r="D594" s="84">
        <v>212775</v>
      </c>
      <c r="E594" s="41">
        <v>75845</v>
      </c>
      <c r="F594" s="86">
        <v>2013</v>
      </c>
      <c r="G594" s="41"/>
      <c r="H594" s="42"/>
      <c r="I594" s="41"/>
      <c r="J594" s="92">
        <v>5</v>
      </c>
      <c r="K594" s="92">
        <v>34961</v>
      </c>
    </row>
    <row r="595" spans="1:11">
      <c r="A595" s="35">
        <f>(A594+1)</f>
        <v>592</v>
      </c>
      <c r="B595" s="41" t="s">
        <v>175</v>
      </c>
      <c r="C595" s="92" t="s">
        <v>128</v>
      </c>
      <c r="D595" s="84">
        <v>100056</v>
      </c>
      <c r="E595" s="41">
        <v>75832</v>
      </c>
      <c r="F595" s="86">
        <v>2008</v>
      </c>
      <c r="G595" s="41"/>
      <c r="H595" s="42"/>
      <c r="I595" s="41"/>
      <c r="J595" s="92">
        <v>2</v>
      </c>
      <c r="K595" s="92">
        <v>49241</v>
      </c>
    </row>
    <row r="596" spans="1:11">
      <c r="A596" s="35">
        <f>(A595+1)</f>
        <v>593</v>
      </c>
      <c r="B596" s="41" t="s">
        <v>175</v>
      </c>
      <c r="C596" s="92" t="s">
        <v>128</v>
      </c>
      <c r="D596" s="84">
        <v>245971</v>
      </c>
      <c r="E596" s="41">
        <v>75833</v>
      </c>
      <c r="F596" s="86">
        <v>2014</v>
      </c>
      <c r="G596" s="41"/>
      <c r="H596" s="42"/>
      <c r="I596" s="41"/>
      <c r="J596" s="92">
        <v>32</v>
      </c>
      <c r="K596" s="92">
        <v>33093</v>
      </c>
    </row>
    <row r="597" spans="1:11">
      <c r="A597" s="35">
        <f>(A596+1)</f>
        <v>594</v>
      </c>
      <c r="B597" s="41" t="s">
        <v>175</v>
      </c>
      <c r="C597" s="92" t="s">
        <v>128</v>
      </c>
      <c r="D597" s="84">
        <v>331757</v>
      </c>
      <c r="E597" s="41">
        <v>110790</v>
      </c>
      <c r="F597" s="86">
        <v>2018</v>
      </c>
      <c r="G597" s="41"/>
      <c r="H597" s="42"/>
      <c r="I597" s="41"/>
      <c r="J597" s="92">
        <v>27</v>
      </c>
      <c r="K597" s="92">
        <v>32453</v>
      </c>
    </row>
    <row r="598" spans="1:11">
      <c r="A598" s="35">
        <f>(A597+1)</f>
        <v>595</v>
      </c>
      <c r="B598" s="41" t="s">
        <v>175</v>
      </c>
      <c r="C598" s="92" t="s">
        <v>127</v>
      </c>
      <c r="D598" s="84">
        <v>340315</v>
      </c>
      <c r="E598" s="41">
        <v>75829</v>
      </c>
      <c r="F598" s="86">
        <v>2018</v>
      </c>
      <c r="G598" s="41"/>
      <c r="H598" s="42"/>
      <c r="I598" s="41"/>
      <c r="J598" s="92">
        <v>16</v>
      </c>
      <c r="K598" s="92">
        <v>34981</v>
      </c>
    </row>
    <row r="599" spans="1:11">
      <c r="A599" s="35">
        <f>(A598+1)</f>
        <v>596</v>
      </c>
      <c r="B599" s="41" t="s">
        <v>175</v>
      </c>
      <c r="C599" s="92" t="s">
        <v>127</v>
      </c>
      <c r="D599" s="84">
        <v>358198</v>
      </c>
      <c r="E599" s="41">
        <v>68602</v>
      </c>
      <c r="F599" s="86">
        <v>2019</v>
      </c>
      <c r="G599" s="41"/>
      <c r="H599" s="42"/>
      <c r="I599" s="41"/>
      <c r="J599" s="92">
        <v>19</v>
      </c>
      <c r="K599" s="92">
        <v>34982</v>
      </c>
    </row>
    <row r="600" spans="1:11">
      <c r="A600" s="35">
        <f>(A599+1)</f>
        <v>597</v>
      </c>
      <c r="B600" s="41" t="s">
        <v>175</v>
      </c>
      <c r="C600" s="92" t="s">
        <v>127</v>
      </c>
      <c r="D600" s="84">
        <v>412985</v>
      </c>
      <c r="E600" s="41">
        <v>72884</v>
      </c>
      <c r="F600" s="86">
        <v>2020</v>
      </c>
      <c r="G600" s="41"/>
      <c r="H600" s="42"/>
      <c r="I600" s="41"/>
      <c r="J600" s="92">
        <v>28</v>
      </c>
      <c r="K600" s="92">
        <v>34983</v>
      </c>
    </row>
    <row r="601" spans="1:11">
      <c r="A601" s="35">
        <f>(A600+1)</f>
        <v>598</v>
      </c>
      <c r="B601" s="41" t="s">
        <v>175</v>
      </c>
      <c r="C601" s="92" t="s">
        <v>127</v>
      </c>
      <c r="D601" s="84">
        <v>364534</v>
      </c>
      <c r="E601" s="41">
        <v>69300</v>
      </c>
      <c r="F601" s="86">
        <v>2019</v>
      </c>
      <c r="G601" s="41"/>
      <c r="H601" s="42"/>
      <c r="I601" s="41"/>
      <c r="J601" s="92">
        <v>23</v>
      </c>
      <c r="K601" s="92">
        <v>34985</v>
      </c>
    </row>
    <row r="602" spans="1:11">
      <c r="A602" s="35">
        <f>(A601+1)</f>
        <v>599</v>
      </c>
      <c r="B602" s="41" t="s">
        <v>175</v>
      </c>
      <c r="C602" s="92" t="s">
        <v>192</v>
      </c>
      <c r="D602" s="84">
        <v>1157151</v>
      </c>
      <c r="E602" s="41">
        <v>67780</v>
      </c>
      <c r="F602" s="86">
        <v>2018</v>
      </c>
      <c r="G602" s="41"/>
      <c r="H602" s="42"/>
      <c r="I602" s="41"/>
      <c r="J602" s="92">
        <v>10</v>
      </c>
      <c r="K602" s="92">
        <v>34194</v>
      </c>
    </row>
    <row r="603" spans="1:11">
      <c r="A603" s="35">
        <f>(A602+1)</f>
        <v>600</v>
      </c>
      <c r="B603" s="41" t="s">
        <v>175</v>
      </c>
      <c r="C603" s="92" t="s">
        <v>192</v>
      </c>
      <c r="D603" s="84">
        <v>211253</v>
      </c>
      <c r="E603" s="41">
        <v>75221</v>
      </c>
      <c r="F603" s="86">
        <v>2002</v>
      </c>
      <c r="G603" s="41"/>
      <c r="H603" s="42"/>
      <c r="I603" s="41"/>
      <c r="J603" s="92">
        <v>14</v>
      </c>
      <c r="K603" s="92">
        <v>34196</v>
      </c>
    </row>
    <row r="604" spans="1:11">
      <c r="A604" s="35">
        <f>(A603+1)</f>
        <v>601</v>
      </c>
      <c r="B604" s="41" t="s">
        <v>175</v>
      </c>
      <c r="C604" s="92" t="s">
        <v>192</v>
      </c>
      <c r="D604" s="84">
        <v>967709</v>
      </c>
      <c r="E604" s="41">
        <v>75823</v>
      </c>
      <c r="F604" s="86">
        <v>2015</v>
      </c>
      <c r="G604" s="41"/>
      <c r="H604" s="42"/>
      <c r="I604" s="41"/>
      <c r="J604" s="92">
        <v>28</v>
      </c>
      <c r="K604" s="92">
        <v>33092</v>
      </c>
    </row>
    <row r="605" spans="1:11">
      <c r="A605" s="35">
        <f>(A604+1)</f>
        <v>602</v>
      </c>
      <c r="B605" s="41" t="s">
        <v>175</v>
      </c>
      <c r="C605" s="161" t="s">
        <v>192</v>
      </c>
      <c r="D605" s="84">
        <v>324965</v>
      </c>
      <c r="E605" s="41">
        <v>75824</v>
      </c>
      <c r="F605" s="86">
        <v>2014</v>
      </c>
      <c r="G605" s="41"/>
      <c r="H605" s="42"/>
      <c r="I605" s="41"/>
      <c r="J605" s="92">
        <v>12</v>
      </c>
      <c r="K605" s="92">
        <v>35365</v>
      </c>
    </row>
    <row r="606" spans="1:11">
      <c r="A606" s="35">
        <f>(A605+1)</f>
        <v>603</v>
      </c>
      <c r="B606" s="41" t="s">
        <v>175</v>
      </c>
      <c r="C606" s="160" t="s">
        <v>192</v>
      </c>
      <c r="D606" s="90">
        <v>1059734</v>
      </c>
      <c r="E606" s="41">
        <v>75825</v>
      </c>
      <c r="F606" s="91">
        <v>2017</v>
      </c>
      <c r="G606" s="41"/>
      <c r="H606" s="42"/>
      <c r="I606" s="41"/>
      <c r="J606" s="136">
        <v>2</v>
      </c>
      <c r="K606" s="136">
        <v>34228</v>
      </c>
    </row>
    <row r="607" spans="1:11">
      <c r="A607" s="35">
        <f>(A606+1)</f>
        <v>604</v>
      </c>
      <c r="B607" s="41" t="s">
        <v>175</v>
      </c>
      <c r="C607" s="137" t="s">
        <v>192</v>
      </c>
      <c r="D607" s="82">
        <v>1108902</v>
      </c>
      <c r="E607" s="41">
        <v>75826</v>
      </c>
      <c r="F607" s="87">
        <v>2017</v>
      </c>
      <c r="G607" s="41"/>
      <c r="H607" s="42"/>
      <c r="I607" s="41"/>
      <c r="J607" s="137" t="s">
        <v>172</v>
      </c>
      <c r="K607" s="137">
        <v>34232</v>
      </c>
    </row>
    <row r="608" spans="1:11">
      <c r="A608" s="35">
        <f>(A607+1)</f>
        <v>605</v>
      </c>
      <c r="B608" s="41" t="s">
        <v>175</v>
      </c>
      <c r="C608" s="92" t="s">
        <v>192</v>
      </c>
      <c r="D608" s="84">
        <v>1042534</v>
      </c>
      <c r="E608" s="41">
        <v>75827</v>
      </c>
      <c r="F608" s="86">
        <v>2016</v>
      </c>
      <c r="G608" s="41"/>
      <c r="H608" s="42"/>
      <c r="I608" s="41"/>
      <c r="J608" s="92">
        <v>25</v>
      </c>
      <c r="K608" s="92">
        <v>35996</v>
      </c>
    </row>
    <row r="609" spans="1:11">
      <c r="A609" s="35">
        <f>(A608+1)</f>
        <v>606</v>
      </c>
      <c r="B609" s="41" t="s">
        <v>175</v>
      </c>
      <c r="C609" s="92" t="s">
        <v>192</v>
      </c>
      <c r="D609" s="84">
        <v>1001868</v>
      </c>
      <c r="E609" s="41">
        <v>75828</v>
      </c>
      <c r="F609" s="86">
        <v>2016</v>
      </c>
      <c r="G609" s="41"/>
      <c r="H609" s="42"/>
      <c r="I609" s="41"/>
      <c r="J609" s="92">
        <v>12</v>
      </c>
      <c r="K609" s="92">
        <v>32789</v>
      </c>
    </row>
    <row r="610" spans="1:11">
      <c r="A610" s="35">
        <f>(A609+1)</f>
        <v>607</v>
      </c>
      <c r="B610" s="41" t="s">
        <v>175</v>
      </c>
      <c r="C610" s="159" t="s">
        <v>127</v>
      </c>
      <c r="D610" s="84">
        <v>229756</v>
      </c>
      <c r="E610" s="41">
        <v>57524</v>
      </c>
      <c r="F610" s="86">
        <v>2014</v>
      </c>
      <c r="G610" s="41"/>
      <c r="H610" s="42"/>
      <c r="I610" s="41"/>
      <c r="J610" s="92">
        <v>5</v>
      </c>
      <c r="K610" s="92">
        <v>35625</v>
      </c>
    </row>
    <row r="611" spans="1:11">
      <c r="A611" s="35">
        <f>(A610+1)</f>
        <v>608</v>
      </c>
      <c r="B611" s="41" t="s">
        <v>175</v>
      </c>
      <c r="C611" s="159" t="s">
        <v>127</v>
      </c>
      <c r="D611" s="84">
        <v>232619</v>
      </c>
      <c r="E611" s="41">
        <v>58071</v>
      </c>
      <c r="F611" s="86">
        <v>2014</v>
      </c>
      <c r="G611" s="41"/>
      <c r="H611" s="42"/>
      <c r="I611" s="41"/>
      <c r="J611" s="92">
        <v>6</v>
      </c>
      <c r="K611" s="92">
        <v>35624</v>
      </c>
    </row>
    <row r="612" spans="1:11">
      <c r="A612" s="35">
        <f>(A611+1)</f>
        <v>609</v>
      </c>
      <c r="B612" s="41" t="s">
        <v>175</v>
      </c>
      <c r="C612" s="159" t="s">
        <v>192</v>
      </c>
      <c r="D612" s="84">
        <v>677424</v>
      </c>
      <c r="E612" s="41">
        <v>16553</v>
      </c>
      <c r="F612" s="86">
        <v>2010</v>
      </c>
      <c r="G612" s="41"/>
      <c r="H612" s="42"/>
      <c r="I612" s="41"/>
      <c r="J612" s="92">
        <v>5</v>
      </c>
      <c r="K612" s="92">
        <v>35628</v>
      </c>
    </row>
    <row r="613" spans="1:11">
      <c r="A613" s="35">
        <f>(A612+1)</f>
        <v>610</v>
      </c>
      <c r="B613" s="41" t="s">
        <v>175</v>
      </c>
      <c r="C613" s="159" t="s">
        <v>192</v>
      </c>
      <c r="D613" s="84">
        <v>1066392</v>
      </c>
      <c r="E613" s="41">
        <v>76006</v>
      </c>
      <c r="F613" s="86">
        <v>2016</v>
      </c>
      <c r="G613" s="41"/>
      <c r="H613" s="42"/>
      <c r="I613" s="41"/>
      <c r="J613" s="92">
        <v>13</v>
      </c>
      <c r="K613" s="92">
        <v>35623</v>
      </c>
    </row>
    <row r="614" spans="1:11">
      <c r="A614" s="35">
        <f>(A613+1)</f>
        <v>611</v>
      </c>
      <c r="B614" s="41" t="s">
        <v>175</v>
      </c>
      <c r="C614" s="159" t="s">
        <v>192</v>
      </c>
      <c r="D614" s="84">
        <v>1045277</v>
      </c>
      <c r="E614" s="41">
        <v>76007</v>
      </c>
      <c r="F614" s="86">
        <v>2016</v>
      </c>
      <c r="G614" s="41"/>
      <c r="H614" s="42"/>
      <c r="I614" s="41"/>
      <c r="J614" s="92">
        <v>6</v>
      </c>
      <c r="K614" s="92">
        <v>35627</v>
      </c>
    </row>
    <row r="615" spans="1:11">
      <c r="A615" s="35">
        <f>(A614+1)</f>
        <v>612</v>
      </c>
      <c r="B615" s="41" t="s">
        <v>175</v>
      </c>
      <c r="C615" s="159" t="s">
        <v>192</v>
      </c>
      <c r="D615" s="84">
        <v>792533</v>
      </c>
      <c r="E615" s="41">
        <v>53842</v>
      </c>
      <c r="F615" s="86">
        <v>2012</v>
      </c>
      <c r="G615" s="41"/>
      <c r="H615" s="42"/>
      <c r="I615" s="41"/>
      <c r="J615" s="92">
        <v>6</v>
      </c>
      <c r="K615" s="92">
        <v>35635</v>
      </c>
    </row>
    <row r="616" spans="1:11">
      <c r="A616" s="35">
        <f>(A615+1)</f>
        <v>613</v>
      </c>
      <c r="B616" s="41" t="s">
        <v>175</v>
      </c>
      <c r="C616" s="159" t="s">
        <v>192</v>
      </c>
      <c r="D616" s="84">
        <v>1073530</v>
      </c>
      <c r="E616" s="41">
        <v>65314</v>
      </c>
      <c r="F616" s="86">
        <v>2017</v>
      </c>
      <c r="G616" s="41"/>
      <c r="H616" s="42"/>
      <c r="I616" s="41"/>
      <c r="J616" s="92" t="s">
        <v>172</v>
      </c>
      <c r="K616" s="92">
        <v>35634</v>
      </c>
    </row>
    <row r="617" spans="1:11">
      <c r="A617" s="35">
        <f>(A616+1)</f>
        <v>614</v>
      </c>
      <c r="B617" s="41" t="s">
        <v>175</v>
      </c>
      <c r="C617" s="159" t="s">
        <v>192</v>
      </c>
      <c r="D617" s="84">
        <v>873736</v>
      </c>
      <c r="E617" s="41">
        <v>57756</v>
      </c>
      <c r="F617" s="86">
        <v>2014</v>
      </c>
      <c r="G617" s="41"/>
      <c r="H617" s="42"/>
      <c r="I617" s="41"/>
      <c r="J617" s="92">
        <v>31</v>
      </c>
      <c r="K617" s="92">
        <v>35633</v>
      </c>
    </row>
    <row r="618" spans="1:11">
      <c r="A618" s="35">
        <f>(A617+1)</f>
        <v>615</v>
      </c>
      <c r="B618" s="41" t="s">
        <v>175</v>
      </c>
      <c r="C618" s="159" t="s">
        <v>192</v>
      </c>
      <c r="D618" s="84">
        <v>868406</v>
      </c>
      <c r="E618" s="41">
        <v>56936</v>
      </c>
      <c r="F618" s="86">
        <v>2013</v>
      </c>
      <c r="G618" s="41"/>
      <c r="H618" s="42"/>
      <c r="I618" s="41"/>
      <c r="J618" s="92">
        <v>5</v>
      </c>
      <c r="K618" s="92">
        <v>35631</v>
      </c>
    </row>
    <row r="619" spans="1:11">
      <c r="A619" s="35">
        <f>(A618+1)</f>
        <v>616</v>
      </c>
      <c r="B619" s="41" t="s">
        <v>175</v>
      </c>
      <c r="C619" s="159" t="s">
        <v>128</v>
      </c>
      <c r="D619" s="84">
        <v>312796</v>
      </c>
      <c r="E619" s="41">
        <v>76010</v>
      </c>
      <c r="F619" s="86">
        <v>2017</v>
      </c>
      <c r="G619" s="41"/>
      <c r="H619" s="42"/>
      <c r="I619" s="41"/>
      <c r="J619" s="92" t="s">
        <v>172</v>
      </c>
      <c r="K619" s="92">
        <v>35637</v>
      </c>
    </row>
    <row r="620" spans="1:11">
      <c r="A620" s="35">
        <f>(A619+1)</f>
        <v>617</v>
      </c>
      <c r="B620" s="41" t="s">
        <v>175</v>
      </c>
      <c r="C620" s="159" t="s">
        <v>128</v>
      </c>
      <c r="D620" s="84">
        <v>207959</v>
      </c>
      <c r="E620" s="41">
        <v>76011</v>
      </c>
      <c r="F620" s="86">
        <v>2013</v>
      </c>
      <c r="G620" s="41"/>
      <c r="H620" s="42"/>
      <c r="I620" s="41"/>
      <c r="J620" s="92" t="s">
        <v>172</v>
      </c>
      <c r="K620" s="92">
        <v>36232</v>
      </c>
    </row>
    <row r="621" spans="1:11">
      <c r="A621" s="35">
        <f>(A620+1)</f>
        <v>618</v>
      </c>
      <c r="B621" s="41" t="s">
        <v>175</v>
      </c>
      <c r="C621" s="159" t="s">
        <v>128</v>
      </c>
      <c r="D621" s="84">
        <v>247204</v>
      </c>
      <c r="E621" s="41">
        <v>76012</v>
      </c>
      <c r="F621" s="86">
        <v>2014</v>
      </c>
      <c r="G621" s="41"/>
      <c r="H621" s="42"/>
      <c r="I621" s="41"/>
      <c r="J621" s="92">
        <v>45</v>
      </c>
      <c r="K621" s="92">
        <v>35630</v>
      </c>
    </row>
    <row r="622" spans="1:11">
      <c r="A622" s="35">
        <f>(A621+1)</f>
        <v>619</v>
      </c>
      <c r="B622" s="41" t="s">
        <v>175</v>
      </c>
      <c r="C622" s="159" t="s">
        <v>128</v>
      </c>
      <c r="D622" s="84">
        <v>364552</v>
      </c>
      <c r="E622" s="41">
        <v>76013</v>
      </c>
      <c r="F622" s="86">
        <v>2019</v>
      </c>
      <c r="G622" s="41"/>
      <c r="H622" s="42"/>
      <c r="I622" s="41"/>
      <c r="J622" s="92">
        <v>12</v>
      </c>
      <c r="K622" s="92">
        <v>35616</v>
      </c>
    </row>
    <row r="623" spans="1:11">
      <c r="A623" s="35">
        <f>(A622+1)</f>
        <v>620</v>
      </c>
      <c r="B623" s="41" t="s">
        <v>175</v>
      </c>
      <c r="C623" s="159" t="s">
        <v>130</v>
      </c>
      <c r="D623" s="84">
        <v>98717</v>
      </c>
      <c r="E623" s="41">
        <v>76014</v>
      </c>
      <c r="F623" s="86">
        <v>2007</v>
      </c>
      <c r="G623" s="41"/>
      <c r="H623" s="42"/>
      <c r="I623" s="41"/>
      <c r="J623" s="92">
        <v>5</v>
      </c>
      <c r="K623" s="92">
        <v>35626</v>
      </c>
    </row>
    <row r="624" spans="1:11">
      <c r="A624" s="35">
        <f>(A623+1)</f>
        <v>621</v>
      </c>
      <c r="B624" s="41" t="s">
        <v>175</v>
      </c>
      <c r="C624" s="159" t="s">
        <v>131</v>
      </c>
      <c r="D624" s="84">
        <v>27688</v>
      </c>
      <c r="E624" s="41">
        <v>76015</v>
      </c>
      <c r="F624" s="86">
        <v>2007</v>
      </c>
      <c r="G624" s="41"/>
      <c r="H624" s="42"/>
      <c r="I624" s="41"/>
      <c r="J624" s="92">
        <v>17</v>
      </c>
      <c r="K624" s="92">
        <v>35619</v>
      </c>
    </row>
    <row r="625" spans="1:11">
      <c r="A625" s="35">
        <f>(A624+1)</f>
        <v>622</v>
      </c>
      <c r="B625" s="41" t="s">
        <v>175</v>
      </c>
      <c r="C625" s="159" t="s">
        <v>903</v>
      </c>
      <c r="D625" s="84">
        <v>269463</v>
      </c>
      <c r="E625" s="41">
        <v>76017</v>
      </c>
      <c r="F625" s="86">
        <v>2004</v>
      </c>
      <c r="G625" s="41"/>
      <c r="H625" s="42"/>
      <c r="I625" s="41"/>
      <c r="J625" s="92">
        <v>14</v>
      </c>
      <c r="K625" s="92">
        <v>35614</v>
      </c>
    </row>
    <row r="626" spans="1:11">
      <c r="A626" s="35">
        <f>(A625+1)</f>
        <v>623</v>
      </c>
      <c r="B626" s="41" t="s">
        <v>175</v>
      </c>
      <c r="C626" s="159" t="s">
        <v>192</v>
      </c>
      <c r="D626" s="84">
        <v>1059759</v>
      </c>
      <c r="E626" s="41">
        <v>64707</v>
      </c>
      <c r="F626" s="86">
        <v>2007</v>
      </c>
      <c r="G626" s="41"/>
      <c r="H626" s="42"/>
      <c r="I626" s="41"/>
      <c r="J626" s="92">
        <v>12</v>
      </c>
      <c r="K626" s="92">
        <v>37051</v>
      </c>
    </row>
    <row r="627" spans="1:11">
      <c r="A627" s="35">
        <f>(A626+1)</f>
        <v>624</v>
      </c>
      <c r="B627" s="41" t="s">
        <v>175</v>
      </c>
      <c r="C627" s="159" t="s">
        <v>192</v>
      </c>
      <c r="D627" s="84">
        <v>244942</v>
      </c>
      <c r="E627" s="41">
        <v>76043</v>
      </c>
      <c r="F627" s="86">
        <v>2004</v>
      </c>
      <c r="G627" s="41"/>
      <c r="H627" s="42"/>
      <c r="I627" s="41"/>
      <c r="J627" s="92">
        <v>22</v>
      </c>
      <c r="K627" s="92">
        <v>37103</v>
      </c>
    </row>
    <row r="628" spans="1:11">
      <c r="A628" s="35">
        <f>(A627+1)</f>
        <v>625</v>
      </c>
      <c r="B628" s="41" t="s">
        <v>175</v>
      </c>
      <c r="C628" s="159" t="s">
        <v>192</v>
      </c>
      <c r="D628" s="84">
        <v>1267947</v>
      </c>
      <c r="E628" s="41">
        <v>71160</v>
      </c>
      <c r="F628" s="86">
        <v>2020</v>
      </c>
      <c r="G628" s="41"/>
      <c r="H628" s="42"/>
      <c r="I628" s="41"/>
      <c r="J628" s="92">
        <v>15</v>
      </c>
      <c r="K628" s="92">
        <v>37827</v>
      </c>
    </row>
    <row r="629" spans="1:11">
      <c r="A629" s="35">
        <f>(A628+1)</f>
        <v>626</v>
      </c>
      <c r="B629" s="41" t="s">
        <v>175</v>
      </c>
      <c r="C629" s="159" t="s">
        <v>131</v>
      </c>
      <c r="D629" s="84">
        <v>11849958</v>
      </c>
      <c r="E629" s="41">
        <v>50992</v>
      </c>
      <c r="F629" s="86">
        <v>2011</v>
      </c>
      <c r="G629" s="41"/>
      <c r="H629" s="42"/>
      <c r="I629" s="41"/>
      <c r="J629" s="92">
        <v>10</v>
      </c>
      <c r="K629" s="92">
        <v>37069</v>
      </c>
    </row>
    <row r="630" spans="1:11">
      <c r="A630" s="35">
        <f>(A629+1)</f>
        <v>627</v>
      </c>
      <c r="B630" s="41" t="s">
        <v>175</v>
      </c>
      <c r="C630" s="159" t="s">
        <v>131</v>
      </c>
      <c r="D630" s="84">
        <v>284812</v>
      </c>
      <c r="E630" s="41">
        <v>62734</v>
      </c>
      <c r="F630" s="86">
        <v>2016</v>
      </c>
      <c r="G630" s="41"/>
      <c r="H630" s="42"/>
      <c r="I630" s="41"/>
      <c r="J630" s="92">
        <v>12</v>
      </c>
      <c r="K630" s="92">
        <v>37058</v>
      </c>
    </row>
    <row r="631" spans="1:11">
      <c r="A631" s="35">
        <f>(A630+1)</f>
        <v>628</v>
      </c>
      <c r="B631" s="41" t="s">
        <v>175</v>
      </c>
      <c r="C631" s="159" t="s">
        <v>131</v>
      </c>
      <c r="D631" s="84">
        <v>223737</v>
      </c>
      <c r="E631" s="41">
        <v>5005227</v>
      </c>
      <c r="F631" s="86">
        <v>2013</v>
      </c>
      <c r="G631" s="41"/>
      <c r="H631" s="42"/>
      <c r="I631" s="41"/>
      <c r="J631" s="92">
        <v>16</v>
      </c>
      <c r="K631" s="92">
        <v>37067</v>
      </c>
    </row>
    <row r="632" spans="1:11">
      <c r="A632" s="35">
        <f>(A631+1)</f>
        <v>629</v>
      </c>
      <c r="B632" s="41" t="s">
        <v>175</v>
      </c>
      <c r="C632" s="159" t="s">
        <v>131</v>
      </c>
      <c r="D632" s="84">
        <v>1582437</v>
      </c>
      <c r="E632" s="41">
        <v>50339</v>
      </c>
      <c r="F632" s="86">
        <v>2011</v>
      </c>
      <c r="G632" s="41"/>
      <c r="H632" s="42"/>
      <c r="I632" s="41"/>
      <c r="J632" s="92">
        <v>15</v>
      </c>
      <c r="K632" s="92">
        <v>37047</v>
      </c>
    </row>
    <row r="633" spans="1:11">
      <c r="A633" s="35">
        <f>(A632+1)</f>
        <v>630</v>
      </c>
      <c r="B633" s="41" t="s">
        <v>175</v>
      </c>
      <c r="C633" s="159" t="s">
        <v>131</v>
      </c>
      <c r="D633" s="84">
        <v>456779</v>
      </c>
      <c r="E633" s="41">
        <v>76047</v>
      </c>
      <c r="F633" s="86">
        <v>2018</v>
      </c>
      <c r="G633" s="41"/>
      <c r="H633" s="42"/>
      <c r="I633" s="41"/>
      <c r="J633" s="92">
        <v>10</v>
      </c>
      <c r="K633" s="92">
        <v>37044</v>
      </c>
    </row>
    <row r="634" spans="1:11">
      <c r="A634" s="35">
        <f>(A633+1)</f>
        <v>631</v>
      </c>
      <c r="B634" s="41" t="s">
        <v>175</v>
      </c>
      <c r="C634" s="159" t="s">
        <v>130</v>
      </c>
      <c r="D634" s="84">
        <v>91975</v>
      </c>
      <c r="E634" s="41">
        <v>76046</v>
      </c>
      <c r="F634" s="86">
        <v>2007</v>
      </c>
      <c r="G634" s="41"/>
      <c r="H634" s="42"/>
      <c r="I634" s="41"/>
      <c r="J634" s="92">
        <v>18</v>
      </c>
      <c r="K634" s="92">
        <v>37037</v>
      </c>
    </row>
    <row r="635" spans="1:11">
      <c r="A635" s="35">
        <f>(A634+1)</f>
        <v>632</v>
      </c>
      <c r="B635" s="41" t="s">
        <v>175</v>
      </c>
      <c r="C635" s="159" t="s">
        <v>128</v>
      </c>
      <c r="D635" s="84">
        <v>340146</v>
      </c>
      <c r="E635" s="41">
        <v>67423</v>
      </c>
      <c r="F635" s="86">
        <v>2016</v>
      </c>
      <c r="G635" s="41"/>
      <c r="H635" s="42"/>
      <c r="I635" s="41"/>
      <c r="J635" s="92">
        <v>5</v>
      </c>
      <c r="K635" s="92">
        <v>37070</v>
      </c>
    </row>
    <row r="636" spans="1:11">
      <c r="A636" s="35">
        <f>(A635+1)</f>
        <v>633</v>
      </c>
      <c r="B636" s="41" t="s">
        <v>175</v>
      </c>
      <c r="C636" s="159" t="s">
        <v>128</v>
      </c>
      <c r="D636" s="84">
        <v>91891</v>
      </c>
      <c r="E636" s="41">
        <v>76044</v>
      </c>
      <c r="F636" s="86">
        <v>2007</v>
      </c>
      <c r="G636" s="41"/>
      <c r="H636" s="42"/>
      <c r="I636" s="41"/>
      <c r="J636" s="92">
        <v>12</v>
      </c>
      <c r="K636" s="92">
        <v>37104</v>
      </c>
    </row>
    <row r="637" spans="1:11">
      <c r="A637" s="35">
        <f>(A636+1)</f>
        <v>634</v>
      </c>
      <c r="B637" s="41" t="s">
        <v>175</v>
      </c>
      <c r="C637" s="159" t="s">
        <v>128</v>
      </c>
      <c r="D637" s="84">
        <v>897507</v>
      </c>
      <c r="E637" s="41">
        <v>76045</v>
      </c>
      <c r="F637" s="86">
        <v>2013</v>
      </c>
      <c r="G637" s="41"/>
      <c r="H637" s="42"/>
      <c r="I637" s="41"/>
      <c r="J637" s="92">
        <v>10</v>
      </c>
      <c r="K637" s="92">
        <v>37046</v>
      </c>
    </row>
    <row r="638" spans="1:11">
      <c r="A638" s="35">
        <f>(A637+1)</f>
        <v>635</v>
      </c>
      <c r="B638" s="41" t="s">
        <v>175</v>
      </c>
      <c r="C638" s="159" t="s">
        <v>127</v>
      </c>
      <c r="D638" s="84">
        <v>378310</v>
      </c>
      <c r="E638" s="41">
        <v>70833</v>
      </c>
      <c r="F638" s="86">
        <v>2019</v>
      </c>
      <c r="G638" s="41"/>
      <c r="H638" s="42"/>
      <c r="I638" s="41"/>
      <c r="J638" s="92">
        <v>6</v>
      </c>
      <c r="K638" s="92">
        <v>37064</v>
      </c>
    </row>
    <row r="639" spans="1:11">
      <c r="A639" s="35">
        <f>(A638+1)</f>
        <v>636</v>
      </c>
      <c r="B639" s="41" t="s">
        <v>175</v>
      </c>
      <c r="C639" s="159" t="s">
        <v>127</v>
      </c>
      <c r="D639" s="84">
        <v>397891</v>
      </c>
      <c r="E639" s="41">
        <v>71860</v>
      </c>
      <c r="F639" s="86">
        <v>2020</v>
      </c>
      <c r="G639" s="41"/>
      <c r="H639" s="42"/>
      <c r="I639" s="41"/>
      <c r="J639" s="92">
        <v>17</v>
      </c>
      <c r="K639" s="92">
        <v>37063</v>
      </c>
    </row>
    <row r="640" spans="1:11">
      <c r="A640" s="35">
        <f>(A639+1)</f>
        <v>637</v>
      </c>
      <c r="B640" s="41" t="s">
        <v>175</v>
      </c>
      <c r="C640" s="159" t="s">
        <v>166</v>
      </c>
      <c r="D640" s="84">
        <v>257955</v>
      </c>
      <c r="E640" s="41">
        <v>62454</v>
      </c>
      <c r="F640" s="86">
        <v>2016</v>
      </c>
      <c r="G640" s="41"/>
      <c r="H640" s="42"/>
      <c r="I640" s="41"/>
      <c r="J640" s="92">
        <v>16</v>
      </c>
      <c r="K640" s="92">
        <v>37057</v>
      </c>
    </row>
    <row r="641" spans="1:11">
      <c r="A641" s="35">
        <f>(A640+1)</f>
        <v>638</v>
      </c>
      <c r="B641" s="41" t="s">
        <v>175</v>
      </c>
      <c r="C641" s="92" t="s">
        <v>192</v>
      </c>
      <c r="D641" s="84">
        <v>883813</v>
      </c>
      <c r="E641" s="41">
        <v>76048</v>
      </c>
      <c r="F641" s="86">
        <v>2014</v>
      </c>
      <c r="G641" s="41"/>
      <c r="H641" s="42"/>
      <c r="I641" s="41"/>
      <c r="J641" s="92" t="s">
        <v>172</v>
      </c>
      <c r="K641" s="92">
        <v>37080</v>
      </c>
    </row>
    <row r="642" spans="1:11">
      <c r="A642" s="35">
        <f>(A641+1)</f>
        <v>639</v>
      </c>
      <c r="B642" s="41" t="s">
        <v>175</v>
      </c>
      <c r="C642" s="161" t="s">
        <v>192</v>
      </c>
      <c r="D642" s="84">
        <v>1068399</v>
      </c>
      <c r="E642" s="41">
        <v>5736</v>
      </c>
      <c r="F642" s="86">
        <v>2016</v>
      </c>
      <c r="G642" s="41"/>
      <c r="H642" s="42"/>
      <c r="I642" s="41"/>
      <c r="J642" s="92">
        <v>8</v>
      </c>
      <c r="K642" s="92">
        <v>37082</v>
      </c>
    </row>
    <row r="643" spans="1:11">
      <c r="A643" s="35">
        <f>(A642+1)</f>
        <v>640</v>
      </c>
      <c r="B643" s="41" t="s">
        <v>175</v>
      </c>
      <c r="C643" s="159" t="s">
        <v>192</v>
      </c>
      <c r="D643" s="84">
        <v>1094487</v>
      </c>
      <c r="E643" s="41">
        <v>65608</v>
      </c>
      <c r="F643" s="86">
        <v>2017</v>
      </c>
      <c r="G643" s="41"/>
      <c r="H643" s="42"/>
      <c r="I643" s="41"/>
      <c r="J643" s="92">
        <v>18</v>
      </c>
      <c r="K643" s="92">
        <v>37078</v>
      </c>
    </row>
    <row r="644" spans="1:11">
      <c r="A644" s="35">
        <f>(A643+1)</f>
        <v>641</v>
      </c>
      <c r="B644" s="41" t="s">
        <v>175</v>
      </c>
      <c r="C644" s="159" t="s">
        <v>192</v>
      </c>
      <c r="D644" s="84">
        <v>307527</v>
      </c>
      <c r="E644" s="41">
        <v>58223</v>
      </c>
      <c r="F644" s="86">
        <v>2014</v>
      </c>
      <c r="G644" s="41"/>
      <c r="H644" s="42"/>
      <c r="I644" s="41"/>
      <c r="J644" s="92">
        <v>14</v>
      </c>
      <c r="K644" s="92">
        <v>37081</v>
      </c>
    </row>
    <row r="645" spans="1:11">
      <c r="A645" s="35">
        <f>(A644+1)</f>
        <v>642</v>
      </c>
      <c r="B645" s="41" t="s">
        <v>175</v>
      </c>
      <c r="C645" s="159" t="s">
        <v>192</v>
      </c>
      <c r="D645" s="84">
        <v>834822</v>
      </c>
      <c r="E645" s="41">
        <v>55649</v>
      </c>
      <c r="F645" s="86">
        <v>2013</v>
      </c>
      <c r="G645" s="41"/>
      <c r="H645" s="42"/>
      <c r="I645" s="41"/>
      <c r="J645" s="92">
        <v>15</v>
      </c>
      <c r="K645" s="92">
        <v>37053</v>
      </c>
    </row>
    <row r="646" spans="1:11">
      <c r="A646" s="35">
        <f>(A645+1)</f>
        <v>643</v>
      </c>
      <c r="B646" s="41" t="s">
        <v>175</v>
      </c>
      <c r="C646" s="137" t="s">
        <v>128</v>
      </c>
      <c r="D646" s="82">
        <v>426216</v>
      </c>
      <c r="E646" s="41">
        <v>74096</v>
      </c>
      <c r="F646" s="87">
        <v>2021</v>
      </c>
      <c r="G646" s="41"/>
      <c r="H646" s="42"/>
      <c r="I646" s="41"/>
      <c r="J646" s="137">
        <v>17</v>
      </c>
      <c r="K646" s="137">
        <v>37098</v>
      </c>
    </row>
    <row r="647" spans="1:11">
      <c r="A647" s="35">
        <f>(A646+1)</f>
        <v>644</v>
      </c>
      <c r="B647" s="41" t="s">
        <v>175</v>
      </c>
      <c r="C647" s="92" t="s">
        <v>128</v>
      </c>
      <c r="D647" s="84">
        <v>92886</v>
      </c>
      <c r="E647" s="41">
        <v>76050</v>
      </c>
      <c r="F647" s="86">
        <v>2007</v>
      </c>
      <c r="G647" s="41"/>
      <c r="H647" s="42"/>
      <c r="I647" s="41"/>
      <c r="J647" s="92">
        <v>5</v>
      </c>
      <c r="K647" s="92">
        <v>37099</v>
      </c>
    </row>
    <row r="648" spans="1:11">
      <c r="A648" s="35">
        <f>(A647+1)</f>
        <v>645</v>
      </c>
      <c r="B648" s="41" t="s">
        <v>175</v>
      </c>
      <c r="C648" s="92" t="s">
        <v>128</v>
      </c>
      <c r="D648" s="84">
        <v>91845</v>
      </c>
      <c r="E648" s="41">
        <v>76051</v>
      </c>
      <c r="F648" s="86">
        <v>2007</v>
      </c>
      <c r="G648" s="41"/>
      <c r="H648" s="42"/>
      <c r="I648" s="41"/>
      <c r="J648" s="92">
        <v>16</v>
      </c>
      <c r="K648" s="92">
        <v>37089</v>
      </c>
    </row>
    <row r="649" spans="1:11">
      <c r="A649" s="35">
        <f>(A648+1)</f>
        <v>646</v>
      </c>
      <c r="B649" s="41" t="s">
        <v>175</v>
      </c>
      <c r="C649" s="92" t="s">
        <v>128</v>
      </c>
      <c r="D649" s="84">
        <v>168098</v>
      </c>
      <c r="E649" s="41">
        <v>69478</v>
      </c>
      <c r="F649" s="86">
        <v>2010</v>
      </c>
      <c r="G649" s="41"/>
      <c r="H649" s="42"/>
      <c r="I649" s="41"/>
      <c r="J649" s="92">
        <v>5</v>
      </c>
      <c r="K649" s="92">
        <v>37079</v>
      </c>
    </row>
    <row r="650" spans="1:11">
      <c r="A650" s="35">
        <f>(A649+1)</f>
        <v>647</v>
      </c>
      <c r="B650" s="41" t="s">
        <v>175</v>
      </c>
      <c r="C650" s="92" t="s">
        <v>128</v>
      </c>
      <c r="D650" s="84">
        <v>551711</v>
      </c>
      <c r="E650" s="41">
        <v>59703</v>
      </c>
      <c r="F650" s="86">
        <v>2014</v>
      </c>
      <c r="G650" s="41"/>
      <c r="H650" s="42"/>
      <c r="I650" s="41"/>
      <c r="J650" s="92">
        <v>4</v>
      </c>
      <c r="K650" s="92">
        <v>37083</v>
      </c>
    </row>
    <row r="651" spans="1:11">
      <c r="A651" s="35">
        <f>(A650+1)</f>
        <v>648</v>
      </c>
      <c r="B651" s="41" t="s">
        <v>175</v>
      </c>
      <c r="C651" s="159" t="s">
        <v>192</v>
      </c>
      <c r="D651" s="92">
        <v>347215</v>
      </c>
      <c r="E651" s="41">
        <v>76501</v>
      </c>
      <c r="F651" s="86">
        <v>2015</v>
      </c>
      <c r="G651" s="41"/>
      <c r="H651" s="42"/>
      <c r="I651" s="41"/>
      <c r="J651" s="92">
        <v>4</v>
      </c>
      <c r="K651" s="92">
        <v>41058</v>
      </c>
    </row>
    <row r="652" spans="1:11">
      <c r="A652" s="35">
        <f>(A651+1)</f>
        <v>649</v>
      </c>
      <c r="B652" s="41" t="s">
        <v>175</v>
      </c>
      <c r="C652" s="159" t="s">
        <v>166</v>
      </c>
      <c r="D652" s="92">
        <v>12205830</v>
      </c>
      <c r="E652" s="41">
        <v>76500</v>
      </c>
      <c r="F652" s="86">
        <v>2011</v>
      </c>
      <c r="G652" s="41"/>
      <c r="H652" s="42"/>
      <c r="I652" s="41"/>
      <c r="J652" s="92">
        <v>16</v>
      </c>
      <c r="K652" s="92">
        <v>41037</v>
      </c>
    </row>
    <row r="653" spans="1:11">
      <c r="A653" s="35">
        <f>(A652+1)</f>
        <v>650</v>
      </c>
      <c r="B653" s="41" t="s">
        <v>175</v>
      </c>
      <c r="C653" s="159" t="s">
        <v>130</v>
      </c>
      <c r="D653" s="92">
        <v>1074873</v>
      </c>
      <c r="E653" s="41">
        <v>65505</v>
      </c>
      <c r="F653" s="86">
        <v>2017</v>
      </c>
      <c r="G653" s="41"/>
      <c r="H653" s="42"/>
      <c r="I653" s="41"/>
      <c r="J653" s="92">
        <v>20</v>
      </c>
      <c r="K653" s="92">
        <v>41010</v>
      </c>
    </row>
    <row r="654" spans="1:11">
      <c r="A654" s="35">
        <f>(A653+1)</f>
        <v>651</v>
      </c>
      <c r="B654" s="41" t="s">
        <v>175</v>
      </c>
      <c r="C654" s="159" t="s">
        <v>127</v>
      </c>
      <c r="D654" s="92">
        <v>340135</v>
      </c>
      <c r="E654" s="41">
        <v>67412</v>
      </c>
      <c r="F654" s="86">
        <v>2016</v>
      </c>
      <c r="G654" s="41"/>
      <c r="H654" s="42"/>
      <c r="I654" s="41"/>
      <c r="J654" s="92">
        <v>17</v>
      </c>
      <c r="K654" s="92">
        <v>41044</v>
      </c>
    </row>
    <row r="655" spans="1:11">
      <c r="A655" s="35">
        <f>(A654+1)</f>
        <v>652</v>
      </c>
      <c r="B655" s="41" t="s">
        <v>175</v>
      </c>
      <c r="C655" s="159" t="s">
        <v>166</v>
      </c>
      <c r="D655" s="92">
        <v>18268965</v>
      </c>
      <c r="E655" s="41">
        <v>76499</v>
      </c>
      <c r="F655" s="86">
        <v>2013</v>
      </c>
      <c r="G655" s="41"/>
      <c r="H655" s="42"/>
      <c r="I655" s="41"/>
      <c r="J655" s="92">
        <v>13</v>
      </c>
      <c r="K655" s="92">
        <v>42021</v>
      </c>
    </row>
    <row r="656" spans="1:11">
      <c r="A656" s="35">
        <f>(A655+1)</f>
        <v>653</v>
      </c>
      <c r="B656" s="41" t="s">
        <v>175</v>
      </c>
      <c r="C656" s="159" t="s">
        <v>128</v>
      </c>
      <c r="D656" s="92">
        <v>336119</v>
      </c>
      <c r="E656" s="41">
        <v>66521</v>
      </c>
      <c r="F656" s="86">
        <v>2018</v>
      </c>
      <c r="G656" s="41"/>
      <c r="H656" s="42"/>
      <c r="I656" s="41"/>
      <c r="J656" s="92">
        <v>16</v>
      </c>
      <c r="K656" s="92">
        <v>41024</v>
      </c>
    </row>
    <row r="657" spans="1:11">
      <c r="A657" s="35">
        <f>(A656+1)</f>
        <v>654</v>
      </c>
      <c r="B657" s="41" t="s">
        <v>175</v>
      </c>
      <c r="C657" s="159" t="s">
        <v>130</v>
      </c>
      <c r="D657" s="92">
        <v>462259</v>
      </c>
      <c r="E657" s="41">
        <v>28072</v>
      </c>
      <c r="F657" s="86">
        <v>2007</v>
      </c>
      <c r="G657" s="41"/>
      <c r="H657" s="42"/>
      <c r="I657" s="41"/>
      <c r="J657" s="92">
        <v>2</v>
      </c>
      <c r="K657" s="92">
        <v>41030</v>
      </c>
    </row>
    <row r="658" spans="1:11">
      <c r="A658" s="35">
        <f>(A657+1)</f>
        <v>655</v>
      </c>
      <c r="B658" s="41" t="s">
        <v>175</v>
      </c>
      <c r="C658" s="159" t="s">
        <v>192</v>
      </c>
      <c r="D658" s="92">
        <v>858196</v>
      </c>
      <c r="E658" s="41">
        <v>56577</v>
      </c>
      <c r="F658" s="86">
        <v>2013</v>
      </c>
      <c r="G658" s="41"/>
      <c r="H658" s="42"/>
      <c r="I658" s="41"/>
      <c r="J658" s="92">
        <v>17</v>
      </c>
      <c r="K658" s="92">
        <v>41045</v>
      </c>
    </row>
    <row r="659" spans="1:11">
      <c r="A659" s="35">
        <f>(A658+1)</f>
        <v>656</v>
      </c>
      <c r="B659" s="41" t="s">
        <v>175</v>
      </c>
      <c r="C659" s="159" t="s">
        <v>131</v>
      </c>
      <c r="D659" s="92">
        <v>55866</v>
      </c>
      <c r="E659" s="41">
        <v>76495</v>
      </c>
      <c r="F659" s="86">
        <v>2004</v>
      </c>
      <c r="G659" s="41"/>
      <c r="H659" s="42"/>
      <c r="I659" s="41"/>
      <c r="J659" s="92">
        <v>8</v>
      </c>
      <c r="K659" s="92">
        <v>41034</v>
      </c>
    </row>
    <row r="660" spans="1:11">
      <c r="A660" s="35">
        <f>(A659+1)</f>
        <v>657</v>
      </c>
      <c r="B660" s="41" t="s">
        <v>175</v>
      </c>
      <c r="C660" s="159" t="s">
        <v>192</v>
      </c>
      <c r="D660" s="92">
        <v>1094493</v>
      </c>
      <c r="E660" s="41">
        <v>76493</v>
      </c>
      <c r="F660" s="86">
        <v>2017</v>
      </c>
      <c r="G660" s="41"/>
      <c r="H660" s="42"/>
      <c r="I660" s="41"/>
      <c r="J660" s="92">
        <v>10</v>
      </c>
      <c r="K660" s="92">
        <v>41031</v>
      </c>
    </row>
    <row r="661" spans="1:11">
      <c r="A661" s="35">
        <f>(A660+1)</f>
        <v>658</v>
      </c>
      <c r="B661" s="41" t="s">
        <v>175</v>
      </c>
      <c r="C661" s="159" t="s">
        <v>192</v>
      </c>
      <c r="D661" s="92">
        <v>806416</v>
      </c>
      <c r="E661" s="41">
        <v>54254</v>
      </c>
      <c r="F661" s="86">
        <v>2012</v>
      </c>
      <c r="G661" s="41"/>
      <c r="H661" s="42"/>
      <c r="I661" s="41"/>
      <c r="J661" s="92">
        <v>20</v>
      </c>
      <c r="K661" s="92">
        <v>41057</v>
      </c>
    </row>
    <row r="662" spans="1:11">
      <c r="A662" s="35">
        <f>(A661+1)</f>
        <v>659</v>
      </c>
      <c r="B662" s="41" t="s">
        <v>175</v>
      </c>
      <c r="C662" s="159" t="s">
        <v>131</v>
      </c>
      <c r="D662" s="92">
        <v>405652</v>
      </c>
      <c r="E662" s="41">
        <v>72668</v>
      </c>
      <c r="F662" s="86">
        <v>2020</v>
      </c>
      <c r="G662" s="41"/>
      <c r="H662" s="42"/>
      <c r="I662" s="41"/>
      <c r="J662" s="92">
        <v>12</v>
      </c>
      <c r="K662" s="92">
        <v>41032</v>
      </c>
    </row>
    <row r="663" spans="1:11">
      <c r="A663" s="35">
        <f>(A662+1)</f>
        <v>660</v>
      </c>
      <c r="B663" s="41" t="s">
        <v>175</v>
      </c>
      <c r="C663" s="159" t="s">
        <v>127</v>
      </c>
      <c r="D663" s="92">
        <v>421972</v>
      </c>
      <c r="E663" s="41">
        <v>73888</v>
      </c>
      <c r="F663" s="86">
        <v>2021</v>
      </c>
      <c r="G663" s="41"/>
      <c r="H663" s="42"/>
      <c r="I663" s="41"/>
      <c r="J663" s="92">
        <v>24</v>
      </c>
      <c r="K663" s="92">
        <v>41026</v>
      </c>
    </row>
    <row r="664" spans="1:11">
      <c r="A664" s="35">
        <f>(A663+1)</f>
        <v>661</v>
      </c>
      <c r="B664" s="41" t="s">
        <v>175</v>
      </c>
      <c r="C664" s="160" t="s">
        <v>127</v>
      </c>
      <c r="D664" s="136">
        <v>421966</v>
      </c>
      <c r="E664" s="41">
        <v>73882</v>
      </c>
      <c r="F664" s="91">
        <v>2021</v>
      </c>
      <c r="G664" s="41"/>
      <c r="H664" s="42"/>
      <c r="I664" s="41"/>
      <c r="J664" s="136">
        <v>5</v>
      </c>
      <c r="K664" s="136">
        <v>41033</v>
      </c>
    </row>
    <row r="665" spans="1:11">
      <c r="A665" s="35">
        <f>(A664+1)</f>
        <v>662</v>
      </c>
      <c r="B665" s="41" t="s">
        <v>175</v>
      </c>
      <c r="C665" s="159" t="s">
        <v>131</v>
      </c>
      <c r="D665" s="92">
        <v>419259</v>
      </c>
      <c r="E665" s="41">
        <v>24419</v>
      </c>
      <c r="F665" s="86">
        <v>2004</v>
      </c>
      <c r="G665" s="41"/>
      <c r="H665" s="42"/>
      <c r="I665" s="41"/>
      <c r="J665" s="92">
        <v>12</v>
      </c>
      <c r="K665" s="92">
        <v>42056</v>
      </c>
    </row>
    <row r="666" spans="1:11">
      <c r="A666" s="35">
        <f>(A665+1)</f>
        <v>663</v>
      </c>
      <c r="B666" s="41" t="s">
        <v>175</v>
      </c>
      <c r="C666" s="159" t="s">
        <v>130</v>
      </c>
      <c r="D666" s="92">
        <v>91994</v>
      </c>
      <c r="E666" s="41">
        <v>76888</v>
      </c>
      <c r="F666" s="86">
        <v>2007</v>
      </c>
      <c r="G666" s="41"/>
      <c r="H666" s="42"/>
      <c r="I666" s="41"/>
      <c r="J666" s="92">
        <v>23</v>
      </c>
      <c r="K666" s="92">
        <v>42091</v>
      </c>
    </row>
    <row r="667" spans="1:11">
      <c r="A667" s="35">
        <f>(A666+1)</f>
        <v>664</v>
      </c>
      <c r="B667" s="41" t="s">
        <v>175</v>
      </c>
      <c r="C667" s="159" t="s">
        <v>130</v>
      </c>
      <c r="D667" s="92">
        <v>1319682</v>
      </c>
      <c r="E667" s="41">
        <v>129431</v>
      </c>
      <c r="F667" s="86">
        <v>2021</v>
      </c>
      <c r="G667" s="41"/>
      <c r="H667" s="42"/>
      <c r="I667" s="41"/>
      <c r="J667" s="92">
        <v>10</v>
      </c>
      <c r="K667" s="92">
        <v>42047</v>
      </c>
    </row>
    <row r="668" spans="1:11">
      <c r="A668" s="35">
        <f>(A667+1)</f>
        <v>665</v>
      </c>
      <c r="B668" s="41" t="s">
        <v>175</v>
      </c>
      <c r="C668" s="159" t="s">
        <v>192</v>
      </c>
      <c r="D668" s="92">
        <v>903846</v>
      </c>
      <c r="E668" s="41">
        <v>74971</v>
      </c>
      <c r="F668" s="86">
        <v>2014</v>
      </c>
      <c r="G668" s="41"/>
      <c r="H668" s="42"/>
      <c r="I668" s="41"/>
      <c r="J668" s="92" t="s">
        <v>172</v>
      </c>
      <c r="K668" s="92">
        <v>42102</v>
      </c>
    </row>
    <row r="669" spans="1:11">
      <c r="A669" s="35">
        <f>(A668+1)</f>
        <v>666</v>
      </c>
      <c r="B669" s="41" t="s">
        <v>175</v>
      </c>
      <c r="C669" s="159" t="s">
        <v>131</v>
      </c>
      <c r="D669" s="92">
        <v>6697</v>
      </c>
      <c r="E669" s="41">
        <v>76884</v>
      </c>
      <c r="F669" s="86">
        <v>2003</v>
      </c>
      <c r="G669" s="41"/>
      <c r="H669" s="42"/>
      <c r="I669" s="41"/>
      <c r="J669" s="92">
        <v>13</v>
      </c>
      <c r="K669" s="92">
        <v>42024</v>
      </c>
    </row>
    <row r="670" spans="1:11">
      <c r="A670" s="35">
        <f>(A669+1)</f>
        <v>667</v>
      </c>
      <c r="B670" s="41" t="s">
        <v>175</v>
      </c>
      <c r="C670" s="159" t="s">
        <v>131</v>
      </c>
      <c r="D670" s="92">
        <v>418931</v>
      </c>
      <c r="E670" s="41">
        <v>73545</v>
      </c>
      <c r="F670" s="86">
        <v>2021</v>
      </c>
      <c r="G670" s="41"/>
      <c r="H670" s="42"/>
      <c r="I670" s="41"/>
      <c r="J670" s="92">
        <v>8</v>
      </c>
      <c r="K670" s="92">
        <v>42062</v>
      </c>
    </row>
    <row r="671" spans="1:11">
      <c r="A671" s="35">
        <f>(A670+1)</f>
        <v>668</v>
      </c>
      <c r="B671" s="41" t="s">
        <v>175</v>
      </c>
      <c r="C671" s="161" t="s">
        <v>131</v>
      </c>
      <c r="D671" s="92">
        <v>7795244</v>
      </c>
      <c r="E671" s="41">
        <v>46661</v>
      </c>
      <c r="F671" s="86">
        <v>2010</v>
      </c>
      <c r="G671" s="41"/>
      <c r="H671" s="42"/>
      <c r="I671" s="41"/>
      <c r="J671" s="92" t="s">
        <v>172</v>
      </c>
      <c r="K671" s="92">
        <v>45385</v>
      </c>
    </row>
    <row r="672" spans="1:11">
      <c r="A672" s="35">
        <f>(A671+1)</f>
        <v>669</v>
      </c>
      <c r="B672" s="41" t="s">
        <v>175</v>
      </c>
      <c r="C672" s="159" t="s">
        <v>192</v>
      </c>
      <c r="D672" s="92">
        <v>1094514</v>
      </c>
      <c r="E672" s="41">
        <v>65635</v>
      </c>
      <c r="F672" s="86">
        <v>2017</v>
      </c>
      <c r="G672" s="41"/>
      <c r="H672" s="42"/>
      <c r="I672" s="41"/>
      <c r="J672" s="92">
        <v>2</v>
      </c>
      <c r="K672" s="92">
        <v>45375</v>
      </c>
    </row>
    <row r="673" spans="1:11">
      <c r="A673" s="35">
        <f>(A672+1)</f>
        <v>670</v>
      </c>
      <c r="B673" s="41" t="s">
        <v>175</v>
      </c>
      <c r="C673" s="159" t="s">
        <v>128</v>
      </c>
      <c r="D673" s="92">
        <v>232652</v>
      </c>
      <c r="E673" s="41">
        <v>58104</v>
      </c>
      <c r="F673" s="86">
        <v>2014</v>
      </c>
      <c r="G673" s="41"/>
      <c r="H673" s="42"/>
      <c r="I673" s="41"/>
      <c r="J673" s="92">
        <v>6</v>
      </c>
      <c r="K673" s="92">
        <v>45345</v>
      </c>
    </row>
    <row r="674" spans="1:11">
      <c r="A674" s="35">
        <f>(A673+1)</f>
        <v>671</v>
      </c>
      <c r="B674" s="41" t="s">
        <v>175</v>
      </c>
      <c r="C674" s="159" t="s">
        <v>192</v>
      </c>
      <c r="D674" s="92">
        <v>873551</v>
      </c>
      <c r="E674" s="41">
        <v>5218</v>
      </c>
      <c r="F674" s="86">
        <v>2014</v>
      </c>
      <c r="G674" s="41"/>
      <c r="H674" s="42"/>
      <c r="I674" s="41"/>
      <c r="J674" s="92" t="s">
        <v>172</v>
      </c>
      <c r="K674" s="92">
        <v>45384</v>
      </c>
    </row>
    <row r="675" spans="1:11">
      <c r="A675" s="35">
        <f>(A674+1)</f>
        <v>672</v>
      </c>
      <c r="B675" s="41" t="s">
        <v>175</v>
      </c>
      <c r="C675" s="159" t="s">
        <v>128</v>
      </c>
      <c r="D675" s="92">
        <v>284587</v>
      </c>
      <c r="E675" s="41">
        <v>5545</v>
      </c>
      <c r="F675" s="86">
        <v>2016</v>
      </c>
      <c r="G675" s="41"/>
      <c r="H675" s="42"/>
      <c r="I675" s="41"/>
      <c r="J675" s="92">
        <v>3</v>
      </c>
      <c r="K675" s="92">
        <v>45373</v>
      </c>
    </row>
    <row r="676" spans="1:11">
      <c r="A676" s="35">
        <f>(A675+1)</f>
        <v>673</v>
      </c>
      <c r="B676" s="41" t="s">
        <v>175</v>
      </c>
      <c r="C676" s="159" t="s">
        <v>127</v>
      </c>
      <c r="D676" s="92">
        <v>266574</v>
      </c>
      <c r="E676" s="41">
        <v>5670</v>
      </c>
      <c r="F676" s="86">
        <v>2015</v>
      </c>
      <c r="G676" s="41"/>
      <c r="H676" s="42"/>
      <c r="I676" s="41"/>
      <c r="J676" s="92">
        <v>2</v>
      </c>
      <c r="K676" s="92">
        <v>45351</v>
      </c>
    </row>
    <row r="677" spans="1:11">
      <c r="A677" s="35">
        <f>(A676+1)</f>
        <v>674</v>
      </c>
      <c r="B677" s="41" t="s">
        <v>175</v>
      </c>
      <c r="C677" s="92" t="s">
        <v>166</v>
      </c>
      <c r="D677" s="84">
        <v>315471</v>
      </c>
      <c r="E677" s="41">
        <v>65711</v>
      </c>
      <c r="F677" s="148">
        <v>2014</v>
      </c>
      <c r="G677" s="41"/>
      <c r="H677" s="42"/>
      <c r="I677" s="41"/>
      <c r="J677" s="92">
        <v>23</v>
      </c>
      <c r="K677" s="92">
        <v>46760</v>
      </c>
    </row>
    <row r="678" spans="1:11">
      <c r="A678" s="35">
        <f>(A677+1)</f>
        <v>675</v>
      </c>
      <c r="B678" s="41" t="s">
        <v>175</v>
      </c>
      <c r="C678" s="92" t="s">
        <v>166</v>
      </c>
      <c r="D678" s="84">
        <v>271687</v>
      </c>
      <c r="E678" s="41">
        <v>77253</v>
      </c>
      <c r="F678" s="148">
        <v>2014</v>
      </c>
      <c r="G678" s="41"/>
      <c r="H678" s="42"/>
      <c r="I678" s="41"/>
      <c r="J678" s="92">
        <v>47</v>
      </c>
      <c r="K678" s="92">
        <v>46751</v>
      </c>
    </row>
    <row r="679" spans="1:11">
      <c r="A679" s="35">
        <f>(A678+1)</f>
        <v>676</v>
      </c>
      <c r="B679" s="41" t="s">
        <v>175</v>
      </c>
      <c r="C679" s="92" t="s">
        <v>192</v>
      </c>
      <c r="D679" s="84">
        <v>1301457</v>
      </c>
      <c r="E679" s="41">
        <v>72278</v>
      </c>
      <c r="F679" s="148">
        <v>2017</v>
      </c>
      <c r="G679" s="41"/>
      <c r="H679" s="42"/>
      <c r="I679" s="41"/>
      <c r="J679" s="92">
        <v>23</v>
      </c>
      <c r="K679" s="92">
        <v>46758</v>
      </c>
    </row>
    <row r="680" spans="1:11">
      <c r="A680" s="35">
        <f>(A679+1)</f>
        <v>677</v>
      </c>
      <c r="B680" s="41" t="s">
        <v>175</v>
      </c>
      <c r="C680" s="92" t="s">
        <v>192</v>
      </c>
      <c r="D680" s="84">
        <v>1082805</v>
      </c>
      <c r="E680" s="41">
        <v>65647</v>
      </c>
      <c r="F680" s="148">
        <v>2020</v>
      </c>
      <c r="G680" s="41"/>
      <c r="H680" s="42"/>
      <c r="I680" s="41"/>
      <c r="J680" s="92">
        <v>2</v>
      </c>
      <c r="K680" s="92">
        <v>46769</v>
      </c>
    </row>
    <row r="681" spans="1:11">
      <c r="A681" s="35">
        <f>(A680+1)</f>
        <v>678</v>
      </c>
      <c r="B681" s="41" t="s">
        <v>175</v>
      </c>
      <c r="C681" s="92" t="s">
        <v>130</v>
      </c>
      <c r="D681" s="84" t="s">
        <v>1159</v>
      </c>
      <c r="E681" s="41">
        <v>77255</v>
      </c>
      <c r="F681" s="148">
        <v>2018</v>
      </c>
      <c r="G681" s="41"/>
      <c r="H681" s="42"/>
      <c r="I681" s="41"/>
      <c r="J681" s="92" t="s">
        <v>172</v>
      </c>
      <c r="K681" s="92">
        <v>46783</v>
      </c>
    </row>
    <row r="682" spans="1:11">
      <c r="A682" s="35">
        <f>(A681+1)</f>
        <v>679</v>
      </c>
      <c r="B682" s="41" t="s">
        <v>175</v>
      </c>
      <c r="C682" s="92" t="s">
        <v>166</v>
      </c>
      <c r="D682" s="84">
        <v>244349</v>
      </c>
      <c r="E682" s="41">
        <v>40328</v>
      </c>
      <c r="F682" s="148">
        <v>2015</v>
      </c>
      <c r="G682" s="41"/>
      <c r="H682" s="42"/>
      <c r="I682" s="41"/>
      <c r="J682" s="92">
        <v>2</v>
      </c>
      <c r="K682" s="92">
        <v>46746</v>
      </c>
    </row>
    <row r="683" spans="1:11">
      <c r="A683" s="35">
        <f>(A682+1)</f>
        <v>680</v>
      </c>
      <c r="B683" s="41" t="s">
        <v>175</v>
      </c>
      <c r="C683" s="92" t="s">
        <v>166</v>
      </c>
      <c r="D683" s="84">
        <v>199345</v>
      </c>
      <c r="E683" s="41">
        <v>54782</v>
      </c>
      <c r="F683" s="148">
        <v>2021</v>
      </c>
      <c r="G683" s="41"/>
      <c r="H683" s="42"/>
      <c r="I683" s="41"/>
      <c r="J683" s="92">
        <v>27</v>
      </c>
      <c r="K683" s="92">
        <v>46753</v>
      </c>
    </row>
    <row r="684" spans="1:11">
      <c r="A684" s="35">
        <f>(A683+1)</f>
        <v>681</v>
      </c>
      <c r="B684" s="41" t="s">
        <v>175</v>
      </c>
      <c r="C684" s="92" t="s">
        <v>192</v>
      </c>
      <c r="D684" s="84">
        <v>327258</v>
      </c>
      <c r="E684" s="41">
        <v>77257</v>
      </c>
      <c r="F684" s="148">
        <v>2017</v>
      </c>
      <c r="G684" s="41"/>
      <c r="H684" s="42"/>
      <c r="I684" s="41"/>
      <c r="J684" s="92">
        <v>21</v>
      </c>
      <c r="K684" s="92">
        <v>46784</v>
      </c>
    </row>
    <row r="685" spans="1:11">
      <c r="A685" s="35">
        <f>(A684+1)</f>
        <v>682</v>
      </c>
      <c r="B685" s="41" t="s">
        <v>175</v>
      </c>
      <c r="C685" s="92" t="s">
        <v>128</v>
      </c>
      <c r="D685" s="84">
        <v>91819</v>
      </c>
      <c r="E685" s="41">
        <v>70810</v>
      </c>
      <c r="F685" s="148">
        <v>2007</v>
      </c>
      <c r="G685" s="41"/>
      <c r="H685" s="42"/>
      <c r="I685" s="41"/>
      <c r="J685" s="92">
        <v>19</v>
      </c>
      <c r="K685" s="92">
        <v>47029</v>
      </c>
    </row>
    <row r="686" spans="1:11">
      <c r="A686" s="35">
        <f>(A685+1)</f>
        <v>683</v>
      </c>
      <c r="B686" s="41" t="s">
        <v>175</v>
      </c>
      <c r="C686" s="92" t="s">
        <v>166</v>
      </c>
      <c r="D686" s="84">
        <v>284825</v>
      </c>
      <c r="E686" s="41">
        <v>62747</v>
      </c>
      <c r="F686" s="148">
        <v>2016</v>
      </c>
      <c r="G686" s="41"/>
      <c r="H686" s="42"/>
      <c r="I686" s="41"/>
      <c r="J686" s="92">
        <v>9</v>
      </c>
      <c r="K686" s="92">
        <v>47028</v>
      </c>
    </row>
    <row r="687" spans="1:11">
      <c r="A687" s="35">
        <f>(A686+1)</f>
        <v>684</v>
      </c>
      <c r="B687" s="41" t="s">
        <v>175</v>
      </c>
      <c r="C687" s="100" t="s">
        <v>193</v>
      </c>
      <c r="D687" s="100">
        <v>170714</v>
      </c>
      <c r="E687" s="41">
        <v>79280</v>
      </c>
      <c r="F687" s="101">
        <v>2010</v>
      </c>
      <c r="G687" s="41"/>
      <c r="H687" s="42"/>
      <c r="I687" s="41"/>
      <c r="J687" s="92"/>
      <c r="K687" s="100">
        <v>66484</v>
      </c>
    </row>
    <row r="688" spans="1:11">
      <c r="A688" s="60" t="s">
        <v>296</v>
      </c>
      <c r="B688" s="41">
        <f>SUBTOTAL(3,B460:B687)</f>
        <v>228</v>
      </c>
      <c r="C688" s="41"/>
      <c r="D688" s="84"/>
      <c r="E688" s="41"/>
      <c r="F688" s="85"/>
      <c r="G688" s="41"/>
      <c r="H688" s="42"/>
      <c r="I688" s="41"/>
      <c r="J688" s="92"/>
      <c r="K688" s="92"/>
    </row>
    <row r="689" spans="1:11">
      <c r="A689" s="35">
        <f>(A687+1)</f>
        <v>685</v>
      </c>
      <c r="B689" s="41" t="s">
        <v>69</v>
      </c>
      <c r="C689" s="159" t="s">
        <v>193</v>
      </c>
      <c r="D689" s="84">
        <v>215531</v>
      </c>
      <c r="E689" s="41" t="s">
        <v>172</v>
      </c>
      <c r="F689" s="85"/>
      <c r="G689" s="41"/>
      <c r="H689" s="42"/>
      <c r="I689" s="41"/>
      <c r="J689" s="92">
        <v>12</v>
      </c>
      <c r="K689" s="92">
        <v>49158</v>
      </c>
    </row>
    <row r="690" spans="1:11">
      <c r="A690" s="35">
        <f>(A689+1)</f>
        <v>686</v>
      </c>
      <c r="B690" s="41" t="s">
        <v>69</v>
      </c>
      <c r="C690" s="159" t="s">
        <v>193</v>
      </c>
      <c r="D690" s="84">
        <v>24923</v>
      </c>
      <c r="E690" s="41" t="s">
        <v>172</v>
      </c>
      <c r="F690" s="85"/>
      <c r="G690" s="41"/>
      <c r="H690" s="42"/>
      <c r="I690" s="41"/>
      <c r="J690" s="92">
        <v>41</v>
      </c>
      <c r="K690" s="92">
        <v>49157</v>
      </c>
    </row>
    <row r="691" spans="1:11">
      <c r="A691" s="35">
        <f>(A690+1)</f>
        <v>687</v>
      </c>
      <c r="B691" s="41" t="s">
        <v>69</v>
      </c>
      <c r="C691" s="159" t="s">
        <v>193</v>
      </c>
      <c r="D691" s="84">
        <v>172768</v>
      </c>
      <c r="E691" s="41" t="s">
        <v>172</v>
      </c>
      <c r="F691" s="85"/>
      <c r="G691" s="41"/>
      <c r="H691" s="42"/>
      <c r="I691" s="41"/>
      <c r="J691" s="92">
        <v>29</v>
      </c>
      <c r="K691" s="92">
        <v>49156</v>
      </c>
    </row>
    <row r="692" spans="1:11">
      <c r="A692" s="35">
        <f>(A691+1)</f>
        <v>688</v>
      </c>
      <c r="B692" s="41" t="s">
        <v>69</v>
      </c>
      <c r="C692" s="159" t="s">
        <v>193</v>
      </c>
      <c r="D692" s="84">
        <v>9411550</v>
      </c>
      <c r="E692" s="41" t="s">
        <v>172</v>
      </c>
      <c r="F692" s="85"/>
      <c r="G692" s="41"/>
      <c r="H692" s="42"/>
      <c r="I692" s="41"/>
      <c r="J692" s="92">
        <v>9</v>
      </c>
      <c r="K692" s="92">
        <v>49155</v>
      </c>
    </row>
    <row r="693" spans="1:11">
      <c r="A693" s="35">
        <f>(A692+1)</f>
        <v>689</v>
      </c>
      <c r="B693" s="41" t="s">
        <v>69</v>
      </c>
      <c r="C693" s="159" t="s">
        <v>191</v>
      </c>
      <c r="D693" s="84">
        <v>152138</v>
      </c>
      <c r="E693" s="41" t="s">
        <v>172</v>
      </c>
      <c r="F693" s="147"/>
      <c r="G693" s="41"/>
      <c r="H693" s="42"/>
      <c r="I693" s="41"/>
      <c r="J693" s="92">
        <v>14</v>
      </c>
      <c r="K693" s="92">
        <v>49154</v>
      </c>
    </row>
    <row r="694" spans="1:11">
      <c r="A694" s="35">
        <f>(A693+1)</f>
        <v>690</v>
      </c>
      <c r="B694" s="41" t="s">
        <v>69</v>
      </c>
      <c r="C694" s="159" t="s">
        <v>191</v>
      </c>
      <c r="D694" s="84">
        <v>7060</v>
      </c>
      <c r="E694" s="41" t="s">
        <v>172</v>
      </c>
      <c r="F694" s="83"/>
      <c r="G694" s="41"/>
      <c r="H694" s="42"/>
      <c r="I694" s="41"/>
      <c r="J694" s="92">
        <v>5</v>
      </c>
      <c r="K694" s="92">
        <v>37100</v>
      </c>
    </row>
    <row r="695" spans="1:11">
      <c r="A695" s="35">
        <f>(A694+1)</f>
        <v>691</v>
      </c>
      <c r="B695" s="41" t="s">
        <v>69</v>
      </c>
      <c r="C695" s="159" t="s">
        <v>193</v>
      </c>
      <c r="D695" s="84">
        <v>6925</v>
      </c>
      <c r="E695" s="41" t="s">
        <v>172</v>
      </c>
      <c r="F695" s="85"/>
      <c r="G695" s="41"/>
      <c r="H695" s="42"/>
      <c r="I695" s="41"/>
      <c r="J695" s="92">
        <v>16</v>
      </c>
      <c r="K695" s="92">
        <v>49153</v>
      </c>
    </row>
    <row r="696" spans="1:11">
      <c r="A696" s="35">
        <f>(A695+1)</f>
        <v>692</v>
      </c>
      <c r="B696" s="41" t="s">
        <v>69</v>
      </c>
      <c r="C696" s="159" t="s">
        <v>193</v>
      </c>
      <c r="D696" s="84">
        <v>193639</v>
      </c>
      <c r="E696" s="41" t="s">
        <v>172</v>
      </c>
      <c r="F696" s="83"/>
      <c r="G696" s="41"/>
      <c r="H696" s="42"/>
      <c r="I696" s="41"/>
      <c r="J696" s="92">
        <v>17</v>
      </c>
      <c r="K696" s="92">
        <v>49152</v>
      </c>
    </row>
    <row r="697" spans="1:11">
      <c r="A697" s="35">
        <f>(A696+1)</f>
        <v>693</v>
      </c>
      <c r="B697" s="41" t="s">
        <v>69</v>
      </c>
      <c r="C697" s="159" t="s">
        <v>193</v>
      </c>
      <c r="D697" s="84">
        <v>178043</v>
      </c>
      <c r="E697" s="41" t="s">
        <v>172</v>
      </c>
      <c r="F697" s="85"/>
      <c r="G697" s="41"/>
      <c r="H697" s="42"/>
      <c r="I697" s="41"/>
      <c r="J697" s="92">
        <v>5</v>
      </c>
      <c r="K697" s="92">
        <v>49151</v>
      </c>
    </row>
    <row r="698" spans="1:11">
      <c r="A698" s="35">
        <f>(A697+1)</f>
        <v>694</v>
      </c>
      <c r="B698" s="41" t="s">
        <v>69</v>
      </c>
      <c r="C698" s="159" t="s">
        <v>131</v>
      </c>
      <c r="D698" s="84" t="s">
        <v>1160</v>
      </c>
      <c r="E698" s="41" t="s">
        <v>172</v>
      </c>
      <c r="F698" s="85"/>
      <c r="G698" s="41"/>
      <c r="H698" s="42"/>
      <c r="I698" s="41"/>
      <c r="J698" s="92">
        <v>5</v>
      </c>
      <c r="K698" s="92">
        <v>49150</v>
      </c>
    </row>
    <row r="699" spans="1:11">
      <c r="A699" s="35">
        <f>(A698+1)</f>
        <v>695</v>
      </c>
      <c r="B699" s="41" t="s">
        <v>69</v>
      </c>
      <c r="C699" s="159" t="s">
        <v>131</v>
      </c>
      <c r="D699" s="84">
        <v>8615339</v>
      </c>
      <c r="E699" s="41" t="s">
        <v>172</v>
      </c>
      <c r="F699" s="85"/>
      <c r="G699" s="41"/>
      <c r="H699" s="42"/>
      <c r="I699" s="41"/>
      <c r="J699" s="92">
        <v>2</v>
      </c>
      <c r="K699" s="92">
        <v>49149</v>
      </c>
    </row>
    <row r="700" spans="1:11">
      <c r="A700" s="35">
        <f>(A699+1)</f>
        <v>696</v>
      </c>
      <c r="B700" s="41" t="s">
        <v>69</v>
      </c>
      <c r="C700" s="159" t="s">
        <v>131</v>
      </c>
      <c r="D700" s="84">
        <v>208960</v>
      </c>
      <c r="E700" s="41" t="s">
        <v>172</v>
      </c>
      <c r="F700" s="85"/>
      <c r="G700" s="41"/>
      <c r="H700" s="42"/>
      <c r="I700" s="41"/>
      <c r="J700" s="92">
        <v>16</v>
      </c>
      <c r="K700" s="92">
        <v>49148</v>
      </c>
    </row>
    <row r="701" spans="1:11">
      <c r="A701" s="35">
        <f>(A700+1)</f>
        <v>697</v>
      </c>
      <c r="B701" s="41" t="s">
        <v>69</v>
      </c>
      <c r="C701" s="159" t="s">
        <v>131</v>
      </c>
      <c r="D701" s="84">
        <v>198406</v>
      </c>
      <c r="E701" s="41" t="s">
        <v>172</v>
      </c>
      <c r="F701" s="85"/>
      <c r="G701" s="41"/>
      <c r="H701" s="42"/>
      <c r="I701" s="41"/>
      <c r="J701" s="92">
        <v>9</v>
      </c>
      <c r="K701" s="92">
        <v>49147</v>
      </c>
    </row>
    <row r="702" spans="1:11">
      <c r="A702" s="35">
        <f>(A701+1)</f>
        <v>698</v>
      </c>
      <c r="B702" s="41" t="s">
        <v>69</v>
      </c>
      <c r="C702" s="159" t="s">
        <v>131</v>
      </c>
      <c r="D702" s="84">
        <v>25505</v>
      </c>
      <c r="E702" s="41" t="s">
        <v>172</v>
      </c>
      <c r="F702" s="85"/>
      <c r="G702" s="41"/>
      <c r="H702" s="42"/>
      <c r="I702" s="41"/>
      <c r="J702" s="92">
        <v>31</v>
      </c>
      <c r="K702" s="92">
        <v>49146</v>
      </c>
    </row>
    <row r="703" spans="1:11">
      <c r="A703" s="35">
        <f>(A702+1)</f>
        <v>699</v>
      </c>
      <c r="B703" s="41" t="s">
        <v>69</v>
      </c>
      <c r="C703" s="159" t="s">
        <v>131</v>
      </c>
      <c r="D703" s="84">
        <v>43757</v>
      </c>
      <c r="E703" s="41" t="s">
        <v>172</v>
      </c>
      <c r="F703" s="85"/>
      <c r="G703" s="41"/>
      <c r="H703" s="42"/>
      <c r="I703" s="41"/>
      <c r="J703" s="92">
        <v>22</v>
      </c>
      <c r="K703" s="92">
        <v>49145</v>
      </c>
    </row>
    <row r="704" spans="1:11">
      <c r="A704" s="35">
        <f>(A703+1)</f>
        <v>700</v>
      </c>
      <c r="B704" s="41" t="s">
        <v>69</v>
      </c>
      <c r="C704" s="159" t="s">
        <v>131</v>
      </c>
      <c r="D704" s="84">
        <v>6639</v>
      </c>
      <c r="E704" s="41" t="s">
        <v>172</v>
      </c>
      <c r="F704" s="85"/>
      <c r="G704" s="41"/>
      <c r="H704" s="42"/>
      <c r="I704" s="41"/>
      <c r="J704" s="92">
        <v>8</v>
      </c>
      <c r="K704" s="92">
        <v>37043</v>
      </c>
    </row>
    <row r="705" spans="1:11">
      <c r="A705" s="35">
        <f>(A704+1)</f>
        <v>701</v>
      </c>
      <c r="B705" s="41" t="s">
        <v>69</v>
      </c>
      <c r="C705" s="159" t="s">
        <v>131</v>
      </c>
      <c r="D705" s="84">
        <v>43848</v>
      </c>
      <c r="E705" s="41" t="s">
        <v>172</v>
      </c>
      <c r="F705" s="85"/>
      <c r="G705" s="41"/>
      <c r="H705" s="42"/>
      <c r="I705" s="41"/>
      <c r="J705" s="92">
        <v>25</v>
      </c>
      <c r="K705" s="92">
        <v>49144</v>
      </c>
    </row>
    <row r="706" spans="1:11">
      <c r="A706" s="35">
        <f>(A705+1)</f>
        <v>702</v>
      </c>
      <c r="B706" s="41" t="s">
        <v>69</v>
      </c>
      <c r="C706" s="159" t="s">
        <v>1157</v>
      </c>
      <c r="D706" s="84" t="s">
        <v>1161</v>
      </c>
      <c r="E706" s="41" t="s">
        <v>172</v>
      </c>
      <c r="F706" s="85"/>
      <c r="G706" s="41"/>
      <c r="H706" s="42"/>
      <c r="I706" s="41"/>
      <c r="J706" s="92">
        <v>36</v>
      </c>
      <c r="K706" s="92">
        <v>49143</v>
      </c>
    </row>
    <row r="707" spans="1:11">
      <c r="A707" s="35">
        <f>(A706+1)</f>
        <v>703</v>
      </c>
      <c r="B707" s="41" t="s">
        <v>69</v>
      </c>
      <c r="C707" s="92" t="s">
        <v>191</v>
      </c>
      <c r="D707" s="84">
        <v>195990</v>
      </c>
      <c r="E707" s="41" t="s">
        <v>172</v>
      </c>
      <c r="F707" s="85"/>
      <c r="G707" s="41"/>
      <c r="H707" s="42"/>
      <c r="I707" s="41"/>
      <c r="J707" s="92">
        <v>26</v>
      </c>
      <c r="K707" s="92">
        <v>48916</v>
      </c>
    </row>
    <row r="708" spans="1:11">
      <c r="A708" s="35">
        <f>(A707+1)</f>
        <v>704</v>
      </c>
      <c r="B708" s="41" t="s">
        <v>69</v>
      </c>
      <c r="C708" s="92" t="s">
        <v>191</v>
      </c>
      <c r="D708" s="84">
        <v>6003</v>
      </c>
      <c r="E708" s="41" t="s">
        <v>172</v>
      </c>
      <c r="F708" s="85"/>
      <c r="G708" s="41"/>
      <c r="H708" s="42"/>
      <c r="I708" s="41"/>
      <c r="J708" s="92">
        <v>15</v>
      </c>
      <c r="K708" s="92">
        <v>48917</v>
      </c>
    </row>
    <row r="709" spans="1:11">
      <c r="A709" s="35">
        <f>(A708+1)</f>
        <v>705</v>
      </c>
      <c r="B709" s="41" t="s">
        <v>69</v>
      </c>
      <c r="C709" s="92" t="s">
        <v>191</v>
      </c>
      <c r="D709" s="84">
        <v>78856</v>
      </c>
      <c r="E709" s="41" t="s">
        <v>172</v>
      </c>
      <c r="F709" s="85"/>
      <c r="G709" s="41"/>
      <c r="H709" s="42"/>
      <c r="I709" s="41"/>
      <c r="J709" s="92">
        <v>9</v>
      </c>
      <c r="K709" s="92">
        <v>48918</v>
      </c>
    </row>
    <row r="710" spans="1:11">
      <c r="A710" s="35">
        <f>(A709+1)</f>
        <v>706</v>
      </c>
      <c r="B710" s="41" t="s">
        <v>69</v>
      </c>
      <c r="C710" s="92" t="s">
        <v>191</v>
      </c>
      <c r="D710" s="84">
        <v>197459</v>
      </c>
      <c r="E710" s="41" t="s">
        <v>172</v>
      </c>
      <c r="F710" s="85"/>
      <c r="G710" s="41"/>
      <c r="H710" s="42"/>
      <c r="I710" s="41"/>
      <c r="J710" s="92">
        <v>2</v>
      </c>
      <c r="K710" s="92">
        <v>48919</v>
      </c>
    </row>
    <row r="711" spans="1:11">
      <c r="A711" s="35">
        <f>(A710+1)</f>
        <v>707</v>
      </c>
      <c r="B711" s="41" t="s">
        <v>69</v>
      </c>
      <c r="C711" s="136" t="s">
        <v>191</v>
      </c>
      <c r="D711" s="90">
        <v>4969</v>
      </c>
      <c r="E711" s="41" t="s">
        <v>172</v>
      </c>
      <c r="F711" s="85"/>
      <c r="G711" s="41"/>
      <c r="H711" s="42"/>
      <c r="I711" s="41"/>
      <c r="J711" s="136">
        <v>11</v>
      </c>
      <c r="K711" s="136">
        <v>48920</v>
      </c>
    </row>
    <row r="712" spans="1:11">
      <c r="A712" s="35">
        <f>(A711+1)</f>
        <v>708</v>
      </c>
      <c r="B712" s="41" t="s">
        <v>69</v>
      </c>
      <c r="C712" s="137" t="s">
        <v>193</v>
      </c>
      <c r="D712" s="82">
        <v>179397</v>
      </c>
      <c r="E712" s="41" t="s">
        <v>172</v>
      </c>
      <c r="F712" s="85"/>
      <c r="G712" s="41"/>
      <c r="H712" s="42"/>
      <c r="I712" s="41"/>
      <c r="J712" s="137">
        <v>7</v>
      </c>
      <c r="K712" s="137">
        <v>48921</v>
      </c>
    </row>
    <row r="713" spans="1:11">
      <c r="A713" s="35">
        <f>(A712+1)</f>
        <v>709</v>
      </c>
      <c r="B713" s="41" t="s">
        <v>69</v>
      </c>
      <c r="C713" s="92" t="s">
        <v>193</v>
      </c>
      <c r="D713" s="84">
        <v>20669</v>
      </c>
      <c r="E713" s="41" t="s">
        <v>172</v>
      </c>
      <c r="F713" s="85"/>
      <c r="G713" s="41"/>
      <c r="H713" s="42"/>
      <c r="I713" s="41"/>
      <c r="J713" s="92">
        <v>28</v>
      </c>
      <c r="K713" s="92">
        <v>48922</v>
      </c>
    </row>
    <row r="714" spans="1:11">
      <c r="A714" s="35">
        <f>(A713+1)</f>
        <v>710</v>
      </c>
      <c r="B714" s="41" t="s">
        <v>69</v>
      </c>
      <c r="C714" s="92" t="s">
        <v>193</v>
      </c>
      <c r="D714" s="84">
        <v>184211</v>
      </c>
      <c r="E714" s="41" t="s">
        <v>172</v>
      </c>
      <c r="F714" s="85"/>
      <c r="G714" s="41"/>
      <c r="H714" s="42"/>
      <c r="I714" s="41"/>
      <c r="J714" s="92">
        <v>2</v>
      </c>
      <c r="K714" s="92">
        <v>48923</v>
      </c>
    </row>
    <row r="715" spans="1:11">
      <c r="A715" s="35">
        <f>(A714+1)</f>
        <v>711</v>
      </c>
      <c r="B715" s="41" t="s">
        <v>69</v>
      </c>
      <c r="C715" s="92" t="s">
        <v>193</v>
      </c>
      <c r="D715" s="84">
        <v>11731</v>
      </c>
      <c r="E715" s="41" t="s">
        <v>172</v>
      </c>
      <c r="F715" s="85"/>
      <c r="G715" s="41"/>
      <c r="H715" s="42"/>
      <c r="I715" s="41"/>
      <c r="J715" s="92">
        <v>6</v>
      </c>
      <c r="K715" s="92">
        <v>48924</v>
      </c>
    </row>
    <row r="716" spans="1:11">
      <c r="A716" s="35">
        <f>(A715+1)</f>
        <v>712</v>
      </c>
      <c r="B716" s="41" t="s">
        <v>69</v>
      </c>
      <c r="C716" s="92" t="s">
        <v>193</v>
      </c>
      <c r="D716" s="84">
        <v>9857042</v>
      </c>
      <c r="E716" s="41" t="s">
        <v>172</v>
      </c>
      <c r="F716" s="85"/>
      <c r="G716" s="41"/>
      <c r="H716" s="42"/>
      <c r="I716" s="41"/>
      <c r="J716" s="92">
        <v>2</v>
      </c>
      <c r="K716" s="92">
        <v>48925</v>
      </c>
    </row>
    <row r="717" spans="1:11">
      <c r="A717" s="35">
        <f>(A716+1)</f>
        <v>713</v>
      </c>
      <c r="B717" s="41" t="s">
        <v>69</v>
      </c>
      <c r="C717" s="92" t="s">
        <v>193</v>
      </c>
      <c r="D717" s="84">
        <v>9857323</v>
      </c>
      <c r="E717" s="41" t="s">
        <v>172</v>
      </c>
      <c r="F717" s="85"/>
      <c r="G717" s="41"/>
      <c r="H717" s="42"/>
      <c r="I717" s="41"/>
      <c r="J717" s="92">
        <v>3</v>
      </c>
      <c r="K717" s="92">
        <v>48926</v>
      </c>
    </row>
    <row r="718" spans="1:11">
      <c r="A718" s="35">
        <f>(A717+1)</f>
        <v>714</v>
      </c>
      <c r="B718" s="41" t="s">
        <v>69</v>
      </c>
      <c r="C718" s="92" t="s">
        <v>193</v>
      </c>
      <c r="D718" s="84">
        <v>191627</v>
      </c>
      <c r="E718" s="41" t="s">
        <v>172</v>
      </c>
      <c r="F718" s="85"/>
      <c r="G718" s="41"/>
      <c r="H718" s="42"/>
      <c r="I718" s="41"/>
      <c r="J718" s="92">
        <v>25</v>
      </c>
      <c r="K718" s="92">
        <v>48927</v>
      </c>
    </row>
    <row r="719" spans="1:11">
      <c r="A719" s="35">
        <f>(A718+1)</f>
        <v>715</v>
      </c>
      <c r="B719" s="41" t="s">
        <v>69</v>
      </c>
      <c r="C719" s="92" t="s">
        <v>193</v>
      </c>
      <c r="D719" s="84">
        <v>192463</v>
      </c>
      <c r="E719" s="41" t="s">
        <v>172</v>
      </c>
      <c r="F719" s="85"/>
      <c r="G719" s="41"/>
      <c r="H719" s="42"/>
      <c r="I719" s="41"/>
      <c r="J719" s="92">
        <v>15</v>
      </c>
      <c r="K719" s="92">
        <v>48928</v>
      </c>
    </row>
    <row r="720" spans="1:11">
      <c r="A720" s="35">
        <f>(A719+1)</f>
        <v>716</v>
      </c>
      <c r="B720" s="41" t="s">
        <v>69</v>
      </c>
      <c r="C720" s="92" t="s">
        <v>193</v>
      </c>
      <c r="D720" s="84">
        <v>4698</v>
      </c>
      <c r="E720" s="41" t="s">
        <v>172</v>
      </c>
      <c r="F720" s="85"/>
      <c r="G720" s="41"/>
      <c r="H720" s="42"/>
      <c r="I720" s="41"/>
      <c r="J720" s="92">
        <v>35</v>
      </c>
      <c r="K720" s="92">
        <v>48929</v>
      </c>
    </row>
    <row r="721" spans="1:11">
      <c r="A721" s="35">
        <f>(A720+1)</f>
        <v>717</v>
      </c>
      <c r="B721" s="41" t="s">
        <v>69</v>
      </c>
      <c r="C721" s="92" t="s">
        <v>192</v>
      </c>
      <c r="D721" s="84">
        <v>4614</v>
      </c>
      <c r="E721" s="41" t="s">
        <v>172</v>
      </c>
      <c r="F721" s="85"/>
      <c r="G721" s="41"/>
      <c r="H721" s="42"/>
      <c r="I721" s="41"/>
      <c r="J721" s="92">
        <v>14</v>
      </c>
      <c r="K721" s="92">
        <v>34598</v>
      </c>
    </row>
    <row r="722" spans="1:11">
      <c r="A722" s="35">
        <f>(A721+1)</f>
        <v>718</v>
      </c>
      <c r="B722" s="41" t="s">
        <v>69</v>
      </c>
      <c r="C722" s="92" t="s">
        <v>192</v>
      </c>
      <c r="D722" s="84">
        <v>194557</v>
      </c>
      <c r="E722" s="41" t="s">
        <v>172</v>
      </c>
      <c r="F722" s="85"/>
      <c r="G722" s="41"/>
      <c r="H722" s="42"/>
      <c r="I722" s="41"/>
      <c r="J722" s="92">
        <v>2</v>
      </c>
      <c r="K722" s="92">
        <v>48931</v>
      </c>
    </row>
    <row r="723" spans="1:11">
      <c r="A723" s="35">
        <f>(A722+1)</f>
        <v>719</v>
      </c>
      <c r="B723" s="41" t="s">
        <v>69</v>
      </c>
      <c r="C723" s="136" t="s">
        <v>192</v>
      </c>
      <c r="D723" s="90">
        <v>121774</v>
      </c>
      <c r="E723" s="41" t="s">
        <v>172</v>
      </c>
      <c r="F723" s="85"/>
      <c r="G723" s="41"/>
      <c r="H723" s="42"/>
      <c r="I723" s="41"/>
      <c r="J723" s="136">
        <v>7</v>
      </c>
      <c r="K723" s="136">
        <v>48932</v>
      </c>
    </row>
    <row r="724" spans="1:11">
      <c r="A724" s="35">
        <f>(A723+1)</f>
        <v>720</v>
      </c>
      <c r="B724" s="41" t="s">
        <v>69</v>
      </c>
      <c r="C724" s="137" t="s">
        <v>192</v>
      </c>
      <c r="D724" s="82">
        <v>76946</v>
      </c>
      <c r="E724" s="41" t="s">
        <v>172</v>
      </c>
      <c r="F724" s="85"/>
      <c r="G724" s="41"/>
      <c r="H724" s="42"/>
      <c r="I724" s="41"/>
      <c r="J724" s="137">
        <v>12</v>
      </c>
      <c r="K724" s="137">
        <v>48933</v>
      </c>
    </row>
    <row r="725" spans="1:11">
      <c r="A725" s="35">
        <f>(A724+1)</f>
        <v>721</v>
      </c>
      <c r="B725" s="41" t="s">
        <v>69</v>
      </c>
      <c r="C725" s="92" t="s">
        <v>192</v>
      </c>
      <c r="D725" s="84">
        <v>9711944</v>
      </c>
      <c r="E725" s="41" t="s">
        <v>172</v>
      </c>
      <c r="F725" s="85"/>
      <c r="G725" s="41"/>
      <c r="H725" s="42"/>
      <c r="I725" s="41"/>
      <c r="J725" s="92">
        <v>12</v>
      </c>
      <c r="K725" s="92">
        <v>48934</v>
      </c>
    </row>
    <row r="726" spans="1:11">
      <c r="A726" s="35">
        <f>(A725+1)</f>
        <v>722</v>
      </c>
      <c r="B726" s="41" t="s">
        <v>69</v>
      </c>
      <c r="C726" s="92" t="s">
        <v>192</v>
      </c>
      <c r="D726" s="84">
        <v>203910</v>
      </c>
      <c r="E726" s="41" t="s">
        <v>172</v>
      </c>
      <c r="F726" s="124"/>
      <c r="G726" s="41"/>
      <c r="H726" s="42"/>
      <c r="I726" s="41"/>
      <c r="J726" s="92">
        <v>8</v>
      </c>
      <c r="K726" s="92">
        <v>48935</v>
      </c>
    </row>
    <row r="727" spans="1:11">
      <c r="A727" s="35">
        <f>(A726+1)</f>
        <v>723</v>
      </c>
      <c r="B727" s="41" t="s">
        <v>69</v>
      </c>
      <c r="C727" s="92" t="s">
        <v>192</v>
      </c>
      <c r="D727" s="84">
        <v>150449</v>
      </c>
      <c r="E727" s="41" t="s">
        <v>172</v>
      </c>
      <c r="F727" s="85"/>
      <c r="G727" s="41"/>
      <c r="H727" s="42"/>
      <c r="I727" s="41"/>
      <c r="J727" s="92">
        <v>21</v>
      </c>
      <c r="K727" s="92">
        <v>48936</v>
      </c>
    </row>
    <row r="728" spans="1:11">
      <c r="A728" s="35">
        <f>(A727+1)</f>
        <v>724</v>
      </c>
      <c r="B728" s="41" t="s">
        <v>69</v>
      </c>
      <c r="C728" s="92" t="s">
        <v>193</v>
      </c>
      <c r="D728" s="84">
        <v>4589</v>
      </c>
      <c r="E728" s="41" t="s">
        <v>172</v>
      </c>
      <c r="F728" s="85"/>
      <c r="G728" s="41"/>
      <c r="H728" s="42"/>
      <c r="I728" s="41"/>
      <c r="J728" s="92">
        <v>3</v>
      </c>
      <c r="K728" s="92">
        <v>48937</v>
      </c>
    </row>
    <row r="729" spans="1:11">
      <c r="A729" s="35">
        <f>(A728+1)</f>
        <v>725</v>
      </c>
      <c r="B729" s="41" t="s">
        <v>69</v>
      </c>
      <c r="C729" s="136" t="s">
        <v>192</v>
      </c>
      <c r="D729" s="90">
        <v>167666</v>
      </c>
      <c r="E729" s="41" t="s">
        <v>172</v>
      </c>
      <c r="F729" s="85"/>
      <c r="G729" s="41"/>
      <c r="H729" s="42"/>
      <c r="I729" s="41"/>
      <c r="J729" s="136">
        <v>3</v>
      </c>
      <c r="K729" s="136">
        <v>48938</v>
      </c>
    </row>
    <row r="730" spans="1:11">
      <c r="A730" s="35">
        <f>(A729+1)</f>
        <v>726</v>
      </c>
      <c r="B730" s="41" t="s">
        <v>69</v>
      </c>
      <c r="C730" s="137" t="s">
        <v>192</v>
      </c>
      <c r="D730" s="82">
        <v>213866</v>
      </c>
      <c r="E730" s="41" t="s">
        <v>172</v>
      </c>
      <c r="F730" s="85"/>
      <c r="G730" s="41"/>
      <c r="H730" s="42"/>
      <c r="I730" s="41"/>
      <c r="J730" s="137">
        <v>3</v>
      </c>
      <c r="K730" s="137">
        <v>48939</v>
      </c>
    </row>
    <row r="731" spans="1:11">
      <c r="A731" s="35">
        <f>(A730+1)</f>
        <v>727</v>
      </c>
      <c r="B731" s="41" t="s">
        <v>69</v>
      </c>
      <c r="C731" s="92" t="s">
        <v>192</v>
      </c>
      <c r="D731" s="84">
        <v>9426728</v>
      </c>
      <c r="E731" s="41" t="s">
        <v>172</v>
      </c>
      <c r="F731" s="85"/>
      <c r="G731" s="41"/>
      <c r="H731" s="42"/>
      <c r="I731" s="41"/>
      <c r="J731" s="92">
        <v>14</v>
      </c>
      <c r="K731" s="92">
        <v>48940</v>
      </c>
    </row>
    <row r="732" spans="1:11">
      <c r="A732" s="35">
        <f>(A731+1)</f>
        <v>728</v>
      </c>
      <c r="B732" s="41" t="s">
        <v>69</v>
      </c>
      <c r="C732" s="92" t="s">
        <v>130</v>
      </c>
      <c r="D732" s="84">
        <v>9410450</v>
      </c>
      <c r="E732" s="41" t="s">
        <v>172</v>
      </c>
      <c r="F732" s="85"/>
      <c r="G732" s="41"/>
      <c r="H732" s="42"/>
      <c r="I732" s="41"/>
      <c r="J732" s="92">
        <v>8</v>
      </c>
      <c r="K732" s="92">
        <v>37102</v>
      </c>
    </row>
    <row r="733" spans="1:11">
      <c r="A733" s="35">
        <f>(A732+1)</f>
        <v>729</v>
      </c>
      <c r="B733" s="41" t="s">
        <v>69</v>
      </c>
      <c r="C733" s="136" t="s">
        <v>192</v>
      </c>
      <c r="D733" s="90">
        <v>124212</v>
      </c>
      <c r="E733" s="41" t="s">
        <v>172</v>
      </c>
      <c r="F733" s="85"/>
      <c r="G733" s="41"/>
      <c r="H733" s="42"/>
      <c r="I733" s="41"/>
      <c r="J733" s="136">
        <v>10</v>
      </c>
      <c r="K733" s="136">
        <v>48941</v>
      </c>
    </row>
    <row r="734" spans="1:11">
      <c r="A734" s="35">
        <f>(A733+1)</f>
        <v>730</v>
      </c>
      <c r="B734" s="41" t="s">
        <v>69</v>
      </c>
      <c r="C734" s="137" t="s">
        <v>193</v>
      </c>
      <c r="D734" s="82">
        <v>5087</v>
      </c>
      <c r="E734" s="41" t="s">
        <v>172</v>
      </c>
      <c r="F734" s="85"/>
      <c r="G734" s="41"/>
      <c r="H734" s="42"/>
      <c r="I734" s="41"/>
      <c r="J734" s="137">
        <v>7</v>
      </c>
      <c r="K734" s="137">
        <v>48942</v>
      </c>
    </row>
    <row r="735" spans="1:11">
      <c r="A735" s="35">
        <f>(A734+1)</f>
        <v>731</v>
      </c>
      <c r="B735" s="41" t="s">
        <v>69</v>
      </c>
      <c r="C735" s="92" t="s">
        <v>128</v>
      </c>
      <c r="D735" s="84">
        <v>136012</v>
      </c>
      <c r="E735" s="41" t="s">
        <v>172</v>
      </c>
      <c r="F735" s="85"/>
      <c r="G735" s="41"/>
      <c r="H735" s="42"/>
      <c r="I735" s="41"/>
      <c r="J735" s="92">
        <v>2</v>
      </c>
      <c r="K735" s="92">
        <v>48943</v>
      </c>
    </row>
    <row r="736" spans="1:11">
      <c r="A736" s="35">
        <f>(A735+1)</f>
        <v>732</v>
      </c>
      <c r="B736" s="41" t="s">
        <v>69</v>
      </c>
      <c r="C736" s="136" t="s">
        <v>128</v>
      </c>
      <c r="D736" s="90">
        <v>67415</v>
      </c>
      <c r="E736" s="41" t="s">
        <v>172</v>
      </c>
      <c r="F736" s="85"/>
      <c r="G736" s="41"/>
      <c r="H736" s="42"/>
      <c r="I736" s="41"/>
      <c r="J736" s="136">
        <v>2</v>
      </c>
      <c r="K736" s="136">
        <v>48944</v>
      </c>
    </row>
    <row r="737" spans="1:11">
      <c r="A737" s="35">
        <f>(A736+1)</f>
        <v>733</v>
      </c>
      <c r="B737" s="41" t="s">
        <v>69</v>
      </c>
      <c r="C737" s="137" t="s">
        <v>128</v>
      </c>
      <c r="D737" s="82">
        <v>156500</v>
      </c>
      <c r="E737" s="41" t="s">
        <v>172</v>
      </c>
      <c r="F737" s="83"/>
      <c r="G737" s="41"/>
      <c r="H737" s="42"/>
      <c r="I737" s="41"/>
      <c r="J737" s="137">
        <v>7</v>
      </c>
      <c r="K737" s="137">
        <v>48875</v>
      </c>
    </row>
    <row r="738" spans="1:11">
      <c r="A738" s="35">
        <f>(A737+1)</f>
        <v>734</v>
      </c>
      <c r="B738" s="41" t="s">
        <v>69</v>
      </c>
      <c r="C738" s="136" t="s">
        <v>128</v>
      </c>
      <c r="D738" s="90">
        <v>43943</v>
      </c>
      <c r="E738" s="41" t="s">
        <v>172</v>
      </c>
      <c r="F738" s="85"/>
      <c r="G738" s="41"/>
      <c r="H738" s="42"/>
      <c r="I738" s="41"/>
      <c r="J738" s="136">
        <v>30</v>
      </c>
      <c r="K738" s="136">
        <v>48876</v>
      </c>
    </row>
    <row r="739" spans="1:11">
      <c r="A739" s="35">
        <f>(A738+1)</f>
        <v>735</v>
      </c>
      <c r="B739" s="41" t="s">
        <v>69</v>
      </c>
      <c r="C739" s="137" t="s">
        <v>128</v>
      </c>
      <c r="D739" s="82">
        <v>79760</v>
      </c>
      <c r="E739" s="41" t="s">
        <v>172</v>
      </c>
      <c r="F739" s="85"/>
      <c r="G739" s="41"/>
      <c r="H739" s="42"/>
      <c r="I739" s="41"/>
      <c r="J739" s="137" t="s">
        <v>172</v>
      </c>
      <c r="K739" s="137">
        <v>36844</v>
      </c>
    </row>
    <row r="740" spans="1:11">
      <c r="A740" s="35">
        <f>(A739+1)</f>
        <v>736</v>
      </c>
      <c r="B740" s="41" t="s">
        <v>69</v>
      </c>
      <c r="C740" s="136" t="s">
        <v>128</v>
      </c>
      <c r="D740" s="90">
        <v>159039</v>
      </c>
      <c r="E740" s="41" t="s">
        <v>172</v>
      </c>
      <c r="F740" s="83"/>
      <c r="G740" s="41"/>
      <c r="H740" s="42"/>
      <c r="I740" s="41"/>
      <c r="J740" s="136">
        <v>32</v>
      </c>
      <c r="K740" s="136">
        <v>48877</v>
      </c>
    </row>
    <row r="741" spans="1:11">
      <c r="A741" s="35">
        <f>(A740+1)</f>
        <v>737</v>
      </c>
      <c r="B741" s="41" t="s">
        <v>69</v>
      </c>
      <c r="C741" s="137" t="s">
        <v>128</v>
      </c>
      <c r="D741" s="82">
        <v>8541234</v>
      </c>
      <c r="E741" s="41" t="s">
        <v>172</v>
      </c>
      <c r="F741" s="85"/>
      <c r="G741" s="41"/>
      <c r="H741" s="42"/>
      <c r="I741" s="41"/>
      <c r="J741" s="137">
        <v>44</v>
      </c>
      <c r="K741" s="137">
        <v>48878</v>
      </c>
    </row>
    <row r="742" spans="1:11">
      <c r="A742" s="35">
        <f>(A741+1)</f>
        <v>738</v>
      </c>
      <c r="B742" s="41" t="s">
        <v>69</v>
      </c>
      <c r="C742" s="92" t="s">
        <v>128</v>
      </c>
      <c r="D742" s="84">
        <v>168090</v>
      </c>
      <c r="E742" s="41" t="s">
        <v>172</v>
      </c>
      <c r="F742" s="124"/>
      <c r="G742" s="41"/>
      <c r="H742" s="42"/>
      <c r="I742" s="41"/>
      <c r="J742" s="92">
        <v>26</v>
      </c>
      <c r="K742" s="92">
        <v>48879</v>
      </c>
    </row>
    <row r="743" spans="1:11">
      <c r="A743" s="35">
        <f>(A742+1)</f>
        <v>739</v>
      </c>
      <c r="B743" s="41" t="s">
        <v>69</v>
      </c>
      <c r="C743" s="92" t="s">
        <v>128</v>
      </c>
      <c r="D743" s="84" t="s">
        <v>1162</v>
      </c>
      <c r="E743" s="41" t="s">
        <v>172</v>
      </c>
      <c r="F743" s="147"/>
      <c r="G743" s="41"/>
      <c r="H743" s="42"/>
      <c r="I743" s="41"/>
      <c r="J743" s="92">
        <v>37</v>
      </c>
      <c r="K743" s="92">
        <v>48880</v>
      </c>
    </row>
    <row r="744" spans="1:11">
      <c r="A744" s="35">
        <f>(A743+1)</f>
        <v>740</v>
      </c>
      <c r="B744" s="41" t="s">
        <v>69</v>
      </c>
      <c r="C744" s="92" t="s">
        <v>128</v>
      </c>
      <c r="D744" s="84">
        <v>9635622</v>
      </c>
      <c r="E744" s="41" t="s">
        <v>172</v>
      </c>
      <c r="F744" s="147"/>
      <c r="G744" s="41"/>
      <c r="H744" s="42"/>
      <c r="I744" s="41"/>
      <c r="J744" s="92">
        <v>15</v>
      </c>
      <c r="K744" s="92">
        <v>48881</v>
      </c>
    </row>
    <row r="745" spans="1:11">
      <c r="A745" s="35">
        <f>(A744+1)</f>
        <v>741</v>
      </c>
      <c r="B745" s="41" t="s">
        <v>69</v>
      </c>
      <c r="C745" s="92" t="s">
        <v>128</v>
      </c>
      <c r="D745" s="84">
        <v>154522</v>
      </c>
      <c r="E745" s="41" t="s">
        <v>172</v>
      </c>
      <c r="F745" s="83"/>
      <c r="G745" s="41"/>
      <c r="H745" s="42"/>
      <c r="I745" s="41"/>
      <c r="J745" s="92">
        <v>10</v>
      </c>
      <c r="K745" s="92">
        <v>48882</v>
      </c>
    </row>
    <row r="746" spans="1:11">
      <c r="A746" s="35">
        <f>(A745+1)</f>
        <v>742</v>
      </c>
      <c r="B746" s="41" t="s">
        <v>69</v>
      </c>
      <c r="C746" s="92" t="s">
        <v>128</v>
      </c>
      <c r="D746" s="84">
        <v>105737</v>
      </c>
      <c r="E746" s="41" t="s">
        <v>172</v>
      </c>
      <c r="F746" s="85"/>
      <c r="G746" s="41"/>
      <c r="H746" s="42"/>
      <c r="I746" s="41"/>
      <c r="J746" s="92">
        <v>14</v>
      </c>
      <c r="K746" s="92">
        <v>48883</v>
      </c>
    </row>
    <row r="747" spans="1:11">
      <c r="A747" s="35">
        <f>(A746+1)</f>
        <v>743</v>
      </c>
      <c r="B747" s="41" t="s">
        <v>69</v>
      </c>
      <c r="C747" s="92" t="s">
        <v>130</v>
      </c>
      <c r="D747" s="84">
        <v>168185</v>
      </c>
      <c r="E747" s="41" t="s">
        <v>172</v>
      </c>
      <c r="F747" s="85"/>
      <c r="G747" s="41"/>
      <c r="H747" s="42"/>
      <c r="I747" s="41"/>
      <c r="J747" s="92">
        <v>14</v>
      </c>
      <c r="K747" s="92">
        <v>48884</v>
      </c>
    </row>
    <row r="748" spans="1:11">
      <c r="A748" s="35">
        <f>(A747+1)</f>
        <v>744</v>
      </c>
      <c r="B748" s="41" t="s">
        <v>69</v>
      </c>
      <c r="C748" s="92" t="s">
        <v>130</v>
      </c>
      <c r="D748" s="84">
        <v>2476</v>
      </c>
      <c r="E748" s="41" t="s">
        <v>172</v>
      </c>
      <c r="F748" s="124"/>
      <c r="G748" s="41"/>
      <c r="H748" s="42"/>
      <c r="I748" s="41"/>
      <c r="J748" s="92">
        <v>21</v>
      </c>
      <c r="K748" s="92">
        <v>48885</v>
      </c>
    </row>
    <row r="749" spans="1:11">
      <c r="A749" s="35">
        <f>(A748+1)</f>
        <v>745</v>
      </c>
      <c r="B749" s="41" t="s">
        <v>69</v>
      </c>
      <c r="C749" s="92" t="s">
        <v>130</v>
      </c>
      <c r="D749" s="84">
        <v>181749</v>
      </c>
      <c r="E749" s="41" t="s">
        <v>172</v>
      </c>
      <c r="F749" s="147"/>
      <c r="G749" s="41"/>
      <c r="H749" s="42"/>
      <c r="I749" s="41"/>
      <c r="J749" s="92">
        <v>34</v>
      </c>
      <c r="K749" s="92">
        <v>48886</v>
      </c>
    </row>
    <row r="750" spans="1:11">
      <c r="A750" s="35">
        <f>(A749+1)</f>
        <v>746</v>
      </c>
      <c r="B750" s="41" t="s">
        <v>69</v>
      </c>
      <c r="C750" s="92" t="s">
        <v>130</v>
      </c>
      <c r="D750" s="84">
        <v>159110</v>
      </c>
      <c r="E750" s="41" t="s">
        <v>172</v>
      </c>
      <c r="F750" s="41"/>
      <c r="G750" s="41"/>
      <c r="H750" s="42"/>
      <c r="I750" s="41"/>
      <c r="J750" s="92">
        <v>13</v>
      </c>
      <c r="K750" s="92">
        <v>48887</v>
      </c>
    </row>
    <row r="751" spans="1:11">
      <c r="A751" s="35">
        <f>(A750+1)</f>
        <v>747</v>
      </c>
      <c r="B751" s="41" t="s">
        <v>69</v>
      </c>
      <c r="C751" s="92" t="s">
        <v>130</v>
      </c>
      <c r="D751" s="84">
        <v>159130</v>
      </c>
      <c r="E751" s="41" t="s">
        <v>172</v>
      </c>
      <c r="F751" s="41"/>
      <c r="G751" s="41"/>
      <c r="H751" s="42"/>
      <c r="I751" s="41"/>
      <c r="J751" s="92">
        <v>25</v>
      </c>
      <c r="K751" s="92">
        <v>48888</v>
      </c>
    </row>
    <row r="752" spans="1:11">
      <c r="A752" s="35">
        <f>(A751+1)</f>
        <v>748</v>
      </c>
      <c r="B752" s="41" t="s">
        <v>69</v>
      </c>
      <c r="C752" s="92" t="s">
        <v>130</v>
      </c>
      <c r="D752" s="84">
        <v>52272</v>
      </c>
      <c r="E752" s="41" t="s">
        <v>172</v>
      </c>
      <c r="F752" s="41"/>
      <c r="G752" s="41"/>
      <c r="H752" s="42"/>
      <c r="I752" s="41"/>
      <c r="J752" s="92">
        <v>42</v>
      </c>
      <c r="K752" s="92">
        <v>48889</v>
      </c>
    </row>
    <row r="753" spans="1:11">
      <c r="A753" s="35">
        <f>(A752+1)</f>
        <v>749</v>
      </c>
      <c r="B753" s="41" t="s">
        <v>69</v>
      </c>
      <c r="C753" s="92" t="s">
        <v>131</v>
      </c>
      <c r="D753" s="84" t="s">
        <v>1163</v>
      </c>
      <c r="E753" s="41" t="s">
        <v>172</v>
      </c>
      <c r="F753" s="41"/>
      <c r="G753" s="41"/>
      <c r="H753" s="42"/>
      <c r="I753" s="41"/>
      <c r="J753" s="92">
        <v>31</v>
      </c>
      <c r="K753" s="92">
        <v>48890</v>
      </c>
    </row>
    <row r="754" spans="1:11">
      <c r="A754" s="35">
        <f>(A753+1)</f>
        <v>750</v>
      </c>
      <c r="B754" s="41" t="s">
        <v>69</v>
      </c>
      <c r="C754" s="92" t="s">
        <v>131</v>
      </c>
      <c r="D754" s="84">
        <v>9023621</v>
      </c>
      <c r="E754" s="41" t="s">
        <v>172</v>
      </c>
      <c r="F754" s="41"/>
      <c r="G754" s="41"/>
      <c r="H754" s="42"/>
      <c r="I754" s="41"/>
      <c r="J754" s="92">
        <v>6</v>
      </c>
      <c r="K754" s="92">
        <v>48891</v>
      </c>
    </row>
    <row r="755" spans="1:11">
      <c r="A755" s="35">
        <f>(A754+1)</f>
        <v>751</v>
      </c>
      <c r="B755" s="41" t="s">
        <v>69</v>
      </c>
      <c r="C755" s="92" t="s">
        <v>131</v>
      </c>
      <c r="D755" s="84">
        <v>69917</v>
      </c>
      <c r="E755" s="41" t="s">
        <v>172</v>
      </c>
      <c r="F755" s="41"/>
      <c r="G755" s="41"/>
      <c r="H755" s="42"/>
      <c r="I755" s="41"/>
      <c r="J755" s="92">
        <v>16</v>
      </c>
      <c r="K755" s="92">
        <v>48892</v>
      </c>
    </row>
    <row r="756" spans="1:11">
      <c r="A756" s="35">
        <f>(A755+1)</f>
        <v>752</v>
      </c>
      <c r="B756" s="41" t="s">
        <v>69</v>
      </c>
      <c r="C756" s="92" t="s">
        <v>131</v>
      </c>
      <c r="D756" s="84">
        <v>138764</v>
      </c>
      <c r="E756" s="41" t="s">
        <v>172</v>
      </c>
      <c r="F756" s="41"/>
      <c r="G756" s="41"/>
      <c r="H756" s="42"/>
      <c r="I756" s="41"/>
      <c r="J756" s="92">
        <v>25</v>
      </c>
      <c r="K756" s="92">
        <v>48893</v>
      </c>
    </row>
    <row r="757" spans="1:11">
      <c r="A757" s="35">
        <f>(A756+1)</f>
        <v>753</v>
      </c>
      <c r="B757" s="41" t="s">
        <v>69</v>
      </c>
      <c r="C757" s="92" t="s">
        <v>166</v>
      </c>
      <c r="D757" s="84">
        <v>115084</v>
      </c>
      <c r="E757" s="41" t="s">
        <v>172</v>
      </c>
      <c r="F757" s="41"/>
      <c r="G757" s="41"/>
      <c r="H757" s="42"/>
      <c r="I757" s="41"/>
      <c r="J757" s="92">
        <v>40</v>
      </c>
      <c r="K757" s="92">
        <v>48894</v>
      </c>
    </row>
    <row r="758" spans="1:11">
      <c r="A758" s="35">
        <f>(A757+1)</f>
        <v>754</v>
      </c>
      <c r="B758" s="41" t="s">
        <v>69</v>
      </c>
      <c r="C758" s="92" t="s">
        <v>166</v>
      </c>
      <c r="D758" s="84">
        <v>302305</v>
      </c>
      <c r="E758" s="41" t="s">
        <v>172</v>
      </c>
      <c r="F758" s="41"/>
      <c r="G758" s="41"/>
      <c r="H758" s="42"/>
      <c r="I758" s="41"/>
      <c r="J758" s="92">
        <v>45</v>
      </c>
      <c r="K758" s="92">
        <v>48895</v>
      </c>
    </row>
    <row r="759" spans="1:11">
      <c r="A759" s="35">
        <f>(A758+1)</f>
        <v>755</v>
      </c>
      <c r="B759" s="41" t="s">
        <v>69</v>
      </c>
      <c r="C759" s="92" t="s">
        <v>166</v>
      </c>
      <c r="D759" s="84">
        <v>168957</v>
      </c>
      <c r="E759" s="41" t="s">
        <v>172</v>
      </c>
      <c r="F759" s="41"/>
      <c r="G759" s="41"/>
      <c r="H759" s="42"/>
      <c r="I759" s="41"/>
      <c r="J759" s="92">
        <v>33</v>
      </c>
      <c r="K759" s="92">
        <v>48896</v>
      </c>
    </row>
    <row r="760" spans="1:11">
      <c r="A760" s="35">
        <f>(A759+1)</f>
        <v>756</v>
      </c>
      <c r="B760" s="41" t="s">
        <v>69</v>
      </c>
      <c r="C760" s="159" t="s">
        <v>191</v>
      </c>
      <c r="D760" s="84">
        <v>284129</v>
      </c>
      <c r="E760" s="41" t="s">
        <v>172</v>
      </c>
      <c r="F760" s="41"/>
      <c r="G760" s="41"/>
      <c r="H760" s="42"/>
      <c r="I760" s="41"/>
      <c r="J760" s="92">
        <v>2</v>
      </c>
      <c r="K760" s="92">
        <v>37523</v>
      </c>
    </row>
    <row r="761" spans="1:11">
      <c r="A761" s="35">
        <f>(A760+1)</f>
        <v>757</v>
      </c>
      <c r="B761" s="41" t="s">
        <v>69</v>
      </c>
      <c r="C761" s="159" t="s">
        <v>191</v>
      </c>
      <c r="D761" s="84">
        <v>170150</v>
      </c>
      <c r="E761" s="41" t="s">
        <v>172</v>
      </c>
      <c r="F761" s="41"/>
      <c r="G761" s="41"/>
      <c r="H761" s="42"/>
      <c r="I761" s="41"/>
      <c r="J761" s="92">
        <v>2</v>
      </c>
      <c r="K761" s="92">
        <v>37522</v>
      </c>
    </row>
    <row r="762" spans="1:11">
      <c r="A762" s="35">
        <f>(A761+1)</f>
        <v>758</v>
      </c>
      <c r="B762" s="41" t="s">
        <v>69</v>
      </c>
      <c r="C762" s="159" t="s">
        <v>191</v>
      </c>
      <c r="D762" s="84">
        <v>186579</v>
      </c>
      <c r="E762" s="41" t="s">
        <v>172</v>
      </c>
      <c r="F762" s="41"/>
      <c r="G762" s="41"/>
      <c r="H762" s="42"/>
      <c r="I762" s="41"/>
      <c r="J762" s="92">
        <v>3</v>
      </c>
      <c r="K762" s="92">
        <v>37467</v>
      </c>
    </row>
    <row r="763" spans="1:11">
      <c r="A763" s="35">
        <f>(A762+1)</f>
        <v>759</v>
      </c>
      <c r="B763" s="41" t="s">
        <v>69</v>
      </c>
      <c r="C763" s="159" t="s">
        <v>191</v>
      </c>
      <c r="D763" s="84">
        <v>73263</v>
      </c>
      <c r="E763" s="41" t="s">
        <v>172</v>
      </c>
      <c r="F763" s="41"/>
      <c r="G763" s="41"/>
      <c r="H763" s="42"/>
      <c r="I763" s="41"/>
      <c r="J763" s="92">
        <v>19</v>
      </c>
      <c r="K763" s="92">
        <v>37524</v>
      </c>
    </row>
    <row r="764" spans="1:11">
      <c r="A764" s="35">
        <f>(A763+1)</f>
        <v>760</v>
      </c>
      <c r="B764" s="41" t="s">
        <v>69</v>
      </c>
      <c r="C764" s="159" t="s">
        <v>191</v>
      </c>
      <c r="D764" s="84">
        <v>8042</v>
      </c>
      <c r="E764" s="41" t="s">
        <v>172</v>
      </c>
      <c r="F764" s="41"/>
      <c r="G764" s="41"/>
      <c r="H764" s="42"/>
      <c r="I764" s="41"/>
      <c r="J764" s="92">
        <v>42</v>
      </c>
      <c r="K764" s="92">
        <v>37489</v>
      </c>
    </row>
    <row r="765" spans="1:11">
      <c r="A765" s="35">
        <f>(A764+1)</f>
        <v>761</v>
      </c>
      <c r="B765" s="41" t="s">
        <v>69</v>
      </c>
      <c r="C765" s="160" t="s">
        <v>192</v>
      </c>
      <c r="D765" s="90">
        <v>149856</v>
      </c>
      <c r="E765" s="41" t="s">
        <v>172</v>
      </c>
      <c r="F765" s="41"/>
      <c r="G765" s="41"/>
      <c r="H765" s="42"/>
      <c r="I765" s="41"/>
      <c r="J765" s="136">
        <v>2</v>
      </c>
      <c r="K765" s="136">
        <v>37521</v>
      </c>
    </row>
    <row r="766" spans="1:11">
      <c r="A766" s="35">
        <f>(A765+1)</f>
        <v>762</v>
      </c>
      <c r="B766" s="41" t="s">
        <v>69</v>
      </c>
      <c r="C766" s="137" t="s">
        <v>192</v>
      </c>
      <c r="D766" s="82">
        <v>149952</v>
      </c>
      <c r="E766" s="41" t="s">
        <v>172</v>
      </c>
      <c r="F766" s="41"/>
      <c r="G766" s="41"/>
      <c r="H766" s="42"/>
      <c r="I766" s="41"/>
      <c r="J766" s="137">
        <v>6</v>
      </c>
      <c r="K766" s="137">
        <v>37465</v>
      </c>
    </row>
    <row r="767" spans="1:11">
      <c r="A767" s="35">
        <f>(A766+1)</f>
        <v>763</v>
      </c>
      <c r="B767" s="41" t="s">
        <v>69</v>
      </c>
      <c r="C767" s="161" t="s">
        <v>127</v>
      </c>
      <c r="D767" s="84">
        <v>10209</v>
      </c>
      <c r="E767" s="41" t="s">
        <v>172</v>
      </c>
      <c r="F767" s="41"/>
      <c r="G767" s="41"/>
      <c r="H767" s="42"/>
      <c r="I767" s="41"/>
      <c r="J767" s="92">
        <v>37</v>
      </c>
      <c r="K767" s="92">
        <v>37479</v>
      </c>
    </row>
    <row r="768" spans="1:11">
      <c r="A768" s="35">
        <f>(A767+1)</f>
        <v>764</v>
      </c>
      <c r="B768" s="41" t="s">
        <v>69</v>
      </c>
      <c r="C768" s="159" t="s">
        <v>127</v>
      </c>
      <c r="D768" s="84">
        <v>27065</v>
      </c>
      <c r="E768" s="41" t="s">
        <v>172</v>
      </c>
      <c r="F768" s="41"/>
      <c r="G768" s="41"/>
      <c r="H768" s="42"/>
      <c r="I768" s="41"/>
      <c r="J768" s="92">
        <v>35</v>
      </c>
      <c r="K768" s="92">
        <v>37499</v>
      </c>
    </row>
    <row r="769" spans="1:11">
      <c r="A769" s="35">
        <f>(A768+1)</f>
        <v>765</v>
      </c>
      <c r="B769" s="41" t="s">
        <v>69</v>
      </c>
      <c r="C769" s="159" t="s">
        <v>127</v>
      </c>
      <c r="D769" s="84">
        <v>12317</v>
      </c>
      <c r="E769" s="41" t="s">
        <v>172</v>
      </c>
      <c r="F769" s="41"/>
      <c r="G769" s="41"/>
      <c r="H769" s="42"/>
      <c r="I769" s="41"/>
      <c r="J769" s="92">
        <v>41</v>
      </c>
      <c r="K769" s="92">
        <v>37483</v>
      </c>
    </row>
    <row r="770" spans="1:11">
      <c r="A770" s="35">
        <f>(A769+1)</f>
        <v>766</v>
      </c>
      <c r="B770" s="41" t="s">
        <v>69</v>
      </c>
      <c r="C770" s="159" t="s">
        <v>127</v>
      </c>
      <c r="D770" s="84">
        <v>130646</v>
      </c>
      <c r="E770" s="41" t="s">
        <v>172</v>
      </c>
      <c r="F770" s="41"/>
      <c r="G770" s="41"/>
      <c r="H770" s="42"/>
      <c r="I770" s="41"/>
      <c r="J770" s="92">
        <v>39</v>
      </c>
      <c r="K770" s="92">
        <v>37481</v>
      </c>
    </row>
    <row r="771" spans="1:11">
      <c r="A771" s="35">
        <f>(A770+1)</f>
        <v>767</v>
      </c>
      <c r="B771" s="41" t="s">
        <v>69</v>
      </c>
      <c r="C771" s="160" t="s">
        <v>127</v>
      </c>
      <c r="D771" s="90">
        <v>15728</v>
      </c>
      <c r="E771" s="41" t="s">
        <v>172</v>
      </c>
      <c r="F771" s="41"/>
      <c r="G771" s="41"/>
      <c r="H771" s="42"/>
      <c r="I771" s="41"/>
      <c r="J771" s="136">
        <v>39</v>
      </c>
      <c r="K771" s="136">
        <v>37486</v>
      </c>
    </row>
    <row r="772" spans="1:11">
      <c r="A772" s="35">
        <f>(A771+1)</f>
        <v>768</v>
      </c>
      <c r="B772" s="41" t="s">
        <v>69</v>
      </c>
      <c r="C772" s="137" t="s">
        <v>127</v>
      </c>
      <c r="D772" s="82">
        <v>147300</v>
      </c>
      <c r="E772" s="41" t="s">
        <v>172</v>
      </c>
      <c r="F772" s="41"/>
      <c r="G772" s="41"/>
      <c r="H772" s="42"/>
      <c r="I772" s="41"/>
      <c r="J772" s="137">
        <v>40</v>
      </c>
      <c r="K772" s="137">
        <v>37501</v>
      </c>
    </row>
    <row r="773" spans="1:11">
      <c r="A773" s="35">
        <f>(A772+1)</f>
        <v>769</v>
      </c>
      <c r="B773" s="41" t="s">
        <v>69</v>
      </c>
      <c r="C773" s="161" t="s">
        <v>127</v>
      </c>
      <c r="D773" s="84" t="s">
        <v>1164</v>
      </c>
      <c r="E773" s="41" t="s">
        <v>172</v>
      </c>
      <c r="F773" s="41"/>
      <c r="G773" s="41"/>
      <c r="H773" s="42"/>
      <c r="I773" s="41"/>
      <c r="J773" s="92">
        <v>9</v>
      </c>
      <c r="K773" s="92">
        <v>37488</v>
      </c>
    </row>
    <row r="774" spans="1:11">
      <c r="A774" s="35">
        <f>(A773+1)</f>
        <v>770</v>
      </c>
      <c r="B774" s="41" t="s">
        <v>69</v>
      </c>
      <c r="C774" s="160" t="s">
        <v>127</v>
      </c>
      <c r="D774" s="90">
        <v>45962</v>
      </c>
      <c r="E774" s="41" t="s">
        <v>172</v>
      </c>
      <c r="F774" s="41"/>
      <c r="G774" s="41"/>
      <c r="H774" s="42"/>
      <c r="I774" s="41"/>
      <c r="J774" s="136">
        <v>13</v>
      </c>
      <c r="K774" s="136">
        <v>37509</v>
      </c>
    </row>
    <row r="775" spans="1:11">
      <c r="A775" s="35">
        <f>(A774+1)</f>
        <v>771</v>
      </c>
      <c r="B775" s="41" t="s">
        <v>69</v>
      </c>
      <c r="C775" s="137" t="s">
        <v>127</v>
      </c>
      <c r="D775" s="82">
        <v>11097</v>
      </c>
      <c r="E775" s="41" t="s">
        <v>172</v>
      </c>
      <c r="F775" s="41"/>
      <c r="G775" s="41"/>
      <c r="H775" s="42"/>
      <c r="I775" s="41"/>
      <c r="J775" s="137">
        <v>38</v>
      </c>
      <c r="K775" s="137">
        <v>37482</v>
      </c>
    </row>
    <row r="776" spans="1:11">
      <c r="A776" s="35">
        <f>(A775+1)</f>
        <v>772</v>
      </c>
      <c r="B776" s="41" t="s">
        <v>69</v>
      </c>
      <c r="C776" s="92" t="s">
        <v>127</v>
      </c>
      <c r="D776" s="84">
        <v>159828</v>
      </c>
      <c r="E776" s="41" t="s">
        <v>172</v>
      </c>
      <c r="F776" s="41"/>
      <c r="G776" s="41"/>
      <c r="H776" s="42"/>
      <c r="I776" s="41"/>
      <c r="J776" s="92">
        <v>2</v>
      </c>
      <c r="K776" s="92">
        <v>37484</v>
      </c>
    </row>
    <row r="777" spans="1:11">
      <c r="A777" s="35">
        <f>(A776+1)</f>
        <v>773</v>
      </c>
      <c r="B777" s="41" t="s">
        <v>69</v>
      </c>
      <c r="C777" s="92" t="s">
        <v>127</v>
      </c>
      <c r="D777" s="84">
        <v>36925</v>
      </c>
      <c r="E777" s="41" t="s">
        <v>172</v>
      </c>
      <c r="F777" s="41"/>
      <c r="G777" s="41"/>
      <c r="H777" s="42"/>
      <c r="I777" s="41"/>
      <c r="J777" s="92">
        <v>30</v>
      </c>
      <c r="K777" s="92">
        <v>37504</v>
      </c>
    </row>
    <row r="778" spans="1:11">
      <c r="A778" s="35">
        <f>(A777+1)</f>
        <v>774</v>
      </c>
      <c r="B778" s="41" t="s">
        <v>69</v>
      </c>
      <c r="C778" s="92" t="s">
        <v>128</v>
      </c>
      <c r="D778" s="84">
        <v>111235</v>
      </c>
      <c r="E778" s="41" t="s">
        <v>172</v>
      </c>
      <c r="F778" s="41"/>
      <c r="G778" s="41"/>
      <c r="H778" s="42"/>
      <c r="I778" s="41"/>
      <c r="J778" s="92">
        <v>10</v>
      </c>
      <c r="K778" s="92">
        <v>37511</v>
      </c>
    </row>
    <row r="779" spans="1:11">
      <c r="A779" s="35">
        <f>(A778+1)</f>
        <v>775</v>
      </c>
      <c r="B779" s="41" t="s">
        <v>69</v>
      </c>
      <c r="C779" s="92" t="s">
        <v>128</v>
      </c>
      <c r="D779" s="84">
        <v>19720</v>
      </c>
      <c r="E779" s="41" t="s">
        <v>172</v>
      </c>
      <c r="F779" s="41"/>
      <c r="G779" s="41"/>
      <c r="H779" s="42"/>
      <c r="I779" s="41"/>
      <c r="J779" s="92">
        <v>41</v>
      </c>
      <c r="K779" s="92">
        <v>37477</v>
      </c>
    </row>
    <row r="780" spans="1:11">
      <c r="A780" s="35">
        <f>(A779+1)</f>
        <v>776</v>
      </c>
      <c r="B780" s="41" t="s">
        <v>69</v>
      </c>
      <c r="C780" s="92" t="s">
        <v>128</v>
      </c>
      <c r="D780" s="84">
        <v>26735</v>
      </c>
      <c r="E780" s="41" t="s">
        <v>172</v>
      </c>
      <c r="F780" s="41"/>
      <c r="G780" s="41"/>
      <c r="H780" s="42"/>
      <c r="I780" s="41"/>
      <c r="J780" s="92">
        <v>35</v>
      </c>
      <c r="K780" s="92">
        <v>37505</v>
      </c>
    </row>
    <row r="781" spans="1:11">
      <c r="A781" s="35">
        <f>(A780+1)</f>
        <v>777</v>
      </c>
      <c r="B781" s="41" t="s">
        <v>69</v>
      </c>
      <c r="C781" s="92" t="s">
        <v>128</v>
      </c>
      <c r="D781" s="84">
        <v>154533</v>
      </c>
      <c r="E781" s="41" t="s">
        <v>172</v>
      </c>
      <c r="F781" s="41"/>
      <c r="G781" s="41"/>
      <c r="H781" s="42"/>
      <c r="I781" s="41"/>
      <c r="J781" s="92">
        <v>2</v>
      </c>
      <c r="K781" s="92">
        <v>37498</v>
      </c>
    </row>
    <row r="782" spans="1:11">
      <c r="A782" s="35">
        <f>(A781+1)</f>
        <v>778</v>
      </c>
      <c r="B782" s="41" t="s">
        <v>69</v>
      </c>
      <c r="C782" s="92" t="s">
        <v>128</v>
      </c>
      <c r="D782" s="84">
        <v>18126005</v>
      </c>
      <c r="E782" s="41" t="s">
        <v>172</v>
      </c>
      <c r="F782" s="41"/>
      <c r="G782" s="41"/>
      <c r="H782" s="42"/>
      <c r="I782" s="41"/>
      <c r="J782" s="92">
        <v>8</v>
      </c>
      <c r="K782" s="92">
        <v>37525</v>
      </c>
    </row>
    <row r="783" spans="1:11">
      <c r="A783" s="35">
        <f>(A782+1)</f>
        <v>779</v>
      </c>
      <c r="B783" s="41" t="s">
        <v>69</v>
      </c>
      <c r="C783" s="92" t="s">
        <v>130</v>
      </c>
      <c r="D783" s="84">
        <v>7137648</v>
      </c>
      <c r="E783" s="41" t="s">
        <v>172</v>
      </c>
      <c r="F783" s="41"/>
      <c r="G783" s="41"/>
      <c r="H783" s="42"/>
      <c r="I783" s="41"/>
      <c r="J783" s="92">
        <v>36</v>
      </c>
      <c r="K783" s="92">
        <v>37485</v>
      </c>
    </row>
    <row r="784" spans="1:11">
      <c r="A784" s="35">
        <f>(A783+1)</f>
        <v>780</v>
      </c>
      <c r="B784" s="41" t="s">
        <v>69</v>
      </c>
      <c r="C784" s="92" t="s">
        <v>130</v>
      </c>
      <c r="D784" s="84">
        <v>75371</v>
      </c>
      <c r="E784" s="41" t="s">
        <v>172</v>
      </c>
      <c r="F784" s="41"/>
      <c r="G784" s="41"/>
      <c r="H784" s="42"/>
      <c r="I784" s="41"/>
      <c r="J784" s="92">
        <v>11</v>
      </c>
      <c r="K784" s="92">
        <v>37478</v>
      </c>
    </row>
    <row r="785" spans="1:11">
      <c r="A785" s="35">
        <f>(A784+1)</f>
        <v>781</v>
      </c>
      <c r="B785" s="41" t="s">
        <v>69</v>
      </c>
      <c r="C785" s="92" t="s">
        <v>130</v>
      </c>
      <c r="D785" s="84">
        <v>159140</v>
      </c>
      <c r="E785" s="41" t="s">
        <v>172</v>
      </c>
      <c r="F785" s="41"/>
      <c r="G785" s="41"/>
      <c r="H785" s="42"/>
      <c r="I785" s="41"/>
      <c r="J785" s="92">
        <v>2</v>
      </c>
      <c r="K785" s="92">
        <v>37500</v>
      </c>
    </row>
    <row r="786" spans="1:11">
      <c r="A786" s="35">
        <f>(A785+1)</f>
        <v>782</v>
      </c>
      <c r="B786" s="41" t="s">
        <v>69</v>
      </c>
      <c r="C786" s="92" t="s">
        <v>130</v>
      </c>
      <c r="D786" s="84">
        <v>9122581</v>
      </c>
      <c r="E786" s="41" t="s">
        <v>172</v>
      </c>
      <c r="F786" s="41"/>
      <c r="G786" s="41"/>
      <c r="H786" s="42"/>
      <c r="I786" s="41"/>
      <c r="J786" s="92">
        <v>44</v>
      </c>
      <c r="K786" s="92">
        <v>37487</v>
      </c>
    </row>
    <row r="787" spans="1:11">
      <c r="A787" s="35">
        <f>(A786+1)</f>
        <v>783</v>
      </c>
      <c r="B787" s="41" t="s">
        <v>69</v>
      </c>
      <c r="C787" s="92" t="s">
        <v>130</v>
      </c>
      <c r="D787" s="84">
        <v>9852423</v>
      </c>
      <c r="E787" s="41" t="s">
        <v>172</v>
      </c>
      <c r="F787" s="41"/>
      <c r="G787" s="41"/>
      <c r="H787" s="42"/>
      <c r="I787" s="41"/>
      <c r="J787" s="92">
        <v>10</v>
      </c>
      <c r="K787" s="92">
        <v>37508</v>
      </c>
    </row>
    <row r="788" spans="1:11">
      <c r="A788" s="35">
        <f>(A787+1)</f>
        <v>784</v>
      </c>
      <c r="B788" s="41" t="s">
        <v>69</v>
      </c>
      <c r="C788" s="92" t="s">
        <v>130</v>
      </c>
      <c r="D788" s="84">
        <v>180964</v>
      </c>
      <c r="E788" s="41" t="s">
        <v>172</v>
      </c>
      <c r="F788" s="41"/>
      <c r="G788" s="41"/>
      <c r="H788" s="42"/>
      <c r="I788" s="41"/>
      <c r="J788" s="92">
        <v>43</v>
      </c>
      <c r="K788" s="92">
        <v>37466</v>
      </c>
    </row>
    <row r="789" spans="1:11">
      <c r="A789" s="35">
        <f>(A788+1)</f>
        <v>785</v>
      </c>
      <c r="B789" s="41" t="s">
        <v>69</v>
      </c>
      <c r="C789" s="92" t="s">
        <v>131</v>
      </c>
      <c r="D789" s="84">
        <v>157588</v>
      </c>
      <c r="E789" s="41" t="s">
        <v>172</v>
      </c>
      <c r="F789" s="41"/>
      <c r="G789" s="41"/>
      <c r="H789" s="42"/>
      <c r="I789" s="41"/>
      <c r="J789" s="92">
        <v>12</v>
      </c>
      <c r="K789" s="92">
        <v>37515</v>
      </c>
    </row>
    <row r="790" spans="1:11">
      <c r="A790" s="35">
        <f>(A789+1)</f>
        <v>786</v>
      </c>
      <c r="B790" s="41" t="s">
        <v>69</v>
      </c>
      <c r="C790" s="92" t="s">
        <v>131</v>
      </c>
      <c r="D790" s="84">
        <v>152365</v>
      </c>
      <c r="E790" s="41" t="s">
        <v>172</v>
      </c>
      <c r="F790" s="41"/>
      <c r="G790" s="41"/>
      <c r="H790" s="42"/>
      <c r="I790" s="41"/>
      <c r="J790" s="92">
        <v>2</v>
      </c>
      <c r="K790" s="92">
        <v>37519</v>
      </c>
    </row>
    <row r="791" spans="1:11">
      <c r="A791" s="35">
        <f>(A790+1)</f>
        <v>787</v>
      </c>
      <c r="B791" s="41" t="s">
        <v>69</v>
      </c>
      <c r="C791" s="92" t="s">
        <v>166</v>
      </c>
      <c r="D791" s="84" t="s">
        <v>1165</v>
      </c>
      <c r="E791" s="41" t="s">
        <v>172</v>
      </c>
      <c r="F791" s="41"/>
      <c r="G791" s="41"/>
      <c r="H791" s="42"/>
      <c r="I791" s="41"/>
      <c r="J791" s="92">
        <v>21</v>
      </c>
      <c r="K791" s="92">
        <v>37518</v>
      </c>
    </row>
    <row r="792" spans="1:11">
      <c r="A792" s="35">
        <f>(A791+1)</f>
        <v>788</v>
      </c>
      <c r="B792" s="41" t="s">
        <v>69</v>
      </c>
      <c r="C792" s="136" t="s">
        <v>130</v>
      </c>
      <c r="D792" s="90">
        <v>8806</v>
      </c>
      <c r="E792" s="41" t="s">
        <v>172</v>
      </c>
      <c r="F792" s="41"/>
      <c r="G792" s="41"/>
      <c r="H792" s="42"/>
      <c r="I792" s="41"/>
      <c r="J792" s="136">
        <v>49</v>
      </c>
      <c r="K792" s="136">
        <v>39669</v>
      </c>
    </row>
    <row r="793" spans="1:11">
      <c r="A793" s="35">
        <f>(A792+1)</f>
        <v>789</v>
      </c>
      <c r="B793" s="41" t="s">
        <v>69</v>
      </c>
      <c r="C793" s="137" t="s">
        <v>131</v>
      </c>
      <c r="D793" s="82">
        <v>181325</v>
      </c>
      <c r="E793" s="41">
        <v>7124</v>
      </c>
      <c r="F793" s="41"/>
      <c r="G793" s="41"/>
      <c r="H793" s="42"/>
      <c r="I793" s="41"/>
      <c r="J793" s="137">
        <v>9</v>
      </c>
      <c r="K793" s="137">
        <v>39671</v>
      </c>
    </row>
    <row r="794" spans="1:11">
      <c r="A794" s="35">
        <f>(A793+1)</f>
        <v>790</v>
      </c>
      <c r="B794" s="41" t="s">
        <v>69</v>
      </c>
      <c r="C794" s="92" t="s">
        <v>191</v>
      </c>
      <c r="D794" s="84">
        <v>174162</v>
      </c>
      <c r="E794" s="41" t="s">
        <v>172</v>
      </c>
      <c r="F794" s="41"/>
      <c r="G794" s="41"/>
      <c r="H794" s="42"/>
      <c r="I794" s="41"/>
      <c r="J794" s="92">
        <v>21</v>
      </c>
      <c r="K794" s="92">
        <v>39655</v>
      </c>
    </row>
    <row r="795" spans="1:11">
      <c r="A795" s="35">
        <f>(A794+1)</f>
        <v>791</v>
      </c>
      <c r="B795" s="41" t="s">
        <v>69</v>
      </c>
      <c r="C795" s="92" t="s">
        <v>127</v>
      </c>
      <c r="D795" s="84">
        <v>120290</v>
      </c>
      <c r="E795" s="41" t="s">
        <v>172</v>
      </c>
      <c r="F795" s="41"/>
      <c r="G795" s="41"/>
      <c r="H795" s="42"/>
      <c r="I795" s="41"/>
      <c r="J795" s="92">
        <v>22</v>
      </c>
      <c r="K795" s="92">
        <v>39668</v>
      </c>
    </row>
    <row r="796" spans="1:11">
      <c r="A796" s="35">
        <f>(A795+1)</f>
        <v>792</v>
      </c>
      <c r="B796" s="41" t="s">
        <v>69</v>
      </c>
      <c r="C796" s="92" t="s">
        <v>128</v>
      </c>
      <c r="D796" s="84">
        <v>9739253</v>
      </c>
      <c r="E796" s="41" t="s">
        <v>172</v>
      </c>
      <c r="F796" s="41"/>
      <c r="G796" s="41"/>
      <c r="H796" s="42"/>
      <c r="I796" s="41"/>
      <c r="J796" s="92">
        <v>43</v>
      </c>
      <c r="K796" s="92">
        <v>39667</v>
      </c>
    </row>
    <row r="797" spans="1:11">
      <c r="A797" s="35">
        <f>(A796+1)</f>
        <v>793</v>
      </c>
      <c r="B797" s="41" t="s">
        <v>69</v>
      </c>
      <c r="C797" s="92" t="s">
        <v>193</v>
      </c>
      <c r="D797" s="84">
        <v>9963049</v>
      </c>
      <c r="E797" s="41" t="s">
        <v>172</v>
      </c>
      <c r="F797" s="41"/>
      <c r="G797" s="41"/>
      <c r="H797" s="42"/>
      <c r="I797" s="41"/>
      <c r="J797" s="92" t="s">
        <v>172</v>
      </c>
      <c r="K797" s="92">
        <v>39653</v>
      </c>
    </row>
    <row r="798" spans="1:11">
      <c r="A798" s="35">
        <f>(A797+1)</f>
        <v>794</v>
      </c>
      <c r="B798" s="41" t="s">
        <v>69</v>
      </c>
      <c r="C798" s="92" t="s">
        <v>193</v>
      </c>
      <c r="D798" s="84">
        <v>186493</v>
      </c>
      <c r="E798" s="41" t="s">
        <v>172</v>
      </c>
      <c r="F798" s="41"/>
      <c r="G798" s="41"/>
      <c r="H798" s="42"/>
      <c r="I798" s="41"/>
      <c r="J798" s="92" t="s">
        <v>172</v>
      </c>
      <c r="K798" s="92">
        <v>39658</v>
      </c>
    </row>
    <row r="799" spans="1:11">
      <c r="A799" s="35">
        <f>(A798+1)</f>
        <v>795</v>
      </c>
      <c r="B799" s="41" t="s">
        <v>69</v>
      </c>
      <c r="C799" s="92" t="s">
        <v>191</v>
      </c>
      <c r="D799" s="84">
        <v>200401</v>
      </c>
      <c r="E799" s="41" t="s">
        <v>172</v>
      </c>
      <c r="F799" s="41"/>
      <c r="G799" s="41"/>
      <c r="H799" s="42"/>
      <c r="I799" s="41"/>
      <c r="J799" s="92">
        <v>42</v>
      </c>
      <c r="K799" s="92">
        <v>48910</v>
      </c>
    </row>
    <row r="800" spans="1:11">
      <c r="A800" s="35">
        <f>(A799+1)</f>
        <v>796</v>
      </c>
      <c r="B800" s="41" t="s">
        <v>69</v>
      </c>
      <c r="C800" s="92" t="s">
        <v>191</v>
      </c>
      <c r="D800" s="84">
        <v>243124</v>
      </c>
      <c r="E800" s="41" t="s">
        <v>172</v>
      </c>
      <c r="F800" s="41"/>
      <c r="G800" s="41"/>
      <c r="H800" s="42"/>
      <c r="I800" s="41"/>
      <c r="J800" s="92">
        <v>43</v>
      </c>
      <c r="K800" s="92">
        <v>39659</v>
      </c>
    </row>
    <row r="801" spans="1:11">
      <c r="A801" s="35">
        <f>(A800+1)</f>
        <v>797</v>
      </c>
      <c r="B801" s="41" t="s">
        <v>69</v>
      </c>
      <c r="C801" s="92" t="s">
        <v>192</v>
      </c>
      <c r="D801" s="84">
        <v>138452</v>
      </c>
      <c r="E801" s="41" t="s">
        <v>172</v>
      </c>
      <c r="F801" s="41"/>
      <c r="G801" s="41"/>
      <c r="H801" s="42"/>
      <c r="I801" s="41"/>
      <c r="J801" s="92">
        <v>49</v>
      </c>
      <c r="K801" s="92">
        <v>39662</v>
      </c>
    </row>
    <row r="802" spans="1:11">
      <c r="A802" s="35">
        <f>(A801+1)</f>
        <v>798</v>
      </c>
      <c r="B802" s="41" t="s">
        <v>69</v>
      </c>
      <c r="C802" s="92" t="s">
        <v>128</v>
      </c>
      <c r="D802" s="84">
        <v>9743530</v>
      </c>
      <c r="E802" s="41" t="s">
        <v>172</v>
      </c>
      <c r="F802" s="41"/>
      <c r="G802" s="41"/>
      <c r="H802" s="42"/>
      <c r="I802" s="41"/>
      <c r="J802" s="92">
        <v>8</v>
      </c>
      <c r="K802" s="92">
        <v>39666</v>
      </c>
    </row>
    <row r="803" spans="1:11">
      <c r="A803" s="35">
        <f>(A802+1)</f>
        <v>799</v>
      </c>
      <c r="B803" s="41" t="s">
        <v>69</v>
      </c>
      <c r="C803" s="92" t="s">
        <v>903</v>
      </c>
      <c r="D803" s="84">
        <v>174564</v>
      </c>
      <c r="E803" s="41" t="s">
        <v>172</v>
      </c>
      <c r="F803" s="41"/>
      <c r="G803" s="41"/>
      <c r="H803" s="42"/>
      <c r="I803" s="41"/>
      <c r="J803" s="92">
        <v>9</v>
      </c>
      <c r="K803" s="92">
        <v>39664</v>
      </c>
    </row>
    <row r="804" spans="1:11">
      <c r="A804" s="35">
        <f>(A803+1)</f>
        <v>800</v>
      </c>
      <c r="B804" s="41" t="s">
        <v>69</v>
      </c>
      <c r="C804" s="92" t="s">
        <v>192</v>
      </c>
      <c r="D804" s="84">
        <v>1094502</v>
      </c>
      <c r="E804" s="41">
        <v>65623</v>
      </c>
      <c r="F804" s="41"/>
      <c r="G804" s="41"/>
      <c r="H804" s="42"/>
      <c r="I804" s="41"/>
      <c r="J804" s="92">
        <v>2</v>
      </c>
      <c r="K804" s="92">
        <v>48911</v>
      </c>
    </row>
    <row r="805" spans="1:11">
      <c r="A805" s="35">
        <f>(A804+1)</f>
        <v>801</v>
      </c>
      <c r="B805" s="41" t="s">
        <v>69</v>
      </c>
      <c r="C805" s="92" t="s">
        <v>127</v>
      </c>
      <c r="D805" s="84">
        <v>3381</v>
      </c>
      <c r="E805" s="41" t="s">
        <v>172</v>
      </c>
      <c r="F805" s="41"/>
      <c r="G805" s="41"/>
      <c r="H805" s="42"/>
      <c r="I805" s="41"/>
      <c r="J805" s="92">
        <v>35</v>
      </c>
      <c r="K805" s="92">
        <v>39685</v>
      </c>
    </row>
    <row r="806" spans="1:11">
      <c r="A806" s="35">
        <f>(A805+1)</f>
        <v>802</v>
      </c>
      <c r="B806" s="41" t="s">
        <v>69</v>
      </c>
      <c r="C806" s="136" t="s">
        <v>127</v>
      </c>
      <c r="D806" s="90">
        <v>36917</v>
      </c>
      <c r="E806" s="41" t="s">
        <v>172</v>
      </c>
      <c r="F806" s="41"/>
      <c r="G806" s="41"/>
      <c r="H806" s="42"/>
      <c r="I806" s="41"/>
      <c r="J806" s="136">
        <v>47</v>
      </c>
      <c r="K806" s="136">
        <v>39689</v>
      </c>
    </row>
    <row r="807" spans="1:11">
      <c r="A807" s="35">
        <f>(A806+1)</f>
        <v>803</v>
      </c>
      <c r="B807" s="41" t="s">
        <v>69</v>
      </c>
      <c r="C807" s="137" t="s">
        <v>127</v>
      </c>
      <c r="D807" s="82">
        <v>8421759</v>
      </c>
      <c r="E807" s="41" t="s">
        <v>172</v>
      </c>
      <c r="F807" s="41"/>
      <c r="G807" s="41"/>
      <c r="H807" s="42"/>
      <c r="I807" s="41"/>
      <c r="J807" s="137">
        <v>44</v>
      </c>
      <c r="K807" s="137">
        <v>39683</v>
      </c>
    </row>
    <row r="808" spans="1:11">
      <c r="A808" s="35">
        <f>(A807+1)</f>
        <v>804</v>
      </c>
      <c r="B808" s="41" t="s">
        <v>69</v>
      </c>
      <c r="C808" s="92" t="s">
        <v>127</v>
      </c>
      <c r="D808" s="84">
        <v>121743</v>
      </c>
      <c r="E808" s="41" t="s">
        <v>172</v>
      </c>
      <c r="F808" s="41"/>
      <c r="G808" s="41"/>
      <c r="H808" s="42"/>
      <c r="I808" s="41"/>
      <c r="J808" s="92">
        <v>45</v>
      </c>
      <c r="K808" s="92">
        <v>39661</v>
      </c>
    </row>
    <row r="809" spans="1:11">
      <c r="A809" s="35">
        <f>(A808+1)</f>
        <v>805</v>
      </c>
      <c r="B809" s="41" t="s">
        <v>69</v>
      </c>
      <c r="C809" s="92" t="s">
        <v>130</v>
      </c>
      <c r="D809" s="84">
        <v>15824</v>
      </c>
      <c r="E809" s="41">
        <v>21258</v>
      </c>
      <c r="F809" s="41"/>
      <c r="G809" s="41"/>
      <c r="H809" s="42"/>
      <c r="I809" s="41"/>
      <c r="J809" s="92">
        <v>24</v>
      </c>
      <c r="K809" s="92">
        <v>39670</v>
      </c>
    </row>
    <row r="810" spans="1:11">
      <c r="A810" s="35">
        <f>(A809+1)</f>
        <v>806</v>
      </c>
      <c r="B810" s="41" t="s">
        <v>69</v>
      </c>
      <c r="C810" s="92" t="s">
        <v>130</v>
      </c>
      <c r="D810" s="84">
        <v>9855414</v>
      </c>
      <c r="E810" s="41" t="s">
        <v>172</v>
      </c>
      <c r="F810" s="41"/>
      <c r="G810" s="41"/>
      <c r="H810" s="42"/>
      <c r="I810" s="41"/>
      <c r="J810" s="92">
        <v>13</v>
      </c>
      <c r="K810" s="92">
        <v>39690</v>
      </c>
    </row>
    <row r="811" spans="1:11">
      <c r="A811" s="35">
        <f>(A810+1)</f>
        <v>807</v>
      </c>
      <c r="B811" s="41" t="s">
        <v>69</v>
      </c>
      <c r="C811" s="137" t="s">
        <v>191</v>
      </c>
      <c r="D811" s="82">
        <v>145655</v>
      </c>
      <c r="E811" s="41" t="s">
        <v>172</v>
      </c>
      <c r="F811" s="41"/>
      <c r="G811" s="41"/>
      <c r="H811" s="42"/>
      <c r="I811" s="41"/>
      <c r="J811" s="137">
        <v>21</v>
      </c>
      <c r="K811" s="137">
        <v>41198</v>
      </c>
    </row>
    <row r="812" spans="1:11">
      <c r="A812" s="35">
        <f>(A811+1)</f>
        <v>808</v>
      </c>
      <c r="B812" s="41" t="s">
        <v>69</v>
      </c>
      <c r="C812" s="92" t="s">
        <v>191</v>
      </c>
      <c r="D812" s="84">
        <v>5162</v>
      </c>
      <c r="E812" s="41" t="s">
        <v>172</v>
      </c>
      <c r="F812" s="41"/>
      <c r="G812" s="41"/>
      <c r="H812" s="42"/>
      <c r="I812" s="41"/>
      <c r="J812" s="92">
        <v>19</v>
      </c>
      <c r="K812" s="92">
        <v>41065</v>
      </c>
    </row>
    <row r="813" spans="1:11">
      <c r="A813" s="35">
        <f>(A812+1)</f>
        <v>809</v>
      </c>
      <c r="B813" s="41" t="s">
        <v>69</v>
      </c>
      <c r="C813" s="92" t="s">
        <v>131</v>
      </c>
      <c r="D813" s="84">
        <v>18109587</v>
      </c>
      <c r="E813" s="41">
        <v>4996</v>
      </c>
      <c r="F813" s="41"/>
      <c r="G813" s="41"/>
      <c r="H813" s="42"/>
      <c r="I813" s="41"/>
      <c r="J813" s="92">
        <v>16</v>
      </c>
      <c r="K813" s="92">
        <v>41060</v>
      </c>
    </row>
    <row r="814" spans="1:11">
      <c r="A814" s="35">
        <f>(A813+1)</f>
        <v>810</v>
      </c>
      <c r="B814" s="41" t="s">
        <v>69</v>
      </c>
      <c r="C814" s="92" t="s">
        <v>130</v>
      </c>
      <c r="D814" s="84">
        <v>113135</v>
      </c>
      <c r="E814" s="41" t="s">
        <v>172</v>
      </c>
      <c r="F814" s="41"/>
      <c r="G814" s="41"/>
      <c r="H814" s="42"/>
      <c r="I814" s="41"/>
      <c r="J814" s="92">
        <v>16</v>
      </c>
      <c r="K814" s="92">
        <v>41013</v>
      </c>
    </row>
    <row r="815" spans="1:11">
      <c r="A815" s="35">
        <f>(A814+1)</f>
        <v>811</v>
      </c>
      <c r="B815" s="41" t="s">
        <v>69</v>
      </c>
      <c r="C815" s="92" t="s">
        <v>193</v>
      </c>
      <c r="D815" s="84">
        <v>87146</v>
      </c>
      <c r="E815" s="41" t="s">
        <v>172</v>
      </c>
      <c r="F815" s="41"/>
      <c r="G815" s="41"/>
      <c r="H815" s="42"/>
      <c r="I815" s="41"/>
      <c r="J815" s="92">
        <v>10</v>
      </c>
      <c r="K815" s="92">
        <v>41019</v>
      </c>
    </row>
    <row r="816" spans="1:11">
      <c r="A816" s="35">
        <f>(A815+1)</f>
        <v>812</v>
      </c>
      <c r="B816" s="41" t="s">
        <v>69</v>
      </c>
      <c r="C816" s="136" t="s">
        <v>192</v>
      </c>
      <c r="D816" s="136">
        <v>163123</v>
      </c>
      <c r="E816" s="41" t="s">
        <v>172</v>
      </c>
      <c r="F816" s="41"/>
      <c r="G816" s="41"/>
      <c r="H816" s="42"/>
      <c r="I816" s="41"/>
      <c r="J816" s="136" t="s">
        <v>172</v>
      </c>
      <c r="K816" s="136">
        <v>41068</v>
      </c>
    </row>
    <row r="817" spans="1:11">
      <c r="A817" s="35">
        <f>(A816+1)</f>
        <v>813</v>
      </c>
      <c r="B817" s="41" t="s">
        <v>69</v>
      </c>
      <c r="C817" s="137" t="s">
        <v>131</v>
      </c>
      <c r="D817" s="82">
        <v>106527</v>
      </c>
      <c r="E817" s="41" t="s">
        <v>172</v>
      </c>
      <c r="F817" s="41"/>
      <c r="G817" s="41"/>
      <c r="H817" s="42"/>
      <c r="I817" s="41"/>
      <c r="J817" s="137" t="s">
        <v>172</v>
      </c>
      <c r="K817" s="137">
        <v>41014</v>
      </c>
    </row>
    <row r="818" spans="1:11">
      <c r="A818" s="35">
        <f>(A817+1)</f>
        <v>814</v>
      </c>
      <c r="B818" s="41" t="s">
        <v>69</v>
      </c>
      <c r="C818" s="92" t="s">
        <v>191</v>
      </c>
      <c r="D818" s="84">
        <v>1506</v>
      </c>
      <c r="E818" s="41">
        <v>91569</v>
      </c>
      <c r="F818" s="41"/>
      <c r="G818" s="41"/>
      <c r="H818" s="42"/>
      <c r="I818" s="41"/>
      <c r="J818" s="92">
        <v>29</v>
      </c>
      <c r="K818" s="92">
        <v>41018</v>
      </c>
    </row>
    <row r="819" spans="1:11">
      <c r="A819" s="35">
        <f>(A818+1)</f>
        <v>815</v>
      </c>
      <c r="B819" s="41" t="s">
        <v>69</v>
      </c>
      <c r="C819" s="92" t="s">
        <v>193</v>
      </c>
      <c r="D819" s="84">
        <v>9852965</v>
      </c>
      <c r="E819" s="41" t="s">
        <v>172</v>
      </c>
      <c r="F819" s="41"/>
      <c r="G819" s="41"/>
      <c r="H819" s="42"/>
      <c r="I819" s="41"/>
      <c r="J819" s="92">
        <v>17</v>
      </c>
      <c r="K819" s="92">
        <v>41016</v>
      </c>
    </row>
    <row r="820" spans="1:11">
      <c r="A820" s="35">
        <f>(A819+1)</f>
        <v>816</v>
      </c>
      <c r="B820" s="41" t="s">
        <v>69</v>
      </c>
      <c r="C820" s="92" t="s">
        <v>128</v>
      </c>
      <c r="D820" s="84">
        <v>951709</v>
      </c>
      <c r="E820" s="41" t="s">
        <v>172</v>
      </c>
      <c r="F820" s="41"/>
      <c r="G820" s="41"/>
      <c r="H820" s="42"/>
      <c r="I820" s="41"/>
      <c r="J820" s="92">
        <v>19</v>
      </c>
      <c r="K820" s="92">
        <v>41055</v>
      </c>
    </row>
    <row r="821" spans="1:11">
      <c r="A821" s="35">
        <f>(A820+1)</f>
        <v>817</v>
      </c>
      <c r="B821" s="41" t="s">
        <v>69</v>
      </c>
      <c r="C821" s="92" t="s">
        <v>192</v>
      </c>
      <c r="D821" s="84">
        <v>189315</v>
      </c>
      <c r="E821" s="41">
        <v>49981</v>
      </c>
      <c r="F821" s="41"/>
      <c r="G821" s="41"/>
      <c r="H821" s="42"/>
      <c r="I821" s="41"/>
      <c r="J821" s="92">
        <v>12</v>
      </c>
      <c r="K821" s="92">
        <v>41015</v>
      </c>
    </row>
    <row r="822" spans="1:11">
      <c r="A822" s="35">
        <f>(A821+1)</f>
        <v>818</v>
      </c>
      <c r="B822" s="41" t="s">
        <v>69</v>
      </c>
      <c r="C822" s="136" t="s">
        <v>131</v>
      </c>
      <c r="D822" s="136">
        <v>108929</v>
      </c>
      <c r="E822" s="41" t="s">
        <v>172</v>
      </c>
      <c r="F822" s="41"/>
      <c r="G822" s="41"/>
      <c r="H822" s="42"/>
      <c r="I822" s="41"/>
      <c r="J822" s="136">
        <v>2</v>
      </c>
      <c r="K822" s="136">
        <v>41061</v>
      </c>
    </row>
    <row r="823" spans="1:11">
      <c r="A823" s="35">
        <f>(A822+1)</f>
        <v>819</v>
      </c>
      <c r="B823" s="41" t="s">
        <v>69</v>
      </c>
      <c r="C823" s="137" t="s">
        <v>192</v>
      </c>
      <c r="D823" s="82">
        <v>312201</v>
      </c>
      <c r="E823" s="41" t="s">
        <v>172</v>
      </c>
      <c r="F823" s="41"/>
      <c r="G823" s="41"/>
      <c r="H823" s="42"/>
      <c r="I823" s="41"/>
      <c r="J823" s="137">
        <v>2</v>
      </c>
      <c r="K823" s="137">
        <v>42104</v>
      </c>
    </row>
    <row r="824" spans="1:11">
      <c r="A824" s="35">
        <f>(A823+1)</f>
        <v>820</v>
      </c>
      <c r="B824" s="41" t="s">
        <v>69</v>
      </c>
      <c r="C824" s="92" t="s">
        <v>193</v>
      </c>
      <c r="D824" s="84">
        <v>9852186</v>
      </c>
      <c r="E824" s="41" t="s">
        <v>172</v>
      </c>
      <c r="F824" s="41"/>
      <c r="G824" s="41"/>
      <c r="H824" s="42"/>
      <c r="I824" s="41"/>
      <c r="J824" s="92" t="s">
        <v>172</v>
      </c>
      <c r="K824" s="92">
        <v>41042</v>
      </c>
    </row>
    <row r="825" spans="1:11">
      <c r="A825" s="35">
        <f>(A824+1)</f>
        <v>821</v>
      </c>
      <c r="B825" s="41" t="s">
        <v>69</v>
      </c>
      <c r="C825" s="92" t="s">
        <v>193</v>
      </c>
      <c r="D825" s="84">
        <v>43405</v>
      </c>
      <c r="E825" s="41">
        <v>24067</v>
      </c>
      <c r="F825" s="41"/>
      <c r="G825" s="41"/>
      <c r="H825" s="42"/>
      <c r="I825" s="41"/>
      <c r="J825" s="92">
        <v>39</v>
      </c>
      <c r="K825" s="92">
        <v>41020</v>
      </c>
    </row>
    <row r="826" spans="1:11">
      <c r="A826" s="35">
        <f>(A825+1)</f>
        <v>822</v>
      </c>
      <c r="B826" s="41" t="s">
        <v>69</v>
      </c>
      <c r="C826" s="92" t="s">
        <v>193</v>
      </c>
      <c r="D826" s="84">
        <v>179390</v>
      </c>
      <c r="E826" s="41" t="s">
        <v>172</v>
      </c>
      <c r="F826" s="41"/>
      <c r="G826" s="41"/>
      <c r="H826" s="42"/>
      <c r="I826" s="41"/>
      <c r="J826" s="92">
        <v>4</v>
      </c>
      <c r="K826" s="92">
        <v>41041</v>
      </c>
    </row>
    <row r="827" spans="1:11">
      <c r="A827" s="35">
        <f>(A826+1)</f>
        <v>823</v>
      </c>
      <c r="B827" s="41" t="s">
        <v>69</v>
      </c>
      <c r="C827" s="136" t="s">
        <v>192</v>
      </c>
      <c r="D827" s="136">
        <v>194411</v>
      </c>
      <c r="E827" s="41" t="s">
        <v>172</v>
      </c>
      <c r="F827" s="41"/>
      <c r="G827" s="41"/>
      <c r="H827" s="42"/>
      <c r="I827" s="41"/>
      <c r="J827" s="136">
        <v>16</v>
      </c>
      <c r="K827" s="136">
        <v>41064</v>
      </c>
    </row>
    <row r="828" spans="1:11">
      <c r="A828" s="35">
        <f>(A827+1)</f>
        <v>824</v>
      </c>
      <c r="B828" s="41" t="s">
        <v>69</v>
      </c>
      <c r="C828" s="137" t="s">
        <v>193</v>
      </c>
      <c r="D828" s="82">
        <v>129666</v>
      </c>
      <c r="E828" s="41" t="s">
        <v>172</v>
      </c>
      <c r="F828" s="41"/>
      <c r="G828" s="41"/>
      <c r="H828" s="42"/>
      <c r="I828" s="41"/>
      <c r="J828" s="137">
        <v>39</v>
      </c>
      <c r="K828" s="137">
        <v>41047</v>
      </c>
    </row>
    <row r="829" spans="1:11">
      <c r="A829" s="35">
        <f>(A828+1)</f>
        <v>825</v>
      </c>
      <c r="B829" s="41" t="s">
        <v>69</v>
      </c>
      <c r="C829" s="92" t="s">
        <v>191</v>
      </c>
      <c r="D829" s="84">
        <v>2814</v>
      </c>
      <c r="E829" s="41" t="s">
        <v>172</v>
      </c>
      <c r="F829" s="41"/>
      <c r="G829" s="41"/>
      <c r="H829" s="42"/>
      <c r="I829" s="41"/>
      <c r="J829" s="92">
        <v>28</v>
      </c>
      <c r="K829" s="92">
        <v>41062</v>
      </c>
    </row>
    <row r="830" spans="1:11">
      <c r="A830" s="35">
        <f>(A829+1)</f>
        <v>826</v>
      </c>
      <c r="B830" s="41" t="s">
        <v>69</v>
      </c>
      <c r="C830" s="92" t="s">
        <v>193</v>
      </c>
      <c r="D830" s="84">
        <v>4748</v>
      </c>
      <c r="E830" s="41" t="s">
        <v>172</v>
      </c>
      <c r="F830" s="41"/>
      <c r="G830" s="41"/>
      <c r="H830" s="42"/>
      <c r="I830" s="41"/>
      <c r="J830" s="92" t="s">
        <v>172</v>
      </c>
      <c r="K830" s="92">
        <v>41054</v>
      </c>
    </row>
    <row r="831" spans="1:11">
      <c r="A831" s="35">
        <f>(A830+1)</f>
        <v>827</v>
      </c>
      <c r="B831" s="41" t="s">
        <v>69</v>
      </c>
      <c r="C831" s="92" t="s">
        <v>131</v>
      </c>
      <c r="D831" s="84">
        <v>7483</v>
      </c>
      <c r="E831" s="41" t="s">
        <v>172</v>
      </c>
      <c r="F831" s="41"/>
      <c r="G831" s="41"/>
      <c r="H831" s="42"/>
      <c r="I831" s="41"/>
      <c r="J831" s="92">
        <v>6</v>
      </c>
      <c r="K831" s="92">
        <v>41022</v>
      </c>
    </row>
    <row r="832" spans="1:11">
      <c r="A832" s="35">
        <f>(A831+1)</f>
        <v>828</v>
      </c>
      <c r="B832" s="41" t="s">
        <v>69</v>
      </c>
      <c r="C832" s="92" t="s">
        <v>131</v>
      </c>
      <c r="D832" s="84">
        <v>81634</v>
      </c>
      <c r="E832" s="41" t="s">
        <v>172</v>
      </c>
      <c r="F832" s="41"/>
      <c r="G832" s="41"/>
      <c r="H832" s="42"/>
      <c r="I832" s="41"/>
      <c r="J832" s="92">
        <v>9</v>
      </c>
      <c r="K832" s="92">
        <v>41053</v>
      </c>
    </row>
    <row r="833" spans="1:11">
      <c r="A833" s="35">
        <f>(A832+1)</f>
        <v>829</v>
      </c>
      <c r="B833" s="41" t="s">
        <v>69</v>
      </c>
      <c r="C833" s="92" t="s">
        <v>128</v>
      </c>
      <c r="D833" s="84">
        <v>65362</v>
      </c>
      <c r="E833" s="41" t="s">
        <v>172</v>
      </c>
      <c r="F833" s="41"/>
      <c r="G833" s="41"/>
      <c r="H833" s="42"/>
      <c r="I833" s="41"/>
      <c r="J833" s="92">
        <v>13</v>
      </c>
      <c r="K833" s="92">
        <v>41049</v>
      </c>
    </row>
    <row r="834" spans="1:11">
      <c r="A834" s="35">
        <f>(A833+1)</f>
        <v>830</v>
      </c>
      <c r="B834" s="41" t="s">
        <v>69</v>
      </c>
      <c r="C834" s="92" t="s">
        <v>127</v>
      </c>
      <c r="D834" s="84">
        <v>73390</v>
      </c>
      <c r="E834" s="41" t="s">
        <v>172</v>
      </c>
      <c r="F834" s="41"/>
      <c r="G834" s="41"/>
      <c r="H834" s="42"/>
      <c r="I834" s="41"/>
      <c r="J834" s="92">
        <v>41</v>
      </c>
      <c r="K834" s="92">
        <v>41048</v>
      </c>
    </row>
    <row r="835" spans="1:11">
      <c r="A835" s="35">
        <f>(A834+1)</f>
        <v>831</v>
      </c>
      <c r="B835" s="41" t="s">
        <v>69</v>
      </c>
      <c r="C835" s="92" t="s">
        <v>193</v>
      </c>
      <c r="D835" s="84">
        <v>347951</v>
      </c>
      <c r="E835" s="41">
        <v>39211</v>
      </c>
      <c r="F835" s="41"/>
      <c r="G835" s="41"/>
      <c r="H835" s="42"/>
      <c r="I835" s="41"/>
      <c r="J835" s="92">
        <v>28</v>
      </c>
      <c r="K835" s="92">
        <v>41051</v>
      </c>
    </row>
    <row r="836" spans="1:11">
      <c r="A836" s="35">
        <f>(A835+1)</f>
        <v>832</v>
      </c>
      <c r="B836" s="41" t="s">
        <v>69</v>
      </c>
      <c r="C836" s="92" t="s">
        <v>193</v>
      </c>
      <c r="D836" s="84">
        <v>133444</v>
      </c>
      <c r="E836" s="41" t="s">
        <v>172</v>
      </c>
      <c r="F836" s="41"/>
      <c r="G836" s="41"/>
      <c r="H836" s="42"/>
      <c r="I836" s="41"/>
      <c r="J836" s="92">
        <v>4</v>
      </c>
      <c r="K836" s="92">
        <v>48843</v>
      </c>
    </row>
    <row r="837" spans="1:11">
      <c r="A837" s="35">
        <f>(A836+1)</f>
        <v>833</v>
      </c>
      <c r="B837" s="41" t="s">
        <v>69</v>
      </c>
      <c r="C837" s="161" t="s">
        <v>191</v>
      </c>
      <c r="D837" s="92">
        <v>70332</v>
      </c>
      <c r="E837" s="41">
        <v>36273</v>
      </c>
      <c r="F837" s="41"/>
      <c r="G837" s="41"/>
      <c r="H837" s="42"/>
      <c r="I837" s="41"/>
      <c r="J837" s="92">
        <v>4</v>
      </c>
      <c r="K837" s="92">
        <v>48844</v>
      </c>
    </row>
    <row r="838" spans="1:11">
      <c r="A838" s="35">
        <f>(A837+1)</f>
        <v>834</v>
      </c>
      <c r="B838" s="41" t="s">
        <v>69</v>
      </c>
      <c r="C838" s="159" t="s">
        <v>193</v>
      </c>
      <c r="D838" s="92">
        <v>47446</v>
      </c>
      <c r="E838" s="41" t="s">
        <v>172</v>
      </c>
      <c r="F838" s="41"/>
      <c r="G838" s="41"/>
      <c r="H838" s="42"/>
      <c r="I838" s="41"/>
      <c r="J838" s="92">
        <v>6</v>
      </c>
      <c r="K838" s="92">
        <v>41021</v>
      </c>
    </row>
    <row r="839" spans="1:11">
      <c r="A839" s="35">
        <f>(A838+1)</f>
        <v>835</v>
      </c>
      <c r="B839" s="41" t="s">
        <v>69</v>
      </c>
      <c r="C839" s="159" t="s">
        <v>191</v>
      </c>
      <c r="D839" s="92" t="s">
        <v>1166</v>
      </c>
      <c r="E839" s="41">
        <v>8573204</v>
      </c>
      <c r="F839" s="41"/>
      <c r="G839" s="41"/>
      <c r="H839" s="42"/>
      <c r="I839" s="41"/>
      <c r="J839" s="92">
        <v>33</v>
      </c>
      <c r="K839" s="92">
        <v>48845</v>
      </c>
    </row>
    <row r="840" spans="1:11">
      <c r="A840" s="35">
        <f>(A839+1)</f>
        <v>836</v>
      </c>
      <c r="B840" s="41" t="s">
        <v>69</v>
      </c>
      <c r="C840" s="160" t="s">
        <v>128</v>
      </c>
      <c r="D840" s="136">
        <v>148293</v>
      </c>
      <c r="E840" s="41" t="s">
        <v>172</v>
      </c>
      <c r="F840" s="41"/>
      <c r="G840" s="41"/>
      <c r="H840" s="42"/>
      <c r="I840" s="41"/>
      <c r="J840" s="136">
        <v>8</v>
      </c>
      <c r="K840" s="136">
        <v>41071</v>
      </c>
    </row>
    <row r="841" spans="1:11">
      <c r="A841" s="35">
        <f>(A840+1)</f>
        <v>837</v>
      </c>
      <c r="B841" s="41" t="s">
        <v>69</v>
      </c>
      <c r="C841" s="137" t="s">
        <v>127</v>
      </c>
      <c r="D841" s="82">
        <v>26645</v>
      </c>
      <c r="E841" s="41" t="s">
        <v>172</v>
      </c>
      <c r="F841" s="41"/>
      <c r="G841" s="41"/>
      <c r="H841" s="42"/>
      <c r="I841" s="41"/>
      <c r="J841" s="137">
        <v>21</v>
      </c>
      <c r="K841" s="137">
        <v>48846</v>
      </c>
    </row>
    <row r="842" spans="1:11">
      <c r="A842" s="35">
        <f>(A841+1)</f>
        <v>838</v>
      </c>
      <c r="B842" s="41" t="s">
        <v>69</v>
      </c>
      <c r="C842" s="92" t="s">
        <v>128</v>
      </c>
      <c r="D842" s="84">
        <v>9855256</v>
      </c>
      <c r="E842" s="41" t="s">
        <v>172</v>
      </c>
      <c r="F842" s="41"/>
      <c r="G842" s="41"/>
      <c r="H842" s="42"/>
      <c r="I842" s="41"/>
      <c r="J842" s="92">
        <v>8</v>
      </c>
      <c r="K842" s="92">
        <v>41070</v>
      </c>
    </row>
    <row r="843" spans="1:11">
      <c r="A843" s="35">
        <f>(A842+1)</f>
        <v>839</v>
      </c>
      <c r="B843" s="41" t="s">
        <v>69</v>
      </c>
      <c r="C843" s="161" t="s">
        <v>193</v>
      </c>
      <c r="D843" s="92">
        <v>102683</v>
      </c>
      <c r="E843" s="41" t="s">
        <v>172</v>
      </c>
      <c r="F843" s="41"/>
      <c r="G843" s="41"/>
      <c r="H843" s="42"/>
      <c r="I843" s="41"/>
      <c r="J843" s="92">
        <v>26</v>
      </c>
      <c r="K843" s="92">
        <v>41017</v>
      </c>
    </row>
    <row r="844" spans="1:11">
      <c r="A844" s="35">
        <f>(A843+1)</f>
        <v>840</v>
      </c>
      <c r="B844" s="41" t="s">
        <v>69</v>
      </c>
      <c r="C844" s="159" t="s">
        <v>193</v>
      </c>
      <c r="D844" s="92">
        <v>374109</v>
      </c>
      <c r="E844" s="41">
        <v>29005</v>
      </c>
      <c r="F844" s="41"/>
      <c r="G844" s="41"/>
      <c r="H844" s="42"/>
      <c r="I844" s="41"/>
      <c r="J844" s="92">
        <v>28</v>
      </c>
      <c r="K844" s="92">
        <v>41066</v>
      </c>
    </row>
    <row r="845" spans="1:11">
      <c r="A845" s="35">
        <f>(A844+1)</f>
        <v>841</v>
      </c>
      <c r="B845" s="41" t="s">
        <v>69</v>
      </c>
      <c r="C845" s="159" t="s">
        <v>191</v>
      </c>
      <c r="D845" s="92">
        <v>195246</v>
      </c>
      <c r="E845" s="41" t="s">
        <v>172</v>
      </c>
      <c r="F845" s="41"/>
      <c r="G845" s="41"/>
      <c r="H845" s="42"/>
      <c r="I845" s="41"/>
      <c r="J845" s="92" t="s">
        <v>172</v>
      </c>
      <c r="K845" s="92">
        <v>41914</v>
      </c>
    </row>
    <row r="846" spans="1:11">
      <c r="A846" s="35">
        <f>(A845+1)</f>
        <v>842</v>
      </c>
      <c r="B846" s="41" t="s">
        <v>69</v>
      </c>
      <c r="C846" s="159" t="s">
        <v>130</v>
      </c>
      <c r="D846" s="92">
        <v>112366</v>
      </c>
      <c r="E846" s="41" t="s">
        <v>172</v>
      </c>
      <c r="F846" s="41"/>
      <c r="G846" s="41"/>
      <c r="H846" s="42"/>
      <c r="I846" s="41"/>
      <c r="J846" s="92">
        <v>41</v>
      </c>
      <c r="K846" s="92">
        <v>41849</v>
      </c>
    </row>
    <row r="847" spans="1:11">
      <c r="A847" s="35">
        <f>(A846+1)</f>
        <v>843</v>
      </c>
      <c r="B847" s="41" t="s">
        <v>69</v>
      </c>
      <c r="C847" s="159" t="s">
        <v>131</v>
      </c>
      <c r="D847" s="92">
        <v>134972</v>
      </c>
      <c r="E847" s="41" t="s">
        <v>172</v>
      </c>
      <c r="F847" s="41"/>
      <c r="G847" s="41"/>
      <c r="H847" s="42"/>
      <c r="I847" s="41"/>
      <c r="J847" s="92">
        <v>12</v>
      </c>
      <c r="K847" s="92">
        <v>41834</v>
      </c>
    </row>
    <row r="848" spans="1:11">
      <c r="A848" s="35">
        <f>(A847+1)</f>
        <v>844</v>
      </c>
      <c r="B848" s="41" t="s">
        <v>69</v>
      </c>
      <c r="C848" s="159" t="s">
        <v>130</v>
      </c>
      <c r="D848" s="92">
        <v>129788</v>
      </c>
      <c r="E848" s="41" t="s">
        <v>172</v>
      </c>
      <c r="F848" s="41"/>
      <c r="G848" s="41"/>
      <c r="H848" s="42"/>
      <c r="I848" s="41"/>
      <c r="J848" s="92">
        <v>40</v>
      </c>
      <c r="K848" s="92">
        <v>41851</v>
      </c>
    </row>
    <row r="849" spans="1:11">
      <c r="A849" s="35">
        <f>(A848+1)</f>
        <v>845</v>
      </c>
      <c r="B849" s="41" t="s">
        <v>69</v>
      </c>
      <c r="C849" s="159" t="s">
        <v>131</v>
      </c>
      <c r="D849" s="92">
        <v>1059276</v>
      </c>
      <c r="E849" s="41">
        <v>64793</v>
      </c>
      <c r="F849" s="41"/>
      <c r="G849" s="41"/>
      <c r="H849" s="42"/>
      <c r="I849" s="41"/>
      <c r="J849" s="92" t="s">
        <v>172</v>
      </c>
      <c r="K849" s="92">
        <v>41976</v>
      </c>
    </row>
    <row r="850" spans="1:11">
      <c r="A850" s="35">
        <f>(A849+1)</f>
        <v>846</v>
      </c>
      <c r="B850" s="41" t="s">
        <v>69</v>
      </c>
      <c r="C850" s="159" t="s">
        <v>128</v>
      </c>
      <c r="D850" s="92">
        <v>8430821</v>
      </c>
      <c r="E850" s="41" t="s">
        <v>172</v>
      </c>
      <c r="F850" s="41"/>
      <c r="G850" s="41"/>
      <c r="H850" s="42"/>
      <c r="I850" s="41"/>
      <c r="J850" s="92">
        <v>43</v>
      </c>
      <c r="K850" s="92">
        <v>41842</v>
      </c>
    </row>
    <row r="851" spans="1:11">
      <c r="A851" s="35">
        <f>(A850+1)</f>
        <v>847</v>
      </c>
      <c r="B851" s="41" t="s">
        <v>69</v>
      </c>
      <c r="C851" s="159" t="s">
        <v>192</v>
      </c>
      <c r="D851" s="92">
        <v>63282</v>
      </c>
      <c r="E851" s="41" t="s">
        <v>172</v>
      </c>
      <c r="F851" s="41"/>
      <c r="G851" s="41"/>
      <c r="H851" s="42"/>
      <c r="I851" s="41"/>
      <c r="J851" s="92">
        <v>10</v>
      </c>
      <c r="K851" s="92">
        <v>41848</v>
      </c>
    </row>
    <row r="852" spans="1:11">
      <c r="A852" s="35">
        <f>(A851+1)</f>
        <v>848</v>
      </c>
      <c r="B852" s="41" t="s">
        <v>69</v>
      </c>
      <c r="C852" s="159" t="s">
        <v>192</v>
      </c>
      <c r="D852" s="92">
        <v>9315940</v>
      </c>
      <c r="E852" s="41" t="s">
        <v>172</v>
      </c>
      <c r="F852" s="41"/>
      <c r="G852" s="41"/>
      <c r="H852" s="42"/>
      <c r="I852" s="41"/>
      <c r="J852" s="92">
        <v>5</v>
      </c>
      <c r="K852" s="92">
        <v>41865</v>
      </c>
    </row>
    <row r="853" spans="1:11">
      <c r="A853" s="35">
        <f>(A852+1)</f>
        <v>849</v>
      </c>
      <c r="B853" s="41" t="s">
        <v>69</v>
      </c>
      <c r="C853" s="92" t="s">
        <v>193</v>
      </c>
      <c r="D853" s="84">
        <v>206634</v>
      </c>
      <c r="E853" s="41" t="s">
        <v>172</v>
      </c>
      <c r="F853" s="41"/>
      <c r="G853" s="41"/>
      <c r="H853" s="42"/>
      <c r="I853" s="41"/>
      <c r="J853" s="92">
        <v>5</v>
      </c>
      <c r="K853" s="92">
        <v>46734</v>
      </c>
    </row>
    <row r="854" spans="1:11">
      <c r="A854" s="35">
        <f>(A853+1)</f>
        <v>850</v>
      </c>
      <c r="B854" s="41" t="s">
        <v>69</v>
      </c>
      <c r="C854" s="92" t="s">
        <v>192</v>
      </c>
      <c r="D854" s="84">
        <v>10326</v>
      </c>
      <c r="E854" s="41" t="s">
        <v>172</v>
      </c>
      <c r="F854" s="41"/>
      <c r="G854" s="41"/>
      <c r="H854" s="42"/>
      <c r="I854" s="41"/>
      <c r="J854" s="92">
        <v>11</v>
      </c>
      <c r="K854" s="92">
        <v>46762</v>
      </c>
    </row>
    <row r="855" spans="1:11">
      <c r="A855" s="35">
        <f>(A854+1)</f>
        <v>851</v>
      </c>
      <c r="B855" s="41" t="s">
        <v>69</v>
      </c>
      <c r="C855" s="92" t="s">
        <v>131</v>
      </c>
      <c r="D855" s="84">
        <v>259648</v>
      </c>
      <c r="E855" s="41">
        <v>61378</v>
      </c>
      <c r="F855" s="41"/>
      <c r="G855" s="41"/>
      <c r="H855" s="42"/>
      <c r="I855" s="41"/>
      <c r="J855" s="92">
        <v>6</v>
      </c>
      <c r="K855" s="92">
        <v>46776</v>
      </c>
    </row>
    <row r="856" spans="1:11">
      <c r="A856" s="35">
        <f>(A855+1)</f>
        <v>852</v>
      </c>
      <c r="B856" s="41" t="s">
        <v>69</v>
      </c>
      <c r="C856" s="92" t="s">
        <v>131</v>
      </c>
      <c r="D856" s="84">
        <v>194626</v>
      </c>
      <c r="E856" s="41">
        <v>51441</v>
      </c>
      <c r="F856" s="41"/>
      <c r="G856" s="41"/>
      <c r="H856" s="42"/>
      <c r="I856" s="41"/>
      <c r="J856" s="92">
        <v>31</v>
      </c>
      <c r="K856" s="92">
        <v>46755</v>
      </c>
    </row>
    <row r="857" spans="1:11">
      <c r="A857" s="35">
        <f>(A856+1)</f>
        <v>853</v>
      </c>
      <c r="B857" s="41" t="s">
        <v>69</v>
      </c>
      <c r="C857" s="92" t="s">
        <v>131</v>
      </c>
      <c r="D857" s="84" t="s">
        <v>1167</v>
      </c>
      <c r="E857" s="41" t="s">
        <v>172</v>
      </c>
      <c r="F857" s="41"/>
      <c r="G857" s="41"/>
      <c r="H857" s="42"/>
      <c r="I857" s="41"/>
      <c r="J857" s="92">
        <v>6</v>
      </c>
      <c r="K857" s="92">
        <v>46741</v>
      </c>
    </row>
    <row r="858" spans="1:11">
      <c r="A858" s="35">
        <f>(A857+1)</f>
        <v>854</v>
      </c>
      <c r="B858" s="41" t="s">
        <v>69</v>
      </c>
      <c r="C858" s="92" t="s">
        <v>130</v>
      </c>
      <c r="D858" s="84">
        <v>147117</v>
      </c>
      <c r="E858" s="41" t="s">
        <v>172</v>
      </c>
      <c r="F858" s="41"/>
      <c r="G858" s="41"/>
      <c r="H858" s="42"/>
      <c r="I858" s="41"/>
      <c r="J858" s="92">
        <v>45</v>
      </c>
      <c r="K858" s="92">
        <v>46756</v>
      </c>
    </row>
    <row r="859" spans="1:11">
      <c r="A859" s="35">
        <f>(A858+1)</f>
        <v>855</v>
      </c>
      <c r="B859" s="41" t="s">
        <v>69</v>
      </c>
      <c r="C859" s="92" t="s">
        <v>130</v>
      </c>
      <c r="D859" s="84">
        <v>8122</v>
      </c>
      <c r="E859" s="41" t="s">
        <v>172</v>
      </c>
      <c r="F859" s="41"/>
      <c r="G859" s="41"/>
      <c r="H859" s="42"/>
      <c r="I859" s="41"/>
      <c r="J859" s="92">
        <v>18</v>
      </c>
      <c r="K859" s="92">
        <v>46765</v>
      </c>
    </row>
    <row r="860" spans="1:11">
      <c r="A860" s="35">
        <f>(A859+1)</f>
        <v>856</v>
      </c>
      <c r="B860" s="41" t="s">
        <v>69</v>
      </c>
      <c r="C860" s="162" t="s">
        <v>193</v>
      </c>
      <c r="D860" s="94">
        <v>89558</v>
      </c>
      <c r="E860" s="41"/>
      <c r="F860" s="41"/>
      <c r="G860" s="41"/>
      <c r="H860" s="42"/>
      <c r="I860" s="41"/>
      <c r="J860" s="135">
        <v>45</v>
      </c>
      <c r="K860" s="135">
        <v>50844</v>
      </c>
    </row>
    <row r="861" spans="1:11">
      <c r="A861" s="35">
        <f>(A860+1)</f>
        <v>857</v>
      </c>
      <c r="B861" s="41" t="s">
        <v>69</v>
      </c>
      <c r="C861" s="162" t="s">
        <v>191</v>
      </c>
      <c r="D861" s="94">
        <v>193238</v>
      </c>
      <c r="E861" s="41"/>
      <c r="F861" s="41"/>
      <c r="G861" s="41"/>
      <c r="H861" s="42"/>
      <c r="I861" s="41"/>
      <c r="J861" s="135">
        <v>34</v>
      </c>
      <c r="K861" s="135">
        <v>50838</v>
      </c>
    </row>
    <row r="862" spans="1:11">
      <c r="A862" s="35">
        <f>(A861+1)</f>
        <v>858</v>
      </c>
      <c r="B862" s="41" t="s">
        <v>69</v>
      </c>
      <c r="C862" s="162" t="s">
        <v>193</v>
      </c>
      <c r="D862" s="94">
        <v>5061</v>
      </c>
      <c r="E862" s="41"/>
      <c r="F862" s="41"/>
      <c r="G862" s="41"/>
      <c r="H862" s="42"/>
      <c r="I862" s="41"/>
      <c r="J862" s="135">
        <v>45</v>
      </c>
      <c r="K862" s="135">
        <v>50845</v>
      </c>
    </row>
    <row r="863" spans="1:11">
      <c r="A863" s="35">
        <f>(A862+1)</f>
        <v>859</v>
      </c>
      <c r="B863" s="41" t="s">
        <v>69</v>
      </c>
      <c r="C863" s="162" t="s">
        <v>191</v>
      </c>
      <c r="D863" s="94">
        <v>73014</v>
      </c>
      <c r="E863" s="41">
        <v>33207</v>
      </c>
      <c r="F863" s="41"/>
      <c r="G863" s="41"/>
      <c r="H863" s="42"/>
      <c r="I863" s="41"/>
      <c r="J863" s="135">
        <v>6</v>
      </c>
      <c r="K863" s="135">
        <v>50850</v>
      </c>
    </row>
    <row r="864" spans="1:11">
      <c r="A864" s="35">
        <f>(A863+1)</f>
        <v>860</v>
      </c>
      <c r="B864" s="41" t="s">
        <v>69</v>
      </c>
      <c r="C864" s="162" t="s">
        <v>192</v>
      </c>
      <c r="D864" s="94">
        <v>213899</v>
      </c>
      <c r="E864" s="41"/>
      <c r="F864" s="41"/>
      <c r="G864" s="41"/>
      <c r="H864" s="42"/>
      <c r="I864" s="41"/>
      <c r="J864" s="135">
        <v>2</v>
      </c>
      <c r="K864" s="135">
        <v>50846</v>
      </c>
    </row>
    <row r="865" spans="1:11">
      <c r="A865" s="35">
        <f>(A864+1)</f>
        <v>861</v>
      </c>
      <c r="B865" s="41" t="s">
        <v>69</v>
      </c>
      <c r="C865" s="162" t="s">
        <v>192</v>
      </c>
      <c r="D865" s="94">
        <v>196745</v>
      </c>
      <c r="E865" s="41"/>
      <c r="F865" s="41"/>
      <c r="G865" s="41"/>
      <c r="H865" s="42"/>
      <c r="I865" s="41"/>
      <c r="J865" s="135">
        <v>36</v>
      </c>
      <c r="K865" s="135">
        <v>50861</v>
      </c>
    </row>
    <row r="866" spans="1:11">
      <c r="A866" s="35">
        <f>(A865+1)</f>
        <v>862</v>
      </c>
      <c r="B866" s="41" t="s">
        <v>69</v>
      </c>
      <c r="C866" s="162" t="s">
        <v>191</v>
      </c>
      <c r="D866" s="94">
        <v>180402</v>
      </c>
      <c r="E866" s="41"/>
      <c r="F866" s="41"/>
      <c r="G866" s="41"/>
      <c r="H866" s="42"/>
      <c r="I866" s="41"/>
      <c r="J866" s="135">
        <v>2</v>
      </c>
      <c r="K866" s="135">
        <v>50851</v>
      </c>
    </row>
    <row r="867" spans="1:11">
      <c r="A867" s="35">
        <f>(A866+1)</f>
        <v>863</v>
      </c>
      <c r="B867" s="41" t="s">
        <v>69</v>
      </c>
      <c r="C867" s="162" t="s">
        <v>192</v>
      </c>
      <c r="D867" s="94">
        <v>287443</v>
      </c>
      <c r="E867" s="41"/>
      <c r="F867" s="41"/>
      <c r="G867" s="41"/>
      <c r="H867" s="42"/>
      <c r="I867" s="41"/>
      <c r="J867" s="135">
        <v>2</v>
      </c>
      <c r="K867" s="135">
        <v>50872</v>
      </c>
    </row>
    <row r="868" spans="1:11">
      <c r="A868" s="35">
        <f>(A867+1)</f>
        <v>864</v>
      </c>
      <c r="B868" s="41" t="s">
        <v>69</v>
      </c>
      <c r="C868" s="162" t="s">
        <v>193</v>
      </c>
      <c r="D868" s="94">
        <v>260551</v>
      </c>
      <c r="E868" s="41">
        <v>23060</v>
      </c>
      <c r="F868" s="41"/>
      <c r="G868" s="41"/>
      <c r="H868" s="42"/>
      <c r="I868" s="41"/>
      <c r="J868" s="135">
        <v>5</v>
      </c>
      <c r="K868" s="135">
        <v>50843</v>
      </c>
    </row>
    <row r="869" spans="1:11">
      <c r="A869" s="35">
        <f>(A868+1)</f>
        <v>865</v>
      </c>
      <c r="B869" s="41" t="s">
        <v>69</v>
      </c>
      <c r="C869" s="162" t="s">
        <v>193</v>
      </c>
      <c r="D869" s="94">
        <v>149819</v>
      </c>
      <c r="E869" s="41">
        <v>4122</v>
      </c>
      <c r="F869" s="41"/>
      <c r="G869" s="41"/>
      <c r="H869" s="42"/>
      <c r="I869" s="41"/>
      <c r="J869" s="135">
        <v>2</v>
      </c>
      <c r="K869" s="135">
        <v>50765</v>
      </c>
    </row>
    <row r="870" spans="1:11">
      <c r="A870" s="35">
        <f>(A869+1)</f>
        <v>866</v>
      </c>
      <c r="B870" s="41" t="s">
        <v>69</v>
      </c>
      <c r="C870" s="162" t="s">
        <v>193</v>
      </c>
      <c r="D870" s="94">
        <v>677394</v>
      </c>
      <c r="E870" s="41">
        <v>46551</v>
      </c>
      <c r="F870" s="41"/>
      <c r="G870" s="41"/>
      <c r="H870" s="42"/>
      <c r="I870" s="41"/>
      <c r="J870" s="135">
        <v>2</v>
      </c>
      <c r="K870" s="135">
        <v>50837</v>
      </c>
    </row>
    <row r="871" spans="1:11">
      <c r="A871" s="35">
        <f>(A870+1)</f>
        <v>867</v>
      </c>
      <c r="B871" s="41" t="s">
        <v>69</v>
      </c>
      <c r="C871" s="162" t="s">
        <v>191</v>
      </c>
      <c r="D871" s="94">
        <v>680381</v>
      </c>
      <c r="E871" s="41">
        <v>47082</v>
      </c>
      <c r="F871" s="41"/>
      <c r="G871" s="41"/>
      <c r="H871" s="42"/>
      <c r="I871" s="41"/>
      <c r="J871" s="135">
        <v>2</v>
      </c>
      <c r="K871" s="135">
        <v>50853</v>
      </c>
    </row>
    <row r="872" spans="1:11">
      <c r="A872" s="35">
        <f>(A871+1)</f>
        <v>868</v>
      </c>
      <c r="B872" s="41" t="s">
        <v>69</v>
      </c>
      <c r="C872" s="162" t="s">
        <v>130</v>
      </c>
      <c r="D872" s="94">
        <v>7367</v>
      </c>
      <c r="E872" s="41">
        <v>1864</v>
      </c>
      <c r="F872" s="41"/>
      <c r="G872" s="41"/>
      <c r="H872" s="42"/>
      <c r="I872" s="41"/>
      <c r="J872" s="135">
        <v>26</v>
      </c>
      <c r="K872" s="135">
        <v>50860</v>
      </c>
    </row>
    <row r="873" spans="1:11">
      <c r="A873" s="35">
        <f>(A872+1)</f>
        <v>869</v>
      </c>
      <c r="B873" s="41" t="s">
        <v>69</v>
      </c>
      <c r="C873" s="162" t="s">
        <v>191</v>
      </c>
      <c r="D873" s="94">
        <v>9033048</v>
      </c>
      <c r="E873" s="41">
        <v>1218</v>
      </c>
      <c r="F873" s="41"/>
      <c r="G873" s="41"/>
      <c r="H873" s="42"/>
      <c r="I873" s="41"/>
      <c r="J873" s="135">
        <v>43</v>
      </c>
      <c r="K873" s="135">
        <v>50766</v>
      </c>
    </row>
    <row r="874" spans="1:11">
      <c r="A874" s="35">
        <f>(A873+1)</f>
        <v>870</v>
      </c>
      <c r="B874" s="41" t="s">
        <v>69</v>
      </c>
      <c r="C874" s="162" t="s">
        <v>191</v>
      </c>
      <c r="D874" s="94">
        <v>900058</v>
      </c>
      <c r="E874" s="41">
        <v>40502</v>
      </c>
      <c r="F874" s="41"/>
      <c r="G874" s="41"/>
      <c r="H874" s="42"/>
      <c r="I874" s="41"/>
      <c r="J874" s="135">
        <v>4</v>
      </c>
      <c r="K874" s="135">
        <v>50858</v>
      </c>
    </row>
    <row r="875" spans="1:11">
      <c r="A875" s="35">
        <f>(A874+1)</f>
        <v>871</v>
      </c>
      <c r="B875" s="41" t="s">
        <v>69</v>
      </c>
      <c r="C875" s="162" t="s">
        <v>191</v>
      </c>
      <c r="D875" s="94">
        <v>73215</v>
      </c>
      <c r="E875" s="41"/>
      <c r="F875" s="41"/>
      <c r="G875" s="41"/>
      <c r="H875" s="42"/>
      <c r="I875" s="41"/>
      <c r="J875" s="135">
        <v>6</v>
      </c>
      <c r="K875" s="135">
        <v>50852</v>
      </c>
    </row>
    <row r="876" spans="1:11">
      <c r="A876" s="35">
        <f>(A875+1)</f>
        <v>872</v>
      </c>
      <c r="B876" s="41" t="s">
        <v>69</v>
      </c>
      <c r="C876" s="162" t="s">
        <v>192</v>
      </c>
      <c r="D876" s="94">
        <v>204061</v>
      </c>
      <c r="E876" s="41"/>
      <c r="F876" s="41"/>
      <c r="G876" s="41"/>
      <c r="H876" s="42"/>
      <c r="I876" s="41"/>
      <c r="J876" s="135">
        <v>2</v>
      </c>
      <c r="K876" s="135">
        <v>50855</v>
      </c>
    </row>
    <row r="877" spans="1:11">
      <c r="A877" s="35">
        <f>(A876+1)</f>
        <v>873</v>
      </c>
      <c r="B877" s="41" t="s">
        <v>69</v>
      </c>
      <c r="C877" s="162" t="s">
        <v>193</v>
      </c>
      <c r="D877" s="94">
        <v>172713</v>
      </c>
      <c r="E877" s="41"/>
      <c r="F877" s="41"/>
      <c r="G877" s="41"/>
      <c r="H877" s="42"/>
      <c r="I877" s="41"/>
      <c r="J877" s="135">
        <v>13</v>
      </c>
      <c r="K877" s="135">
        <v>50868</v>
      </c>
    </row>
    <row r="878" spans="1:11">
      <c r="A878" s="35">
        <f>(A877+1)</f>
        <v>874</v>
      </c>
      <c r="B878" s="41" t="s">
        <v>69</v>
      </c>
      <c r="C878" s="162" t="s">
        <v>128</v>
      </c>
      <c r="D878" s="94">
        <v>550140</v>
      </c>
      <c r="E878" s="41">
        <v>556</v>
      </c>
      <c r="F878" s="41"/>
      <c r="G878" s="41"/>
      <c r="H878" s="42"/>
      <c r="I878" s="41"/>
      <c r="J878" s="135">
        <v>46</v>
      </c>
      <c r="K878" s="135">
        <v>50767</v>
      </c>
    </row>
    <row r="879" spans="1:11">
      <c r="A879" s="35">
        <f>(A878+1)</f>
        <v>875</v>
      </c>
      <c r="B879" s="41" t="s">
        <v>69</v>
      </c>
      <c r="C879" s="162" t="s">
        <v>191</v>
      </c>
      <c r="D879" s="94">
        <v>265760</v>
      </c>
      <c r="E879" s="41"/>
      <c r="F879" s="41"/>
      <c r="G879" s="41"/>
      <c r="H879" s="42"/>
      <c r="I879" s="41"/>
      <c r="J879" s="135">
        <v>44</v>
      </c>
      <c r="K879" s="135">
        <v>50849</v>
      </c>
    </row>
    <row r="880" spans="1:11">
      <c r="A880" s="35">
        <f>(A879+1)</f>
        <v>876</v>
      </c>
      <c r="B880" s="41" t="s">
        <v>69</v>
      </c>
      <c r="C880" s="162" t="s">
        <v>191</v>
      </c>
      <c r="D880" s="94">
        <v>19013</v>
      </c>
      <c r="E880" s="41"/>
      <c r="F880" s="41"/>
      <c r="G880" s="41"/>
      <c r="H880" s="42"/>
      <c r="I880" s="41"/>
      <c r="J880" s="135">
        <v>26</v>
      </c>
      <c r="K880" s="135">
        <v>50854</v>
      </c>
    </row>
    <row r="881" spans="1:11">
      <c r="A881" s="35">
        <f>(A880+1)</f>
        <v>877</v>
      </c>
      <c r="B881" s="41" t="s">
        <v>69</v>
      </c>
      <c r="C881" s="162" t="s">
        <v>166</v>
      </c>
      <c r="D881" s="94">
        <v>16165874</v>
      </c>
      <c r="E881" s="41">
        <v>4974</v>
      </c>
      <c r="F881" s="41"/>
      <c r="G881" s="41"/>
      <c r="H881" s="42"/>
      <c r="I881" s="41"/>
      <c r="J881" s="135">
        <v>12</v>
      </c>
      <c r="K881" s="135">
        <v>50859</v>
      </c>
    </row>
    <row r="882" spans="1:11">
      <c r="A882" s="35">
        <f>(A881+1)</f>
        <v>878</v>
      </c>
      <c r="B882" s="41" t="s">
        <v>69</v>
      </c>
      <c r="C882" s="162" t="s">
        <v>131</v>
      </c>
      <c r="D882" s="94">
        <v>204210</v>
      </c>
      <c r="E882" s="41"/>
      <c r="F882" s="41"/>
      <c r="G882" s="41"/>
      <c r="H882" s="42"/>
      <c r="I882" s="41"/>
      <c r="J882" s="135">
        <v>2</v>
      </c>
      <c r="K882" s="135">
        <v>50842</v>
      </c>
    </row>
    <row r="883" spans="1:11">
      <c r="A883" s="35">
        <f>(A882+1)</f>
        <v>879</v>
      </c>
      <c r="B883" s="41" t="s">
        <v>69</v>
      </c>
      <c r="C883" s="162" t="s">
        <v>131</v>
      </c>
      <c r="D883" s="94">
        <v>935347</v>
      </c>
      <c r="E883" s="41">
        <v>77530</v>
      </c>
      <c r="F883" s="41"/>
      <c r="G883" s="41"/>
      <c r="H883" s="42"/>
      <c r="I883" s="41"/>
      <c r="J883" s="135">
        <v>2</v>
      </c>
      <c r="K883" s="135">
        <v>50830</v>
      </c>
    </row>
    <row r="884" spans="1:11">
      <c r="A884" s="35">
        <f>(A883+1)</f>
        <v>880</v>
      </c>
      <c r="B884" s="41" t="s">
        <v>69</v>
      </c>
      <c r="C884" s="162" t="s">
        <v>131</v>
      </c>
      <c r="D884" s="94">
        <v>180673</v>
      </c>
      <c r="E884" s="41">
        <v>77531</v>
      </c>
      <c r="F884" s="41"/>
      <c r="G884" s="41"/>
      <c r="H884" s="42"/>
      <c r="I884" s="41"/>
      <c r="J884" s="135">
        <v>2</v>
      </c>
      <c r="K884" s="135">
        <v>50828</v>
      </c>
    </row>
    <row r="885" spans="1:11">
      <c r="A885" s="35">
        <f>(A884+1)</f>
        <v>881</v>
      </c>
      <c r="B885" s="41" t="s">
        <v>69</v>
      </c>
      <c r="C885" s="162" t="s">
        <v>130</v>
      </c>
      <c r="D885" s="94">
        <v>98706</v>
      </c>
      <c r="E885" s="41">
        <v>77529</v>
      </c>
      <c r="F885" s="41"/>
      <c r="G885" s="41"/>
      <c r="H885" s="42"/>
      <c r="I885" s="41"/>
      <c r="J885" s="135">
        <v>2</v>
      </c>
      <c r="K885" s="135">
        <v>50833</v>
      </c>
    </row>
    <row r="886" spans="1:11">
      <c r="A886" s="35">
        <f>(A885+1)</f>
        <v>882</v>
      </c>
      <c r="B886" s="41" t="s">
        <v>69</v>
      </c>
      <c r="C886" s="162" t="s">
        <v>127</v>
      </c>
      <c r="D886" s="94">
        <v>246012</v>
      </c>
      <c r="E886" s="41">
        <v>77537</v>
      </c>
      <c r="F886" s="41"/>
      <c r="G886" s="41"/>
      <c r="H886" s="42"/>
      <c r="I886" s="41"/>
      <c r="J886" s="135">
        <v>2</v>
      </c>
      <c r="K886" s="135">
        <v>50815</v>
      </c>
    </row>
    <row r="887" spans="1:11">
      <c r="A887" s="35">
        <f>(A886+1)</f>
        <v>883</v>
      </c>
      <c r="B887" s="41" t="s">
        <v>69</v>
      </c>
      <c r="C887" s="162" t="s">
        <v>131</v>
      </c>
      <c r="D887" s="94">
        <v>456930</v>
      </c>
      <c r="E887" s="41">
        <v>75992</v>
      </c>
      <c r="F887" s="41"/>
      <c r="G887" s="41"/>
      <c r="H887" s="42"/>
      <c r="I887" s="41"/>
      <c r="J887" s="135">
        <v>2</v>
      </c>
      <c r="K887" s="135">
        <v>50836</v>
      </c>
    </row>
    <row r="888" spans="1:11">
      <c r="A888" s="35">
        <f>(A887+1)</f>
        <v>884</v>
      </c>
      <c r="B888" s="41" t="s">
        <v>69</v>
      </c>
      <c r="C888" s="162" t="s">
        <v>127</v>
      </c>
      <c r="D888" s="94">
        <v>340305</v>
      </c>
      <c r="E888" s="41">
        <v>77535</v>
      </c>
      <c r="F888" s="41"/>
      <c r="G888" s="41"/>
      <c r="H888" s="42"/>
      <c r="I888" s="41"/>
      <c r="J888" s="135">
        <v>2</v>
      </c>
      <c r="K888" s="135">
        <v>50823</v>
      </c>
    </row>
    <row r="889" spans="1:11">
      <c r="A889" s="35">
        <f>(A888+1)</f>
        <v>885</v>
      </c>
      <c r="B889" s="41" t="s">
        <v>69</v>
      </c>
      <c r="C889" s="162" t="s">
        <v>130</v>
      </c>
      <c r="D889" s="94">
        <v>956794</v>
      </c>
      <c r="E889" s="41">
        <v>77532</v>
      </c>
      <c r="F889" s="41"/>
      <c r="G889" s="41"/>
      <c r="H889" s="42"/>
      <c r="I889" s="41"/>
      <c r="J889" s="135">
        <v>2</v>
      </c>
      <c r="K889" s="135">
        <v>50827</v>
      </c>
    </row>
    <row r="890" spans="1:11">
      <c r="A890" s="35">
        <f>(A889+1)</f>
        <v>886</v>
      </c>
      <c r="B890" s="41" t="s">
        <v>69</v>
      </c>
      <c r="C890" s="162" t="s">
        <v>192</v>
      </c>
      <c r="D890" s="94">
        <v>9854144</v>
      </c>
      <c r="E890" s="41">
        <v>77534</v>
      </c>
      <c r="F890" s="41"/>
      <c r="G890" s="41"/>
      <c r="H890" s="42"/>
      <c r="I890" s="41"/>
      <c r="J890" s="135">
        <v>2</v>
      </c>
      <c r="K890" s="135">
        <v>50825</v>
      </c>
    </row>
    <row r="891" spans="1:11">
      <c r="A891" s="35">
        <f>(A890+1)</f>
        <v>887</v>
      </c>
      <c r="B891" s="41" t="s">
        <v>69</v>
      </c>
      <c r="C891" s="162" t="s">
        <v>192</v>
      </c>
      <c r="D891" s="94">
        <v>291839</v>
      </c>
      <c r="E891" s="41">
        <v>56546</v>
      </c>
      <c r="F891" s="41"/>
      <c r="G891" s="41"/>
      <c r="H891" s="42"/>
      <c r="I891" s="41"/>
      <c r="J891" s="135">
        <v>2</v>
      </c>
      <c r="K891" s="135">
        <v>50821</v>
      </c>
    </row>
    <row r="892" spans="1:11">
      <c r="A892" s="35">
        <f>(A891+1)</f>
        <v>888</v>
      </c>
      <c r="B892" s="41" t="s">
        <v>69</v>
      </c>
      <c r="C892" s="162" t="s">
        <v>131</v>
      </c>
      <c r="D892" s="94">
        <v>192515</v>
      </c>
      <c r="E892" s="41"/>
      <c r="F892" s="41"/>
      <c r="G892" s="41"/>
      <c r="H892" s="42"/>
      <c r="I892" s="41"/>
      <c r="J892" s="135" t="s">
        <v>172</v>
      </c>
      <c r="K892" s="135">
        <v>50866</v>
      </c>
    </row>
    <row r="893" spans="1:11">
      <c r="A893" s="35">
        <f>(A892+1)</f>
        <v>889</v>
      </c>
      <c r="B893" s="41" t="s">
        <v>69</v>
      </c>
      <c r="C893" s="162" t="s">
        <v>192</v>
      </c>
      <c r="D893" s="94">
        <v>955035</v>
      </c>
      <c r="E893" s="41">
        <v>61943</v>
      </c>
      <c r="F893" s="41"/>
      <c r="G893" s="41"/>
      <c r="H893" s="42"/>
      <c r="I893" s="41"/>
      <c r="J893" s="135" t="s">
        <v>172</v>
      </c>
      <c r="K893" s="135">
        <v>50839</v>
      </c>
    </row>
    <row r="894" spans="1:11">
      <c r="A894" s="35">
        <f>(A893+1)</f>
        <v>890</v>
      </c>
      <c r="B894" s="41" t="s">
        <v>69</v>
      </c>
      <c r="C894" s="162" t="s">
        <v>128</v>
      </c>
      <c r="D894" s="94">
        <v>550141</v>
      </c>
      <c r="E894" s="41"/>
      <c r="F894" s="41"/>
      <c r="G894" s="41"/>
      <c r="H894" s="42"/>
      <c r="I894" s="41"/>
      <c r="J894" s="135" t="s">
        <v>172</v>
      </c>
      <c r="K894" s="135">
        <v>50869</v>
      </c>
    </row>
    <row r="895" spans="1:11">
      <c r="A895" s="35">
        <f>(A894+1)</f>
        <v>891</v>
      </c>
      <c r="B895" s="41" t="s">
        <v>69</v>
      </c>
      <c r="C895" s="162" t="s">
        <v>193</v>
      </c>
      <c r="D895" s="94">
        <v>183783</v>
      </c>
      <c r="E895" s="41"/>
      <c r="F895" s="41"/>
      <c r="G895" s="41"/>
      <c r="H895" s="42"/>
      <c r="I895" s="41"/>
      <c r="J895" s="135" t="s">
        <v>172</v>
      </c>
      <c r="K895" s="135">
        <v>50840</v>
      </c>
    </row>
    <row r="896" spans="1:11">
      <c r="A896" s="35">
        <f>(A895+1)</f>
        <v>892</v>
      </c>
      <c r="B896" s="41" t="s">
        <v>69</v>
      </c>
      <c r="C896" s="162" t="s">
        <v>128</v>
      </c>
      <c r="D896" s="94">
        <v>125110</v>
      </c>
      <c r="E896" s="41"/>
      <c r="F896" s="41"/>
      <c r="G896" s="41"/>
      <c r="H896" s="42"/>
      <c r="I896" s="41"/>
      <c r="J896" s="135" t="s">
        <v>172</v>
      </c>
      <c r="K896" s="135">
        <v>50863</v>
      </c>
    </row>
    <row r="897" spans="1:11">
      <c r="A897" s="35">
        <f>(A896+1)</f>
        <v>893</v>
      </c>
      <c r="B897" s="41" t="s">
        <v>69</v>
      </c>
      <c r="C897" s="162" t="s">
        <v>130</v>
      </c>
      <c r="D897" s="94">
        <v>4549</v>
      </c>
      <c r="E897" s="41">
        <v>4923</v>
      </c>
      <c r="F897" s="41"/>
      <c r="G897" s="41"/>
      <c r="H897" s="42"/>
      <c r="I897" s="41"/>
      <c r="J897" s="135" t="s">
        <v>172</v>
      </c>
      <c r="K897" s="135">
        <v>50865</v>
      </c>
    </row>
    <row r="898" spans="1:11">
      <c r="A898" s="35">
        <f>(A897+1)</f>
        <v>894</v>
      </c>
      <c r="B898" s="41" t="s">
        <v>69</v>
      </c>
      <c r="C898" s="162" t="s">
        <v>193</v>
      </c>
      <c r="D898" s="94">
        <v>5332</v>
      </c>
      <c r="E898" s="41"/>
      <c r="F898" s="41"/>
      <c r="G898" s="41"/>
      <c r="H898" s="42"/>
      <c r="I898" s="41"/>
      <c r="J898" s="135" t="s">
        <v>172</v>
      </c>
      <c r="K898" s="135">
        <v>50856</v>
      </c>
    </row>
    <row r="899" spans="1:11">
      <c r="A899" s="35">
        <f>(A898+1)</f>
        <v>895</v>
      </c>
      <c r="B899" s="41" t="s">
        <v>69</v>
      </c>
      <c r="C899" s="162" t="s">
        <v>193</v>
      </c>
      <c r="D899" s="94">
        <v>2953</v>
      </c>
      <c r="E899" s="41"/>
      <c r="F899" s="41"/>
      <c r="G899" s="41"/>
      <c r="H899" s="42"/>
      <c r="I899" s="41"/>
      <c r="J899" s="135" t="s">
        <v>172</v>
      </c>
      <c r="K899" s="135">
        <v>50841</v>
      </c>
    </row>
    <row r="900" spans="1:11">
      <c r="A900" s="35">
        <f>(A899+1)</f>
        <v>896</v>
      </c>
      <c r="B900" s="41" t="s">
        <v>69</v>
      </c>
      <c r="C900" s="162" t="s">
        <v>130</v>
      </c>
      <c r="D900" s="94" t="s">
        <v>1168</v>
      </c>
      <c r="E900" s="41"/>
      <c r="F900" s="41"/>
      <c r="G900" s="41"/>
      <c r="H900" s="42"/>
      <c r="I900" s="41"/>
      <c r="J900" s="135" t="s">
        <v>172</v>
      </c>
      <c r="K900" s="135">
        <v>50848</v>
      </c>
    </row>
    <row r="901" spans="1:11">
      <c r="A901" s="35">
        <f>(A900+1)</f>
        <v>897</v>
      </c>
      <c r="B901" s="41" t="s">
        <v>69</v>
      </c>
      <c r="C901" s="162" t="s">
        <v>131</v>
      </c>
      <c r="D901" s="94">
        <v>207166</v>
      </c>
      <c r="E901" s="41"/>
      <c r="F901" s="41"/>
      <c r="G901" s="41"/>
      <c r="H901" s="42"/>
      <c r="I901" s="41"/>
      <c r="J901" s="135" t="s">
        <v>172</v>
      </c>
      <c r="K901" s="135">
        <v>50871</v>
      </c>
    </row>
    <row r="902" spans="1:11">
      <c r="A902" s="35">
        <f>(A901+1)</f>
        <v>898</v>
      </c>
      <c r="B902" s="41" t="s">
        <v>69</v>
      </c>
      <c r="C902" s="162" t="s">
        <v>128</v>
      </c>
      <c r="D902" s="94">
        <v>14732</v>
      </c>
      <c r="E902" s="41"/>
      <c r="F902" s="41"/>
      <c r="G902" s="41"/>
      <c r="H902" s="42"/>
      <c r="I902" s="41"/>
      <c r="J902" s="135" t="s">
        <v>172</v>
      </c>
      <c r="K902" s="135">
        <v>50847</v>
      </c>
    </row>
    <row r="903" spans="1:11">
      <c r="A903" s="35">
        <f>(A902+1)</f>
        <v>899</v>
      </c>
      <c r="B903" s="41" t="s">
        <v>69</v>
      </c>
      <c r="C903" s="162" t="s">
        <v>903</v>
      </c>
      <c r="D903" s="94">
        <v>920553</v>
      </c>
      <c r="E903" s="41">
        <v>69102</v>
      </c>
      <c r="F903" s="41"/>
      <c r="G903" s="41"/>
      <c r="H903" s="42"/>
      <c r="I903" s="41"/>
      <c r="J903" s="135" t="s">
        <v>172</v>
      </c>
      <c r="K903" s="135">
        <v>50831</v>
      </c>
    </row>
    <row r="904" spans="1:11">
      <c r="A904" s="35">
        <f>(A903+1)</f>
        <v>900</v>
      </c>
      <c r="B904" s="41" t="s">
        <v>69</v>
      </c>
      <c r="C904" s="162" t="s">
        <v>127</v>
      </c>
      <c r="D904" s="94">
        <v>177864</v>
      </c>
      <c r="E904" s="41">
        <v>77528</v>
      </c>
      <c r="F904" s="41"/>
      <c r="G904" s="41"/>
      <c r="H904" s="42"/>
      <c r="I904" s="41"/>
      <c r="J904" s="135" t="s">
        <v>172</v>
      </c>
      <c r="K904" s="135">
        <v>50834</v>
      </c>
    </row>
    <row r="905" spans="1:11">
      <c r="A905" s="35">
        <f>(A904+1)</f>
        <v>901</v>
      </c>
      <c r="B905" s="41" t="s">
        <v>69</v>
      </c>
      <c r="C905" s="162" t="s">
        <v>166</v>
      </c>
      <c r="D905" s="94">
        <v>760051</v>
      </c>
      <c r="E905" s="41">
        <v>77533</v>
      </c>
      <c r="F905" s="41"/>
      <c r="G905" s="41"/>
      <c r="H905" s="42"/>
      <c r="I905" s="41"/>
      <c r="J905" s="135" t="s">
        <v>172</v>
      </c>
      <c r="K905" s="135">
        <v>50826</v>
      </c>
    </row>
    <row r="906" spans="1:11">
      <c r="A906" s="35">
        <f>(A905+1)</f>
        <v>902</v>
      </c>
      <c r="B906" s="41" t="s">
        <v>69</v>
      </c>
      <c r="C906" s="162" t="s">
        <v>130</v>
      </c>
      <c r="D906" s="94" t="s">
        <v>1169</v>
      </c>
      <c r="E906" s="41">
        <v>199734</v>
      </c>
      <c r="F906" s="41"/>
      <c r="G906" s="41"/>
      <c r="H906" s="42"/>
      <c r="I906" s="41"/>
      <c r="J906" s="135" t="s">
        <v>172</v>
      </c>
      <c r="K906" s="135">
        <v>50835</v>
      </c>
    </row>
    <row r="907" spans="1:11">
      <c r="A907" s="35">
        <f>(A906+1)</f>
        <v>903</v>
      </c>
      <c r="B907" s="41" t="s">
        <v>69</v>
      </c>
      <c r="C907" s="162" t="s">
        <v>127</v>
      </c>
      <c r="D907" s="94">
        <v>232626</v>
      </c>
      <c r="E907" s="41">
        <v>58078</v>
      </c>
      <c r="F907" s="41"/>
      <c r="G907" s="41"/>
      <c r="H907" s="42"/>
      <c r="I907" s="41"/>
      <c r="J907" s="135" t="s">
        <v>172</v>
      </c>
      <c r="K907" s="135">
        <v>50824</v>
      </c>
    </row>
    <row r="908" spans="1:11">
      <c r="A908" s="35">
        <f>(A907+1)</f>
        <v>904</v>
      </c>
      <c r="B908" s="41" t="s">
        <v>69</v>
      </c>
      <c r="C908" s="162" t="s">
        <v>130</v>
      </c>
      <c r="D908" s="94">
        <v>244281</v>
      </c>
      <c r="E908" s="41">
        <v>59555</v>
      </c>
      <c r="F908" s="41"/>
      <c r="G908" s="41"/>
      <c r="H908" s="42"/>
      <c r="I908" s="41"/>
      <c r="J908" s="135" t="s">
        <v>172</v>
      </c>
      <c r="K908" s="135">
        <v>50829</v>
      </c>
    </row>
    <row r="909" spans="1:11">
      <c r="A909" s="35">
        <f>(A908+1)</f>
        <v>905</v>
      </c>
      <c r="B909" s="41" t="s">
        <v>69</v>
      </c>
      <c r="C909" s="162" t="s">
        <v>192</v>
      </c>
      <c r="D909" s="94">
        <v>1134401</v>
      </c>
      <c r="E909" s="41">
        <v>66606</v>
      </c>
      <c r="F909" s="41"/>
      <c r="G909" s="41"/>
      <c r="H909" s="42"/>
      <c r="I909" s="41"/>
      <c r="J909" s="135" t="s">
        <v>172</v>
      </c>
      <c r="K909" s="135">
        <v>50820</v>
      </c>
    </row>
    <row r="910" spans="1:11">
      <c r="A910" s="35">
        <f>(A909+1)</f>
        <v>906</v>
      </c>
      <c r="B910" s="41" t="s">
        <v>69</v>
      </c>
      <c r="C910" s="162" t="s">
        <v>192</v>
      </c>
      <c r="D910" s="94">
        <v>792490</v>
      </c>
      <c r="E910" s="41">
        <v>53799</v>
      </c>
      <c r="F910" s="41"/>
      <c r="G910" s="41"/>
      <c r="H910" s="42"/>
      <c r="I910" s="41"/>
      <c r="J910" s="135" t="s">
        <v>172</v>
      </c>
      <c r="K910" s="135">
        <v>50819</v>
      </c>
    </row>
    <row r="911" spans="1:11">
      <c r="A911" s="35">
        <f>(A910+1)</f>
        <v>907</v>
      </c>
      <c r="B911" s="41" t="s">
        <v>69</v>
      </c>
      <c r="C911" s="162" t="s">
        <v>131</v>
      </c>
      <c r="D911" s="94">
        <v>198432</v>
      </c>
      <c r="E911" s="41">
        <v>20665</v>
      </c>
      <c r="F911" s="41"/>
      <c r="G911" s="41"/>
      <c r="H911" s="42"/>
      <c r="I911" s="41"/>
      <c r="J911" s="135" t="s">
        <v>172</v>
      </c>
      <c r="K911" s="135">
        <v>50817</v>
      </c>
    </row>
    <row r="912" spans="1:11">
      <c r="A912" s="35">
        <f>(A911+1)</f>
        <v>908</v>
      </c>
      <c r="B912" s="41" t="s">
        <v>69</v>
      </c>
      <c r="C912" s="162" t="s">
        <v>131</v>
      </c>
      <c r="D912" s="94">
        <v>257916</v>
      </c>
      <c r="E912" s="41">
        <v>77536</v>
      </c>
      <c r="F912" s="41"/>
      <c r="G912" s="41"/>
      <c r="H912" s="42"/>
      <c r="I912" s="41"/>
      <c r="J912" s="135" t="s">
        <v>172</v>
      </c>
      <c r="K912" s="135">
        <v>50818</v>
      </c>
    </row>
    <row r="913" spans="1:11">
      <c r="A913" s="35">
        <f>(A912+1)</f>
        <v>909</v>
      </c>
      <c r="B913" s="41" t="s">
        <v>69</v>
      </c>
      <c r="C913" s="162" t="s">
        <v>127</v>
      </c>
      <c r="D913" s="94">
        <v>229770</v>
      </c>
      <c r="E913" s="41">
        <v>57535</v>
      </c>
      <c r="F913" s="41"/>
      <c r="G913" s="41"/>
      <c r="H913" s="42"/>
      <c r="I913" s="41"/>
      <c r="J913" s="135" t="s">
        <v>172</v>
      </c>
      <c r="K913" s="135">
        <v>50832</v>
      </c>
    </row>
    <row r="914" spans="1:11">
      <c r="A914" s="35">
        <f>(A913+1)</f>
        <v>910</v>
      </c>
      <c r="B914" s="41" t="s">
        <v>69</v>
      </c>
      <c r="C914" s="162" t="s">
        <v>131</v>
      </c>
      <c r="D914" s="94">
        <v>175071</v>
      </c>
      <c r="E914" s="41">
        <v>2318</v>
      </c>
      <c r="F914" s="41"/>
      <c r="G914" s="41"/>
      <c r="H914" s="42"/>
      <c r="I914" s="41"/>
      <c r="J914" s="135">
        <v>27</v>
      </c>
      <c r="K914" s="135">
        <v>50870</v>
      </c>
    </row>
    <row r="915" spans="1:11">
      <c r="A915" s="35">
        <f>(A914+1)</f>
        <v>911</v>
      </c>
      <c r="B915" s="41" t="s">
        <v>69</v>
      </c>
      <c r="C915" s="162" t="s">
        <v>128</v>
      </c>
      <c r="D915" s="94">
        <v>5232</v>
      </c>
      <c r="E915" s="41"/>
      <c r="F915" s="41"/>
      <c r="G915" s="41"/>
      <c r="H915" s="42"/>
      <c r="I915" s="41"/>
      <c r="J915" s="135">
        <v>46</v>
      </c>
      <c r="K915" s="135">
        <v>50862</v>
      </c>
    </row>
    <row r="916" spans="1:11">
      <c r="A916" s="35">
        <f>(A915+1)</f>
        <v>912</v>
      </c>
      <c r="B916" s="41" t="s">
        <v>69</v>
      </c>
      <c r="C916" s="162" t="s">
        <v>193</v>
      </c>
      <c r="D916" s="94">
        <v>7874</v>
      </c>
      <c r="E916" s="41"/>
      <c r="F916" s="41"/>
      <c r="G916" s="41"/>
      <c r="H916" s="42"/>
      <c r="I916" s="41"/>
      <c r="J916" s="135">
        <v>48</v>
      </c>
      <c r="K916" s="135">
        <v>50789</v>
      </c>
    </row>
    <row r="917" spans="1:11">
      <c r="A917" s="64" t="s">
        <v>314</v>
      </c>
      <c r="B917" s="61">
        <f>SUBTOTAL(3,B689:B916)</f>
        <v>228</v>
      </c>
      <c r="C917" s="61"/>
      <c r="D917" s="61"/>
      <c r="E917" s="61"/>
      <c r="F917" s="61"/>
      <c r="G917" s="61"/>
      <c r="H917" s="62"/>
      <c r="I917" s="61"/>
      <c r="J917" s="61"/>
      <c r="K917" s="63"/>
    </row>
    <row r="918" spans="1:11">
      <c r="A918" s="64" t="s">
        <v>315</v>
      </c>
      <c r="B918" s="61">
        <f>SUBTOTAL(3,B2:B916)</f>
        <v>912</v>
      </c>
      <c r="C918" s="61"/>
      <c r="D918" s="61"/>
      <c r="E918" s="61"/>
      <c r="F918" s="61"/>
      <c r="G918" s="61"/>
      <c r="H918" s="62"/>
      <c r="I918" s="61"/>
      <c r="J918" s="61"/>
      <c r="K918" s="63"/>
    </row>
  </sheetData>
  <dataValidations count="1">
    <dataValidation type="list" allowBlank="1" showInputMessage="1" showErrorMessage="1" sqref="B2:B229 B689:B916 B460:B687 B231:B458" xr:uid="{18C805D3-44C7-42D9-B646-F97104F19237}">
      <formula1>$B$1381:$B$1384</formula1>
    </dataValidation>
  </dataValidations>
  <hyperlinks>
    <hyperlink ref="K5" r:id="rId1" display="62949" xr:uid="{56C5817E-42F9-4174-AE65-2638939427C6}"/>
    <hyperlink ref="K2" r:id="rId2" display="44304" xr:uid="{C006E562-B3EF-488C-9C0A-4DB76B3026D5}"/>
    <hyperlink ref="K3" r:id="rId3" display="25348" xr:uid="{FD5EF33D-D4DB-43F6-8302-F83BBD754490}"/>
    <hyperlink ref="K4" r:id="rId4" display="48322" xr:uid="{9D8F0926-6BD1-4256-8646-B1389C6E20B1}"/>
    <hyperlink ref="K7" r:id="rId5" display="39019" xr:uid="{6205B969-81C7-4B1D-954C-CD5EBCB1B1EE}"/>
    <hyperlink ref="K9" r:id="rId6" display="39073" xr:uid="{6208049C-FB90-4814-A6CF-11179CC9E057}"/>
    <hyperlink ref="K10" r:id="rId7" display="39074" xr:uid="{DB34C713-7FCE-4692-978A-5F9A66950489}"/>
    <hyperlink ref="K11" r:id="rId8" display="39082" xr:uid="{646D5CBD-5E6D-43D2-A10F-55ACD4881EEB}"/>
    <hyperlink ref="K12" r:id="rId9" display="39045" xr:uid="{1A757248-FF67-401B-A6B6-C97B57139481}"/>
    <hyperlink ref="K13" r:id="rId10" display="39065" xr:uid="{690AE791-93AA-4BBC-8F08-2C22093D6EFF}"/>
    <hyperlink ref="K14" r:id="rId11" display="48907" xr:uid="{A713B393-2C2F-4241-B29E-4A593FB377C9}"/>
    <hyperlink ref="K15" r:id="rId12" display="48930" xr:uid="{B704B3D6-3789-4366-A191-7DB13205ECB3}"/>
    <hyperlink ref="K16" r:id="rId13" display="44228" xr:uid="{4B0382E6-176B-4DD1-84D3-7E7F5C50AC6A}"/>
    <hyperlink ref="K17" r:id="rId14" display="44242" xr:uid="{377331B0-3F06-49A9-9A0A-76BB7A29B8F1}"/>
    <hyperlink ref="K18" r:id="rId15" display="44707" xr:uid="{A3873B9E-2597-4CDE-BBE3-E85500E561B9}"/>
    <hyperlink ref="K19" r:id="rId16" display="44674" xr:uid="{2EEC0616-E461-4F18-B7E9-185A96D39F41}"/>
    <hyperlink ref="K20" r:id="rId17" display="44704" xr:uid="{F8E8698E-2343-4949-A59E-577D8B1DE7AD}"/>
    <hyperlink ref="K21" r:id="rId18" display="47053" xr:uid="{3765C0FA-B442-430C-9D57-DA18B2C90B48}"/>
    <hyperlink ref="K22" r:id="rId19" display="47059" xr:uid="{ADF7B7C9-780B-4AE9-A834-F5C5EC651D3D}"/>
    <hyperlink ref="K23" r:id="rId20" display="47063" xr:uid="{5EEC30B4-EB06-4E8B-B2DE-B35F5DCF7322}"/>
    <hyperlink ref="K24" r:id="rId21" display="47047" xr:uid="{78A4BE72-0FA3-4DDE-99A8-557572397A5A}"/>
    <hyperlink ref="K25" r:id="rId22" display="48058" xr:uid="{33B3B7AB-A83B-440A-B783-3E24B342F40B}"/>
    <hyperlink ref="K26" r:id="rId23" display="47987" xr:uid="{3D05A494-7C9F-4182-A328-C38FB4111186}"/>
    <hyperlink ref="K27" r:id="rId24" display="47964" xr:uid="{DADE247B-34E9-4D0B-8C20-93593A640E93}"/>
    <hyperlink ref="K28" r:id="rId25" display="48030" xr:uid="{6D8AA469-F88D-43B9-984A-B0021F0FE1B6}"/>
    <hyperlink ref="K29" r:id="rId26" display="48057" xr:uid="{0BCDAF19-244E-4191-96B7-7635D645A4AC}"/>
    <hyperlink ref="K30" r:id="rId27" display="48344" xr:uid="{EBBB2008-FE66-4A30-A60A-01F2BB8E7AEF}"/>
    <hyperlink ref="K31" r:id="rId28" display="48359" xr:uid="{1DA3018E-FE4C-46DB-957F-A766B1575953}"/>
    <hyperlink ref="K32" r:id="rId29" display="48342" xr:uid="{89BF1068-ECAD-4C3F-BC9C-383CB27D2298}"/>
  </hyperlinks>
  <pageMargins left="0.7" right="0.7" top="0.75" bottom="0.75" header="0.3" footer="0.3"/>
  <legacyDrawing r:id="rId3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c7e0fa-6d87-4b03-b254-ef17a7b6f01a" xsi:nil="true"/>
    <lcf76f155ced4ddcb4097134ff3c332f xmlns="ef998b32-9ce7-43d0-8038-3c5f591accee">
      <Terms xmlns="http://schemas.microsoft.com/office/infopath/2007/PartnerControls"/>
    </lcf76f155ced4ddcb4097134ff3c332f>
    <Status xmlns="ef998b32-9ce7-43d0-8038-3c5f591accee">Aguardando Aprovação</Status>
    <OBS xmlns="ef998b32-9ce7-43d0-8038-3c5f591acce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FFC86F9425D2045B76552F650266ABC" ma:contentTypeVersion="22" ma:contentTypeDescription="Crie um novo documento." ma:contentTypeScope="" ma:versionID="ada2fcc9e35a41c845b06ac97a5468cb">
  <xsd:schema xmlns:xsd="http://www.w3.org/2001/XMLSchema" xmlns:xs="http://www.w3.org/2001/XMLSchema" xmlns:p="http://schemas.microsoft.com/office/2006/metadata/properties" xmlns:ns2="ef998b32-9ce7-43d0-8038-3c5f591accee" xmlns:ns3="bec7e0fa-6d87-4b03-b254-ef17a7b6f01a" targetNamespace="http://schemas.microsoft.com/office/2006/metadata/properties" ma:root="true" ma:fieldsID="adb2a22924ce71be03efa3423c3da629" ns2:_="" ns3:_="">
    <xsd:import namespace="ef998b32-9ce7-43d0-8038-3c5f591accee"/>
    <xsd:import namespace="bec7e0fa-6d87-4b03-b254-ef17a7b6f0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OBS" minOccurs="0"/>
                <xsd:element ref="ns2:lcf76f155ced4ddcb4097134ff3c332f" minOccurs="0"/>
                <xsd:element ref="ns3:TaxCatchAll" minOccurs="0"/>
                <xsd:element ref="ns2: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998b32-9ce7-43d0-8038-3c5f591ac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OBS" ma:index="21" nillable="true" ma:displayName="OBS" ma:format="Dropdown" ma:internalName="OBS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5" nillable="true" ma:displayName="Status" ma:default="Aguardando Aprovação" ma:format="Dropdown" ma:internalName="Status">
      <xsd:simpleType>
        <xsd:restriction base="dms:Choice">
          <xsd:enumeration value="Aprovado"/>
          <xsd:enumeration value="Aguardando Aprovação"/>
        </xsd:restriction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7e0fa-6d87-4b03-b254-ef17a7b6f01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b9ecaa1-d071-450a-95e3-7191a259dbce}" ma:internalName="TaxCatchAll" ma:showField="CatchAllData" ma:web="bec7e0fa-6d87-4b03-b254-ef17a7b6f0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C0C118-2A96-433E-98AA-462C38E80F6D}"/>
</file>

<file path=customXml/itemProps2.xml><?xml version="1.0" encoding="utf-8"?>
<ds:datastoreItem xmlns:ds="http://schemas.openxmlformats.org/officeDocument/2006/customXml" ds:itemID="{4EFBE91B-6134-40B7-B211-EBAB4BF54595}"/>
</file>

<file path=customXml/itemProps3.xml><?xml version="1.0" encoding="utf-8"?>
<ds:datastoreItem xmlns:ds="http://schemas.openxmlformats.org/officeDocument/2006/customXml" ds:itemID="{93D47964-5389-40EC-B349-E9354F683F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Ionaldo Silva</dc:creator>
  <cp:keywords/>
  <dc:description/>
  <cp:lastModifiedBy>Vinicius Gabriel Confessor Sousa</cp:lastModifiedBy>
  <cp:revision/>
  <dcterms:created xsi:type="dcterms:W3CDTF">2025-08-21T19:15:38Z</dcterms:created>
  <dcterms:modified xsi:type="dcterms:W3CDTF">2025-11-14T20:08:17Z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0x0101004FFC86F9425D2045B76552F650266ABC</vt:lpwstr>
  </property>
  <property fmtid="{D5CDD505-2E9C-101B-9397-08002B2CF9AE}" pid="3" name="MediaServiceImageTags">
    <vt:lpwstr/>
  </property>
</Properties>
</file>